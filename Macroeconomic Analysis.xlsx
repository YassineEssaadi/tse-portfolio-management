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adi\Desktop\ProjectFM\"/>
    </mc:Choice>
  </mc:AlternateContent>
  <xr:revisionPtr revIDLastSave="0" documentId="13_ncr:1_{70838B04-70B7-4197-ADE1-AD9F91F3123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dded Value By Sector" sheetId="10" r:id="rId1"/>
    <sheet name="National Account By Sector" sheetId="11" r:id="rId2"/>
    <sheet name="GDP" sheetId="1" r:id="rId3"/>
    <sheet name="Annual General Balance" sheetId="2" r:id="rId4"/>
    <sheet name="Population" sheetId="3" r:id="rId5"/>
    <sheet name="Unemployment" sheetId="4" r:id="rId6"/>
    <sheet name="Interest Rates" sheetId="5" r:id="rId7"/>
    <sheet name="Inflation" sheetId="6" r:id="rId8"/>
    <sheet name="Budget Deficit" sheetId="7" r:id="rId9"/>
    <sheet name="Exports by Country" sheetId="8" r:id="rId10"/>
    <sheet name="Sheet1" sheetId="12" r:id="rId11"/>
  </sheets>
  <externalReferences>
    <externalReference r:id="rId12"/>
  </externalReferences>
  <definedNames>
    <definedName name="ExternalData_1" localSheetId="3" hidden="1">'Annual General Balance'!$A$1:$C$101</definedName>
    <definedName name="ExternalData_1" localSheetId="7" hidden="1">Inflation!$A$2:$C$83</definedName>
    <definedName name="ExternalData_1" localSheetId="6" hidden="1">'Interest Rates'!$A$1:$C$121</definedName>
    <definedName name="ExternalData_1" localSheetId="4" hidden="1">Population!$A$1:$C$166</definedName>
    <definedName name="ExternalData_1" localSheetId="5" hidden="1">Unemployment!$A$1:$C$145</definedName>
    <definedName name="ExternalData_2" localSheetId="0" hidden="1">'Added Value By Sector'!$A$1:$AA$16</definedName>
    <definedName name="ExternalData_2" localSheetId="9" hidden="1">'Exports by Country'!$A$1:$C$645</definedName>
    <definedName name="ExternalData_2" localSheetId="1" hidden="1">'National Account By Sector'!$A$1:$E$30</definedName>
    <definedName name="ExternalData_3" localSheetId="1" hidden="1">'National Account By Sector'!$A$32:$E$61</definedName>
    <definedName name="ExternalData_4" localSheetId="1" hidden="1">'National Account By Sector'!$A$63:$E$92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K3" i="2"/>
  <c r="J3" i="2"/>
  <c r="I3" i="2"/>
  <c r="E13" i="2"/>
  <c r="D42" i="2"/>
  <c r="K4" i="7"/>
  <c r="J4" i="7"/>
  <c r="I4" i="7"/>
  <c r="H4" i="7"/>
  <c r="G4" i="7"/>
  <c r="F4" i="7"/>
  <c r="E4" i="7"/>
  <c r="D4" i="7"/>
  <c r="C4" i="7"/>
  <c r="B4" i="7"/>
  <c r="I4" i="2"/>
  <c r="I5" i="2"/>
  <c r="I6" i="2"/>
  <c r="I7" i="2"/>
  <c r="I8" i="2"/>
  <c r="I9" i="2"/>
  <c r="I10" i="2"/>
  <c r="I11" i="2"/>
  <c r="I12" i="2"/>
  <c r="J4" i="2"/>
  <c r="J5" i="2"/>
  <c r="J6" i="2"/>
  <c r="J7" i="2"/>
  <c r="J8" i="2"/>
  <c r="J9" i="2"/>
  <c r="J10" i="2"/>
  <c r="J11" i="2"/>
  <c r="J12" i="2"/>
  <c r="K11" i="2"/>
  <c r="H12" i="2"/>
  <c r="H4" i="2" l="1"/>
  <c r="H5" i="2"/>
  <c r="H6" i="2"/>
  <c r="H7" i="2"/>
  <c r="H8" i="2"/>
  <c r="H9" i="2"/>
  <c r="H10" i="2"/>
  <c r="H11" i="2"/>
  <c r="D4" i="4"/>
  <c r="E4" i="4" s="1"/>
  <c r="D5" i="4"/>
  <c r="E5" i="4" s="1"/>
  <c r="D6" i="4"/>
  <c r="E6" i="4" s="1"/>
  <c r="D7" i="4"/>
  <c r="E7" i="4"/>
  <c r="D8" i="4"/>
  <c r="E8" i="4" s="1"/>
  <c r="D9" i="4"/>
  <c r="E9" i="4" s="1"/>
  <c r="D10" i="4"/>
  <c r="E10" i="4" s="1"/>
  <c r="D11" i="4"/>
  <c r="E11" i="4" s="1"/>
  <c r="D12" i="4"/>
  <c r="E12" i="4" s="1"/>
  <c r="D13" i="4"/>
  <c r="E13" i="4" s="1"/>
  <c r="D14" i="4"/>
  <c r="E14" i="4" s="1"/>
  <c r="D15" i="4"/>
  <c r="E15" i="4" s="1"/>
  <c r="D16" i="4"/>
  <c r="E16" i="4" s="1"/>
  <c r="D17" i="4"/>
  <c r="E17" i="4"/>
  <c r="D18" i="4"/>
  <c r="E18" i="4" s="1"/>
  <c r="D19" i="4"/>
  <c r="E19" i="4"/>
  <c r="D20" i="4"/>
  <c r="E20" i="4" s="1"/>
  <c r="D21" i="4"/>
  <c r="E21" i="4" s="1"/>
  <c r="D22" i="4"/>
  <c r="E22" i="4" s="1"/>
  <c r="D23" i="4"/>
  <c r="E23" i="4" s="1"/>
  <c r="D24" i="4"/>
  <c r="E24" i="4" s="1"/>
  <c r="D25" i="4"/>
  <c r="E25" i="4"/>
  <c r="D26" i="4"/>
  <c r="E26" i="4" s="1"/>
  <c r="D27" i="4"/>
  <c r="E27" i="4"/>
  <c r="D28" i="4"/>
  <c r="E28" i="4" s="1"/>
  <c r="D29" i="4"/>
  <c r="E29" i="4" s="1"/>
  <c r="D30" i="4"/>
  <c r="E30" i="4" s="1"/>
  <c r="D31" i="4"/>
  <c r="E31" i="4" s="1"/>
  <c r="D32" i="4"/>
  <c r="E32" i="4" s="1"/>
  <c r="D33" i="4"/>
  <c r="E33" i="4"/>
  <c r="D34" i="4"/>
  <c r="E34" i="4" s="1"/>
  <c r="D35" i="4"/>
  <c r="E35" i="4" s="1"/>
  <c r="D36" i="4"/>
  <c r="E36" i="4" s="1"/>
  <c r="D37" i="4"/>
  <c r="E37" i="4" s="1"/>
  <c r="D38" i="4"/>
  <c r="E38" i="4" s="1"/>
  <c r="D39" i="4"/>
  <c r="E39" i="4" s="1"/>
  <c r="D40" i="4"/>
  <c r="E40" i="4" s="1"/>
  <c r="D41" i="4"/>
  <c r="E41" i="4" s="1"/>
  <c r="D42" i="4"/>
  <c r="E42" i="4" s="1"/>
  <c r="D43" i="4"/>
  <c r="E43" i="4" s="1"/>
  <c r="D44" i="4"/>
  <c r="E44" i="4" s="1"/>
  <c r="D45" i="4"/>
  <c r="E45" i="4" s="1"/>
  <c r="D46" i="4"/>
  <c r="E46" i="4" s="1"/>
  <c r="D47" i="4"/>
  <c r="E47" i="4" s="1"/>
  <c r="D48" i="4"/>
  <c r="E48" i="4" s="1"/>
  <c r="D49" i="4"/>
  <c r="E49" i="4" s="1"/>
  <c r="D3" i="4"/>
  <c r="I10" i="11"/>
  <c r="H12" i="11"/>
  <c r="I12" i="11"/>
  <c r="I11" i="11"/>
  <c r="H11" i="11"/>
  <c r="H10" i="11"/>
  <c r="I5" i="11"/>
  <c r="I4" i="11"/>
  <c r="H5" i="11"/>
  <c r="H4" i="11"/>
  <c r="I3" i="11"/>
  <c r="H3" i="1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F61" i="1"/>
  <c r="G61" i="1" s="1"/>
  <c r="F123" i="1"/>
  <c r="G123" i="1" s="1"/>
  <c r="F185" i="1"/>
  <c r="G185" i="1" s="1"/>
  <c r="F247" i="1"/>
  <c r="G247" i="1" s="1"/>
  <c r="F309" i="1"/>
  <c r="G309" i="1" s="1"/>
  <c r="F371" i="1"/>
  <c r="G371" i="1" s="1"/>
  <c r="F433" i="1"/>
  <c r="G433" i="1" s="1"/>
  <c r="F495" i="1"/>
  <c r="G495" i="1" s="1"/>
  <c r="F557" i="1"/>
  <c r="G557" i="1" s="1"/>
  <c r="F619" i="1"/>
  <c r="G619" i="1" s="1"/>
  <c r="F681" i="1"/>
  <c r="G681" i="1" s="1"/>
  <c r="F743" i="1"/>
  <c r="G743" i="1" s="1"/>
  <c r="F805" i="1"/>
  <c r="G805" i="1" s="1"/>
  <c r="F867" i="1"/>
  <c r="G867" i="1" s="1"/>
  <c r="F929" i="1"/>
  <c r="G929" i="1" s="1"/>
  <c r="F991" i="1"/>
  <c r="G991" i="1" s="1"/>
  <c r="F1053" i="1"/>
  <c r="G1053" i="1" s="1"/>
  <c r="F1115" i="1"/>
  <c r="G1115" i="1" s="1"/>
  <c r="F1177" i="1"/>
  <c r="G1177" i="1" s="1"/>
  <c r="F1239" i="1"/>
  <c r="G1239" i="1" s="1"/>
  <c r="F1301" i="1"/>
  <c r="G1301" i="1" s="1"/>
  <c r="F1363" i="1"/>
  <c r="G1363" i="1" s="1"/>
  <c r="F1425" i="1"/>
  <c r="G1425" i="1" s="1"/>
  <c r="F1487" i="1"/>
  <c r="G1487" i="1" s="1"/>
  <c r="F1549" i="1"/>
  <c r="G1549" i="1" s="1"/>
  <c r="F1611" i="1"/>
  <c r="G1611" i="1" s="1"/>
  <c r="F1673" i="1"/>
  <c r="G1673" i="1" s="1"/>
  <c r="F1735" i="1"/>
  <c r="G1735" i="1" s="1"/>
  <c r="F63" i="1"/>
  <c r="H63" i="1" s="1"/>
  <c r="F125" i="1"/>
  <c r="F187" i="1"/>
  <c r="F249" i="1"/>
  <c r="H249" i="1" s="1"/>
  <c r="F311" i="1"/>
  <c r="H311" i="1" s="1"/>
  <c r="F373" i="1"/>
  <c r="F435" i="1"/>
  <c r="F497" i="1"/>
  <c r="F559" i="1"/>
  <c r="H559" i="1" s="1"/>
  <c r="F621" i="1"/>
  <c r="F683" i="1"/>
  <c r="F745" i="1"/>
  <c r="H745" i="1" s="1"/>
  <c r="F807" i="1"/>
  <c r="H807" i="1" s="1"/>
  <c r="F869" i="1"/>
  <c r="F931" i="1"/>
  <c r="F993" i="1"/>
  <c r="F1055" i="1"/>
  <c r="H1055" i="1" s="1"/>
  <c r="F1117" i="1"/>
  <c r="F1179" i="1"/>
  <c r="F1241" i="1"/>
  <c r="H1241" i="1" s="1"/>
  <c r="F1303" i="1"/>
  <c r="H1303" i="1" s="1"/>
  <c r="F1365" i="1"/>
  <c r="F1427" i="1"/>
  <c r="F1489" i="1"/>
  <c r="F1551" i="1"/>
  <c r="H1551" i="1" s="1"/>
  <c r="F1613" i="1"/>
  <c r="H1613" i="1" s="1"/>
  <c r="F1675" i="1"/>
  <c r="F1737" i="1"/>
  <c r="H1737" i="1" s="1"/>
  <c r="F62" i="1"/>
  <c r="F124" i="1"/>
  <c r="G124" i="1" s="1"/>
  <c r="F186" i="1"/>
  <c r="F248" i="1"/>
  <c r="G248" i="1" s="1"/>
  <c r="F310" i="1"/>
  <c r="G310" i="1" s="1"/>
  <c r="F372" i="1"/>
  <c r="G372" i="1" s="1"/>
  <c r="F434" i="1"/>
  <c r="G434" i="1" s="1"/>
  <c r="F496" i="1"/>
  <c r="G496" i="1" s="1"/>
  <c r="F558" i="1"/>
  <c r="G558" i="1" s="1"/>
  <c r="F620" i="1"/>
  <c r="F682" i="1"/>
  <c r="G682" i="1" s="1"/>
  <c r="F744" i="1"/>
  <c r="G744" i="1" s="1"/>
  <c r="F806" i="1"/>
  <c r="G806" i="1" s="1"/>
  <c r="F868" i="1"/>
  <c r="G868" i="1" s="1"/>
  <c r="F930" i="1"/>
  <c r="G930" i="1" s="1"/>
  <c r="F992" i="1"/>
  <c r="G992" i="1" s="1"/>
  <c r="F1054" i="1"/>
  <c r="G1054" i="1" s="1"/>
  <c r="F1116" i="1"/>
  <c r="F1178" i="1"/>
  <c r="G1178" i="1" s="1"/>
  <c r="F1240" i="1"/>
  <c r="G1240" i="1" s="1"/>
  <c r="F1302" i="1"/>
  <c r="G1302" i="1" s="1"/>
  <c r="F1364" i="1"/>
  <c r="G1364" i="1" s="1"/>
  <c r="F1426" i="1"/>
  <c r="G1426" i="1" s="1"/>
  <c r="F1488" i="1"/>
  <c r="G1488" i="1" s="1"/>
  <c r="F1550" i="1"/>
  <c r="G1550" i="1" s="1"/>
  <c r="F1612" i="1"/>
  <c r="F1674" i="1"/>
  <c r="G1674" i="1" s="1"/>
  <c r="F1736" i="1"/>
  <c r="G1736" i="1" s="1"/>
  <c r="F1797" i="1"/>
  <c r="G1797" i="1" s="1"/>
  <c r="F1798" i="1"/>
  <c r="H1798" i="1" s="1"/>
  <c r="F1799" i="1"/>
  <c r="H1799" i="1" s="1"/>
  <c r="D179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8" i="1"/>
  <c r="D1799" i="1"/>
  <c r="P21" i="8"/>
  <c r="Y21" i="8"/>
  <c r="X21" i="8"/>
  <c r="W21" i="8"/>
  <c r="V21" i="8"/>
  <c r="U21" i="8"/>
  <c r="T21" i="8"/>
  <c r="S21" i="8"/>
  <c r="R21" i="8"/>
  <c r="Q21" i="8"/>
  <c r="O21" i="8"/>
  <c r="N21" i="8"/>
  <c r="M21" i="8"/>
  <c r="L21" i="8"/>
  <c r="K21" i="8"/>
  <c r="J21" i="8"/>
  <c r="I21" i="8"/>
  <c r="H21" i="8"/>
  <c r="G21" i="8"/>
  <c r="D645" i="8"/>
  <c r="D644" i="8"/>
  <c r="D643" i="8"/>
  <c r="D642" i="8"/>
  <c r="D641" i="8"/>
  <c r="D640" i="8"/>
  <c r="D639" i="8"/>
  <c r="D638" i="8"/>
  <c r="D637" i="8"/>
  <c r="D636" i="8"/>
  <c r="D635" i="8"/>
  <c r="D634" i="8"/>
  <c r="D633" i="8"/>
  <c r="D632" i="8"/>
  <c r="D631" i="8"/>
  <c r="D630" i="8"/>
  <c r="D629" i="8"/>
  <c r="D628" i="8"/>
  <c r="D627" i="8"/>
  <c r="D626" i="8"/>
  <c r="D625" i="8"/>
  <c r="D624" i="8"/>
  <c r="D619" i="8"/>
  <c r="D618" i="8"/>
  <c r="D617" i="8"/>
  <c r="D616" i="8"/>
  <c r="D615" i="8"/>
  <c r="D614" i="8"/>
  <c r="D613" i="8"/>
  <c r="D612" i="8"/>
  <c r="D611" i="8"/>
  <c r="D610" i="8"/>
  <c r="D609" i="8"/>
  <c r="D608" i="8"/>
  <c r="D607" i="8"/>
  <c r="D606" i="8"/>
  <c r="D605" i="8"/>
  <c r="D604" i="8"/>
  <c r="D603" i="8"/>
  <c r="D602" i="8"/>
  <c r="D601" i="8"/>
  <c r="D596" i="8"/>
  <c r="D595" i="8"/>
  <c r="D594" i="8"/>
  <c r="D593" i="8"/>
  <c r="D592" i="8"/>
  <c r="D591" i="8"/>
  <c r="D590" i="8"/>
  <c r="D589" i="8"/>
  <c r="D588" i="8"/>
  <c r="D587" i="8"/>
  <c r="D586" i="8"/>
  <c r="D585" i="8"/>
  <c r="D584" i="8"/>
  <c r="D583" i="8"/>
  <c r="D582" i="8"/>
  <c r="D581" i="8"/>
  <c r="D580" i="8"/>
  <c r="D579" i="8"/>
  <c r="D578" i="8"/>
  <c r="D573" i="8"/>
  <c r="D572" i="8"/>
  <c r="D571" i="8"/>
  <c r="D570" i="8"/>
  <c r="D569" i="8"/>
  <c r="D568" i="8"/>
  <c r="D567" i="8"/>
  <c r="D566" i="8"/>
  <c r="D565" i="8"/>
  <c r="D564" i="8"/>
  <c r="D563" i="8"/>
  <c r="D562" i="8"/>
  <c r="D561" i="8"/>
  <c r="D560" i="8"/>
  <c r="D559" i="8"/>
  <c r="D558" i="8"/>
  <c r="D557" i="8"/>
  <c r="D556" i="8"/>
  <c r="D555" i="8"/>
  <c r="D550" i="8"/>
  <c r="D549" i="8"/>
  <c r="D548" i="8"/>
  <c r="D547" i="8"/>
  <c r="D546" i="8"/>
  <c r="D545" i="8"/>
  <c r="D544" i="8"/>
  <c r="D543" i="8"/>
  <c r="D542" i="8"/>
  <c r="D541" i="8"/>
  <c r="D540" i="8"/>
  <c r="D539" i="8"/>
  <c r="D538" i="8"/>
  <c r="D537" i="8"/>
  <c r="D536" i="8"/>
  <c r="D535" i="8"/>
  <c r="D534" i="8"/>
  <c r="D533" i="8"/>
  <c r="D532" i="8"/>
  <c r="D527" i="8"/>
  <c r="D526" i="8"/>
  <c r="D525" i="8"/>
  <c r="D524" i="8"/>
  <c r="D523" i="8"/>
  <c r="D522" i="8"/>
  <c r="D521" i="8"/>
  <c r="D520" i="8"/>
  <c r="D519" i="8"/>
  <c r="D518" i="8"/>
  <c r="D517" i="8"/>
  <c r="D516" i="8"/>
  <c r="D515" i="8"/>
  <c r="D514" i="8"/>
  <c r="D513" i="8"/>
  <c r="D512" i="8"/>
  <c r="D511" i="8"/>
  <c r="D510" i="8"/>
  <c r="D509" i="8"/>
  <c r="D504" i="8"/>
  <c r="D503" i="8"/>
  <c r="D502" i="8"/>
  <c r="D501" i="8"/>
  <c r="D500" i="8"/>
  <c r="D499" i="8"/>
  <c r="D498" i="8"/>
  <c r="D497" i="8"/>
  <c r="D496" i="8"/>
  <c r="D495" i="8"/>
  <c r="D494" i="8"/>
  <c r="D493" i="8"/>
  <c r="D492" i="8"/>
  <c r="D491" i="8"/>
  <c r="D490" i="8"/>
  <c r="D489" i="8"/>
  <c r="D488" i="8"/>
  <c r="D487" i="8"/>
  <c r="D486" i="8"/>
  <c r="D481" i="8"/>
  <c r="D480" i="8"/>
  <c r="D479" i="8"/>
  <c r="D478" i="8"/>
  <c r="D477" i="8"/>
  <c r="D476" i="8"/>
  <c r="D475" i="8"/>
  <c r="D474" i="8"/>
  <c r="D473" i="8"/>
  <c r="D472" i="8"/>
  <c r="D471" i="8"/>
  <c r="D470" i="8"/>
  <c r="D469" i="8"/>
  <c r="D468" i="8"/>
  <c r="D467" i="8"/>
  <c r="D466" i="8"/>
  <c r="D465" i="8"/>
  <c r="D464" i="8"/>
  <c r="D463" i="8"/>
  <c r="D458" i="8"/>
  <c r="D457" i="8"/>
  <c r="D456" i="8"/>
  <c r="D455" i="8"/>
  <c r="D454" i="8"/>
  <c r="D453" i="8"/>
  <c r="D452" i="8"/>
  <c r="D451" i="8"/>
  <c r="D450" i="8"/>
  <c r="D449" i="8"/>
  <c r="D448" i="8"/>
  <c r="D447" i="8"/>
  <c r="D446" i="8"/>
  <c r="D445" i="8"/>
  <c r="D444" i="8"/>
  <c r="D443" i="8"/>
  <c r="D442" i="8"/>
  <c r="D441" i="8"/>
  <c r="D440" i="8"/>
  <c r="D435" i="8"/>
  <c r="D434" i="8"/>
  <c r="D433" i="8"/>
  <c r="D432" i="8"/>
  <c r="D431" i="8"/>
  <c r="D430" i="8"/>
  <c r="D429" i="8"/>
  <c r="D428" i="8"/>
  <c r="D427" i="8"/>
  <c r="D426" i="8"/>
  <c r="D425" i="8"/>
  <c r="D424" i="8"/>
  <c r="D423" i="8"/>
  <c r="D422" i="8"/>
  <c r="D421" i="8"/>
  <c r="D420" i="8"/>
  <c r="D419" i="8"/>
  <c r="D418" i="8"/>
  <c r="D417" i="8"/>
  <c r="D412" i="8"/>
  <c r="D411" i="8"/>
  <c r="D410" i="8"/>
  <c r="D409" i="8"/>
  <c r="D408" i="8"/>
  <c r="D407" i="8"/>
  <c r="D406" i="8"/>
  <c r="D405" i="8"/>
  <c r="D404" i="8"/>
  <c r="D403" i="8"/>
  <c r="D402" i="8"/>
  <c r="D401" i="8"/>
  <c r="D400" i="8"/>
  <c r="D399" i="8"/>
  <c r="D398" i="8"/>
  <c r="D397" i="8"/>
  <c r="D396" i="8"/>
  <c r="D395" i="8"/>
  <c r="D394" i="8"/>
  <c r="D389" i="8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3" i="6"/>
  <c r="D82" i="6"/>
  <c r="F82" i="6" s="1"/>
  <c r="D81" i="6"/>
  <c r="F81" i="6" s="1"/>
  <c r="D80" i="6"/>
  <c r="F80" i="6" s="1"/>
  <c r="D79" i="6"/>
  <c r="F79" i="6" s="1"/>
  <c r="D78" i="6"/>
  <c r="F78" i="6" s="1"/>
  <c r="D77" i="6"/>
  <c r="F77" i="6" s="1"/>
  <c r="D76" i="6"/>
  <c r="F76" i="6" s="1"/>
  <c r="D75" i="6"/>
  <c r="D74" i="6"/>
  <c r="F74" i="6" s="1"/>
  <c r="D73" i="6"/>
  <c r="F73" i="6" s="1"/>
  <c r="D72" i="6"/>
  <c r="F72" i="6" s="1"/>
  <c r="D71" i="6"/>
  <c r="F71" i="6" s="1"/>
  <c r="D70" i="6"/>
  <c r="F70" i="6" s="1"/>
  <c r="D69" i="6"/>
  <c r="F69" i="6" s="1"/>
  <c r="D68" i="6"/>
  <c r="F68" i="6" s="1"/>
  <c r="D67" i="6"/>
  <c r="F67" i="6" s="1"/>
  <c r="D66" i="6"/>
  <c r="F66" i="6" s="1"/>
  <c r="D65" i="6"/>
  <c r="F65" i="6" s="1"/>
  <c r="D64" i="6"/>
  <c r="F64" i="6" s="1"/>
  <c r="D63" i="6"/>
  <c r="F63" i="6" s="1"/>
  <c r="D62" i="6"/>
  <c r="F62" i="6" s="1"/>
  <c r="D61" i="6"/>
  <c r="F61" i="6" s="1"/>
  <c r="D60" i="6"/>
  <c r="F60" i="6" s="1"/>
  <c r="D59" i="6"/>
  <c r="F59" i="6" s="1"/>
  <c r="D58" i="6"/>
  <c r="F58" i="6" s="1"/>
  <c r="D57" i="6"/>
  <c r="F57" i="6" s="1"/>
  <c r="D56" i="6"/>
  <c r="F56" i="6" s="1"/>
  <c r="D55" i="6"/>
  <c r="F55" i="6" s="1"/>
  <c r="D54" i="6"/>
  <c r="F54" i="6" s="1"/>
  <c r="D53" i="6"/>
  <c r="F53" i="6" s="1"/>
  <c r="D52" i="6"/>
  <c r="F52" i="6" s="1"/>
  <c r="D51" i="6"/>
  <c r="D50" i="6"/>
  <c r="F50" i="6" s="1"/>
  <c r="D49" i="6"/>
  <c r="F49" i="6" s="1"/>
  <c r="D48" i="6"/>
  <c r="F48" i="6" s="1"/>
  <c r="D47" i="6"/>
  <c r="F47" i="6" s="1"/>
  <c r="D46" i="6"/>
  <c r="F46" i="6" s="1"/>
  <c r="D45" i="6"/>
  <c r="F45" i="6" s="1"/>
  <c r="D44" i="6"/>
  <c r="F44" i="6" s="1"/>
  <c r="D43" i="6"/>
  <c r="F43" i="6" s="1"/>
  <c r="D42" i="6"/>
  <c r="F42" i="6" s="1"/>
  <c r="D41" i="6"/>
  <c r="F41" i="6" s="1"/>
  <c r="D40" i="6"/>
  <c r="D39" i="6"/>
  <c r="F39" i="6" s="1"/>
  <c r="D38" i="6"/>
  <c r="F38" i="6" s="1"/>
  <c r="D37" i="6"/>
  <c r="F37" i="6" s="1"/>
  <c r="D36" i="6"/>
  <c r="F36" i="6" s="1"/>
  <c r="D35" i="6"/>
  <c r="F35" i="6" s="1"/>
  <c r="D34" i="6"/>
  <c r="F34" i="6" s="1"/>
  <c r="D33" i="6"/>
  <c r="F33" i="6" s="1"/>
  <c r="D32" i="6"/>
  <c r="F32" i="6" s="1"/>
  <c r="D31" i="6"/>
  <c r="F31" i="6" s="1"/>
  <c r="D30" i="6"/>
  <c r="F30" i="6" s="1"/>
  <c r="D29" i="6"/>
  <c r="F29" i="6" s="1"/>
  <c r="D28" i="6"/>
  <c r="F28" i="6" s="1"/>
  <c r="D27" i="6"/>
  <c r="F27" i="6" s="1"/>
  <c r="D26" i="6"/>
  <c r="F26" i="6" s="1"/>
  <c r="D25" i="6"/>
  <c r="F25" i="6" s="1"/>
  <c r="D24" i="6"/>
  <c r="F24" i="6" s="1"/>
  <c r="D23" i="6"/>
  <c r="F23" i="6" s="1"/>
  <c r="D22" i="6"/>
  <c r="F22" i="6" s="1"/>
  <c r="D21" i="6"/>
  <c r="F21" i="6" s="1"/>
  <c r="D20" i="6"/>
  <c r="F20" i="6" s="1"/>
  <c r="D19" i="6"/>
  <c r="F19" i="6" s="1"/>
  <c r="D18" i="6"/>
  <c r="F18" i="6" s="1"/>
  <c r="D17" i="6"/>
  <c r="F17" i="6" s="1"/>
  <c r="D16" i="6"/>
  <c r="F16" i="6" s="1"/>
  <c r="D15" i="6"/>
  <c r="I62" i="6" l="1"/>
  <c r="I82" i="6"/>
  <c r="I26" i="6"/>
  <c r="I83" i="6"/>
  <c r="G1612" i="1"/>
  <c r="G1116" i="1"/>
  <c r="G186" i="1"/>
  <c r="G620" i="1"/>
  <c r="G62" i="1"/>
  <c r="H62" i="1"/>
  <c r="H1301" i="1"/>
  <c r="H806" i="1"/>
  <c r="H869" i="1"/>
  <c r="H1550" i="1"/>
  <c r="H805" i="1"/>
  <c r="H373" i="1"/>
  <c r="H1549" i="1"/>
  <c r="H1117" i="1"/>
  <c r="H310" i="1"/>
  <c r="H1054" i="1"/>
  <c r="H309" i="1"/>
  <c r="H1053" i="1"/>
  <c r="H621" i="1"/>
  <c r="H61" i="1"/>
  <c r="H1797" i="1"/>
  <c r="H1365" i="1"/>
  <c r="H558" i="1"/>
  <c r="H1302" i="1"/>
  <c r="H557" i="1"/>
  <c r="H125" i="1"/>
  <c r="H1612" i="1"/>
  <c r="H1364" i="1"/>
  <c r="H1116" i="1"/>
  <c r="H868" i="1"/>
  <c r="H620" i="1"/>
  <c r="H372" i="1"/>
  <c r="H124" i="1"/>
  <c r="H1675" i="1"/>
  <c r="H1611" i="1"/>
  <c r="H1427" i="1"/>
  <c r="H1363" i="1"/>
  <c r="H1179" i="1"/>
  <c r="H1115" i="1"/>
  <c r="H931" i="1"/>
  <c r="H867" i="1"/>
  <c r="H683" i="1"/>
  <c r="H619" i="1"/>
  <c r="H435" i="1"/>
  <c r="H371" i="1"/>
  <c r="H187" i="1"/>
  <c r="H123" i="1"/>
  <c r="H1674" i="1"/>
  <c r="H1426" i="1"/>
  <c r="H1178" i="1"/>
  <c r="H930" i="1"/>
  <c r="H682" i="1"/>
  <c r="H434" i="1"/>
  <c r="H186" i="1"/>
  <c r="H1673" i="1"/>
  <c r="H1489" i="1"/>
  <c r="H1425" i="1"/>
  <c r="H1177" i="1"/>
  <c r="H993" i="1"/>
  <c r="H929" i="1"/>
  <c r="H681" i="1"/>
  <c r="H497" i="1"/>
  <c r="H433" i="1"/>
  <c r="H185" i="1"/>
  <c r="G1798" i="1"/>
  <c r="H1736" i="1"/>
  <c r="H1488" i="1"/>
  <c r="H1240" i="1"/>
  <c r="H992" i="1"/>
  <c r="H744" i="1"/>
  <c r="H496" i="1"/>
  <c r="H248" i="1"/>
  <c r="H1735" i="1"/>
  <c r="H1487" i="1"/>
  <c r="H1239" i="1"/>
  <c r="H991" i="1"/>
  <c r="H743" i="1"/>
  <c r="H495" i="1"/>
  <c r="H247" i="1"/>
  <c r="G1427" i="1"/>
  <c r="G931" i="1"/>
  <c r="G435" i="1"/>
  <c r="G1799" i="1"/>
  <c r="G1613" i="1"/>
  <c r="G1117" i="1"/>
  <c r="G621" i="1"/>
  <c r="G125" i="1"/>
  <c r="G559" i="1"/>
  <c r="G1365" i="1"/>
  <c r="G869" i="1"/>
  <c r="G373" i="1"/>
  <c r="G1551" i="1"/>
  <c r="G1303" i="1"/>
  <c r="G63" i="1"/>
  <c r="G311" i="1"/>
  <c r="G1675" i="1"/>
  <c r="G1179" i="1"/>
  <c r="G683" i="1"/>
  <c r="G187" i="1"/>
  <c r="G1055" i="1"/>
  <c r="G807" i="1"/>
  <c r="G1737" i="1"/>
  <c r="G1489" i="1"/>
  <c r="G1241" i="1"/>
  <c r="G993" i="1"/>
  <c r="G745" i="1"/>
  <c r="G497" i="1"/>
  <c r="G249" i="1"/>
  <c r="I50" i="6"/>
  <c r="I38" i="6"/>
  <c r="I74" i="6"/>
  <c r="E38" i="6"/>
  <c r="E50" i="6"/>
  <c r="E62" i="6"/>
  <c r="E82" i="6"/>
  <c r="F40" i="6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H50" i="6" s="1"/>
  <c r="F75" i="6"/>
  <c r="E26" i="6"/>
  <c r="G64" i="6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H74" i="6" s="1"/>
  <c r="G63" i="6"/>
  <c r="G28" i="6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H38" i="6" s="1"/>
  <c r="G27" i="6"/>
  <c r="G39" i="6"/>
  <c r="F15" i="6"/>
  <c r="E74" i="6"/>
  <c r="F51" i="6"/>
  <c r="D145" i="4"/>
  <c r="E145" i="4" s="1"/>
  <c r="D144" i="4"/>
  <c r="E144" i="4" s="1"/>
  <c r="D143" i="4"/>
  <c r="D142" i="4"/>
  <c r="E142" i="4" s="1"/>
  <c r="D141" i="4"/>
  <c r="E141" i="4" s="1"/>
  <c r="D140" i="4"/>
  <c r="E140" i="4" s="1"/>
  <c r="D139" i="4"/>
  <c r="E139" i="4" s="1"/>
  <c r="D138" i="4"/>
  <c r="E138" i="4" s="1"/>
  <c r="D137" i="4"/>
  <c r="E137" i="4" s="1"/>
  <c r="D136" i="4"/>
  <c r="E136" i="4" s="1"/>
  <c r="D135" i="4"/>
  <c r="D134" i="4"/>
  <c r="E134" i="4" s="1"/>
  <c r="D133" i="4"/>
  <c r="E133" i="4" s="1"/>
  <c r="D132" i="4"/>
  <c r="E132" i="4" s="1"/>
  <c r="D131" i="4"/>
  <c r="E131" i="4" s="1"/>
  <c r="D130" i="4"/>
  <c r="E130" i="4" s="1"/>
  <c r="D129" i="4"/>
  <c r="E129" i="4" s="1"/>
  <c r="D128" i="4"/>
  <c r="E128" i="4" s="1"/>
  <c r="D127" i="4"/>
  <c r="D126" i="4"/>
  <c r="D125" i="4"/>
  <c r="E125" i="4" s="1"/>
  <c r="D124" i="4"/>
  <c r="E124" i="4" s="1"/>
  <c r="D123" i="4"/>
  <c r="E123" i="4" s="1"/>
  <c r="D122" i="4"/>
  <c r="E122" i="4" s="1"/>
  <c r="D121" i="4"/>
  <c r="E121" i="4" s="1"/>
  <c r="D120" i="4"/>
  <c r="E120" i="4" s="1"/>
  <c r="D119" i="4"/>
  <c r="D118" i="4"/>
  <c r="D117" i="4"/>
  <c r="E117" i="4" s="1"/>
  <c r="D116" i="4"/>
  <c r="E116" i="4" s="1"/>
  <c r="D115" i="4"/>
  <c r="E115" i="4" s="1"/>
  <c r="D114" i="4"/>
  <c r="E114" i="4" s="1"/>
  <c r="D113" i="4"/>
  <c r="E113" i="4" s="1"/>
  <c r="D112" i="4"/>
  <c r="E112" i="4" s="1"/>
  <c r="D111" i="4"/>
  <c r="D110" i="4"/>
  <c r="D109" i="4"/>
  <c r="E109" i="4" s="1"/>
  <c r="D108" i="4"/>
  <c r="E108" i="4" s="1"/>
  <c r="D107" i="4"/>
  <c r="E107" i="4" s="1"/>
  <c r="D106" i="4"/>
  <c r="E106" i="4" s="1"/>
  <c r="D105" i="4"/>
  <c r="E105" i="4" s="1"/>
  <c r="D104" i="4"/>
  <c r="E104" i="4" s="1"/>
  <c r="D103" i="4"/>
  <c r="D102" i="4"/>
  <c r="D101" i="4"/>
  <c r="E101" i="4" s="1"/>
  <c r="D100" i="4"/>
  <c r="E100" i="4" s="1"/>
  <c r="D99" i="4"/>
  <c r="E99" i="4" s="1"/>
  <c r="D97" i="4"/>
  <c r="E97" i="4" s="1"/>
  <c r="D96" i="4"/>
  <c r="E96" i="4" s="1"/>
  <c r="D95" i="4"/>
  <c r="E95" i="4" s="1"/>
  <c r="D94" i="4"/>
  <c r="E94" i="4" s="1"/>
  <c r="D93" i="4"/>
  <c r="D92" i="4"/>
  <c r="E92" i="4" s="1"/>
  <c r="D91" i="4"/>
  <c r="E91" i="4" s="1"/>
  <c r="D90" i="4"/>
  <c r="D89" i="4"/>
  <c r="E89" i="4" s="1"/>
  <c r="D88" i="4"/>
  <c r="E88" i="4" s="1"/>
  <c r="D87" i="4"/>
  <c r="E87" i="4" s="1"/>
  <c r="D86" i="4"/>
  <c r="E86" i="4" s="1"/>
  <c r="D85" i="4"/>
  <c r="D84" i="4"/>
  <c r="E84" i="4" s="1"/>
  <c r="D83" i="4"/>
  <c r="E83" i="4" s="1"/>
  <c r="D82" i="4"/>
  <c r="D81" i="4"/>
  <c r="D80" i="4"/>
  <c r="E80" i="4" s="1"/>
  <c r="D79" i="4"/>
  <c r="E79" i="4" s="1"/>
  <c r="D78" i="4"/>
  <c r="E78" i="4" s="1"/>
  <c r="D77" i="4"/>
  <c r="D76" i="4"/>
  <c r="E76" i="4" s="1"/>
  <c r="D75" i="4"/>
  <c r="E75" i="4" s="1"/>
  <c r="D74" i="4"/>
  <c r="D73" i="4"/>
  <c r="E73" i="4" s="1"/>
  <c r="D72" i="4"/>
  <c r="E72" i="4" s="1"/>
  <c r="D71" i="4"/>
  <c r="E71" i="4" s="1"/>
  <c r="D70" i="4"/>
  <c r="E70" i="4" s="1"/>
  <c r="D69" i="4"/>
  <c r="D68" i="4"/>
  <c r="E68" i="4" s="1"/>
  <c r="D67" i="4"/>
  <c r="E67" i="4" s="1"/>
  <c r="D66" i="4"/>
  <c r="D65" i="4"/>
  <c r="E65" i="4" s="1"/>
  <c r="D64" i="4"/>
  <c r="E64" i="4" s="1"/>
  <c r="D63" i="4"/>
  <c r="E63" i="4" s="1"/>
  <c r="D62" i="4"/>
  <c r="E62" i="4" s="1"/>
  <c r="D61" i="4"/>
  <c r="D60" i="4"/>
  <c r="E60" i="4" s="1"/>
  <c r="D59" i="4"/>
  <c r="E59" i="4" s="1"/>
  <c r="D58" i="4"/>
  <c r="D57" i="4"/>
  <c r="E57" i="4" s="1"/>
  <c r="D56" i="4"/>
  <c r="E56" i="4" s="1"/>
  <c r="D55" i="4"/>
  <c r="E55" i="4" s="1"/>
  <c r="D54" i="4"/>
  <c r="E54" i="4" s="1"/>
  <c r="D53" i="4"/>
  <c r="D52" i="4"/>
  <c r="E52" i="4" s="1"/>
  <c r="D51" i="4"/>
  <c r="E51" i="4" s="1"/>
  <c r="F43" i="4"/>
  <c r="F27" i="4"/>
  <c r="E3" i="4"/>
  <c r="F33" i="4" l="1"/>
  <c r="F40" i="4"/>
  <c r="F3" i="4"/>
  <c r="F11" i="4"/>
  <c r="F19" i="4"/>
  <c r="F24" i="4"/>
  <c r="F35" i="4"/>
  <c r="F12" i="4"/>
  <c r="F48" i="4"/>
  <c r="F20" i="4"/>
  <c r="F10" i="4"/>
  <c r="F18" i="4"/>
  <c r="F26" i="4"/>
  <c r="F34" i="4"/>
  <c r="F42" i="4"/>
  <c r="F6" i="4"/>
  <c r="F22" i="4"/>
  <c r="F16" i="4"/>
  <c r="F44" i="4"/>
  <c r="F7" i="4"/>
  <c r="F23" i="4"/>
  <c r="F39" i="4"/>
  <c r="F36" i="4"/>
  <c r="F5" i="4"/>
  <c r="F13" i="4"/>
  <c r="F21" i="4"/>
  <c r="F29" i="4"/>
  <c r="F37" i="4"/>
  <c r="F8" i="4"/>
  <c r="F32" i="4"/>
  <c r="F45" i="4"/>
  <c r="F14" i="4"/>
  <c r="F30" i="4"/>
  <c r="F4" i="4"/>
  <c r="F28" i="4"/>
  <c r="F15" i="4"/>
  <c r="F31" i="4"/>
  <c r="F47" i="4"/>
  <c r="G76" i="6"/>
  <c r="G77" i="6" s="1"/>
  <c r="G78" i="6" s="1"/>
  <c r="G79" i="6" s="1"/>
  <c r="G80" i="6" s="1"/>
  <c r="G81" i="6" s="1"/>
  <c r="G82" i="6" s="1"/>
  <c r="H82" i="6" s="1"/>
  <c r="G75" i="6"/>
  <c r="G16" i="6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H26" i="6" s="1"/>
  <c r="G15" i="6"/>
  <c r="G52" i="6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H62" i="6" s="1"/>
  <c r="G51" i="6"/>
  <c r="E61" i="4"/>
  <c r="E81" i="4"/>
  <c r="E102" i="4"/>
  <c r="F46" i="4"/>
  <c r="F9" i="4"/>
  <c r="F17" i="4"/>
  <c r="F25" i="4"/>
  <c r="F41" i="4"/>
  <c r="F49" i="4"/>
  <c r="E58" i="4"/>
  <c r="E66" i="4"/>
  <c r="E74" i="4"/>
  <c r="E82" i="4"/>
  <c r="E90" i="4"/>
  <c r="E103" i="4"/>
  <c r="E111" i="4"/>
  <c r="E119" i="4"/>
  <c r="E127" i="4"/>
  <c r="E135" i="4"/>
  <c r="E143" i="4"/>
  <c r="E53" i="4"/>
  <c r="E93" i="4"/>
  <c r="E110" i="4"/>
  <c r="E69" i="4"/>
  <c r="E126" i="4"/>
  <c r="F38" i="4"/>
  <c r="E85" i="4"/>
  <c r="E77" i="4"/>
  <c r="E118" i="4"/>
  <c r="D101" i="2"/>
  <c r="D100" i="2"/>
  <c r="D99" i="2"/>
  <c r="E100" i="2" s="1"/>
  <c r="D98" i="2"/>
  <c r="D97" i="2"/>
  <c r="D96" i="2"/>
  <c r="E97" i="2" s="1"/>
  <c r="D95" i="2"/>
  <c r="E96" i="2" s="1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D32" i="2"/>
  <c r="D31" i="2"/>
  <c r="D30" i="2"/>
  <c r="D29" i="2"/>
  <c r="D28" i="2"/>
  <c r="D27" i="2"/>
  <c r="D26" i="2"/>
  <c r="D25" i="2"/>
  <c r="D24" i="2"/>
  <c r="D23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D13" i="2"/>
  <c r="K12" i="2"/>
  <c r="D12" i="2"/>
  <c r="E11" i="2"/>
  <c r="K10" i="2"/>
  <c r="E10" i="2"/>
  <c r="K9" i="2"/>
  <c r="E9" i="2"/>
  <c r="K8" i="2"/>
  <c r="E8" i="2"/>
  <c r="K7" i="2"/>
  <c r="E7" i="2"/>
  <c r="K6" i="2"/>
  <c r="E6" i="2"/>
  <c r="K5" i="2"/>
  <c r="E5" i="2"/>
  <c r="K4" i="2"/>
  <c r="E4" i="2"/>
  <c r="E3" i="2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93" i="2" l="1"/>
  <c r="E101" i="2"/>
  <c r="E99" i="2"/>
  <c r="E95" i="2"/>
  <c r="E98" i="2"/>
  <c r="E9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2BD601-B45A-42FC-A5DA-DA33D57FC59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7B1482F3-FBF3-407B-992B-BB2C0A8ADEE3}" keepAlive="1" name="Query - Table2_1" description="Connection to the 'Table2_1' query in the workbook." type="5" refreshedVersion="0" background="1">
    <dbPr connection="Provider=Microsoft.Mashup.OleDb.1;Data Source=$Workbook$;Location=Table2_1;Extended Properties=&quot;&quot;" command="SELECT * FROM [Table2_1]"/>
  </connection>
  <connection id="3" xr16:uid="{CEDCE9A5-3E38-4D77-824E-8FBCA7B15BE7}" keepAlive="1" name="Query - Table2_1 (2)" description="Connection to the 'Table2_1 (2)' query in the workbook." type="5" refreshedVersion="0" background="1">
    <dbPr connection="Provider=Microsoft.Mashup.OleDb.1;Data Source=$Workbook$;Location=&quot;Table2_1 (2)&quot;;Extended Properties=&quot;&quot;" command="SELECT * FROM [Table2_1 (2)]"/>
  </connection>
  <connection id="4" xr16:uid="{6C143E77-877F-4815-83D5-B78CB355050B}" keepAlive="1" name="Query - Table2_1__2" description="Connection to the 'Table2_1__2' query in the workbook." type="5" refreshedVersion="8" background="1" saveData="1">
    <dbPr connection="Provider=Microsoft.Mashup.OleDb.1;Data Source=$Workbook$;Location=Table2_1__2;Extended Properties=&quot;&quot;" command="SELECT * FROM [Table2_1__2]"/>
  </connection>
  <connection id="5" xr16:uid="{C2038F94-9E86-477E-A4D8-E3E583818F5D}" keepAlive="1" name="Query - Table2_1__2 (2)" description="Connection to the 'Table2_1__2 (2)' query in the workbook." type="5" refreshedVersion="8" background="1" saveData="1">
    <dbPr connection="Provider=Microsoft.Mashup.OleDb.1;Data Source=$Workbook$;Location=&quot;Table2_1__2 (2)&quot;;Extended Properties=&quot;&quot;" command="SELECT * FROM [Table2_1__2 (2)]"/>
  </connection>
  <connection id="6" xr16:uid="{D349C96D-15B5-4B1B-BEBC-CFCC1FF29C91}" keepAlive="1" name="Query - Table2_1__2 (3)" description="Connection to the 'Table2_1__2 (3)' query in the workbook." type="5" refreshedVersion="8" background="1" saveData="1">
    <dbPr connection="Provider=Microsoft.Mashup.OleDb.1;Data Source=$Workbook$;Location=&quot;Table2_1__2 (3)&quot;;Extended Properties=&quot;&quot;" command="SELECT * FROM [Table2_1__2 (3)]"/>
  </connection>
  <connection id="7" xr16:uid="{E965698A-4C36-431A-AD7C-DA11FFF49849}" keepAlive="1" name="Query - Table2_2" description="Connection to the 'Table2_2' query in the workbook." type="5" refreshedVersion="8" background="1" saveData="1">
    <dbPr connection="Provider=Microsoft.Mashup.OleDb.1;Data Source=$Workbook$;Location=Table2_2;Extended Properties=&quot;&quot;" command="SELECT * FROM [Table2_2]"/>
  </connection>
  <connection id="8" xr16:uid="{05444E6D-E858-4EA0-97A0-87A0C1F0F4DE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9" xr16:uid="{B3323334-E083-49E7-B7B2-0B594293F5BF}" keepAlive="1" name="Query - Table3 (2)" description="Connection to the 'Table3 (2)' query in the workbook." type="5" refreshedVersion="8" background="1" saveData="1">
    <dbPr connection="Provider=Microsoft.Mashup.OleDb.1;Data Source=$Workbook$;Location=&quot;Table3 (2)&quot;;Extended Properties=&quot;&quot;" command="SELECT * FROM [Table3 (2)]"/>
  </connection>
  <connection id="10" xr16:uid="{CE97B9EF-32E9-4BA9-80AF-B3DABE1150F5}" keepAlive="1" name="Query - Table3 (3)" description="Connection to the 'Table3 (3)' query in the workbook." type="5" refreshedVersion="8" background="1" saveData="1">
    <dbPr connection="Provider=Microsoft.Mashup.OleDb.1;Data Source=$Workbook$;Location=&quot;Table3 (3)&quot;;Extended Properties=&quot;&quot;" command="SELECT * FROM [Table3 (3)]"/>
  </connection>
  <connection id="11" xr16:uid="{EB690FED-B3E9-468D-B1CD-E600F98B037D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  <connection id="12" xr16:uid="{14F02011-4635-4BDC-8703-D9666905135A}" keepAlive="1" name="Query - Table5 (2)" description="Connection to the 'Table5 (2)' query in the workbook." type="5" refreshedVersion="8" background="1" saveData="1">
    <dbPr connection="Provider=Microsoft.Mashup.OleDb.1;Data Source=$Workbook$;Location=&quot;Table5 (2)&quot;;Extended Properties=&quot;&quot;" command="SELECT * FROM [Table5 (2)]"/>
  </connection>
  <connection id="13" xr16:uid="{AC7954C3-BCF6-42BF-8EF1-8A7BC2C75F75}" keepAlive="1" name="Query - Table7" description="Connection to the 'Table7' query in the workbook." type="5" refreshedVersion="8" background="1" saveData="1">
    <dbPr connection="Provider=Microsoft.Mashup.OleDb.1;Data Source=$Workbook$;Location=Table7;Extended Properties=&quot;&quot;" command="SELECT * FROM [Table7]"/>
  </connection>
  <connection id="14" xr16:uid="{0D3FEF60-A003-471C-A14E-DCC6BA0B90FF}" keepAlive="1" name="Query - Table9" description="Connection to the 'Table9' query in the workbook." type="5" refreshedVersion="8" background="1" saveData="1">
    <dbPr connection="Provider=Microsoft.Mashup.OleDb.1;Data Source=$Workbook$;Location=Table9;Extended Properties=&quot;&quot;" command="SELECT * FROM [Table9]"/>
  </connection>
</connections>
</file>

<file path=xl/sharedStrings.xml><?xml version="1.0" encoding="utf-8"?>
<sst xmlns="http://schemas.openxmlformats.org/spreadsheetml/2006/main" count="6528" uniqueCount="302">
  <si>
    <t>Quarterly national accounts</t>
  </si>
  <si>
    <t>Attribute</t>
  </si>
  <si>
    <t>Constant Prices</t>
  </si>
  <si>
    <t xml:space="preserve">QoQ Real GDP </t>
  </si>
  <si>
    <t>YoY Real GDP</t>
  </si>
  <si>
    <t>Current Prices</t>
  </si>
  <si>
    <t>QoQ Nominal GDP</t>
  </si>
  <si>
    <t>YoY Nominal GDP</t>
  </si>
  <si>
    <t>index</t>
  </si>
  <si>
    <t>Added value of Agriculture, forestry and fishing sector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</si>
  <si>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</si>
  <si>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</si>
  <si>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</si>
  <si>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</si>
  <si>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</si>
  <si>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</si>
  <si>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</si>
  <si>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</si>
  <si>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</si>
  <si>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</si>
  <si>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</si>
  <si>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</si>
  <si>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</si>
  <si>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</si>
  <si>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</si>
  <si>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</si>
  <si>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</si>
  <si>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</si>
  <si>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</si>
  <si>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</si>
  <si>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</si>
  <si>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</si>
  <si>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</si>
  <si>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</si>
  <si>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</si>
  <si>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</si>
  <si>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</si>
  <si>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</si>
  <si>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</si>
  <si>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</si>
  <si>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</si>
  <si>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</si>
  <si>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</si>
  <si>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</si>
  <si>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</si>
  <si>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</si>
  <si>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</si>
  <si>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</si>
  <si>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</si>
  <si>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</si>
  <si>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</si>
  <si>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</si>
  <si>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</si>
  <si>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</si>
  <si>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</si>
  <si>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</si>
  <si>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</si>
  <si>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</si>
  <si>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</si>
  <si>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</si>
  <si>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</si>
  <si>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</si>
  <si>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</si>
  <si>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</si>
  <si>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</si>
  <si>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</si>
  <si>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</si>
  <si>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</si>
  <si>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</si>
  <si>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</si>
  <si>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</si>
  <si>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</si>
  <si>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Added value of Oil and natural gas extraction sector</t>
  </si>
  <si>
    <t>Added value of Extraction of mining products sector</t>
  </si>
  <si>
    <t>Added value of Agrifoods industries sector</t>
  </si>
  <si>
    <t>Added value of Textile, clothing and leather industry sector</t>
  </si>
  <si>
    <t>Added value of Oil refinery sector</t>
  </si>
  <si>
    <t>Added value of Chemical industries sector</t>
  </si>
  <si>
    <t>Added value of Building materials industry, ceramics and glass sector</t>
  </si>
  <si>
    <t>Added value of Mechanical and electrical industries sector</t>
  </si>
  <si>
    <t>Added value of Various industries sector</t>
  </si>
  <si>
    <t>Added value of Production and distribution of electricity and gas sector</t>
  </si>
  <si>
    <t>Added value of Water distribution and treatment of wastewater and waste sector</t>
  </si>
  <si>
    <t>Added value of Construction sector</t>
  </si>
  <si>
    <t>Added value of Trade, maintenance and repair sector</t>
  </si>
  <si>
    <t>Added value of Transportation and warehousing services sector</t>
  </si>
  <si>
    <t>Added value of Hotel, cafe and restaurant services sector</t>
  </si>
  <si>
    <t>Added value of Information and communication sector</t>
  </si>
  <si>
    <t>Added value of Financial activities sector</t>
  </si>
  <si>
    <t>Added value of Public administration and defense services sector</t>
  </si>
  <si>
    <t>Added value of Private and public education sector</t>
  </si>
  <si>
    <t>Added value of Private and public health and social action sector</t>
  </si>
  <si>
    <t>Added value of Other market services sector</t>
  </si>
  <si>
    <t>Added value of Other household activities sector</t>
  </si>
  <si>
    <t>Added value of Services provided by associative organizations sector</t>
  </si>
  <si>
    <t>Added Values of Market activities  sector</t>
  </si>
  <si>
    <t>Added Values of Nonmarket activities  sector</t>
  </si>
  <si>
    <t>Total added value</t>
  </si>
  <si>
    <t>Added value of Taxes net of subsidies on products sector</t>
  </si>
  <si>
    <t>Gross domestic product value sector</t>
  </si>
  <si>
    <t>Annual general balance</t>
  </si>
  <si>
    <t>Value</t>
  </si>
  <si>
    <t>Ratio</t>
  </si>
  <si>
    <t>YoY change</t>
  </si>
  <si>
    <t>Investment Ratio</t>
  </si>
  <si>
    <t>External Factors</t>
  </si>
  <si>
    <t>Gross Domestic Product</t>
  </si>
  <si>
    <t>2015</t>
  </si>
  <si>
    <t>Years</t>
  </si>
  <si>
    <t>Total Gross Capital Formation ratio</t>
  </si>
  <si>
    <t>Net Exports</t>
  </si>
  <si>
    <t>Openess Ratio</t>
  </si>
  <si>
    <t>Coverage Ratio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</si>
  <si>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</si>
  <si>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</si>
  <si>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</si>
  <si>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</si>
  <si>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</si>
  <si>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</si>
  <si>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</si>
  <si>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</si>
  <si>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</si>
  <si>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Imports</t>
  </si>
  <si>
    <t>Total Resources - Uses</t>
  </si>
  <si>
    <t>Final Consumption Expenditure</t>
  </si>
  <si>
    <t>Public Consumption</t>
  </si>
  <si>
    <t>Private Consumption</t>
  </si>
  <si>
    <t>Gross Fixed Capital Formation</t>
  </si>
  <si>
    <t>Changes in Inventories</t>
  </si>
  <si>
    <t>Domestic Demand</t>
  </si>
  <si>
    <t>Exports</t>
  </si>
  <si>
    <t xml:space="preserve">Active population </t>
  </si>
  <si>
    <t xml:space="preserve"> </t>
  </si>
  <si>
    <t xml:space="preserve"> Unemployment</t>
  </si>
  <si>
    <t>Unemployment rate</t>
  </si>
  <si>
    <t>Employment rate</t>
  </si>
  <si>
    <t>Difference in Gender Unemployment Rate</t>
  </si>
  <si>
    <t>(Masculin Rate - Feminine Rate)</t>
  </si>
  <si>
    <t xml:space="preserve"> money markets</t>
  </si>
  <si>
    <t>Nominal Interest Rate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</si>
  <si>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</si>
  <si>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</si>
  <si>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</si>
  <si>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</si>
  <si>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</si>
  <si>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</si>
  <si>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</si>
  <si>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</si>
  <si>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</si>
  <si>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</si>
  <si>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</si>
  <si>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</si>
  <si>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</si>
  <si>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</si>
  <si>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</si>
  <si>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</si>
  <si>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</si>
  <si>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</si>
  <si>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</si>
  <si>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</si>
  <si>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</si>
  <si>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Interest Rate on Savings</t>
  </si>
  <si>
    <t>Average Subscription Rate on 5-Year Treasury Bills</t>
  </si>
  <si>
    <t>Maximum Overdraft Rate (used to determine the legal interest rate)</t>
  </si>
  <si>
    <t xml:space="preserve"> Consumer Price Indices</t>
  </si>
  <si>
    <t>Inflation</t>
  </si>
  <si>
    <t>Arithmetic Annual Average</t>
  </si>
  <si>
    <t>1+Inflation</t>
  </si>
  <si>
    <t>Product</t>
  </si>
  <si>
    <t>Geometric Annual Average</t>
  </si>
  <si>
    <t>Consumer Price Indices</t>
  </si>
  <si>
    <t xml:space="preserve"> Industrial Sales Price Indices</t>
  </si>
  <si>
    <t>Indices  des  prix  à  la  vente  industriel (IPVI) (2010 = 100)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</si>
  <si>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</si>
  <si>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</si>
  <si>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</si>
  <si>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</si>
  <si>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</si>
  <si>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</si>
  <si>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</si>
  <si>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</si>
  <si>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</si>
  <si>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</si>
  <si>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</si>
  <si>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</si>
  <si>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</si>
  <si>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</si>
  <si>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</si>
  <si>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</si>
  <si>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</si>
  <si>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</si>
  <si>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</si>
  <si>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</si>
  <si>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</si>
  <si>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</si>
  <si>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</si>
  <si>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</si>
  <si>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</si>
  <si>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</si>
  <si>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</si>
  <si>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</si>
  <si>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</si>
  <si>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</si>
  <si>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</si>
  <si>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</si>
  <si>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</si>
  <si>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</si>
  <si>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</si>
  <si>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</si>
  <si>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</si>
  <si>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</si>
  <si>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</si>
  <si>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</si>
  <si>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</si>
  <si>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</si>
  <si>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</si>
  <si>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</si>
  <si>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</si>
  <si>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</si>
  <si>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</si>
  <si>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</si>
  <si>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</si>
  <si>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</si>
  <si>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</si>
  <si>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</si>
  <si>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</si>
  <si>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</si>
  <si>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</si>
  <si>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</si>
  <si>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</si>
  <si>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</si>
  <si>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</si>
  <si>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</si>
  <si>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</si>
  <si>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</si>
  <si>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</si>
  <si>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</si>
  <si>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</si>
  <si>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</si>
  <si>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</si>
  <si>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</si>
  <si>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</si>
  <si>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</si>
  <si>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</si>
  <si>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</si>
  <si>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</si>
  <si>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</si>
  <si>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</si>
  <si>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</si>
  <si>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</si>
  <si>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</si>
  <si>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CPI-to-PPI Ratio</t>
  </si>
  <si>
    <t>Standard Deviation</t>
  </si>
  <si>
    <t xml:space="preserve"> Trade by country</t>
  </si>
  <si>
    <t>Valeur des exportations par pays</t>
  </si>
  <si>
    <t>Valeur des exportations destinées aux pays d'AFRIQUE</t>
  </si>
  <si>
    <t>Valeur des exportations destinées à l'Algérie</t>
  </si>
  <si>
    <t>Valeur des exportations destinées au Libye</t>
  </si>
  <si>
    <t>Valeur des exportations destinées au Maroc</t>
  </si>
  <si>
    <t>Valeur des exportations destinées au Autres pays d'Afrique</t>
  </si>
  <si>
    <t>Valeur des exportations destinées aux pays d'AMERIQUE</t>
  </si>
  <si>
    <t>Valeur des exportations destinées au Brésil</t>
  </si>
  <si>
    <t>Valeur des exportations destinées au Etats-Unis d'Amérique</t>
  </si>
  <si>
    <t>Valeur des exportations destinées au Autres pays d'Amérique</t>
  </si>
  <si>
    <t>Valeur des exportations destinées aux pays d'ASIE</t>
  </si>
  <si>
    <t>Valeur des exportations destinées au Chine populaire</t>
  </si>
  <si>
    <t>Valeur des exportations destinées en Inde</t>
  </si>
  <si>
    <t>Valeur des exportations destinées au Japon</t>
  </si>
  <si>
    <t>Valeur des exportations destinées au Autres pays d'Asie</t>
  </si>
  <si>
    <t>Valeur des exportations destinées aux pays d'EUROPE</t>
  </si>
  <si>
    <t>Valeur des exportations destinées à l'Allemagne</t>
  </si>
  <si>
    <t>Valeur des exportations destinées au Belgique</t>
  </si>
  <si>
    <t>Valeur des exportations destinées au France</t>
  </si>
  <si>
    <t>Valeur des exportations destinées à l'Italie</t>
  </si>
  <si>
    <t>Valeur des exportations destinées au Pays-Bas</t>
  </si>
  <si>
    <t>Valeur des exportations destinées au Pologne</t>
  </si>
  <si>
    <t>Valeur des exportations destinées au Royaume-Uni</t>
  </si>
  <si>
    <t>Valeur des exportations destinées au Suède</t>
  </si>
  <si>
    <t>Valeur des exportations destinées au Suisse</t>
  </si>
  <si>
    <t>Valeur des exportations destinées à l'Espagne</t>
  </si>
  <si>
    <t>Valeur des exportations destinées au Autres pays d'Europe</t>
  </si>
  <si>
    <t>Valeur des exportations destinées au Autres pays</t>
  </si>
  <si>
    <t>Top 5 Partners Share</t>
  </si>
  <si>
    <t>Exports by Country</t>
  </si>
  <si>
    <t>Year</t>
  </si>
  <si>
    <t>Sectors</t>
  </si>
  <si>
    <t>Agriculture</t>
  </si>
  <si>
    <t>Industries</t>
  </si>
  <si>
    <t>Services</t>
  </si>
  <si>
    <t>QoQ Real GDP Growth by sector</t>
  </si>
  <si>
    <t>YoY Real GDP Growth by sector</t>
  </si>
  <si>
    <t>Need Financing / Current and Capital Resources</t>
  </si>
  <si>
    <t>External Current and Capital Resources</t>
  </si>
  <si>
    <t xml:space="preserve">Need Financing  </t>
  </si>
  <si>
    <t>Standard Deviation Inflation</t>
  </si>
  <si>
    <t>Evolution of the active population</t>
  </si>
  <si>
    <t>Evolution of the male active population</t>
  </si>
  <si>
    <t>Evolution of the female active population</t>
  </si>
  <si>
    <t>Trends in the unemployed labor force</t>
  </si>
  <si>
    <t>Male unemployment in the labor force</t>
  </si>
  <si>
    <t>Female unemployed labor force</t>
  </si>
  <si>
    <t>Trends in the Family Consumer Price Index (Base Year: 2015 =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</si>
</sst>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#,##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sz val="11"/>
      <color theme="4" tint="-0.249977111117893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rgb="FFFFC000"/>
      <name val="Calibri"/>
      <family val="2"/>
      <scheme val="minor"/>
    </font>
    <font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92D050"/>
        <bgColor theme="7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BBBBB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BBBBB"/>
      </left>
      <right/>
      <top style="thin">
        <color rgb="FFBBBBBB"/>
      </top>
      <bottom/>
      <diagonal/>
    </border>
    <border>
      <left/>
      <right/>
      <top style="thin">
        <color rgb="FFBBBBBB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theme="0"/>
      </left>
      <right/>
      <top style="thin">
        <color rgb="FFBBBBBB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BBBBBB"/>
      </left>
      <right/>
      <top style="thin">
        <color theme="0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0" fontId="2" fillId="0" borderId="0" xfId="0" applyNumberFormat="1" applyFont="1" applyProtection="1">
      <protection locked="0"/>
    </xf>
    <xf numFmtId="10" fontId="2" fillId="0" borderId="0" xfId="1" applyNumberFormat="1" applyFont="1" applyProtection="1">
      <protection locked="0"/>
    </xf>
    <xf numFmtId="2" fontId="0" fillId="0" borderId="0" xfId="0" applyNumberFormat="1" applyProtection="1">
      <protection locked="0"/>
    </xf>
    <xf numFmtId="10" fontId="0" fillId="0" borderId="0" xfId="0" applyNumberFormat="1" applyProtection="1">
      <protection locked="0"/>
    </xf>
    <xf numFmtId="10" fontId="0" fillId="0" borderId="0" xfId="1" applyNumberFormat="1" applyFont="1" applyProtection="1">
      <protection locked="0"/>
    </xf>
    <xf numFmtId="0" fontId="0" fillId="2" borderId="1" xfId="0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10" fontId="2" fillId="2" borderId="1" xfId="0" applyNumberFormat="1" applyFont="1" applyFill="1" applyBorder="1" applyProtection="1">
      <protection locked="0"/>
    </xf>
    <xf numFmtId="10" fontId="2" fillId="2" borderId="1" xfId="1" applyNumberFormat="1" applyFont="1" applyFill="1" applyBorder="1" applyProtection="1">
      <protection locked="0"/>
    </xf>
    <xf numFmtId="0" fontId="0" fillId="0" borderId="1" xfId="0" applyBorder="1" applyProtection="1">
      <protection locked="0"/>
    </xf>
    <xf numFmtId="10" fontId="0" fillId="0" borderId="1" xfId="0" applyNumberFormat="1" applyBorder="1" applyProtection="1">
      <protection locked="0"/>
    </xf>
    <xf numFmtId="10" fontId="0" fillId="0" borderId="1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Alignment="1" applyProtection="1">
      <alignment horizontal="center" vertical="top"/>
      <protection locked="0"/>
    </xf>
    <xf numFmtId="164" fontId="2" fillId="0" borderId="0" xfId="1" applyNumberFormat="1" applyFont="1" applyProtection="1">
      <protection locked="0"/>
    </xf>
    <xf numFmtId="10" fontId="0" fillId="0" borderId="0" xfId="0" applyNumberFormat="1"/>
    <xf numFmtId="17" fontId="0" fillId="0" borderId="0" xfId="0" applyNumberFormat="1"/>
    <xf numFmtId="0" fontId="0" fillId="0" borderId="1" xfId="0" applyBorder="1" applyAlignment="1">
      <alignment horizontal="center"/>
    </xf>
    <xf numFmtId="17" fontId="0" fillId="0" borderId="1" xfId="0" applyNumberFormat="1" applyBorder="1" applyProtection="1">
      <protection locked="0"/>
    </xf>
    <xf numFmtId="0" fontId="6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10" fontId="6" fillId="6" borderId="1" xfId="0" applyNumberFormat="1" applyFont="1" applyFill="1" applyBorder="1"/>
    <xf numFmtId="10" fontId="0" fillId="7" borderId="1" xfId="0" applyNumberFormat="1" applyFill="1" applyBorder="1"/>
    <xf numFmtId="10" fontId="8" fillId="0" borderId="1" xfId="0" applyNumberFormat="1" applyFont="1" applyBorder="1" applyProtection="1">
      <protection locked="0"/>
    </xf>
    <xf numFmtId="0" fontId="8" fillId="0" borderId="1" xfId="0" applyFont="1" applyBorder="1" applyProtection="1">
      <protection locked="0"/>
    </xf>
    <xf numFmtId="10" fontId="0" fillId="7" borderId="1" xfId="0" applyNumberFormat="1" applyFill="1" applyBorder="1" applyProtection="1">
      <protection locked="0"/>
    </xf>
    <xf numFmtId="10" fontId="8" fillId="7" borderId="3" xfId="0" applyNumberFormat="1" applyFont="1" applyFill="1" applyBorder="1" applyProtection="1">
      <protection locked="0"/>
    </xf>
    <xf numFmtId="0" fontId="0" fillId="0" borderId="4" xfId="0" applyBorder="1" applyProtection="1">
      <protection locked="0"/>
    </xf>
    <xf numFmtId="17" fontId="0" fillId="0" borderId="2" xfId="0" applyNumberFormat="1" applyBorder="1" applyProtection="1">
      <protection locked="0"/>
    </xf>
    <xf numFmtId="0" fontId="0" fillId="0" borderId="2" xfId="0" applyBorder="1"/>
    <xf numFmtId="10" fontId="0" fillId="0" borderId="2" xfId="0" applyNumberFormat="1" applyBorder="1"/>
    <xf numFmtId="10" fontId="0" fillId="0" borderId="5" xfId="0" applyNumberFormat="1" applyBorder="1"/>
    <xf numFmtId="10" fontId="0" fillId="7" borderId="2" xfId="0" applyNumberFormat="1" applyFill="1" applyBorder="1" applyProtection="1">
      <protection locked="0"/>
    </xf>
    <xf numFmtId="17" fontId="0" fillId="0" borderId="0" xfId="0" applyNumberFormat="1" applyAlignment="1" applyProtection="1">
      <alignment horizontal="left"/>
      <protection locked="0"/>
    </xf>
    <xf numFmtId="0" fontId="9" fillId="8" borderId="1" xfId="0" applyFont="1" applyFill="1" applyBorder="1"/>
    <xf numFmtId="0" fontId="0" fillId="0" borderId="1" xfId="0" applyBorder="1"/>
    <xf numFmtId="0" fontId="0" fillId="9" borderId="1" xfId="0" applyFill="1" applyBorder="1" applyAlignment="1">
      <alignment horizontal="left"/>
    </xf>
    <xf numFmtId="10" fontId="0" fillId="10" borderId="1" xfId="0" applyNumberFormat="1" applyFill="1" applyBorder="1"/>
    <xf numFmtId="165" fontId="13" fillId="11" borderId="0" xfId="0" applyNumberFormat="1" applyFont="1" applyFill="1" applyAlignment="1">
      <alignment horizontal="center" vertical="center" wrapText="1"/>
    </xf>
    <xf numFmtId="0" fontId="13" fillId="11" borderId="6" xfId="0" applyFont="1" applyFill="1" applyBorder="1" applyAlignment="1">
      <alignment horizontal="center" vertical="center" wrapText="1"/>
    </xf>
    <xf numFmtId="0" fontId="13" fillId="11" borderId="10" xfId="0" applyFont="1" applyFill="1" applyBorder="1" applyAlignment="1">
      <alignment horizontal="center" vertical="center" wrapText="1"/>
    </xf>
    <xf numFmtId="0" fontId="11" fillId="12" borderId="9" xfId="0" applyFont="1" applyFill="1" applyBorder="1" applyAlignment="1">
      <alignment horizontal="left" vertical="center" wrapText="1" indent="2"/>
    </xf>
    <xf numFmtId="165" fontId="11" fillId="12" borderId="8" xfId="0" applyNumberFormat="1" applyFont="1" applyFill="1" applyBorder="1" applyAlignment="1">
      <alignment vertical="center" wrapText="1"/>
    </xf>
    <xf numFmtId="165" fontId="11" fillId="12" borderId="11" xfId="0" applyNumberFormat="1" applyFont="1" applyFill="1" applyBorder="1" applyAlignment="1">
      <alignment vertical="center" wrapText="1"/>
    </xf>
    <xf numFmtId="0" fontId="11" fillId="12" borderId="12" xfId="0" applyFont="1" applyFill="1" applyBorder="1" applyAlignment="1">
      <alignment horizontal="left" vertical="center" wrapText="1" indent="2"/>
    </xf>
    <xf numFmtId="165" fontId="11" fillId="12" borderId="13" xfId="0" applyNumberFormat="1" applyFont="1" applyFill="1" applyBorder="1" applyAlignment="1">
      <alignment vertical="center" wrapText="1"/>
    </xf>
    <xf numFmtId="165" fontId="11" fillId="12" borderId="7" xfId="0" applyNumberFormat="1" applyFont="1" applyFill="1" applyBorder="1" applyAlignment="1">
      <alignment vertical="center" wrapText="1"/>
    </xf>
    <xf numFmtId="0" fontId="11" fillId="12" borderId="14" xfId="0" applyFont="1" applyFill="1" applyBorder="1" applyAlignment="1">
      <alignment horizontal="left" vertical="center" wrapText="1" indent="2"/>
    </xf>
    <xf numFmtId="0" fontId="12" fillId="12" borderId="13" xfId="0" applyFont="1" applyFill="1" applyBorder="1"/>
    <xf numFmtId="0" fontId="12" fillId="12" borderId="7" xfId="0" applyFont="1" applyFill="1" applyBorder="1"/>
    <xf numFmtId="10" fontId="0" fillId="2" borderId="1" xfId="0" applyNumberFormat="1" applyFill="1" applyBorder="1" applyAlignment="1" applyProtection="1">
      <alignment horizontal="center"/>
      <protection locked="0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13" borderId="0" xfId="0" applyFill="1"/>
    <xf numFmtId="0" fontId="0" fillId="14" borderId="0" xfId="0" applyFill="1"/>
    <xf numFmtId="0" fontId="9" fillId="15" borderId="15" xfId="0" applyFont="1" applyFill="1" applyBorder="1" applyAlignment="1">
      <alignment horizontal="center"/>
    </xf>
    <xf numFmtId="0" fontId="9" fillId="16" borderId="16" xfId="0" applyFont="1" applyFill="1" applyBorder="1"/>
    <xf numFmtId="0" fontId="9" fillId="16" borderId="1" xfId="0" applyFont="1" applyFill="1" applyBorder="1"/>
    <xf numFmtId="10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91">
    <dxf>
      <fill>
        <patternFill patternType="solid">
          <fgColor indexed="64"/>
          <bgColor theme="5" tint="-0.249977111117893"/>
        </patternFill>
      </fill>
    </dxf>
    <dxf>
      <numFmt numFmtId="0" formatCode="General"/>
      <fill>
        <patternFill patternType="solid">
          <fgColor indexed="64"/>
          <bgColor theme="5" tint="0.59999389629810485"/>
        </patternFill>
      </fill>
    </dxf>
    <dxf>
      <numFmt numFmtId="14" formatCode="0.00%"/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numFmt numFmtId="14" formatCode="0.00%"/>
    </dxf>
    <dxf>
      <numFmt numFmtId="0" formatCode="General"/>
      <protection locked="0" hidden="0"/>
    </dxf>
    <dxf>
      <numFmt numFmtId="0" formatCode="General"/>
      <protection locked="0" hidden="0"/>
    </dxf>
    <dxf>
      <numFmt numFmtId="14" formatCode="0.00%"/>
      <fill>
        <patternFill patternType="solid">
          <fgColor indexed="64"/>
          <bgColor rgb="FF92D05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2" formatCode="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14" formatCode="0.00%"/>
    </dxf>
    <dxf>
      <numFmt numFmtId="14" formatCode="0.00%"/>
    </dxf>
    <dxf>
      <numFmt numFmtId="0" formatCode="General"/>
      <protection locked="0" hidden="0"/>
    </dxf>
    <dxf>
      <numFmt numFmtId="0" formatCode="General"/>
      <protection locked="0" hidden="0"/>
    </dxf>
    <dxf>
      <numFmt numFmtId="14" formatCode="0.00%"/>
    </dxf>
    <dxf>
      <numFmt numFmtId="14" formatCode="0.00%"/>
      <protection locked="0" hidden="0"/>
    </dxf>
    <dxf>
      <numFmt numFmtId="14" formatCode="0.00%"/>
      <protection locked="0" hidden="0"/>
    </dxf>
    <dxf>
      <numFmt numFmtId="14" formatCode="0.00%"/>
    </dxf>
    <dxf>
      <numFmt numFmtId="0" formatCode="General"/>
      <protection locked="0" hidden="0"/>
    </dxf>
    <dxf>
      <numFmt numFmtId="0" formatCode="General"/>
      <protection locked="0" hidden="0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E4E4E4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QoQ real GDP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QoQ real GDP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GDP!$B$1738:$B$1799</c:f>
              <c:strCache>
                <c:ptCount val="62"/>
                <c:pt idx="0">
                  <c:v>Q1 2010</c:v>
                </c:pt>
                <c:pt idx="1">
                  <c:v>Q2 2010</c:v>
                </c:pt>
                <c:pt idx="2">
                  <c:v>Q3 2010</c:v>
                </c:pt>
                <c:pt idx="3">
                  <c:v>Q4 2010</c:v>
                </c:pt>
                <c:pt idx="4">
                  <c:v>Q1 2011</c:v>
                </c:pt>
                <c:pt idx="5">
                  <c:v>Q2 2011</c:v>
                </c:pt>
                <c:pt idx="6">
                  <c:v>Q3 2011</c:v>
                </c:pt>
                <c:pt idx="7">
                  <c:v>Q4 2011</c:v>
                </c:pt>
                <c:pt idx="8">
                  <c:v>Q1 2012</c:v>
                </c:pt>
                <c:pt idx="9">
                  <c:v>Q2 2012</c:v>
                </c:pt>
                <c:pt idx="10">
                  <c:v>Q3 2012</c:v>
                </c:pt>
                <c:pt idx="11">
                  <c:v>Q4 2012</c:v>
                </c:pt>
                <c:pt idx="12">
                  <c:v>Q1 2013</c:v>
                </c:pt>
                <c:pt idx="13">
                  <c:v>Q2 2013</c:v>
                </c:pt>
                <c:pt idx="14">
                  <c:v>Q3 2013</c:v>
                </c:pt>
                <c:pt idx="15">
                  <c:v>Q4 2013</c:v>
                </c:pt>
                <c:pt idx="16">
                  <c:v>Q1 2014</c:v>
                </c:pt>
                <c:pt idx="17">
                  <c:v>Q2 2014</c:v>
                </c:pt>
                <c:pt idx="18">
                  <c:v>Q3 2014</c:v>
                </c:pt>
                <c:pt idx="19">
                  <c:v>Q4 2014</c:v>
                </c:pt>
                <c:pt idx="20">
                  <c:v>Q1 2015</c:v>
                </c:pt>
                <c:pt idx="21">
                  <c:v>Q2 2015</c:v>
                </c:pt>
                <c:pt idx="22">
                  <c:v>Q3 2015</c:v>
                </c:pt>
                <c:pt idx="23">
                  <c:v>Q4 2015</c:v>
                </c:pt>
                <c:pt idx="24">
                  <c:v>Q1 2016</c:v>
                </c:pt>
                <c:pt idx="25">
                  <c:v>Q2 2016</c:v>
                </c:pt>
                <c:pt idx="26">
                  <c:v>Q3 2016</c:v>
                </c:pt>
                <c:pt idx="27">
                  <c:v>Q4 2016</c:v>
                </c:pt>
                <c:pt idx="28">
                  <c:v>Q1 2017</c:v>
                </c:pt>
                <c:pt idx="29">
                  <c:v>Q2 2017</c:v>
                </c:pt>
                <c:pt idx="30">
                  <c:v>Q3 2017</c:v>
                </c:pt>
                <c:pt idx="31">
                  <c:v>Q4 2017</c:v>
                </c:pt>
                <c:pt idx="32">
                  <c:v>Q1 2018</c:v>
                </c:pt>
                <c:pt idx="33">
                  <c:v>Q2 2018</c:v>
                </c:pt>
                <c:pt idx="34">
                  <c:v>Q3 2018</c:v>
                </c:pt>
                <c:pt idx="35">
                  <c:v>Q4 2018</c:v>
                </c:pt>
                <c:pt idx="36">
                  <c:v>Q1 2019</c:v>
                </c:pt>
                <c:pt idx="37">
                  <c:v>Q2 2019</c:v>
                </c:pt>
                <c:pt idx="38">
                  <c:v>Q3 2019</c:v>
                </c:pt>
                <c:pt idx="39">
                  <c:v>Q4 2019</c:v>
                </c:pt>
                <c:pt idx="40">
                  <c:v>Q1 2020</c:v>
                </c:pt>
                <c:pt idx="41">
                  <c:v>Q2 2020</c:v>
                </c:pt>
                <c:pt idx="42">
                  <c:v>Q3 2020</c:v>
                </c:pt>
                <c:pt idx="43">
                  <c:v>Q4 2020</c:v>
                </c:pt>
                <c:pt idx="44">
                  <c:v>Q1 2021</c:v>
                </c:pt>
                <c:pt idx="45">
                  <c:v>Q2 2021</c:v>
                </c:pt>
                <c:pt idx="46">
                  <c:v>Q3 2021</c:v>
                </c:pt>
                <c:pt idx="47">
                  <c:v>Q4 2021</c:v>
                </c:pt>
                <c:pt idx="48">
                  <c:v>Q1 2022</c:v>
                </c:pt>
                <c:pt idx="49">
                  <c:v>Q2 2022</c:v>
                </c:pt>
                <c:pt idx="50">
                  <c:v>Q3 2022</c:v>
                </c:pt>
                <c:pt idx="51">
                  <c:v>Q4 2022</c:v>
                </c:pt>
                <c:pt idx="52">
                  <c:v>Q1 2023</c:v>
                </c:pt>
                <c:pt idx="53">
                  <c:v>Q2 2023</c:v>
                </c:pt>
                <c:pt idx="54">
                  <c:v>Q3 2023</c:v>
                </c:pt>
                <c:pt idx="55">
                  <c:v>Q4 2023</c:v>
                </c:pt>
                <c:pt idx="56">
                  <c:v>Q1 2024</c:v>
                </c:pt>
                <c:pt idx="57">
                  <c:v>Q2 2024</c:v>
                </c:pt>
                <c:pt idx="58">
                  <c:v>Q3 2024</c:v>
                </c:pt>
                <c:pt idx="59">
                  <c:v>Q4 2024</c:v>
                </c:pt>
                <c:pt idx="60">
                  <c:v>Q1 2025</c:v>
                </c:pt>
                <c:pt idx="61">
                  <c:v>Q2 2025</c:v>
                </c:pt>
              </c:strCache>
            </c:strRef>
          </c:cat>
          <c:val>
            <c:numRef>
              <c:f>GDP!$D$1738:$D$1799</c:f>
              <c:numCache>
                <c:formatCode>0.00%</c:formatCode>
                <c:ptCount val="62"/>
                <c:pt idx="1">
                  <c:v>4.3180406769135222E-3</c:v>
                </c:pt>
                <c:pt idx="2">
                  <c:v>8.5071641819885087E-3</c:v>
                </c:pt>
                <c:pt idx="3">
                  <c:v>-6.6247371421180607E-3</c:v>
                </c:pt>
                <c:pt idx="4">
                  <c:v>-3.3373517214774738E-2</c:v>
                </c:pt>
                <c:pt idx="5">
                  <c:v>1.1897694790455902E-2</c:v>
                </c:pt>
                <c:pt idx="6">
                  <c:v>3.3819092504584086E-3</c:v>
                </c:pt>
                <c:pt idx="7">
                  <c:v>8.1265661081905104E-3</c:v>
                </c:pt>
                <c:pt idx="8">
                  <c:v>1.2213427947598181E-2</c:v>
                </c:pt>
                <c:pt idx="9">
                  <c:v>1.0231595165872213E-2</c:v>
                </c:pt>
                <c:pt idx="10">
                  <c:v>1.5566093939899366E-2</c:v>
                </c:pt>
                <c:pt idx="11">
                  <c:v>9.9727333736935719E-3</c:v>
                </c:pt>
                <c:pt idx="12">
                  <c:v>-7.6903060323596931E-3</c:v>
                </c:pt>
                <c:pt idx="13">
                  <c:v>9.7072830377756564E-3</c:v>
                </c:pt>
                <c:pt idx="14">
                  <c:v>5.9594479278744479E-3</c:v>
                </c:pt>
                <c:pt idx="15">
                  <c:v>9.3495428958687409E-3</c:v>
                </c:pt>
                <c:pt idx="16">
                  <c:v>7.5181444890538617E-3</c:v>
                </c:pt>
                <c:pt idx="17">
                  <c:v>5.5625320174265804E-3</c:v>
                </c:pt>
                <c:pt idx="18">
                  <c:v>6.5506514584554023E-3</c:v>
                </c:pt>
                <c:pt idx="19">
                  <c:v>5.2449353453103377E-3</c:v>
                </c:pt>
                <c:pt idx="20">
                  <c:v>-1.7956281133875843E-3</c:v>
                </c:pt>
                <c:pt idx="21">
                  <c:v>1.4283737518471675E-4</c:v>
                </c:pt>
                <c:pt idx="22">
                  <c:v>7.0962184742690471E-4</c:v>
                </c:pt>
                <c:pt idx="23">
                  <c:v>6.6139807868986662E-3</c:v>
                </c:pt>
                <c:pt idx="24">
                  <c:v>-6.6901486453550189E-4</c:v>
                </c:pt>
                <c:pt idx="25">
                  <c:v>3.7108630305823479E-3</c:v>
                </c:pt>
                <c:pt idx="26">
                  <c:v>1.2721353764064346E-3</c:v>
                </c:pt>
                <c:pt idx="27">
                  <c:v>1.2144927408361572E-2</c:v>
                </c:pt>
                <c:pt idx="28">
                  <c:v>6.0802329230447366E-3</c:v>
                </c:pt>
                <c:pt idx="29">
                  <c:v>-6.714985681917626E-4</c:v>
                </c:pt>
                <c:pt idx="30">
                  <c:v>6.0475480335714779E-3</c:v>
                </c:pt>
                <c:pt idx="31">
                  <c:v>1.239728181947458E-2</c:v>
                </c:pt>
                <c:pt idx="32">
                  <c:v>7.3889948242984935E-3</c:v>
                </c:pt>
                <c:pt idx="33">
                  <c:v>4.0476592868007128E-3</c:v>
                </c:pt>
                <c:pt idx="34">
                  <c:v>4.115503412753822E-3</c:v>
                </c:pt>
                <c:pt idx="35">
                  <c:v>4.886512220471477E-3</c:v>
                </c:pt>
                <c:pt idx="36">
                  <c:v>5.4257617335746024E-3</c:v>
                </c:pt>
                <c:pt idx="37">
                  <c:v>3.7663377343072416E-3</c:v>
                </c:pt>
                <c:pt idx="38">
                  <c:v>1.0868172783286532E-3</c:v>
                </c:pt>
                <c:pt idx="39">
                  <c:v>-3.9627828642673321E-4</c:v>
                </c:pt>
                <c:pt idx="40">
                  <c:v>-4.2732430892227363E-2</c:v>
                </c:pt>
                <c:pt idx="41">
                  <c:v>-0.14913506751218664</c:v>
                </c:pt>
                <c:pt idx="42">
                  <c:v>0.14055536683921532</c:v>
                </c:pt>
                <c:pt idx="43">
                  <c:v>7.4590375263377485E-3</c:v>
                </c:pt>
                <c:pt idx="44">
                  <c:v>1.1388104482880275E-2</c:v>
                </c:pt>
                <c:pt idx="45">
                  <c:v>-1.2171659664689455E-3</c:v>
                </c:pt>
                <c:pt idx="46">
                  <c:v>3.8743437202435867E-3</c:v>
                </c:pt>
                <c:pt idx="47">
                  <c:v>1.9753816968267709E-2</c:v>
                </c:pt>
                <c:pt idx="48">
                  <c:v>5.6193438552025691E-3</c:v>
                </c:pt>
                <c:pt idx="49">
                  <c:v>1.0437616150302598E-3</c:v>
                </c:pt>
                <c:pt idx="50">
                  <c:v>7.5318312056016443E-3</c:v>
                </c:pt>
                <c:pt idx="51">
                  <c:v>2.9952589090020609E-3</c:v>
                </c:pt>
                <c:pt idx="52">
                  <c:v>-1.5980135977954352E-3</c:v>
                </c:pt>
                <c:pt idx="53">
                  <c:v>-5.2008065871281834E-3</c:v>
                </c:pt>
                <c:pt idx="54">
                  <c:v>6.7989290630985147E-4</c:v>
                </c:pt>
                <c:pt idx="55">
                  <c:v>3.0426691086795064E-3</c:v>
                </c:pt>
                <c:pt idx="56">
                  <c:v>6.6558960636810671E-3</c:v>
                </c:pt>
                <c:pt idx="57">
                  <c:v>3.435506925346716E-3</c:v>
                </c:pt>
                <c:pt idx="58">
                  <c:v>7.6138749125320418E-3</c:v>
                </c:pt>
                <c:pt idx="59">
                  <c:v>6.7544106218688088E-3</c:v>
                </c:pt>
                <c:pt idx="60">
                  <c:v>-1.424758776431974E-3</c:v>
                </c:pt>
                <c:pt idx="61">
                  <c:v>1.8346813156087743E-2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1F4-43B8-B86D-B6B30B9C6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7689839"/>
        <c:axId val="977678799"/>
      </c:lineChart>
      <c:catAx>
        <c:axId val="97768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678799"/>
        <c:crosses val="autoZero"/>
        <c:auto val="1"/>
        <c:lblAlgn val="ctr"/>
        <c:lblOffset val="100"/>
        <c:noMultiLvlLbl val="0"/>
      </c:catAx>
      <c:valAx>
        <c:axId val="97767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68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 real GDP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YoY GDP growth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GDP!$B$1738:$B$1799</c:f>
              <c:strCache>
                <c:ptCount val="62"/>
                <c:pt idx="0">
                  <c:v>Q1 2010</c:v>
                </c:pt>
                <c:pt idx="1">
                  <c:v>Q2 2010</c:v>
                </c:pt>
                <c:pt idx="2">
                  <c:v>Q3 2010</c:v>
                </c:pt>
                <c:pt idx="3">
                  <c:v>Q4 2010</c:v>
                </c:pt>
                <c:pt idx="4">
                  <c:v>Q1 2011</c:v>
                </c:pt>
                <c:pt idx="5">
                  <c:v>Q2 2011</c:v>
                </c:pt>
                <c:pt idx="6">
                  <c:v>Q3 2011</c:v>
                </c:pt>
                <c:pt idx="7">
                  <c:v>Q4 2011</c:v>
                </c:pt>
                <c:pt idx="8">
                  <c:v>Q1 2012</c:v>
                </c:pt>
                <c:pt idx="9">
                  <c:v>Q2 2012</c:v>
                </c:pt>
                <c:pt idx="10">
                  <c:v>Q3 2012</c:v>
                </c:pt>
                <c:pt idx="11">
                  <c:v>Q4 2012</c:v>
                </c:pt>
                <c:pt idx="12">
                  <c:v>Q1 2013</c:v>
                </c:pt>
                <c:pt idx="13">
                  <c:v>Q2 2013</c:v>
                </c:pt>
                <c:pt idx="14">
                  <c:v>Q3 2013</c:v>
                </c:pt>
                <c:pt idx="15">
                  <c:v>Q4 2013</c:v>
                </c:pt>
                <c:pt idx="16">
                  <c:v>Q1 2014</c:v>
                </c:pt>
                <c:pt idx="17">
                  <c:v>Q2 2014</c:v>
                </c:pt>
                <c:pt idx="18">
                  <c:v>Q3 2014</c:v>
                </c:pt>
                <c:pt idx="19">
                  <c:v>Q4 2014</c:v>
                </c:pt>
                <c:pt idx="20">
                  <c:v>Q1 2015</c:v>
                </c:pt>
                <c:pt idx="21">
                  <c:v>Q2 2015</c:v>
                </c:pt>
                <c:pt idx="22">
                  <c:v>Q3 2015</c:v>
                </c:pt>
                <c:pt idx="23">
                  <c:v>Q4 2015</c:v>
                </c:pt>
                <c:pt idx="24">
                  <c:v>Q1 2016</c:v>
                </c:pt>
                <c:pt idx="25">
                  <c:v>Q2 2016</c:v>
                </c:pt>
                <c:pt idx="26">
                  <c:v>Q3 2016</c:v>
                </c:pt>
                <c:pt idx="27">
                  <c:v>Q4 2016</c:v>
                </c:pt>
                <c:pt idx="28">
                  <c:v>Q1 2017</c:v>
                </c:pt>
                <c:pt idx="29">
                  <c:v>Q2 2017</c:v>
                </c:pt>
                <c:pt idx="30">
                  <c:v>Q3 2017</c:v>
                </c:pt>
                <c:pt idx="31">
                  <c:v>Q4 2017</c:v>
                </c:pt>
                <c:pt idx="32">
                  <c:v>Q1 2018</c:v>
                </c:pt>
                <c:pt idx="33">
                  <c:v>Q2 2018</c:v>
                </c:pt>
                <c:pt idx="34">
                  <c:v>Q3 2018</c:v>
                </c:pt>
                <c:pt idx="35">
                  <c:v>Q4 2018</c:v>
                </c:pt>
                <c:pt idx="36">
                  <c:v>Q1 2019</c:v>
                </c:pt>
                <c:pt idx="37">
                  <c:v>Q2 2019</c:v>
                </c:pt>
                <c:pt idx="38">
                  <c:v>Q3 2019</c:v>
                </c:pt>
                <c:pt idx="39">
                  <c:v>Q4 2019</c:v>
                </c:pt>
                <c:pt idx="40">
                  <c:v>Q1 2020</c:v>
                </c:pt>
                <c:pt idx="41">
                  <c:v>Q2 2020</c:v>
                </c:pt>
                <c:pt idx="42">
                  <c:v>Q3 2020</c:v>
                </c:pt>
                <c:pt idx="43">
                  <c:v>Q4 2020</c:v>
                </c:pt>
                <c:pt idx="44">
                  <c:v>Q1 2021</c:v>
                </c:pt>
                <c:pt idx="45">
                  <c:v>Q2 2021</c:v>
                </c:pt>
                <c:pt idx="46">
                  <c:v>Q3 2021</c:v>
                </c:pt>
                <c:pt idx="47">
                  <c:v>Q4 2021</c:v>
                </c:pt>
                <c:pt idx="48">
                  <c:v>Q1 2022</c:v>
                </c:pt>
                <c:pt idx="49">
                  <c:v>Q2 2022</c:v>
                </c:pt>
                <c:pt idx="50">
                  <c:v>Q3 2022</c:v>
                </c:pt>
                <c:pt idx="51">
                  <c:v>Q4 2022</c:v>
                </c:pt>
                <c:pt idx="52">
                  <c:v>Q1 2023</c:v>
                </c:pt>
                <c:pt idx="53">
                  <c:v>Q2 2023</c:v>
                </c:pt>
                <c:pt idx="54">
                  <c:v>Q3 2023</c:v>
                </c:pt>
                <c:pt idx="55">
                  <c:v>Q4 2023</c:v>
                </c:pt>
                <c:pt idx="56">
                  <c:v>Q1 2024</c:v>
                </c:pt>
                <c:pt idx="57">
                  <c:v>Q2 2024</c:v>
                </c:pt>
                <c:pt idx="58">
                  <c:v>Q3 2024</c:v>
                </c:pt>
                <c:pt idx="59">
                  <c:v>Q4 2024</c:v>
                </c:pt>
                <c:pt idx="60">
                  <c:v>Q1 2025</c:v>
                </c:pt>
                <c:pt idx="61">
                  <c:v>Q2 2025</c:v>
                </c:pt>
              </c:strCache>
            </c:strRef>
          </c:cat>
          <c:val>
            <c:numRef>
              <c:f>GDP!$E$1739:$E$1799</c:f>
              <c:numCache>
                <c:formatCode>0.00%</c:formatCode>
                <c:ptCount val="61"/>
                <c:pt idx="3">
                  <c:v>-2.7426835895047318E-2</c:v>
                </c:pt>
                <c:pt idx="4">
                  <c:v>-2.0086762446739608E-2</c:v>
                </c:pt>
                <c:pt idx="5">
                  <c:v>-2.5066702432902349E-2</c:v>
                </c:pt>
                <c:pt idx="6">
                  <c:v>-1.0589256437457737E-2</c:v>
                </c:pt>
                <c:pt idx="7">
                  <c:v>3.6072214268254278E-2</c:v>
                </c:pt>
                <c:pt idx="8">
                  <c:v>3.4366311056772618E-2</c:v>
                </c:pt>
                <c:pt idx="9">
                  <c:v>4.6926742986291875E-2</c:v>
                </c:pt>
                <c:pt idx="10">
                  <c:v>4.8843964441671717E-2</c:v>
                </c:pt>
                <c:pt idx="11">
                  <c:v>2.8219943184553831E-2</c:v>
                </c:pt>
                <c:pt idx="12">
                  <c:v>2.7686295069466026E-2</c:v>
                </c:pt>
                <c:pt idx="13">
                  <c:v>1.7964999225646722E-2</c:v>
                </c:pt>
                <c:pt idx="14">
                  <c:v>1.7336877224612798E-2</c:v>
                </c:pt>
                <c:pt idx="15">
                  <c:v>3.2928902229444057E-2</c:v>
                </c:pt>
                <c:pt idx="16">
                  <c:v>2.86888287018142E-2</c:v>
                </c:pt>
                <c:pt idx="17">
                  <c:v>2.9293390315754432E-2</c:v>
                </c:pt>
                <c:pt idx="18">
                  <c:v>2.5107679378085966E-2</c:v>
                </c:pt>
                <c:pt idx="19">
                  <c:v>1.5631304316289073E-2</c:v>
                </c:pt>
                <c:pt idx="20">
                  <c:v>1.0157341869167273E-2</c:v>
                </c:pt>
                <c:pt idx="21">
                  <c:v>4.2953825757067431E-3</c:v>
                </c:pt>
                <c:pt idx="22">
                  <c:v>5.6631348191449838E-3</c:v>
                </c:pt>
                <c:pt idx="23">
                  <c:v>6.7981663251961968E-3</c:v>
                </c:pt>
                <c:pt idx="24">
                  <c:v>1.0389934973645773E-2</c:v>
                </c:pt>
                <c:pt idx="25">
                  <c:v>1.0957889948354787E-2</c:v>
                </c:pt>
                <c:pt idx="26">
                  <c:v>1.6512704636583182E-2</c:v>
                </c:pt>
                <c:pt idx="27">
                  <c:v>2.3377993739858272E-2</c:v>
                </c:pt>
                <c:pt idx="28">
                  <c:v>1.8909762313873001E-2</c:v>
                </c:pt>
                <c:pt idx="29">
                  <c:v>2.3769294906012435E-2</c:v>
                </c:pt>
                <c:pt idx="30">
                  <c:v>2.4024547578367479E-2</c:v>
                </c:pt>
                <c:pt idx="31">
                  <c:v>2.5356652384686335E-2</c:v>
                </c:pt>
                <c:pt idx="32">
                  <c:v>3.0198723728931058E-2</c:v>
                </c:pt>
                <c:pt idx="33">
                  <c:v>2.8220298448292856E-2</c:v>
                </c:pt>
                <c:pt idx="34">
                  <c:v>2.0592141105965644E-2</c:v>
                </c:pt>
                <c:pt idx="35">
                  <c:v>1.8603177285786685E-2</c:v>
                </c:pt>
                <c:pt idx="36">
                  <c:v>1.8317777459833835E-2</c:v>
                </c:pt>
                <c:pt idx="37">
                  <c:v>1.5246253394575507E-2</c:v>
                </c:pt>
                <c:pt idx="38">
                  <c:v>9.9090006756136217E-3</c:v>
                </c:pt>
                <c:pt idx="39">
                  <c:v>-3.8463931509065311E-2</c:v>
                </c:pt>
                <c:pt idx="40">
                  <c:v>-0.18493249748957594</c:v>
                </c:pt>
                <c:pt idx="41">
                  <c:v>-7.1379626342599117E-2</c:v>
                </c:pt>
                <c:pt idx="42">
                  <c:v>-6.4082128197292643E-2</c:v>
                </c:pt>
                <c:pt idx="43">
                  <c:v>-1.116862948104057E-2</c:v>
                </c:pt>
                <c:pt idx="44">
                  <c:v>0.16073393193029772</c:v>
                </c:pt>
                <c:pt idx="45">
                  <c:v>2.1634764982530415E-2</c:v>
                </c:pt>
                <c:pt idx="46">
                  <c:v>3.4102541475467769E-2</c:v>
                </c:pt>
                <c:pt idx="47">
                  <c:v>2.8204222126244981E-2</c:v>
                </c:pt>
                <c:pt idx="48">
                  <c:v>3.0531750399664544E-2</c:v>
                </c:pt>
                <c:pt idx="49">
                  <c:v>3.4286360729063783E-2</c:v>
                </c:pt>
                <c:pt idx="50">
                  <c:v>1.7288975931117046E-2</c:v>
                </c:pt>
                <c:pt idx="51">
                  <c:v>9.9878652104919887E-3</c:v>
                </c:pt>
                <c:pt idx="52">
                  <c:v>3.6875031788820506E-3</c:v>
                </c:pt>
                <c:pt idx="53">
                  <c:v>-3.1382909355557502E-3</c:v>
                </c:pt>
                <c:pt idx="54">
                  <c:v>-3.0911706603024523E-3</c:v>
                </c:pt>
                <c:pt idx="55">
                  <c:v>5.1503948916147933E-3</c:v>
                </c:pt>
                <c:pt idx="56">
                  <c:v>1.3876571988412198E-2</c:v>
                </c:pt>
                <c:pt idx="57">
                  <c:v>2.0901997358237331E-2</c:v>
                </c:pt>
                <c:pt idx="58">
                  <c:v>2.4679826997189482E-2</c:v>
                </c:pt>
                <c:pt idx="59">
                  <c:v>1.6454489981861223E-2</c:v>
                </c:pt>
                <c:pt idx="60">
                  <c:v>3.1559261604078535E-2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48-446E-B12F-75619AA58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585311"/>
        <c:axId val="1356594911"/>
      </c:lineChart>
      <c:catAx>
        <c:axId val="135658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594911"/>
        <c:crosses val="autoZero"/>
        <c:auto val="1"/>
        <c:lblAlgn val="ctr"/>
        <c:lblOffset val="100"/>
        <c:noMultiLvlLbl val="0"/>
      </c:catAx>
      <c:valAx>
        <c:axId val="135659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58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YoY nominal GDP growth</c:v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GDP!$B$1738:$B$1799</c:f>
              <c:strCache>
                <c:ptCount val="62"/>
                <c:pt idx="0">
                  <c:v>Q1 2010</c:v>
                </c:pt>
                <c:pt idx="1">
                  <c:v>Q2 2010</c:v>
                </c:pt>
                <c:pt idx="2">
                  <c:v>Q3 2010</c:v>
                </c:pt>
                <c:pt idx="3">
                  <c:v>Q4 2010</c:v>
                </c:pt>
                <c:pt idx="4">
                  <c:v>Q1 2011</c:v>
                </c:pt>
                <c:pt idx="5">
                  <c:v>Q2 2011</c:v>
                </c:pt>
                <c:pt idx="6">
                  <c:v>Q3 2011</c:v>
                </c:pt>
                <c:pt idx="7">
                  <c:v>Q4 2011</c:v>
                </c:pt>
                <c:pt idx="8">
                  <c:v>Q1 2012</c:v>
                </c:pt>
                <c:pt idx="9">
                  <c:v>Q2 2012</c:v>
                </c:pt>
                <c:pt idx="10">
                  <c:v>Q3 2012</c:v>
                </c:pt>
                <c:pt idx="11">
                  <c:v>Q4 2012</c:v>
                </c:pt>
                <c:pt idx="12">
                  <c:v>Q1 2013</c:v>
                </c:pt>
                <c:pt idx="13">
                  <c:v>Q2 2013</c:v>
                </c:pt>
                <c:pt idx="14">
                  <c:v>Q3 2013</c:v>
                </c:pt>
                <c:pt idx="15">
                  <c:v>Q4 2013</c:v>
                </c:pt>
                <c:pt idx="16">
                  <c:v>Q1 2014</c:v>
                </c:pt>
                <c:pt idx="17">
                  <c:v>Q2 2014</c:v>
                </c:pt>
                <c:pt idx="18">
                  <c:v>Q3 2014</c:v>
                </c:pt>
                <c:pt idx="19">
                  <c:v>Q4 2014</c:v>
                </c:pt>
                <c:pt idx="20">
                  <c:v>Q1 2015</c:v>
                </c:pt>
                <c:pt idx="21">
                  <c:v>Q2 2015</c:v>
                </c:pt>
                <c:pt idx="22">
                  <c:v>Q3 2015</c:v>
                </c:pt>
                <c:pt idx="23">
                  <c:v>Q4 2015</c:v>
                </c:pt>
                <c:pt idx="24">
                  <c:v>Q1 2016</c:v>
                </c:pt>
                <c:pt idx="25">
                  <c:v>Q2 2016</c:v>
                </c:pt>
                <c:pt idx="26">
                  <c:v>Q3 2016</c:v>
                </c:pt>
                <c:pt idx="27">
                  <c:v>Q4 2016</c:v>
                </c:pt>
                <c:pt idx="28">
                  <c:v>Q1 2017</c:v>
                </c:pt>
                <c:pt idx="29">
                  <c:v>Q2 2017</c:v>
                </c:pt>
                <c:pt idx="30">
                  <c:v>Q3 2017</c:v>
                </c:pt>
                <c:pt idx="31">
                  <c:v>Q4 2017</c:v>
                </c:pt>
                <c:pt idx="32">
                  <c:v>Q1 2018</c:v>
                </c:pt>
                <c:pt idx="33">
                  <c:v>Q2 2018</c:v>
                </c:pt>
                <c:pt idx="34">
                  <c:v>Q3 2018</c:v>
                </c:pt>
                <c:pt idx="35">
                  <c:v>Q4 2018</c:v>
                </c:pt>
                <c:pt idx="36">
                  <c:v>Q1 2019</c:v>
                </c:pt>
                <c:pt idx="37">
                  <c:v>Q2 2019</c:v>
                </c:pt>
                <c:pt idx="38">
                  <c:v>Q3 2019</c:v>
                </c:pt>
                <c:pt idx="39">
                  <c:v>Q4 2019</c:v>
                </c:pt>
                <c:pt idx="40">
                  <c:v>Q1 2020</c:v>
                </c:pt>
                <c:pt idx="41">
                  <c:v>Q2 2020</c:v>
                </c:pt>
                <c:pt idx="42">
                  <c:v>Q3 2020</c:v>
                </c:pt>
                <c:pt idx="43">
                  <c:v>Q4 2020</c:v>
                </c:pt>
                <c:pt idx="44">
                  <c:v>Q1 2021</c:v>
                </c:pt>
                <c:pt idx="45">
                  <c:v>Q2 2021</c:v>
                </c:pt>
                <c:pt idx="46">
                  <c:v>Q3 2021</c:v>
                </c:pt>
                <c:pt idx="47">
                  <c:v>Q4 2021</c:v>
                </c:pt>
                <c:pt idx="48">
                  <c:v>Q1 2022</c:v>
                </c:pt>
                <c:pt idx="49">
                  <c:v>Q2 2022</c:v>
                </c:pt>
                <c:pt idx="50">
                  <c:v>Q3 2022</c:v>
                </c:pt>
                <c:pt idx="51">
                  <c:v>Q4 2022</c:v>
                </c:pt>
                <c:pt idx="52">
                  <c:v>Q1 2023</c:v>
                </c:pt>
                <c:pt idx="53">
                  <c:v>Q2 2023</c:v>
                </c:pt>
                <c:pt idx="54">
                  <c:v>Q3 2023</c:v>
                </c:pt>
                <c:pt idx="55">
                  <c:v>Q4 2023</c:v>
                </c:pt>
                <c:pt idx="56">
                  <c:v>Q1 2024</c:v>
                </c:pt>
                <c:pt idx="57">
                  <c:v>Q2 2024</c:v>
                </c:pt>
                <c:pt idx="58">
                  <c:v>Q3 2024</c:v>
                </c:pt>
                <c:pt idx="59">
                  <c:v>Q4 2024</c:v>
                </c:pt>
                <c:pt idx="60">
                  <c:v>Q1 2025</c:v>
                </c:pt>
                <c:pt idx="61">
                  <c:v>Q2 2025</c:v>
                </c:pt>
              </c:strCache>
            </c:strRef>
          </c:cat>
          <c:val>
            <c:numRef>
              <c:f>GDP!$H$1738:$H$1799</c:f>
              <c:numCache>
                <c:formatCode>0.00%</c:formatCode>
                <c:ptCount val="62"/>
                <c:pt idx="4">
                  <c:v>1.7701618855484002E-2</c:v>
                </c:pt>
                <c:pt idx="5">
                  <c:v>2.7031628099273959E-2</c:v>
                </c:pt>
                <c:pt idx="6">
                  <c:v>1.7353865342639767E-2</c:v>
                </c:pt>
                <c:pt idx="7">
                  <c:v>3.4957481724600885E-2</c:v>
                </c:pt>
                <c:pt idx="8">
                  <c:v>8.0852401155552284E-2</c:v>
                </c:pt>
                <c:pt idx="9">
                  <c:v>7.6953587497040107E-2</c:v>
                </c:pt>
                <c:pt idx="10">
                  <c:v>0.10468707635360562</c:v>
                </c:pt>
                <c:pt idx="11">
                  <c:v>9.9998270225389596E-2</c:v>
                </c:pt>
                <c:pt idx="12">
                  <c:v>8.1581301722209801E-2</c:v>
                </c:pt>
                <c:pt idx="13">
                  <c:v>8.222340712075149E-2</c:v>
                </c:pt>
                <c:pt idx="14">
                  <c:v>5.7507509910948156E-2</c:v>
                </c:pt>
                <c:pt idx="15">
                  <c:v>6.126032624648807E-2</c:v>
                </c:pt>
                <c:pt idx="16">
                  <c:v>7.188130072894594E-2</c:v>
                </c:pt>
                <c:pt idx="17">
                  <c:v>6.8601207860745458E-2</c:v>
                </c:pt>
                <c:pt idx="18">
                  <c:v>9.0324273324016033E-2</c:v>
                </c:pt>
                <c:pt idx="19">
                  <c:v>8.4840193022922741E-2</c:v>
                </c:pt>
                <c:pt idx="20">
                  <c:v>7.2718415696412408E-2</c:v>
                </c:pt>
                <c:pt idx="21">
                  <c:v>5.7680516011274677E-2</c:v>
                </c:pt>
                <c:pt idx="22">
                  <c:v>4.1791030962660562E-2</c:v>
                </c:pt>
                <c:pt idx="23">
                  <c:v>3.7893826261154583E-2</c:v>
                </c:pt>
                <c:pt idx="24">
                  <c:v>5.0433656608710936E-2</c:v>
                </c:pt>
                <c:pt idx="25">
                  <c:v>6.2628641278458477E-2</c:v>
                </c:pt>
                <c:pt idx="26">
                  <c:v>6.6192866343890225E-2</c:v>
                </c:pt>
                <c:pt idx="27">
                  <c:v>6.4892109684466306E-2</c:v>
                </c:pt>
                <c:pt idx="28">
                  <c:v>6.345557895457736E-2</c:v>
                </c:pt>
                <c:pt idx="29">
                  <c:v>6.5018988894245719E-2</c:v>
                </c:pt>
                <c:pt idx="30">
                  <c:v>7.1382149046793672E-2</c:v>
                </c:pt>
                <c:pt idx="31">
                  <c:v>8.202474913081452E-2</c:v>
                </c:pt>
                <c:pt idx="32">
                  <c:v>0.10540021653994924</c:v>
                </c:pt>
                <c:pt idx="33">
                  <c:v>0.10831202249154194</c:v>
                </c:pt>
                <c:pt idx="34">
                  <c:v>0.11155051600911477</c:v>
                </c:pt>
                <c:pt idx="35">
                  <c:v>0.10503753788051838</c:v>
                </c:pt>
                <c:pt idx="36">
                  <c:v>8.2260413632391519E-2</c:v>
                </c:pt>
                <c:pt idx="37">
                  <c:v>9.3520694794771736E-2</c:v>
                </c:pt>
                <c:pt idx="38">
                  <c:v>9.1865399348616247E-2</c:v>
                </c:pt>
                <c:pt idx="39">
                  <c:v>8.5730625856996243E-2</c:v>
                </c:pt>
                <c:pt idx="40">
                  <c:v>3.7583436507509234E-2</c:v>
                </c:pt>
                <c:pt idx="41">
                  <c:v>-0.13540362902433106</c:v>
                </c:pt>
                <c:pt idx="42">
                  <c:v>-9.3267502475064649E-3</c:v>
                </c:pt>
                <c:pt idx="43">
                  <c:v>-5.0929422292173053E-3</c:v>
                </c:pt>
                <c:pt idx="44">
                  <c:v>3.2155977730437151E-2</c:v>
                </c:pt>
                <c:pt idx="45">
                  <c:v>0.23179854479308779</c:v>
                </c:pt>
                <c:pt idx="46">
                  <c:v>6.9158672971067384E-2</c:v>
                </c:pt>
                <c:pt idx="47">
                  <c:v>6.5906097207028128E-2</c:v>
                </c:pt>
                <c:pt idx="48">
                  <c:v>6.0618245790399553E-2</c:v>
                </c:pt>
                <c:pt idx="49">
                  <c:v>5.1266432239029977E-2</c:v>
                </c:pt>
                <c:pt idx="50">
                  <c:v>5.777316643778023E-2</c:v>
                </c:pt>
                <c:pt idx="51">
                  <c:v>6.2668872923779442E-2</c:v>
                </c:pt>
                <c:pt idx="52">
                  <c:v>9.3342732571916068E-2</c:v>
                </c:pt>
                <c:pt idx="53">
                  <c:v>8.7170152555814839E-2</c:v>
                </c:pt>
                <c:pt idx="54">
                  <c:v>7.3860760398644573E-2</c:v>
                </c:pt>
                <c:pt idx="55">
                  <c:v>7.2564727083303956E-2</c:v>
                </c:pt>
                <c:pt idx="56">
                  <c:v>5.9193238154579685E-2</c:v>
                </c:pt>
                <c:pt idx="57">
                  <c:v>6.0183365724714409E-2</c:v>
                </c:pt>
                <c:pt idx="58">
                  <c:v>6.694042549791876E-2</c:v>
                </c:pt>
                <c:pt idx="59">
                  <c:v>0.15749058410078151</c:v>
                </c:pt>
                <c:pt idx="60">
                  <c:v>0.13479804508329474</c:v>
                </c:pt>
                <c:pt idx="61">
                  <c:v>0.16541527868053307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A8F6-4102-B6DB-680F836C6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7599711"/>
        <c:axId val="1867604031"/>
      </c:lineChart>
      <c:catAx>
        <c:axId val="186759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604031"/>
        <c:crosses val="autoZero"/>
        <c:auto val="1"/>
        <c:lblAlgn val="ctr"/>
        <c:lblOffset val="100"/>
        <c:noMultiLvlLbl val="0"/>
      </c:catAx>
      <c:valAx>
        <c:axId val="186760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59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QoQ nominal GDP growth</c:v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GDP!$B$1738:$B$1799</c:f>
              <c:strCache>
                <c:ptCount val="62"/>
                <c:pt idx="0">
                  <c:v>Q1 2010</c:v>
                </c:pt>
                <c:pt idx="1">
                  <c:v>Q2 2010</c:v>
                </c:pt>
                <c:pt idx="2">
                  <c:v>Q3 2010</c:v>
                </c:pt>
                <c:pt idx="3">
                  <c:v>Q4 2010</c:v>
                </c:pt>
                <c:pt idx="4">
                  <c:v>Q1 2011</c:v>
                </c:pt>
                <c:pt idx="5">
                  <c:v>Q2 2011</c:v>
                </c:pt>
                <c:pt idx="6">
                  <c:v>Q3 2011</c:v>
                </c:pt>
                <c:pt idx="7">
                  <c:v>Q4 2011</c:v>
                </c:pt>
                <c:pt idx="8">
                  <c:v>Q1 2012</c:v>
                </c:pt>
                <c:pt idx="9">
                  <c:v>Q2 2012</c:v>
                </c:pt>
                <c:pt idx="10">
                  <c:v>Q3 2012</c:v>
                </c:pt>
                <c:pt idx="11">
                  <c:v>Q4 2012</c:v>
                </c:pt>
                <c:pt idx="12">
                  <c:v>Q1 2013</c:v>
                </c:pt>
                <c:pt idx="13">
                  <c:v>Q2 2013</c:v>
                </c:pt>
                <c:pt idx="14">
                  <c:v>Q3 2013</c:v>
                </c:pt>
                <c:pt idx="15">
                  <c:v>Q4 2013</c:v>
                </c:pt>
                <c:pt idx="16">
                  <c:v>Q1 2014</c:v>
                </c:pt>
                <c:pt idx="17">
                  <c:v>Q2 2014</c:v>
                </c:pt>
                <c:pt idx="18">
                  <c:v>Q3 2014</c:v>
                </c:pt>
                <c:pt idx="19">
                  <c:v>Q4 2014</c:v>
                </c:pt>
                <c:pt idx="20">
                  <c:v>Q1 2015</c:v>
                </c:pt>
                <c:pt idx="21">
                  <c:v>Q2 2015</c:v>
                </c:pt>
                <c:pt idx="22">
                  <c:v>Q3 2015</c:v>
                </c:pt>
                <c:pt idx="23">
                  <c:v>Q4 2015</c:v>
                </c:pt>
                <c:pt idx="24">
                  <c:v>Q1 2016</c:v>
                </c:pt>
                <c:pt idx="25">
                  <c:v>Q2 2016</c:v>
                </c:pt>
                <c:pt idx="26">
                  <c:v>Q3 2016</c:v>
                </c:pt>
                <c:pt idx="27">
                  <c:v>Q4 2016</c:v>
                </c:pt>
                <c:pt idx="28">
                  <c:v>Q1 2017</c:v>
                </c:pt>
                <c:pt idx="29">
                  <c:v>Q2 2017</c:v>
                </c:pt>
                <c:pt idx="30">
                  <c:v>Q3 2017</c:v>
                </c:pt>
                <c:pt idx="31">
                  <c:v>Q4 2017</c:v>
                </c:pt>
                <c:pt idx="32">
                  <c:v>Q1 2018</c:v>
                </c:pt>
                <c:pt idx="33">
                  <c:v>Q2 2018</c:v>
                </c:pt>
                <c:pt idx="34">
                  <c:v>Q3 2018</c:v>
                </c:pt>
                <c:pt idx="35">
                  <c:v>Q4 2018</c:v>
                </c:pt>
                <c:pt idx="36">
                  <c:v>Q1 2019</c:v>
                </c:pt>
                <c:pt idx="37">
                  <c:v>Q2 2019</c:v>
                </c:pt>
                <c:pt idx="38">
                  <c:v>Q3 2019</c:v>
                </c:pt>
                <c:pt idx="39">
                  <c:v>Q4 2019</c:v>
                </c:pt>
                <c:pt idx="40">
                  <c:v>Q1 2020</c:v>
                </c:pt>
                <c:pt idx="41">
                  <c:v>Q2 2020</c:v>
                </c:pt>
                <c:pt idx="42">
                  <c:v>Q3 2020</c:v>
                </c:pt>
                <c:pt idx="43">
                  <c:v>Q4 2020</c:v>
                </c:pt>
                <c:pt idx="44">
                  <c:v>Q1 2021</c:v>
                </c:pt>
                <c:pt idx="45">
                  <c:v>Q2 2021</c:v>
                </c:pt>
                <c:pt idx="46">
                  <c:v>Q3 2021</c:v>
                </c:pt>
                <c:pt idx="47">
                  <c:v>Q4 2021</c:v>
                </c:pt>
                <c:pt idx="48">
                  <c:v>Q1 2022</c:v>
                </c:pt>
                <c:pt idx="49">
                  <c:v>Q2 2022</c:v>
                </c:pt>
                <c:pt idx="50">
                  <c:v>Q3 2022</c:v>
                </c:pt>
                <c:pt idx="51">
                  <c:v>Q4 2022</c:v>
                </c:pt>
                <c:pt idx="52">
                  <c:v>Q1 2023</c:v>
                </c:pt>
                <c:pt idx="53">
                  <c:v>Q2 2023</c:v>
                </c:pt>
                <c:pt idx="54">
                  <c:v>Q3 2023</c:v>
                </c:pt>
                <c:pt idx="55">
                  <c:v>Q4 2023</c:v>
                </c:pt>
                <c:pt idx="56">
                  <c:v>Q1 2024</c:v>
                </c:pt>
                <c:pt idx="57">
                  <c:v>Q2 2024</c:v>
                </c:pt>
                <c:pt idx="58">
                  <c:v>Q3 2024</c:v>
                </c:pt>
                <c:pt idx="59">
                  <c:v>Q4 2024</c:v>
                </c:pt>
                <c:pt idx="60">
                  <c:v>Q1 2025</c:v>
                </c:pt>
                <c:pt idx="61">
                  <c:v>Q2 2025</c:v>
                </c:pt>
              </c:strCache>
            </c:strRef>
          </c:cat>
          <c:val>
            <c:numRef>
              <c:f>GDP!$G$1738:$G$1799</c:f>
              <c:numCache>
                <c:formatCode>0.00%</c:formatCode>
                <c:ptCount val="62"/>
                <c:pt idx="1">
                  <c:v>1.1624760123997553E-2</c:v>
                </c:pt>
                <c:pt idx="2">
                  <c:v>1.3923173267507326E-2</c:v>
                </c:pt>
                <c:pt idx="3">
                  <c:v>4.86315991460978E-3</c:v>
                </c:pt>
                <c:pt idx="4">
                  <c:v>-1.2609279427122141E-2</c:v>
                </c:pt>
                <c:pt idx="5">
                  <c:v>2.0899058394072311E-2</c:v>
                </c:pt>
                <c:pt idx="6">
                  <c:v>4.3689320388349082E-3</c:v>
                </c:pt>
                <c:pt idx="7">
                  <c:v>2.2250645416072336E-2</c:v>
                </c:pt>
                <c:pt idx="8">
                  <c:v>3.1176304394204143E-2</c:v>
                </c:pt>
                <c:pt idx="9">
                  <c:v>1.7216506374412965E-2</c:v>
                </c:pt>
                <c:pt idx="10">
                  <c:v>3.0233235670820528E-2</c:v>
                </c:pt>
                <c:pt idx="11">
                  <c:v>1.7911737870760013E-2</c:v>
                </c:pt>
                <c:pt idx="12">
                  <c:v>1.3911603136662971E-2</c:v>
                </c:pt>
                <c:pt idx="13">
                  <c:v>1.7820400144755246E-2</c:v>
                </c:pt>
                <c:pt idx="14">
                  <c:v>6.7046937935868588E-3</c:v>
                </c:pt>
                <c:pt idx="15">
                  <c:v>2.1524039213509715E-2</c:v>
                </c:pt>
                <c:pt idx="16">
                  <c:v>2.4058716901359863E-2</c:v>
                </c:pt>
                <c:pt idx="17">
                  <c:v>1.4705740496011161E-2</c:v>
                </c:pt>
                <c:pt idx="18">
                  <c:v>2.7169495634153055E-2</c:v>
                </c:pt>
                <c:pt idx="19">
                  <c:v>1.638600826473045E-2</c:v>
                </c:pt>
                <c:pt idx="20">
                  <c:v>1.2616099071207363E-2</c:v>
                </c:pt>
                <c:pt idx="21">
                  <c:v>4.8109131292969898E-4</c:v>
                </c:pt>
                <c:pt idx="22">
                  <c:v>1.173837622124955E-2</c:v>
                </c:pt>
                <c:pt idx="23">
                  <c:v>1.2583840447741274E-2</c:v>
                </c:pt>
                <c:pt idx="24">
                  <c:v>2.4850523988542001E-2</c:v>
                </c:pt>
                <c:pt idx="25">
                  <c:v>1.2096152858390356E-2</c:v>
                </c:pt>
                <c:pt idx="26">
                  <c:v>1.5131907263146288E-2</c:v>
                </c:pt>
                <c:pt idx="27">
                  <c:v>1.1348486868417454E-2</c:v>
                </c:pt>
                <c:pt idx="28">
                  <c:v>2.3468009029642967E-2</c:v>
                </c:pt>
                <c:pt idx="29">
                  <c:v>1.3584058151843608E-2</c:v>
                </c:pt>
                <c:pt idx="30">
                  <c:v>2.1197007481296729E-2</c:v>
                </c:pt>
                <c:pt idx="31">
                  <c:v>2.1394741139964098E-2</c:v>
                </c:pt>
                <c:pt idx="32">
                  <c:v>4.5578448840361246E-2</c:v>
                </c:pt>
                <c:pt idx="33">
                  <c:v>1.6254005243227551E-2</c:v>
                </c:pt>
                <c:pt idx="34">
                  <c:v>2.4180950470075593E-2</c:v>
                </c:pt>
                <c:pt idx="35">
                  <c:v>1.5410018436049298E-2</c:v>
                </c:pt>
                <c:pt idx="36">
                  <c:v>2.4026900206023657E-2</c:v>
                </c:pt>
                <c:pt idx="37">
                  <c:v>2.6827528664477504E-2</c:v>
                </c:pt>
                <c:pt idx="38">
                  <c:v>2.2630616698230074E-2</c:v>
                </c:pt>
                <c:pt idx="39">
                  <c:v>9.7048184471650156E-3</c:v>
                </c:pt>
                <c:pt idx="40">
                  <c:v>-2.1384011017255761E-2</c:v>
                </c:pt>
                <c:pt idx="41">
                  <c:v>-0.14436629993871652</c:v>
                </c:pt>
                <c:pt idx="42">
                  <c:v>0.17175231165681373</c:v>
                </c:pt>
                <c:pt idx="43">
                  <c:v>1.4019961061053939E-2</c:v>
                </c:pt>
                <c:pt idx="44">
                  <c:v>1.5254977881398344E-2</c:v>
                </c:pt>
                <c:pt idx="45">
                  <c:v>2.113282231716514E-2</c:v>
                </c:pt>
                <c:pt idx="46">
                  <c:v>1.7040612588333313E-2</c:v>
                </c:pt>
                <c:pt idx="47">
                  <c:v>1.0935127319366217E-2</c:v>
                </c:pt>
                <c:pt idx="48">
                  <c:v>1.0218401500893176E-2</c:v>
                </c:pt>
                <c:pt idx="49">
                  <c:v>1.2129164494573717E-2</c:v>
                </c:pt>
                <c:pt idx="50">
                  <c:v>2.3335508660827467E-2</c:v>
                </c:pt>
                <c:pt idx="51">
                  <c:v>1.5614052647382644E-2</c:v>
                </c:pt>
                <c:pt idx="52">
                  <c:v>3.9378282110124035E-2</c:v>
                </c:pt>
                <c:pt idx="53">
                  <c:v>6.4150841167069303E-3</c:v>
                </c:pt>
                <c:pt idx="54">
                  <c:v>1.080759519566727E-2</c:v>
                </c:pt>
                <c:pt idx="55">
                  <c:v>1.438831678264123E-2</c:v>
                </c:pt>
                <c:pt idx="56">
                  <c:v>2.6420523159961816E-2</c:v>
                </c:pt>
                <c:pt idx="57">
                  <c:v>7.3558749808173961E-3</c:v>
                </c:pt>
                <c:pt idx="58">
                  <c:v>1.7249959376015638E-2</c:v>
                </c:pt>
                <c:pt idx="59">
                  <c:v>0.10047843088314808</c:v>
                </c:pt>
                <c:pt idx="60">
                  <c:v>6.2976054532475796E-3</c:v>
                </c:pt>
                <c:pt idx="61">
                  <c:v>3.4534675890343321E-2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69-49B4-87E9-F08F87BC1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898927"/>
        <c:axId val="132905647"/>
      </c:lineChart>
      <c:catAx>
        <c:axId val="13289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5647"/>
        <c:crosses val="autoZero"/>
        <c:auto val="1"/>
        <c:lblAlgn val="ctr"/>
        <c:lblOffset val="100"/>
        <c:noMultiLvlLbl val="0"/>
      </c:catAx>
      <c:valAx>
        <c:axId val="13290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9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448234</xdr:colOff>
      <xdr:row>1</xdr:row>
      <xdr:rowOff>3175</xdr:rowOff>
    </xdr:from>
    <xdr:to>
      <xdr:col>18</xdr:col>
      <xdr:colOff>18676</xdr:colOff>
      <xdr:row>15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23C20F-B48C-416F-893E-04352F4BE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457573</xdr:colOff>
      <xdr:row>16</xdr:row>
      <xdr:rowOff>104775</xdr:rowOff>
    </xdr:from>
    <xdr:to>
      <xdr:col>18</xdr:col>
      <xdr:colOff>92603</xdr:colOff>
      <xdr:row>31</xdr:row>
      <xdr:rowOff>50132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F4E084-38EB-0148-932C-DB78945BD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410059</xdr:colOff>
      <xdr:row>16</xdr:row>
      <xdr:rowOff>119037</xdr:rowOff>
    </xdr:from>
    <xdr:to>
      <xdr:col>26</xdr:col>
      <xdr:colOff>74262</xdr:colOff>
      <xdr:row>31</xdr:row>
      <xdr:rowOff>117746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7C28C3D-274C-7F7F-214A-C120EB83C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388534</xdr:colOff>
      <xdr:row>1</xdr:row>
      <xdr:rowOff>646</xdr:rowOff>
    </xdr:from>
    <xdr:to>
      <xdr:col>26</xdr:col>
      <xdr:colOff>52737</xdr:colOff>
      <xdr:row>15</xdr:row>
      <xdr:rowOff>182320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7383FAF-4624-EFBF-BB17-5A9DD5E13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ptek%20Store\Downloads\Projet%20finance\Unemployment\Unemployment.xlsx" TargetMode="External"/><Relationship Id="rId1" Type="http://schemas.openxmlformats.org/officeDocument/2006/relationships/externalLinkPath" Target="/Users/Laptek%20Store/Downloads/Projet%20finance/Unemployment/Unemploy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ive population 1"/>
      <sheetName val="Employed population 1"/>
      <sheetName val="Unemployment 1"/>
      <sheetName val="Employment office statistics 1"/>
      <sheetName val="Unemployment"/>
    </sheetNames>
    <sheetDataSet>
      <sheetData sheetId="0">
        <row r="58">
          <cell r="C58">
            <v>2817.9</v>
          </cell>
        </row>
        <row r="59">
          <cell r="C59">
            <v>2842.1</v>
          </cell>
        </row>
        <row r="60">
          <cell r="C60">
            <v>2849.7</v>
          </cell>
        </row>
        <row r="61">
          <cell r="C61">
            <v>2852.3</v>
          </cell>
        </row>
        <row r="62">
          <cell r="C62">
            <v>2844.4</v>
          </cell>
        </row>
        <row r="63">
          <cell r="C63">
            <v>2847.4</v>
          </cell>
        </row>
        <row r="64">
          <cell r="C64">
            <v>2864.4</v>
          </cell>
        </row>
        <row r="65">
          <cell r="C65">
            <v>2862</v>
          </cell>
        </row>
        <row r="66">
          <cell r="C66">
            <v>2870.8</v>
          </cell>
        </row>
        <row r="67">
          <cell r="C67">
            <v>2872.8</v>
          </cell>
        </row>
        <row r="68">
          <cell r="C68">
            <v>2879.9</v>
          </cell>
        </row>
        <row r="69">
          <cell r="C69">
            <v>2654.5</v>
          </cell>
        </row>
        <row r="70">
          <cell r="C70">
            <v>2881.9</v>
          </cell>
        </row>
        <row r="71">
          <cell r="C71">
            <v>2885</v>
          </cell>
        </row>
        <row r="72">
          <cell r="C72">
            <v>2880.1</v>
          </cell>
        </row>
        <row r="73">
          <cell r="C73">
            <v>2869.7</v>
          </cell>
        </row>
        <row r="74">
          <cell r="C74">
            <v>2873.5</v>
          </cell>
        </row>
        <row r="75">
          <cell r="C75">
            <v>2883</v>
          </cell>
        </row>
        <row r="76">
          <cell r="C76">
            <v>2885.4</v>
          </cell>
        </row>
        <row r="77">
          <cell r="C77">
            <v>2884.9</v>
          </cell>
        </row>
        <row r="78">
          <cell r="C78">
            <v>2889.5</v>
          </cell>
        </row>
        <row r="79">
          <cell r="C79">
            <v>2899.6</v>
          </cell>
        </row>
        <row r="80">
          <cell r="C80">
            <v>2905.5</v>
          </cell>
        </row>
        <row r="81">
          <cell r="C81">
            <v>2910.6</v>
          </cell>
        </row>
        <row r="82">
          <cell r="C82">
            <v>2919.4</v>
          </cell>
        </row>
        <row r="83">
          <cell r="C83">
            <v>2934</v>
          </cell>
        </row>
        <row r="84">
          <cell r="C84">
            <v>2939.2</v>
          </cell>
        </row>
        <row r="85">
          <cell r="C85">
            <v>2945.4</v>
          </cell>
        </row>
        <row r="86">
          <cell r="C86">
            <v>2949.2</v>
          </cell>
        </row>
        <row r="87">
          <cell r="C87">
            <v>2952.9</v>
          </cell>
        </row>
        <row r="88">
          <cell r="C88">
            <v>2956.8</v>
          </cell>
        </row>
        <row r="89">
          <cell r="C89">
            <v>2959.9</v>
          </cell>
        </row>
        <row r="90">
          <cell r="C90">
            <v>2965.7</v>
          </cell>
        </row>
        <row r="91">
          <cell r="C91">
            <v>2973.9</v>
          </cell>
        </row>
        <row r="92">
          <cell r="C92">
            <v>2981.2</v>
          </cell>
        </row>
        <row r="93">
          <cell r="C93">
            <v>2961.9</v>
          </cell>
        </row>
        <row r="94">
          <cell r="C94">
            <v>2984</v>
          </cell>
        </row>
        <row r="95">
          <cell r="C95">
            <v>2949</v>
          </cell>
        </row>
        <row r="96">
          <cell r="C96">
            <v>2845</v>
          </cell>
        </row>
        <row r="97">
          <cell r="C97">
            <v>2857</v>
          </cell>
        </row>
        <row r="98">
          <cell r="C98">
            <v>2855</v>
          </cell>
        </row>
        <row r="99">
          <cell r="C99">
            <v>2869</v>
          </cell>
        </row>
        <row r="100">
          <cell r="C100">
            <v>2814</v>
          </cell>
        </row>
        <row r="101">
          <cell r="C101">
            <v>2836</v>
          </cell>
        </row>
        <row r="102">
          <cell r="C102">
            <v>2838</v>
          </cell>
        </row>
        <row r="103">
          <cell r="C103">
            <v>2849</v>
          </cell>
        </row>
        <row r="104">
          <cell r="C104">
            <v>2856</v>
          </cell>
        </row>
        <row r="113">
          <cell r="C113">
            <v>1026.7</v>
          </cell>
        </row>
        <row r="114">
          <cell r="C114">
            <v>1067</v>
          </cell>
        </row>
        <row r="115">
          <cell r="C115">
            <v>1067.2</v>
          </cell>
        </row>
        <row r="116">
          <cell r="C116">
            <v>1070.9000000000001</v>
          </cell>
        </row>
        <row r="117">
          <cell r="C117">
            <v>1063.5</v>
          </cell>
        </row>
        <row r="118">
          <cell r="C118">
            <v>1062.2</v>
          </cell>
        </row>
        <row r="119">
          <cell r="C119">
            <v>1062.9000000000001</v>
          </cell>
        </row>
        <row r="120">
          <cell r="C120">
            <v>1081.7</v>
          </cell>
        </row>
        <row r="121">
          <cell r="C121">
            <v>1091</v>
          </cell>
        </row>
        <row r="122">
          <cell r="C122">
            <v>1105.8</v>
          </cell>
        </row>
        <row r="123">
          <cell r="C123">
            <v>1118.4000000000001</v>
          </cell>
        </row>
        <row r="124">
          <cell r="C124">
            <v>1212</v>
          </cell>
        </row>
        <row r="125">
          <cell r="C125">
            <v>1120.0999999999999</v>
          </cell>
        </row>
        <row r="126">
          <cell r="C126">
            <v>1129.2</v>
          </cell>
        </row>
        <row r="127">
          <cell r="C127">
            <v>1119.9000000000001</v>
          </cell>
        </row>
        <row r="128">
          <cell r="C128">
            <v>1121.7</v>
          </cell>
        </row>
        <row r="129">
          <cell r="C129">
            <v>1130.7</v>
          </cell>
        </row>
        <row r="130">
          <cell r="C130">
            <v>1137.8</v>
          </cell>
        </row>
        <row r="131">
          <cell r="C131">
            <v>1152</v>
          </cell>
        </row>
        <row r="132">
          <cell r="C132">
            <v>1162.3</v>
          </cell>
        </row>
        <row r="133">
          <cell r="C133">
            <v>1166.4000000000001</v>
          </cell>
        </row>
        <row r="134">
          <cell r="C134">
            <v>1169.5999999999999</v>
          </cell>
        </row>
        <row r="135">
          <cell r="C135">
            <v>1171.5999999999999</v>
          </cell>
        </row>
        <row r="136">
          <cell r="C136">
            <v>1173.5999999999999</v>
          </cell>
        </row>
        <row r="137">
          <cell r="C137">
            <v>1181.4000000000001</v>
          </cell>
        </row>
        <row r="138">
          <cell r="C138">
            <v>1185</v>
          </cell>
        </row>
        <row r="139">
          <cell r="C139">
            <v>1186.9000000000001</v>
          </cell>
        </row>
        <row r="140">
          <cell r="C140">
            <v>1190.3</v>
          </cell>
        </row>
        <row r="141">
          <cell r="C141">
            <v>1196.3</v>
          </cell>
        </row>
        <row r="142">
          <cell r="C142">
            <v>1199.5999999999999</v>
          </cell>
        </row>
        <row r="143">
          <cell r="C143">
            <v>1201.3</v>
          </cell>
        </row>
        <row r="144">
          <cell r="C144">
            <v>1202.9000000000001</v>
          </cell>
        </row>
        <row r="145">
          <cell r="C145">
            <v>1206.2</v>
          </cell>
        </row>
        <row r="146">
          <cell r="C146">
            <v>1216.4000000000001</v>
          </cell>
        </row>
        <row r="147">
          <cell r="C147">
            <v>1219.0999999999999</v>
          </cell>
        </row>
        <row r="148">
          <cell r="C148">
            <v>1189.0999999999999</v>
          </cell>
        </row>
        <row r="149">
          <cell r="C149">
            <v>1204.2</v>
          </cell>
        </row>
        <row r="150">
          <cell r="C150">
            <v>1209</v>
          </cell>
        </row>
        <row r="151">
          <cell r="C151">
            <v>1327</v>
          </cell>
        </row>
        <row r="152">
          <cell r="C152">
            <v>1297</v>
          </cell>
        </row>
        <row r="153">
          <cell r="C153">
            <v>1287</v>
          </cell>
        </row>
        <row r="154">
          <cell r="C154">
            <v>1292</v>
          </cell>
        </row>
        <row r="155">
          <cell r="C155">
            <v>1232</v>
          </cell>
        </row>
        <row r="156">
          <cell r="C156">
            <v>1245</v>
          </cell>
        </row>
        <row r="157">
          <cell r="C157">
            <v>1174</v>
          </cell>
        </row>
        <row r="158">
          <cell r="C158">
            <v>1275</v>
          </cell>
        </row>
        <row r="159">
          <cell r="C159">
            <v>1222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6E04397B-E2C0-4F95-8619-10B8E732903C}" autoFormatId="16" applyNumberFormats="0" applyBorderFormats="0" applyFontFormats="0" applyPatternFormats="0" applyAlignmentFormats="0" applyWidthHeightFormats="0">
  <queryTableRefresh nextId="31">
    <queryTableFields count="27">
      <queryTableField id="1" name="Year" tableColumnId="1"/>
      <queryTableField id="2" name="Added value of Agriculture, forestry and fishing sector" tableColumnId="2"/>
      <queryTableField id="3" name="Added value of Oil and natural gas extraction sector" tableColumnId="3"/>
      <queryTableField id="4" name="Added value of Extraction of mining products sector" tableColumnId="4"/>
      <queryTableField id="5" name="Added value of Agrifoods industries sector" tableColumnId="5"/>
      <queryTableField id="6" name="Added value of Textile, clothing and leather industry sector" tableColumnId="6"/>
      <queryTableField id="7" name="Added value of Oil refinery sector" tableColumnId="7"/>
      <queryTableField id="8" name="Added value of Chemical industries sector" tableColumnId="8"/>
      <queryTableField id="9" name="Added value of Building materials industry, ceramics and glass sector" tableColumnId="9"/>
      <queryTableField id="10" name="Added value of Mechanical and electrical industries sector" tableColumnId="10"/>
      <queryTableField id="11" name="Added value of Various industries sector" tableColumnId="11"/>
      <queryTableField id="12" name="Added value of Production and distribution of electricity and gas sector" tableColumnId="12"/>
      <queryTableField id="13" name="Added value of Water distribution and treatment of wastewater and waste sector" tableColumnId="13"/>
      <queryTableField id="14" name="Added value of Construction sector" tableColumnId="14"/>
      <queryTableField id="15" name="Added value of Trade, maintenance and repair sector" tableColumnId="15"/>
      <queryTableField id="16" name="Added value of Transportation and warehousing services sector" tableColumnId="16"/>
      <queryTableField id="17" name="Added value of Hotel, cafe and restaurant services sector" tableColumnId="17"/>
      <queryTableField id="18" name="Added value of Information and communication sector" tableColumnId="18"/>
      <queryTableField id="19" name="Added value of Financial activities sector" tableColumnId="19"/>
      <queryTableField id="20" name="Added value of Public administration and defense services sector" tableColumnId="20"/>
      <queryTableField id="21" name="Added value of Private and public education sector" tableColumnId="21"/>
      <queryTableField id="22" name="Added value of Private and public health and social action sector" tableColumnId="22"/>
      <queryTableField id="23" name="Added value of Other market services sector" tableColumnId="23"/>
      <queryTableField id="24" name="Added value of Other household activities sector" tableColumnId="24"/>
      <queryTableField id="25" name="Added value of Services provided by associative organizations sector" tableColumnId="25"/>
      <queryTableField id="26" name="Added Values of Market activities  sector" tableColumnId="26"/>
      <queryTableField id="27" name="Added Values of Nonmarket activities  sector" tableColumnId="27"/>
    </queryTableFields>
    <queryTableDeletedFields count="3">
      <deletedField name="Added value of Taxes net of subsidies on products sector"/>
      <deletedField name="Gross domestic product value sector"/>
      <deletedField name="Total added valu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697E7BF4-6EEA-4F4B-8EF0-BB30D0656CA2}" autoFormatId="16" applyNumberFormats="0" applyBorderFormats="0" applyFontFormats="0" applyPatternFormats="0" applyAlignmentFormats="0" applyWidthHeightFormats="0">
  <queryTableRefresh nextId="6">
    <queryTableFields count="5">
      <queryTableField id="1" name="Quarterly national accounts" tableColumnId="1"/>
      <queryTableField id="2" name="Attribute" tableColumnId="2"/>
      <queryTableField id="3" name="Constant Prices" tableColumnId="3"/>
      <queryTableField id="4" name="QoQ Real GDP " tableColumnId="4"/>
      <queryTableField id="5" name="YoY Real GDP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A7E24BD4-29CF-401D-BBFB-33C9D86E211C}" autoFormatId="16" applyNumberFormats="0" applyBorderFormats="0" applyFontFormats="0" applyPatternFormats="0" applyAlignmentFormats="0" applyWidthHeightFormats="0">
  <queryTableRefresh nextId="6">
    <queryTableFields count="5">
      <queryTableField id="1" name="Quarterly national accounts" tableColumnId="1"/>
      <queryTableField id="2" name="Attribute" tableColumnId="2"/>
      <queryTableField id="3" name="Constant Prices" tableColumnId="3"/>
      <queryTableField id="4" name="QoQ Real GDP " tableColumnId="4"/>
      <queryTableField id="5" name="YoY Real GDP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A1D5207A-362C-40A2-8FB6-9D6918F9ED85}" autoFormatId="16" applyNumberFormats="0" applyBorderFormats="0" applyFontFormats="0" applyPatternFormats="0" applyAlignmentFormats="0" applyWidthHeightFormats="0">
  <queryTableRefresh nextId="6">
    <queryTableFields count="5">
      <queryTableField id="1" name="Quarterly national accounts" tableColumnId="1"/>
      <queryTableField id="2" name="Attribute" tableColumnId="2"/>
      <queryTableField id="3" name="Constant Prices" tableColumnId="3"/>
      <queryTableField id="4" name="QoQ Real GDP " tableColumnId="4"/>
      <queryTableField id="5" name="YoY Real GDP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FC0D54-1043-4F16-A1C1-C1BB1B13E0BD}" autoFormatId="16" applyNumberFormats="0" applyBorderFormats="0" applyFontFormats="0" applyPatternFormats="0" applyAlignmentFormats="0" applyWidthHeightFormats="0">
  <queryTableRefresh nextId="8" unboundColumnsRight="2">
    <queryTableFields count="5">
      <queryTableField id="1" name="Annual general balance" tableColumnId="1"/>
      <queryTableField id="2" name="Attribute" tableColumnId="2"/>
      <queryTableField id="3" name="Value" tableColumnId="3"/>
      <queryTableField id="4" dataBound="0" tableColumnId="4"/>
      <queryTableField id="5" dataBound="0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DF381D31-AAC5-4464-9873-EC7C93BE2305}" autoFormatId="16" applyNumberFormats="0" applyBorderFormats="0" applyFontFormats="0" applyPatternFormats="0" applyAlignmentFormats="0" applyWidthHeightFormats="0">
  <queryTableRefresh nextId="4">
    <queryTableFields count="3">
      <queryTableField id="1" name="Active population " tableColumnId="1"/>
      <queryTableField id="2" name="Attribute" tableColumnId="2"/>
      <queryTableField id="3" name="Value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937F2DE-9BB8-4337-9C98-AD40552F751E}" autoFormatId="16" applyNumberFormats="0" applyBorderFormats="0" applyFontFormats="0" applyPatternFormats="0" applyAlignmentFormats="0" applyWidthHeightFormats="0">
  <queryTableRefresh nextId="7" unboundColumnsRight="3">
    <queryTableFields count="6">
      <queryTableField id="1" name=" Unemployment" tableColumnId="1"/>
      <queryTableField id="2" name="Attribute" tableColumnId="2"/>
      <queryTableField id="3" name="Value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E960E199-CE27-43CC-8324-8FEB13B00023}" autoFormatId="16" applyNumberFormats="0" applyBorderFormats="0" applyFontFormats="0" applyPatternFormats="0" applyAlignmentFormats="0" applyWidthHeightFormats="0">
  <queryTableRefresh nextId="5">
    <queryTableFields count="3">
      <queryTableField id="1" name=" money markets" tableColumnId="1"/>
      <queryTableField id="2" name="Attribute" tableColumnId="2"/>
      <queryTableField id="3" name="Value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1CFFD4DE-60D2-498B-B566-71670523EC05}" autoFormatId="16" applyNumberFormats="0" applyBorderFormats="0" applyFontFormats="0" applyPatternFormats="0" applyAlignmentFormats="0" applyWidthHeightFormats="0">
  <queryTableRefresh nextId="15" unboundColumnsRight="6">
    <queryTableFields count="9">
      <queryTableField id="1" name=" Consumer Price Indices" tableColumnId="1"/>
      <queryTableField id="2" name="Attribute" tableColumnId="2"/>
      <queryTableField id="3" name="Value" tableColumnId="3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4" dataBound="0" tableColumnId="1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65A90C98-B445-4CE8-8345-0A3E61B9B827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 Trade by country" tableColumnId="1"/>
      <queryTableField id="2" name="Attribute" tableColumnId="2"/>
      <queryTableField id="3" name="Value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39304C4-6659-4B10-94D2-F128AE2F4CF6}" name="Table2_3" displayName="Table2_3" ref="A1:AA16" tableType="queryTable" totalsRowShown="0" headerRowDxfId="0">
  <autoFilter ref="A1:AA16" xr:uid="{439304C4-6659-4B10-94D2-F128AE2F4CF6}"/>
  <tableColumns count="27">
    <tableColumn id="1" xr3:uid="{4F50E36F-52AF-4145-B7C6-A47E0B8EA650}" uniqueName="1" name="Year" queryTableFieldId="1" dataDxfId="1"/>
    <tableColumn id="2" xr3:uid="{1C5CD962-873D-408C-8D11-130E012875AB}" uniqueName="2" name="Added value of Agriculture, forestry and fishing sector" queryTableFieldId="2" dataDxfId="2"/>
    <tableColumn id="3" xr3:uid="{0939D4BD-F2AD-4313-8E48-2BFCD98C8AFE}" uniqueName="3" name="Added value of Oil and natural gas extraction sector" queryTableFieldId="3" dataDxfId="90"/>
    <tableColumn id="4" xr3:uid="{70BF4476-2785-462A-A7A7-FB36B17A47A0}" uniqueName="4" name="Added value of Extraction of mining products sector" queryTableFieldId="4" dataDxfId="89"/>
    <tableColumn id="5" xr3:uid="{0CEE28F3-BC69-43B6-A74B-67D5167036CA}" uniqueName="5" name="Added value of Agrifoods industries sector" queryTableFieldId="5" dataDxfId="88"/>
    <tableColumn id="6" xr3:uid="{6DDC2486-F526-46DA-9B03-260001F02764}" uniqueName="6" name="Added value of Textile, clothing and leather industry sector" queryTableFieldId="6" dataDxfId="87"/>
    <tableColumn id="7" xr3:uid="{86EEF0FB-EE53-4D8D-B2BA-E04BDBD3CB56}" uniqueName="7" name="Added value of Oil refinery sector" queryTableFieldId="7" dataDxfId="86"/>
    <tableColumn id="8" xr3:uid="{7E96072E-1452-4636-95AE-9183B2385F7B}" uniqueName="8" name="Added value of Chemical industries sector" queryTableFieldId="8" dataDxfId="85"/>
    <tableColumn id="9" xr3:uid="{C5112699-7A13-401A-AB00-2411B24A15A9}" uniqueName="9" name="Added value of Building materials industry, ceramics and glass sector" queryTableFieldId="9" dataDxfId="84"/>
    <tableColumn id="10" xr3:uid="{34CAFAF8-A5B9-444D-9993-2FA7C4029F3C}" uniqueName="10" name="Added value of Mechanical and electrical industries sector" queryTableFieldId="10" dataDxfId="83"/>
    <tableColumn id="11" xr3:uid="{D7E71232-DD49-4F99-A8E0-29E76E632710}" uniqueName="11" name="Added value of Various industries sector" queryTableFieldId="11" dataDxfId="82"/>
    <tableColumn id="12" xr3:uid="{58A7F8C1-1503-4DAD-8709-7D22EE91674F}" uniqueName="12" name="Added value of Production and distribution of electricity and gas sector" queryTableFieldId="12" dataDxfId="81"/>
    <tableColumn id="13" xr3:uid="{605AFF4E-EB60-496D-98B1-88AAE41A4CD0}" uniqueName="13" name="Added value of Water distribution and treatment of wastewater and waste sector" queryTableFieldId="13" dataDxfId="80"/>
    <tableColumn id="14" xr3:uid="{2BEF750B-A487-472E-85E5-B887B02B8D14}" uniqueName="14" name="Added value of Construction sector" queryTableFieldId="14" dataDxfId="79"/>
    <tableColumn id="15" xr3:uid="{CBCD0E1F-E0B8-413D-AA98-524448D3D5CF}" uniqueName="15" name="Added value of Trade, maintenance and repair sector" queryTableFieldId="15" dataDxfId="78"/>
    <tableColumn id="16" xr3:uid="{60E480A4-AC12-4329-B32F-DAEA3790BCFE}" uniqueName="16" name="Added value of Transportation and warehousing services sector" queryTableFieldId="16" dataDxfId="77"/>
    <tableColumn id="17" xr3:uid="{6AC83153-BA72-4E7B-97F3-C1E181510E9C}" uniqueName="17" name="Added value of Hotel, cafe and restaurant services sector" queryTableFieldId="17" dataDxfId="76"/>
    <tableColumn id="18" xr3:uid="{D9D00B0D-F618-45A7-A730-FC1ECF8ECDC0}" uniqueName="18" name="Added value of Information and communication sector" queryTableFieldId="18" dataDxfId="75"/>
    <tableColumn id="19" xr3:uid="{DF17B999-B9DC-46F8-AC66-F208D3772F8F}" uniqueName="19" name="Added value of Financial activities sector" queryTableFieldId="19" dataDxfId="74"/>
    <tableColumn id="20" xr3:uid="{A37773ED-C016-40DC-A7D1-E0BFBA70399D}" uniqueName="20" name="Added value of Public administration and defense services sector" queryTableFieldId="20" dataDxfId="73"/>
    <tableColumn id="21" xr3:uid="{CA373618-2C45-47E1-BBFA-201127823CF7}" uniqueName="21" name="Added value of Private and public education sector" queryTableFieldId="21" dataDxfId="72"/>
    <tableColumn id="22" xr3:uid="{836E2082-4920-4D82-9A2D-4CCD33B96D1D}" uniqueName="22" name="Added value of Private and public health and social action sector" queryTableFieldId="22" dataDxfId="71"/>
    <tableColumn id="23" xr3:uid="{CAE5CB2A-4F3D-462D-A3C8-BDA60E833FA1}" uniqueName="23" name="Added value of Other market services sector" queryTableFieldId="23" dataDxfId="70"/>
    <tableColumn id="24" xr3:uid="{ADC17B50-1C1F-454C-ABA8-EC297A3F610B}" uniqueName="24" name="Added value of Other household activities sector" queryTableFieldId="24" dataDxfId="69"/>
    <tableColumn id="25" xr3:uid="{AA1D3549-FA6A-4331-89D5-8D9582F95C84}" uniqueName="25" name="Added value of Services provided by associative organizations sector" queryTableFieldId="25" dataDxfId="68"/>
    <tableColumn id="26" xr3:uid="{53045CF3-1145-4F00-874D-AAC7AB0E9973}" uniqueName="26" name="Added Values of Market activities  sector" queryTableFieldId="26" dataDxfId="67"/>
    <tableColumn id="27" xr3:uid="{E4396024-1E32-4439-AACF-A5EDC15FCA88}" uniqueName="27" name="Added Values of Nonmarket activities  sector" queryTableFieldId="27" dataDxfId="6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FF4F029-E547-460B-AC63-5C8305E78074}" name="Table2_1__2_1" displayName="Table2_1__2_1" ref="A1:E30" tableType="queryTable" totalsRowShown="0">
  <autoFilter ref="A1:E30" xr:uid="{1FF4F029-E547-460B-AC63-5C8305E78074}"/>
  <tableColumns count="5">
    <tableColumn id="1" xr3:uid="{D606AD5C-2110-4FAC-AF26-6034A0229858}" uniqueName="1" name="Quarterly national accounts" queryTableFieldId="1" dataDxfId="65"/>
    <tableColumn id="2" xr3:uid="{78C22881-1B3A-4061-892B-02EE6898B53E}" uniqueName="2" name="Attribute" queryTableFieldId="2" dataDxfId="64"/>
    <tableColumn id="3" xr3:uid="{9732907B-6867-4B48-A19B-13EEB56938F4}" uniqueName="3" name="Constant Prices" queryTableFieldId="3"/>
    <tableColumn id="4" xr3:uid="{5F482CA3-AC69-4C32-8E9E-615F33FE6DF8}" uniqueName="4" name="QoQ Real GDP " queryTableFieldId="4" dataDxfId="63"/>
    <tableColumn id="5" xr3:uid="{C98F2646-0687-4202-AD4A-86424877926C}" uniqueName="5" name="YoY Real GDP" queryTableFieldId="5" dataDxfId="6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4290D23-C7F3-4D55-9B83-5A6B2AC86047}" name="Table2_1__2__2" displayName="Table2_1__2__2" ref="A32:E61" tableType="queryTable" totalsRowShown="0">
  <autoFilter ref="A32:E61" xr:uid="{14290D23-C7F3-4D55-9B83-5A6B2AC86047}"/>
  <tableColumns count="5">
    <tableColumn id="1" xr3:uid="{40E04CA2-DD6C-4925-B5A4-0536193AD372}" uniqueName="1" name="Quarterly national accounts" queryTableFieldId="1" dataDxfId="61"/>
    <tableColumn id="2" xr3:uid="{96FDDE74-0820-48F8-AF7D-DA896A86D994}" uniqueName="2" name="Attribute" queryTableFieldId="2" dataDxfId="60"/>
    <tableColumn id="3" xr3:uid="{511F0594-E680-415F-B9E4-0AEDB60F63F7}" uniqueName="3" name="Constant Prices" queryTableFieldId="3"/>
    <tableColumn id="4" xr3:uid="{E88DC6DC-891F-4C84-907C-A9CCD8822D66}" uniqueName="4" name="QoQ Real GDP " queryTableFieldId="4" dataDxfId="59"/>
    <tableColumn id="5" xr3:uid="{8EBD9428-C465-4E4B-A252-408823B7FFA4}" uniqueName="5" name="YoY Real GDP" queryTableFieldId="5" dataDxfId="5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0D9610-4572-4C79-84C8-8A11FE41B0F5}" name="Table2_1__2__3" displayName="Table2_1__2__3" ref="A63:E92" tableType="queryTable" totalsRowShown="0">
  <autoFilter ref="A63:E92" xr:uid="{900D9610-4572-4C79-84C8-8A11FE41B0F5}"/>
  <tableColumns count="5">
    <tableColumn id="1" xr3:uid="{39977891-08F7-425E-B29A-F415A376E46A}" uniqueName="1" name="Quarterly national accounts" queryTableFieldId="1" dataDxfId="57"/>
    <tableColumn id="2" xr3:uid="{95339ED3-0844-41A2-BC5D-C243B691405B}" uniqueName="2" name="Attribute" queryTableFieldId="2" dataDxfId="56"/>
    <tableColumn id="3" xr3:uid="{B7472E37-E1DD-441B-8287-5B70B52ABF1F}" uniqueName="3" name="Constant Prices" queryTableFieldId="3"/>
    <tableColumn id="4" xr3:uid="{0F1CA5D4-1539-4FD7-85AF-C7CDF98D4221}" uniqueName="4" name="QoQ Real GDP " queryTableFieldId="4" dataDxfId="55"/>
    <tableColumn id="5" xr3:uid="{FF316E96-6D1F-4D1A-A349-AAA2F4C80EEE}" uniqueName="5" name="YoY Real GDP" queryTableFieldId="5" dataDxfId="5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3E3B17-4E65-41C1-BB89-EB8AE84DC80C}" name="Table2_1" displayName="Table2_1" ref="A1:I1799" totalsRowShown="0">
  <autoFilter ref="A1:I1799" xr:uid="{973E3B17-4E65-41C1-BB89-EB8AE84DC80C}"/>
  <tableColumns count="9">
    <tableColumn id="1" xr3:uid="{75D12C80-B781-4AF8-BAC8-6FD2DAF4306A}" name="Quarterly national accounts" dataDxfId="53"/>
    <tableColumn id="2" xr3:uid="{60D06C76-D1E3-4276-84E2-529CBB80ED73}" name="Attribute" dataDxfId="52"/>
    <tableColumn id="3" xr3:uid="{4A5EB101-FCAE-474D-A5A4-23AE9145B2B1}" name="Constant Prices"/>
    <tableColumn id="4" xr3:uid="{1012B18C-432C-4FAD-BF78-DD396B565BCE}" name="QoQ Real GDP " dataDxfId="51"/>
    <tableColumn id="7" xr3:uid="{A6DF3F89-DA81-4E14-8494-B4330250E6D1}" name="YoY Real GDP" dataDxfId="50"/>
    <tableColumn id="8" xr3:uid="{1DB96270-BAC7-4375-A371-FD41FAAB93B6}" name="Current Prices"/>
    <tableColumn id="9" xr3:uid="{1A094E6B-7613-412E-BB90-4315C1AA0E97}" name="QoQ Nominal GDP" dataDxfId="49">
      <calculatedColumnFormula>(Table2_1[[#This Row],[Current Prices]]-F1)/F1</calculatedColumnFormula>
    </tableColumn>
    <tableColumn id="6" xr3:uid="{212950BC-ACBE-4C39-A425-6A58A0EFD14F}" name="YoY Nominal GDP" dataDxfId="48"/>
    <tableColumn id="11" xr3:uid="{ABE35132-5CBF-4A23-8ACA-9CAA2FE55359}" name="index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81F01A-C0BC-4A64-A989-BA7CFD0DCED0}" name="Table1_1" displayName="Table1_1" ref="A1:E101" tableType="queryTable" totalsRowShown="0">
  <autoFilter ref="A1:E101" xr:uid="{B781F01A-C0BC-4A64-A989-BA7CFD0DCED0}"/>
  <tableColumns count="5">
    <tableColumn id="1" xr3:uid="{59D86FB0-FFFD-45AF-991E-657A4255B7B8}" uniqueName="1" name="Annual general balance" queryTableFieldId="1" dataDxfId="47"/>
    <tableColumn id="2" xr3:uid="{619959DB-D0E2-421D-BE03-7E9B16445B5F}" uniqueName="2" name="Attribute" queryTableFieldId="2" dataDxfId="46"/>
    <tableColumn id="3" xr3:uid="{3A716A8F-41FC-4B43-8711-22ED03BDDFB6}" uniqueName="3" name="Value" queryTableFieldId="3"/>
    <tableColumn id="4" xr3:uid="{F50ECEC1-E828-498B-B52B-16F3785FA078}" uniqueName="4" name="Ratio" queryTableFieldId="4" dataDxfId="45"/>
    <tableColumn id="5" xr3:uid="{6884DE6A-466E-41D6-AAE7-C7E942F8B91C}" uniqueName="5" name="YoY change" queryTableFieldId="5" dataDxfId="44">
      <calculatedColumnFormula>(Table1_1[[#This Row],[Ratio]]-D1)/D1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EC851D-942C-43F3-8BEF-BF549F0657C5}" name="Table7_1" displayName="Table7_1" ref="A1:C166" tableType="queryTable" totalsRowShown="0">
  <autoFilter ref="A1:C166" xr:uid="{2BEC851D-942C-43F3-8BEF-BF549F0657C5}"/>
  <tableColumns count="3">
    <tableColumn id="1" xr3:uid="{69E1D887-2846-43A0-9A35-C775293CF62A}" uniqueName="1" name="Active population " queryTableFieldId="1" dataDxfId="43"/>
    <tableColumn id="2" xr3:uid="{6AAA490E-3C71-4D9E-B277-4355E129D633}" uniqueName="2" name="Attribute" queryTableFieldId="2" dataDxfId="42"/>
    <tableColumn id="3" xr3:uid="{C813B8CF-D9FE-4B4A-878D-D329ABEEEAA3}" uniqueName="3" name="Value" queryTableFieldId="3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F71FB8-A3F2-499C-AEA5-AD2AF5C184DB}" name="Table3_1" displayName="Table3_1" ref="A1:F145" tableType="queryTable" totalsRowShown="0">
  <autoFilter ref="A1:F145" xr:uid="{9BF71FB8-A3F2-499C-AEA5-AD2AF5C184DB}"/>
  <tableColumns count="6">
    <tableColumn id="1" xr3:uid="{7F08123B-CECC-47CB-BABA-19B3F9189447}" uniqueName="1" name=" Unemployment" queryTableFieldId="1" dataDxfId="41"/>
    <tableColumn id="2" xr3:uid="{473E9B87-216A-4659-B9B8-D696A140F713}" uniqueName="2" name="Attribute" queryTableFieldId="2" dataDxfId="40"/>
    <tableColumn id="3" xr3:uid="{6308BF19-CF55-40DE-A0D5-2C53364F93BE}" uniqueName="3" name="Value" queryTableFieldId="3"/>
    <tableColumn id="4" xr3:uid="{9E1827BA-D323-4779-B2E1-1335ECB3F5A2}" uniqueName="4" name="Unemployment rate" queryTableFieldId="4" dataDxfId="39">
      <calculatedColumnFormula>(Table3_1[[#This Row],[Value]]/[1]!Table7_1[[#This Row],[Value]])*100</calculatedColumnFormula>
    </tableColumn>
    <tableColumn id="5" xr3:uid="{489F82D9-CD84-4516-A6D6-74C4C881C686}" uniqueName="5" name="Employment rate" queryTableFieldId="5" dataDxfId="38">
      <calculatedColumnFormula>([1]!Table5_1[[#This Row],[Value]]/[1]!Table7_1[[#This Row],[Value]])*100</calculatedColumnFormula>
    </tableColumn>
    <tableColumn id="6" xr3:uid="{A87CBF0E-CC27-4779-9AE8-49EF43933453}" uniqueName="6" name="Difference in Gender Unemployment Rate" queryTableFieldId="6" dataDxfId="37">
      <calculatedColumnFormula>D50-D98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415C659-583B-4CD2-89FC-BA533A7EBE77}" name="Table3_18" displayName="Table3_18" ref="A1:C121" tableType="queryTable" totalsRowShown="0">
  <autoFilter ref="A1:C121" xr:uid="{7415C659-583B-4CD2-89FC-BA533A7EBE77}"/>
  <tableColumns count="3">
    <tableColumn id="1" xr3:uid="{B836D393-14D4-43F8-AFF1-DCF85CCE1821}" uniqueName="1" name=" money markets" queryTableFieldId="1" dataDxfId="36"/>
    <tableColumn id="2" xr3:uid="{FE6E62B2-66B4-4E2B-B1FC-A18C7A420BA1}" uniqueName="2" name="Attribute" queryTableFieldId="2" dataDxfId="35"/>
    <tableColumn id="3" xr3:uid="{9DB238DF-507B-490A-9CEF-4BF00BFCE2A2}" uniqueName="3" name="Value" queryTableFieldId="3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34E6B5D-E484-43DE-811C-0718B390798E}" name="Table3_19" displayName="Table3_19" ref="A2:I83" tableType="queryTable" totalsRowShown="0" headerRowDxfId="34">
  <autoFilter ref="A2:I83" xr:uid="{534E6B5D-E484-43DE-811C-0718B390798E}"/>
  <tableColumns count="9">
    <tableColumn id="1" xr3:uid="{78D4BCB0-CF48-43E6-92D1-92EB9BC7AA02}" uniqueName="1" name=" Consumer Price Indices" queryTableFieldId="1" dataDxfId="33"/>
    <tableColumn id="2" xr3:uid="{72A01450-60DC-43A1-B321-7F09BCF597B4}" uniqueName="2" name="Attribute" queryTableFieldId="2" dataDxfId="32"/>
    <tableColumn id="3" xr3:uid="{03BC0964-5D5D-41AC-9D60-0B9E7EBB5118}" uniqueName="3" name="Value" queryTableFieldId="3" dataDxfId="31"/>
    <tableColumn id="5" xr3:uid="{1836A449-8746-4B7C-B537-51A4E1C2D807}" uniqueName="5" name="Inflation" queryTableFieldId="5" dataDxfId="30"/>
    <tableColumn id="6" xr3:uid="{AE93CC5C-D521-4B95-AB6C-BBBB6752654F}" uniqueName="6" name="Arithmetic Annual Average" queryTableFieldId="6" dataDxfId="29"/>
    <tableColumn id="7" xr3:uid="{3BB5C9FF-F9D4-4286-A37B-DF1D0BDE3E34}" uniqueName="7" name="1+Inflation" queryTableFieldId="7" dataDxfId="28">
      <calculatedColumnFormula>1+Table3_19[[#This Row],[Inflation]]</calculatedColumnFormula>
    </tableColumn>
    <tableColumn id="8" xr3:uid="{BB0050C8-8ECE-4390-A840-47D04F20EC8B}" uniqueName="8" name="Product" queryTableFieldId="8" dataDxfId="27"/>
    <tableColumn id="9" xr3:uid="{AC17685A-90D7-403C-82A9-A599F2D3A2B4}" uniqueName="9" name="Geometric Annual Average" queryTableFieldId="9" dataDxfId="26"/>
    <tableColumn id="17" xr3:uid="{9C0067A9-A1C0-45D5-B72B-13604D9DB812}" uniqueName="17" name="Standard Deviation" queryTableFieldId="14" dataDxfId="25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DF33DD9-5224-4DAD-AF1F-50FB21194139}" name="Table5_110" displayName="Table5_110" ref="A1:D645" tableType="queryTable" totalsRowShown="0">
  <autoFilter ref="A1:D645" xr:uid="{ADF33DD9-5224-4DAD-AF1F-50FB21194139}"/>
  <tableColumns count="4">
    <tableColumn id="1" xr3:uid="{C1346CB5-12A6-437B-A525-8EEA6B982F06}" uniqueName="1" name=" Trade by country" queryTableFieldId="1" dataDxfId="24"/>
    <tableColumn id="2" xr3:uid="{BEF5F9DA-A9A1-4E1F-8BAE-EFCDCA39CF75}" uniqueName="2" name="Attribute" queryTableFieldId="2" dataDxfId="23"/>
    <tableColumn id="3" xr3:uid="{2096D560-593D-4DC4-81FD-F5999AB39A57}" uniqueName="3" name="Value" queryTableFieldId="3"/>
    <tableColumn id="4" xr3:uid="{2017E44F-B3D2-4177-9E76-79D40C0933DA}" uniqueName="4" name="Ratio" queryTableFieldId="4" dataDxfId="2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A32B-7F81-4DE6-9213-5744799D9741}">
  <dimension ref="A1:AA16"/>
  <sheetViews>
    <sheetView zoomScale="93" zoomScaleNormal="167" workbookViewId="0">
      <selection activeCell="D24" sqref="D24"/>
    </sheetView>
  </sheetViews>
  <sheetFormatPr defaultRowHeight="14.4" x14ac:dyDescent="0.3"/>
  <cols>
    <col min="1" max="1" width="12.6640625" customWidth="1"/>
    <col min="2" max="2" width="48.88671875" bestFit="1" customWidth="1"/>
    <col min="3" max="3" width="47.109375" bestFit="1" customWidth="1"/>
    <col min="4" max="4" width="47.21875" bestFit="1" customWidth="1"/>
    <col min="5" max="5" width="39" bestFit="1" customWidth="1"/>
    <col min="6" max="6" width="53.21875" bestFit="1" customWidth="1"/>
    <col min="7" max="7" width="31.33203125" bestFit="1" customWidth="1"/>
    <col min="8" max="8" width="38.5546875" bestFit="1" customWidth="1"/>
    <col min="9" max="9" width="61.44140625" bestFit="1" customWidth="1"/>
    <col min="10" max="10" width="52.33203125" bestFit="1" customWidth="1"/>
    <col min="11" max="11" width="37.33203125" bestFit="1" customWidth="1"/>
    <col min="12" max="12" width="63.5546875" bestFit="1" customWidth="1"/>
    <col min="13" max="13" width="73" bestFit="1" customWidth="1"/>
    <col min="14" max="14" width="33" bestFit="1" customWidth="1"/>
    <col min="15" max="15" width="48.33203125" bestFit="1" customWidth="1"/>
    <col min="16" max="16" width="57.21875" bestFit="1" customWidth="1"/>
    <col min="17" max="17" width="51.5546875" bestFit="1" customWidth="1"/>
    <col min="18" max="18" width="49.77734375" bestFit="1" customWidth="1"/>
    <col min="19" max="19" width="37.33203125" bestFit="1" customWidth="1"/>
    <col min="20" max="20" width="58.21875" bestFit="1" customWidth="1"/>
    <col min="21" max="21" width="46.21875" bestFit="1" customWidth="1"/>
    <col min="22" max="22" width="57.88671875" bestFit="1" customWidth="1"/>
    <col min="23" max="23" width="40.77734375" bestFit="1" customWidth="1"/>
    <col min="24" max="24" width="44.44140625" bestFit="1" customWidth="1"/>
    <col min="25" max="25" width="61.109375" bestFit="1" customWidth="1"/>
    <col min="26" max="26" width="37.77734375" bestFit="1" customWidth="1"/>
    <col min="27" max="27" width="41.21875" bestFit="1" customWidth="1"/>
    <col min="28" max="28" width="18.109375" bestFit="1" customWidth="1"/>
  </cols>
  <sheetData>
    <row r="1" spans="1:27" x14ac:dyDescent="0.3">
      <c r="A1" s="59" t="s">
        <v>284</v>
      </c>
      <c r="B1" s="59" t="s">
        <v>9</v>
      </c>
      <c r="C1" s="59" t="s">
        <v>72</v>
      </c>
      <c r="D1" s="59" t="s">
        <v>73</v>
      </c>
      <c r="E1" s="59" t="s">
        <v>74</v>
      </c>
      <c r="F1" s="59" t="s">
        <v>75</v>
      </c>
      <c r="G1" s="59" t="s">
        <v>76</v>
      </c>
      <c r="H1" s="59" t="s">
        <v>77</v>
      </c>
      <c r="I1" s="59" t="s">
        <v>78</v>
      </c>
      <c r="J1" s="59" t="s">
        <v>79</v>
      </c>
      <c r="K1" s="59" t="s">
        <v>80</v>
      </c>
      <c r="L1" s="59" t="s">
        <v>81</v>
      </c>
      <c r="M1" s="59" t="s">
        <v>82</v>
      </c>
      <c r="N1" s="59" t="s">
        <v>83</v>
      </c>
      <c r="O1" s="59" t="s">
        <v>84</v>
      </c>
      <c r="P1" s="59" t="s">
        <v>85</v>
      </c>
      <c r="Q1" s="59" t="s">
        <v>86</v>
      </c>
      <c r="R1" s="59" t="s">
        <v>87</v>
      </c>
      <c r="S1" s="59" t="s">
        <v>88</v>
      </c>
      <c r="T1" s="59" t="s">
        <v>89</v>
      </c>
      <c r="U1" s="59" t="s">
        <v>90</v>
      </c>
      <c r="V1" s="59" t="s">
        <v>91</v>
      </c>
      <c r="W1" s="59" t="s">
        <v>92</v>
      </c>
      <c r="X1" s="59" t="s">
        <v>93</v>
      </c>
      <c r="Y1" s="59" t="s">
        <v>94</v>
      </c>
      <c r="Z1" s="59" t="s">
        <v>95</v>
      </c>
      <c r="AA1" s="59" t="s">
        <v>96</v>
      </c>
    </row>
    <row r="2" spans="1:27" x14ac:dyDescent="0.3">
      <c r="A2" s="58" t="s">
        <v>13</v>
      </c>
      <c r="B2" s="18">
        <v>5.9994192869833707E-2</v>
      </c>
      <c r="C2" s="18">
        <v>-0.16577538297625036</v>
      </c>
      <c r="D2" s="18">
        <v>0.11157135054962586</v>
      </c>
      <c r="E2" s="18">
        <v>-1.5227046627413615E-2</v>
      </c>
      <c r="F2" s="18">
        <v>2.721943324505504E-2</v>
      </c>
      <c r="G2" s="18">
        <v>-0.23412151647445745</v>
      </c>
      <c r="H2" s="18">
        <v>6.6722111101804871E-2</v>
      </c>
      <c r="I2" s="18">
        <v>2.4739849403030974E-2</v>
      </c>
      <c r="J2" s="18">
        <v>5.2155646477946731E-2</v>
      </c>
      <c r="K2" s="18">
        <v>1.9619332132710825E-2</v>
      </c>
      <c r="L2" s="18">
        <v>-4.4615656536368092E-2</v>
      </c>
      <c r="M2" s="18">
        <v>0.18754025533531127</v>
      </c>
      <c r="N2" s="18">
        <v>0.11591880713651048</v>
      </c>
      <c r="O2" s="18">
        <v>2.7506988931106893E-2</v>
      </c>
      <c r="P2" s="18">
        <v>-5.111444827202773E-3</v>
      </c>
      <c r="Q2" s="18">
        <v>-5.5389464841457153E-2</v>
      </c>
      <c r="R2" s="18">
        <v>5.4597987281945218E-2</v>
      </c>
      <c r="S2" s="18">
        <v>-1.4813722585886067E-2</v>
      </c>
      <c r="T2" s="18">
        <v>5.5922294100558718E-2</v>
      </c>
      <c r="U2" s="18">
        <v>2.4954572399167457E-2</v>
      </c>
      <c r="V2" s="18">
        <v>-4.5468806730526497E-3</v>
      </c>
      <c r="W2" s="18">
        <v>-4.1423443844256079E-2</v>
      </c>
      <c r="X2" s="18">
        <v>8.3778003865930643E-5</v>
      </c>
      <c r="Y2" s="18">
        <v>3.8332080724808426E-2</v>
      </c>
      <c r="Z2" s="18">
        <v>3.3272802111916043E-3</v>
      </c>
      <c r="AA2" s="18">
        <v>4.0784933389374389E-2</v>
      </c>
    </row>
    <row r="3" spans="1:27" x14ac:dyDescent="0.3">
      <c r="A3" s="58" t="s">
        <v>17</v>
      </c>
      <c r="B3" s="18">
        <v>0.11329542003881304</v>
      </c>
      <c r="C3" s="18">
        <v>-6.236414193677571E-2</v>
      </c>
      <c r="D3" s="18">
        <v>-0.45352154737528061</v>
      </c>
      <c r="E3" s="18">
        <v>7.0075421362214355E-2</v>
      </c>
      <c r="F3" s="18">
        <v>-5.5979545306152616E-2</v>
      </c>
      <c r="G3" s="18">
        <v>2.0145092943379588</v>
      </c>
      <c r="H3" s="18">
        <v>-0.23672866365888984</v>
      </c>
      <c r="I3" s="18">
        <v>-9.4614197069560445E-3</v>
      </c>
      <c r="J3" s="18">
        <v>4.2108142438634567E-2</v>
      </c>
      <c r="K3" s="18">
        <v>3.3615231809624845E-3</v>
      </c>
      <c r="L3" s="18">
        <v>3.1017103799927219E-2</v>
      </c>
      <c r="M3" s="18">
        <v>-6.8121514452644527E-2</v>
      </c>
      <c r="N3" s="18">
        <v>-7.8424107868287379E-2</v>
      </c>
      <c r="O3" s="18">
        <v>-1.2704837940700675E-3</v>
      </c>
      <c r="P3" s="18">
        <v>-0.10524701929635606</v>
      </c>
      <c r="Q3" s="18">
        <v>-0.16089632998848713</v>
      </c>
      <c r="R3" s="18">
        <v>3.880167820281287E-2</v>
      </c>
      <c r="S3" s="18">
        <v>3.2649443116286536E-2</v>
      </c>
      <c r="T3" s="18">
        <v>0.1127450555811628</v>
      </c>
      <c r="U3" s="18">
        <v>4.9460948669930685E-2</v>
      </c>
      <c r="V3" s="18">
        <v>6.1444159882007326E-2</v>
      </c>
      <c r="W3" s="18">
        <v>-7.7967233691062843E-2</v>
      </c>
      <c r="X3" s="18">
        <v>2.3264018954672186E-2</v>
      </c>
      <c r="Y3" s="18">
        <v>6.2290520926309947E-2</v>
      </c>
      <c r="Z3" s="18">
        <v>-2.7296685943845059E-2</v>
      </c>
      <c r="AA3" s="18">
        <v>7.8786159466210731E-2</v>
      </c>
    </row>
    <row r="4" spans="1:27" x14ac:dyDescent="0.3">
      <c r="A4" s="58" t="s">
        <v>21</v>
      </c>
      <c r="B4" s="18">
        <v>7.6453010354722475E-2</v>
      </c>
      <c r="C4" s="18">
        <v>7.1582700126702231E-2</v>
      </c>
      <c r="D4" s="18">
        <v>-9.1130510926821812E-2</v>
      </c>
      <c r="E4" s="18">
        <v>4.0225961101444122E-2</v>
      </c>
      <c r="F4" s="18">
        <v>-2.5056766866916408E-2</v>
      </c>
      <c r="G4" s="18">
        <v>-0.28091999399672418</v>
      </c>
      <c r="H4" s="18">
        <v>0.16236962824133702</v>
      </c>
      <c r="I4" s="18">
        <v>5.6704445763391981E-2</v>
      </c>
      <c r="J4" s="18">
        <v>-3.0201871451921991E-3</v>
      </c>
      <c r="K4" s="18">
        <v>-2.5344429577080579E-2</v>
      </c>
      <c r="L4" s="18">
        <v>0.11509813947714578</v>
      </c>
      <c r="M4" s="18">
        <v>-1.7177051924628532E-2</v>
      </c>
      <c r="N4" s="18">
        <v>5.0677974779312129E-2</v>
      </c>
      <c r="O4" s="18">
        <v>5.021527816906067E-2</v>
      </c>
      <c r="P4" s="18">
        <v>5.9618570473691401E-2</v>
      </c>
      <c r="Q4" s="18">
        <v>8.213844515409495E-2</v>
      </c>
      <c r="R4" s="18">
        <v>8.3449573279172823E-2</v>
      </c>
      <c r="S4" s="18">
        <v>7.0468574903477077E-2</v>
      </c>
      <c r="T4" s="18">
        <v>5.9033181037894442E-2</v>
      </c>
      <c r="U4" s="18">
        <v>9.5878937472164E-3</v>
      </c>
      <c r="V4" s="18">
        <v>0.11179522019707673</v>
      </c>
      <c r="W4" s="18">
        <v>6.6142629626452731E-2</v>
      </c>
      <c r="X4" s="18">
        <v>1.2404774662504763E-2</v>
      </c>
      <c r="Y4" s="18">
        <v>1.8717275333552365E-2</v>
      </c>
      <c r="Z4" s="18">
        <v>4.891330433133758E-2</v>
      </c>
      <c r="AA4" s="18">
        <v>4.3424610394768165E-2</v>
      </c>
    </row>
    <row r="5" spans="1:27" x14ac:dyDescent="0.3">
      <c r="A5" s="58" t="s">
        <v>25</v>
      </c>
      <c r="B5" s="18">
        <v>-3.572991286919755E-2</v>
      </c>
      <c r="C5" s="18">
        <v>-0.20195815645989107</v>
      </c>
      <c r="D5" s="18">
        <v>0.51276256806498466</v>
      </c>
      <c r="E5" s="18">
        <v>-2.5911822599195042E-2</v>
      </c>
      <c r="F5" s="18">
        <v>6.780729907831351E-3</v>
      </c>
      <c r="G5" s="18">
        <v>-5.82037585501727E-2</v>
      </c>
      <c r="H5" s="18">
        <v>0.12176977708651802</v>
      </c>
      <c r="I5" s="18">
        <v>7.1441633507890699E-3</v>
      </c>
      <c r="J5" s="18">
        <v>-1.5246693038608825E-2</v>
      </c>
      <c r="K5" s="18">
        <v>1.8258571523460467E-2</v>
      </c>
      <c r="L5" s="18">
        <v>4.984815427659943E-2</v>
      </c>
      <c r="M5" s="18">
        <v>0.19806645496276332</v>
      </c>
      <c r="N5" s="18">
        <v>3.2784292456797967E-2</v>
      </c>
      <c r="O5" s="18">
        <v>3.983820059867587E-2</v>
      </c>
      <c r="P5" s="18">
        <v>2.4767315887429763E-2</v>
      </c>
      <c r="Q5" s="18">
        <v>-1.3829606472776021E-2</v>
      </c>
      <c r="R5" s="18">
        <v>8.3024547380944586E-2</v>
      </c>
      <c r="S5" s="18">
        <v>1.671738561513841E-2</v>
      </c>
      <c r="T5" s="18">
        <v>6.44928574123593E-2</v>
      </c>
      <c r="U5" s="18">
        <v>2.9895114869044198E-2</v>
      </c>
      <c r="V5" s="18">
        <v>7.7683508761554346E-2</v>
      </c>
      <c r="W5" s="18">
        <v>4.1806544479097214E-2</v>
      </c>
      <c r="X5" s="18">
        <v>8.3181315174138733E-3</v>
      </c>
      <c r="Y5" s="18">
        <v>5.1779136023990063E-2</v>
      </c>
      <c r="Z5" s="18">
        <v>6.6206449621648939E-3</v>
      </c>
      <c r="AA5" s="18">
        <v>5.3427416591661447E-2</v>
      </c>
    </row>
    <row r="6" spans="1:27" x14ac:dyDescent="0.3">
      <c r="A6" s="58" t="s">
        <v>29</v>
      </c>
      <c r="B6" s="18">
        <v>7.8973142700142912E-2</v>
      </c>
      <c r="C6" s="18">
        <v>-5.1262347300713516E-2</v>
      </c>
      <c r="D6" s="18">
        <v>-8.8731851768197381E-2</v>
      </c>
      <c r="E6" s="18">
        <v>4.6567390512422431E-2</v>
      </c>
      <c r="F6" s="18">
        <v>-1.3708487622931205E-2</v>
      </c>
      <c r="G6" s="18">
        <v>-4.6332428030599768E-2</v>
      </c>
      <c r="H6" s="18">
        <v>-0.13005655260023363</v>
      </c>
      <c r="I6" s="18">
        <v>9.5820919401249701E-3</v>
      </c>
      <c r="J6" s="18">
        <v>5.1802937860527198E-2</v>
      </c>
      <c r="K6" s="18">
        <v>-1.2186574476423916E-3</v>
      </c>
      <c r="L6" s="18">
        <v>-1.7570776415427106E-3</v>
      </c>
      <c r="M6" s="18">
        <v>3.5086970127702538E-2</v>
      </c>
      <c r="N6" s="18">
        <v>1.2102036358335639E-2</v>
      </c>
      <c r="O6" s="18">
        <v>2.5886863228713065E-2</v>
      </c>
      <c r="P6" s="18">
        <v>5.6309055326676728E-4</v>
      </c>
      <c r="Q6" s="18">
        <v>-2.4697864458781183E-2</v>
      </c>
      <c r="R6" s="18">
        <v>3.7527965342926267E-2</v>
      </c>
      <c r="S6" s="18">
        <v>5.0808054262438354E-2</v>
      </c>
      <c r="T6" s="18">
        <v>2.5640178362970393E-2</v>
      </c>
      <c r="U6" s="18">
        <v>4.6869128180917624E-2</v>
      </c>
      <c r="V6" s="18">
        <v>6.8546231504791666E-2</v>
      </c>
      <c r="W6" s="18">
        <v>3.1584643335259843E-2</v>
      </c>
      <c r="X6" s="18">
        <v>1.5384622193151124E-2</v>
      </c>
      <c r="Y6" s="18">
        <v>5.2919459015393445E-2</v>
      </c>
      <c r="Z6" s="18">
        <v>2.0619459110290672E-2</v>
      </c>
      <c r="AA6" s="18">
        <v>3.123172030363653E-2</v>
      </c>
    </row>
    <row r="7" spans="1:27" x14ac:dyDescent="0.3">
      <c r="A7" s="58" t="s">
        <v>33</v>
      </c>
      <c r="B7" s="18">
        <v>6.0402637133947029E-2</v>
      </c>
      <c r="C7" s="18">
        <v>-0.13790543064252819</v>
      </c>
      <c r="D7" s="18">
        <v>0.40501208264692146</v>
      </c>
      <c r="E7" s="18">
        <v>-9.9572301442330188E-3</v>
      </c>
      <c r="F7" s="18">
        <v>-4.1255320529006378E-2</v>
      </c>
      <c r="G7" s="18">
        <v>-0.25111818960361665</v>
      </c>
      <c r="H7" s="18">
        <v>7.0246515473355503E-2</v>
      </c>
      <c r="I7" s="18">
        <v>-2.0888804016677698E-4</v>
      </c>
      <c r="J7" s="18">
        <v>-5.8624394031877684E-3</v>
      </c>
      <c r="K7" s="18">
        <v>-1.9282117635542165E-2</v>
      </c>
      <c r="L7" s="18">
        <v>1.7694523126156957E-2</v>
      </c>
      <c r="M7" s="18">
        <v>4.2887110761662309E-2</v>
      </c>
      <c r="N7" s="18">
        <v>-6.8966107467318821E-3</v>
      </c>
      <c r="O7" s="18">
        <v>1.1232753559923269E-2</v>
      </c>
      <c r="P7" s="18">
        <v>-4.1215434675156558E-2</v>
      </c>
      <c r="Q7" s="18">
        <v>-0.15245524061878912</v>
      </c>
      <c r="R7" s="18">
        <v>2.8154997698031869E-2</v>
      </c>
      <c r="S7" s="18">
        <v>3.1167304262630886E-2</v>
      </c>
      <c r="T7" s="18">
        <v>2.3308962415272309E-2</v>
      </c>
      <c r="U7" s="18">
        <v>3.6821953770018928E-2</v>
      </c>
      <c r="V7" s="18">
        <v>4.2637224473875635E-2</v>
      </c>
      <c r="W7" s="18">
        <v>3.7222959350007953E-2</v>
      </c>
      <c r="X7" s="18">
        <v>2.0004783857601089E-2</v>
      </c>
      <c r="Y7" s="18">
        <v>4.1401841089525063E-2</v>
      </c>
      <c r="Z7" s="18">
        <v>-9.880717880585534E-4</v>
      </c>
      <c r="AA7" s="18">
        <v>2.7053301676502613E-2</v>
      </c>
    </row>
    <row r="8" spans="1:27" x14ac:dyDescent="0.3">
      <c r="A8" s="58" t="s">
        <v>37</v>
      </c>
      <c r="B8" s="18">
        <v>-5.5476311978002527E-2</v>
      </c>
      <c r="C8" s="18">
        <v>-8.032380887684995E-2</v>
      </c>
      <c r="D8" s="18">
        <v>0.12715878717312457</v>
      </c>
      <c r="E8" s="18">
        <v>4.3951237357344852E-2</v>
      </c>
      <c r="F8" s="18">
        <v>-1.0989432338043142E-3</v>
      </c>
      <c r="G8" s="18">
        <v>-0.8555744831658334</v>
      </c>
      <c r="H8" s="18">
        <v>5.9230561316337971E-3</v>
      </c>
      <c r="I8" s="18">
        <v>-2.2392629165635898E-2</v>
      </c>
      <c r="J8" s="18">
        <v>2.6290958570896451E-2</v>
      </c>
      <c r="K8" s="18">
        <v>3.5925634118900759E-3</v>
      </c>
      <c r="L8" s="18">
        <v>4.0944243258286016E-2</v>
      </c>
      <c r="M8" s="18">
        <v>9.2402705524406541E-4</v>
      </c>
      <c r="N8" s="18">
        <v>-4.480628362430232E-3</v>
      </c>
      <c r="O8" s="18">
        <v>2.1948035829076146E-2</v>
      </c>
      <c r="P8" s="18">
        <v>5.3280528759864595E-2</v>
      </c>
      <c r="Q8" s="18">
        <v>0.10851414495449238</v>
      </c>
      <c r="R8" s="18">
        <v>4.412316832114261E-2</v>
      </c>
      <c r="S8" s="18">
        <v>4.131899700727544E-2</v>
      </c>
      <c r="T8" s="18">
        <v>5.0548340578035313E-3</v>
      </c>
      <c r="U8" s="18">
        <v>4.1254737741336596E-2</v>
      </c>
      <c r="V8" s="18">
        <v>3.0401757752772353E-2</v>
      </c>
      <c r="W8" s="18">
        <v>3.5328151504430763E-2</v>
      </c>
      <c r="X8" s="18">
        <v>2.3576943385609728E-2</v>
      </c>
      <c r="Y8" s="18">
        <v>4.1456342439308853E-2</v>
      </c>
      <c r="Z8" s="18">
        <v>1.2475517376592856E-2</v>
      </c>
      <c r="AA8" s="18">
        <v>1.8453625645348779E-2</v>
      </c>
    </row>
    <row r="9" spans="1:27" x14ac:dyDescent="0.3">
      <c r="A9" s="58" t="s">
        <v>41</v>
      </c>
      <c r="B9" s="18">
        <v>3.6950392245707703E-2</v>
      </c>
      <c r="C9" s="18">
        <v>-5.4887239375635555E-3</v>
      </c>
      <c r="D9" s="18">
        <v>-0.11382816111176196</v>
      </c>
      <c r="E9" s="18">
        <v>6.7356840978746585E-2</v>
      </c>
      <c r="F9" s="18">
        <v>2.1392977528825415E-2</v>
      </c>
      <c r="G9" s="18">
        <v>0.16320267995017845</v>
      </c>
      <c r="H9" s="18">
        <v>2.277646747079546E-2</v>
      </c>
      <c r="I9" s="18">
        <v>-7.9123191299313098E-2</v>
      </c>
      <c r="J9" s="18">
        <v>5.1387855685798789E-2</v>
      </c>
      <c r="K9" s="18">
        <v>-8.8123212537839259E-3</v>
      </c>
      <c r="L9" s="18">
        <v>3.9497203984146488E-2</v>
      </c>
      <c r="M9" s="18">
        <v>3.4088388420045725E-2</v>
      </c>
      <c r="N9" s="18">
        <v>-1.7640436030651283E-2</v>
      </c>
      <c r="O9" s="18">
        <v>1.1066655487692804E-2</v>
      </c>
      <c r="P9" s="18">
        <v>6.2650965702911593E-2</v>
      </c>
      <c r="Q9" s="18">
        <v>7.7444185837566612E-2</v>
      </c>
      <c r="R9" s="18">
        <v>1.8473682844816989E-2</v>
      </c>
      <c r="S9" s="18">
        <v>0.11303992421397757</v>
      </c>
      <c r="T9" s="18">
        <v>-1.3078889045054564E-4</v>
      </c>
      <c r="U9" s="18">
        <v>1.9372878558164976E-2</v>
      </c>
      <c r="V9" s="18">
        <v>1.9689014169597036E-2</v>
      </c>
      <c r="W9" s="18">
        <v>2.0765132553988954E-2</v>
      </c>
      <c r="X9" s="18">
        <v>1.286831499251288E-2</v>
      </c>
      <c r="Y9" s="18">
        <v>3.9805921768647431E-2</v>
      </c>
      <c r="Z9" s="18">
        <v>2.7990319784657491E-2</v>
      </c>
      <c r="AA9" s="18">
        <v>2.5692709003811123E-3</v>
      </c>
    </row>
    <row r="10" spans="1:27" x14ac:dyDescent="0.3">
      <c r="A10" s="58" t="s">
        <v>45</v>
      </c>
      <c r="B10" s="18">
        <v>6.5311154344475444E-2</v>
      </c>
      <c r="C10" s="18">
        <v>-0.13010539478503955</v>
      </c>
      <c r="D10" s="18">
        <v>0.11532847679558278</v>
      </c>
      <c r="E10" s="18">
        <v>-1.5667748015942094E-2</v>
      </c>
      <c r="F10" s="18">
        <v>9.1321753188619188E-3</v>
      </c>
      <c r="G10" s="18">
        <v>0.39924713348523855</v>
      </c>
      <c r="H10" s="18">
        <v>1.5961427804535876E-2</v>
      </c>
      <c r="I10" s="18">
        <v>1.4158058932761799E-2</v>
      </c>
      <c r="J10" s="18">
        <v>-2.9087722762948867E-3</v>
      </c>
      <c r="K10" s="18">
        <v>-3.1362322633022785E-5</v>
      </c>
      <c r="L10" s="18">
        <v>1.2072637991662119E-2</v>
      </c>
      <c r="M10" s="18">
        <v>2.7097257962820788E-2</v>
      </c>
      <c r="N10" s="18">
        <v>5.4015250456280021E-3</v>
      </c>
      <c r="O10" s="18">
        <v>1.6265633779917712E-2</v>
      </c>
      <c r="P10" s="18">
        <v>3.0325518501077453E-2</v>
      </c>
      <c r="Q10" s="18">
        <v>5.0489816861134962E-2</v>
      </c>
      <c r="R10" s="18">
        <v>8.1250902212197093E-2</v>
      </c>
      <c r="S10" s="18">
        <v>2.5720338969385536E-2</v>
      </c>
      <c r="T10" s="18">
        <v>2.5377927595160105E-3</v>
      </c>
      <c r="U10" s="18">
        <v>1.2103376109968011E-2</v>
      </c>
      <c r="V10" s="18">
        <v>4.3605670322978636E-2</v>
      </c>
      <c r="W10" s="18">
        <v>3.5838970943466199E-2</v>
      </c>
      <c r="X10" s="18">
        <v>2.720056867940622E-2</v>
      </c>
      <c r="Y10" s="18">
        <v>3.988158613974984E-2</v>
      </c>
      <c r="Z10" s="18">
        <v>2.3259923985713617E-2</v>
      </c>
      <c r="AA10" s="18">
        <v>5.312455522926726E-3</v>
      </c>
    </row>
    <row r="11" spans="1:27" x14ac:dyDescent="0.3">
      <c r="A11" s="58" t="s">
        <v>49</v>
      </c>
      <c r="B11" s="18">
        <v>3.9519365412497419E-2</v>
      </c>
      <c r="C11" s="18">
        <v>-7.7475179347830742E-2</v>
      </c>
      <c r="D11" s="18">
        <v>0.39493905939330731</v>
      </c>
      <c r="E11" s="18">
        <v>6.2326477083871776E-2</v>
      </c>
      <c r="F11" s="18">
        <v>-5.8913118154039192E-2</v>
      </c>
      <c r="G11" s="18">
        <v>0.74670606918181215</v>
      </c>
      <c r="H11" s="18">
        <v>3.6820267483878809E-3</v>
      </c>
      <c r="I11" s="18">
        <v>1.6529514047110751E-2</v>
      </c>
      <c r="J11" s="18">
        <v>-2.9335561363416869E-2</v>
      </c>
      <c r="K11" s="18">
        <v>-1.3785147345211936E-2</v>
      </c>
      <c r="L11" s="18">
        <v>-2.3667186637662756E-2</v>
      </c>
      <c r="M11" s="18">
        <v>4.6253194624179844E-2</v>
      </c>
      <c r="N11" s="18">
        <v>1.6547028587516385E-4</v>
      </c>
      <c r="O11" s="18">
        <v>5.5108003547928155E-3</v>
      </c>
      <c r="P11" s="18">
        <v>-2.8872111183876933E-2</v>
      </c>
      <c r="Q11" s="18">
        <v>5.2991749733348845E-2</v>
      </c>
      <c r="R11" s="18">
        <v>4.5549087230528057E-2</v>
      </c>
      <c r="S11" s="18">
        <v>4.1149008646686417E-3</v>
      </c>
      <c r="T11" s="18">
        <v>1.3822266143744617E-2</v>
      </c>
      <c r="U11" s="18">
        <v>2.5888805205220654E-2</v>
      </c>
      <c r="V11" s="18">
        <v>4.2490461270861202E-2</v>
      </c>
      <c r="W11" s="18">
        <v>-4.9721169241064254E-3</v>
      </c>
      <c r="X11" s="18">
        <v>1.3426754712771164E-2</v>
      </c>
      <c r="Y11" s="18">
        <v>5.1320531198305337E-3</v>
      </c>
      <c r="Z11" s="18">
        <v>9.9399220293261079E-3</v>
      </c>
      <c r="AA11" s="18">
        <v>1.9647680967342297E-2</v>
      </c>
    </row>
    <row r="12" spans="1:27" x14ac:dyDescent="0.3">
      <c r="A12" s="58" t="s">
        <v>53</v>
      </c>
      <c r="B12" s="18">
        <v>1.2870884120123695E-2</v>
      </c>
      <c r="C12" s="18">
        <v>5.1316171342764505E-2</v>
      </c>
      <c r="D12" s="18">
        <v>-0.43382456592424401</v>
      </c>
      <c r="E12" s="18">
        <v>-6.1435285778474402E-2</v>
      </c>
      <c r="F12" s="18">
        <v>0.17115463924759702</v>
      </c>
      <c r="G12" s="18">
        <v>0.20715171502640561</v>
      </c>
      <c r="H12" s="18">
        <v>-0.12276883152994414</v>
      </c>
      <c r="I12" s="18">
        <v>0.17681163416959372</v>
      </c>
      <c r="J12" s="18">
        <v>4.8319568025630144E-3</v>
      </c>
      <c r="K12" s="18">
        <v>-1.4669231538242884E-2</v>
      </c>
      <c r="L12" s="18">
        <v>-0.12307680231104892</v>
      </c>
      <c r="M12" s="18">
        <v>9.6298944918657203E-2</v>
      </c>
      <c r="N12" s="18">
        <v>0.16195922528175244</v>
      </c>
      <c r="O12" s="18">
        <v>1.5590124324917028E-2</v>
      </c>
      <c r="P12" s="18">
        <v>-4.4627318893594455E-2</v>
      </c>
      <c r="Q12" s="18">
        <v>0.33027665131397566</v>
      </c>
      <c r="R12" s="18">
        <v>5.3629956483101121E-2</v>
      </c>
      <c r="S12" s="18">
        <v>2.4216240749128926E-3</v>
      </c>
      <c r="T12" s="18">
        <v>-4.4145441621271903E-2</v>
      </c>
      <c r="U12" s="18">
        <v>-1.1750469697846631E-2</v>
      </c>
      <c r="V12" s="18">
        <v>0.11097079355171627</v>
      </c>
      <c r="W12" s="18">
        <v>-6.9248944146896668E-2</v>
      </c>
      <c r="X12" s="18">
        <v>-1.8763549027211758E-2</v>
      </c>
      <c r="Y12" s="18">
        <v>-8.7757222753250569E-2</v>
      </c>
      <c r="Z12" s="18">
        <v>-4.5329086892125517E-2</v>
      </c>
      <c r="AA12" s="18">
        <v>-8.9155345717852885E-3</v>
      </c>
    </row>
    <row r="13" spans="1:27" x14ac:dyDescent="0.3">
      <c r="A13" s="58" t="s">
        <v>57</v>
      </c>
      <c r="B13" s="18">
        <v>-1.465299678940617E-2</v>
      </c>
      <c r="C13" s="18">
        <v>0.18231560828963422</v>
      </c>
      <c r="D13" s="18">
        <v>0.57522189202531582</v>
      </c>
      <c r="E13" s="18">
        <v>6.2318340977001209E-2</v>
      </c>
      <c r="F13" s="18">
        <v>2.8819154425960031E-2</v>
      </c>
      <c r="G13" s="18">
        <v>1.9787214503239725</v>
      </c>
      <c r="H13" s="18">
        <v>0.25541251811225463</v>
      </c>
      <c r="I13" s="18">
        <v>-1.8170782971885541E-2</v>
      </c>
      <c r="J13" s="18">
        <v>6.633037987148864E-4</v>
      </c>
      <c r="K13" s="18">
        <v>3.8939395652443851E-2</v>
      </c>
      <c r="L13" s="18">
        <v>0.17291780728517983</v>
      </c>
      <c r="M13" s="18">
        <v>0.11237732817020898</v>
      </c>
      <c r="N13" s="18">
        <v>-4.0379320993055856E-2</v>
      </c>
      <c r="O13" s="18">
        <v>-3.327261050007406E-3</v>
      </c>
      <c r="P13" s="18">
        <v>0.15851725429814884</v>
      </c>
      <c r="Q13" s="18">
        <v>0.25469500307711551</v>
      </c>
      <c r="R13" s="18">
        <v>2.92853892265705E-2</v>
      </c>
      <c r="S13" s="18">
        <v>-1.8804832427331476E-2</v>
      </c>
      <c r="T13" s="18">
        <v>1.4272086277788342E-2</v>
      </c>
      <c r="U13" s="18">
        <v>2.1568834317518298E-2</v>
      </c>
      <c r="V13" s="18">
        <v>7.0748059613568559E-2</v>
      </c>
      <c r="W13" s="18">
        <v>-3.3921633608036822E-4</v>
      </c>
      <c r="X13" s="18">
        <v>1.6217276854147554E-2</v>
      </c>
      <c r="Y13" s="18">
        <v>3.9431090094437307E-3</v>
      </c>
      <c r="Z13" s="18">
        <v>3.8123807070331701E-2</v>
      </c>
      <c r="AA13" s="18">
        <v>9.7103167848524539E-3</v>
      </c>
    </row>
    <row r="14" spans="1:27" x14ac:dyDescent="0.3">
      <c r="A14" s="58" t="s">
        <v>61</v>
      </c>
      <c r="B14" s="18">
        <v>2.2230339055037338E-4</v>
      </c>
      <c r="C14" s="18">
        <v>-0.11030715868085411</v>
      </c>
      <c r="D14" s="18">
        <v>-0.21166418737678963</v>
      </c>
      <c r="E14" s="18">
        <v>-5.983015082949468E-3</v>
      </c>
      <c r="F14" s="18">
        <v>0.12927002446580046</v>
      </c>
      <c r="G14" s="18">
        <v>6.4242874715294135E-2</v>
      </c>
      <c r="H14" s="18">
        <v>-4.6344898598801448E-3</v>
      </c>
      <c r="I14" s="18">
        <v>-5.1768102012075164E-2</v>
      </c>
      <c r="J14" s="18">
        <v>0.11510396517789168</v>
      </c>
      <c r="K14" s="18">
        <v>1.8859236595763249E-2</v>
      </c>
      <c r="L14" s="18">
        <v>-4.6667259033860854E-2</v>
      </c>
      <c r="M14" s="18">
        <v>6.2377541676526857E-2</v>
      </c>
      <c r="N14" s="18">
        <v>-8.7321766353228192E-2</v>
      </c>
      <c r="O14" s="18">
        <v>2.460907149105114E-2</v>
      </c>
      <c r="P14" s="18">
        <v>5.0884223144898107E-2</v>
      </c>
      <c r="Q14" s="18">
        <v>0.10319409338104572</v>
      </c>
      <c r="R14" s="18">
        <v>2.6814641493802076E-2</v>
      </c>
      <c r="S14" s="18">
        <v>7.7570568310936977E-2</v>
      </c>
      <c r="T14" s="18">
        <v>2.2137082353182154E-3</v>
      </c>
      <c r="U14" s="18">
        <v>1.9342018172635918E-2</v>
      </c>
      <c r="V14" s="18">
        <v>4.1905468822565052E-2</v>
      </c>
      <c r="W14" s="18">
        <v>3.3694238901454621E-2</v>
      </c>
      <c r="X14" s="18">
        <v>8.7412544822576127E-3</v>
      </c>
      <c r="Y14" s="18">
        <v>2.8809885323066609E-2</v>
      </c>
      <c r="Z14" s="18">
        <v>2.0553336793808146E-2</v>
      </c>
      <c r="AA14" s="18">
        <v>7.0000805779450318E-3</v>
      </c>
    </row>
    <row r="15" spans="1:27" x14ac:dyDescent="0.3">
      <c r="A15" s="58" t="s">
        <v>65</v>
      </c>
      <c r="B15" s="18">
        <v>-0.16951971288318965</v>
      </c>
      <c r="C15" s="18">
        <v>-9.5353963536595268E-3</v>
      </c>
      <c r="D15" s="18">
        <v>-7.7938305383910195E-2</v>
      </c>
      <c r="E15" s="18">
        <v>-1.3883132146448023E-3</v>
      </c>
      <c r="F15" s="18">
        <v>-9.7857701217353904E-2</v>
      </c>
      <c r="G15" s="18">
        <v>1.3804126589412435E-2</v>
      </c>
      <c r="H15" s="18">
        <v>-5.9536992400624669E-2</v>
      </c>
      <c r="I15" s="18">
        <v>-5.3478357845931801E-2</v>
      </c>
      <c r="J15" s="18">
        <v>2.396222010388727E-2</v>
      </c>
      <c r="K15" s="18">
        <v>3.2559483421243957E-2</v>
      </c>
      <c r="L15" s="18">
        <v>8.7616583770967149E-2</v>
      </c>
      <c r="M15" s="18">
        <v>3.6420713570384608E-2</v>
      </c>
      <c r="N15" s="18">
        <v>-2.1808149687786316E-3</v>
      </c>
      <c r="O15" s="18">
        <v>5.2676978839129966E-3</v>
      </c>
      <c r="P15" s="18">
        <v>-7.2364901278725441E-3</v>
      </c>
      <c r="Q15" s="18">
        <v>5.4032841214154553E-2</v>
      </c>
      <c r="R15" s="18">
        <v>3.282056833952883E-2</v>
      </c>
      <c r="S15" s="18">
        <v>6.1659030170354685E-2</v>
      </c>
      <c r="T15" s="18">
        <v>8.3232923972191338E-3</v>
      </c>
      <c r="U15" s="18">
        <v>1.0976860550214134E-2</v>
      </c>
      <c r="V15" s="18">
        <v>5.2941228371848323E-2</v>
      </c>
      <c r="W15" s="18">
        <v>3.8921285544551952E-2</v>
      </c>
      <c r="X15" s="18">
        <v>1.3198092134052528E-2</v>
      </c>
      <c r="Y15" s="18">
        <v>7.9102565325161134E-2</v>
      </c>
      <c r="Z15" s="18">
        <v>-9.5115923726795375E-3</v>
      </c>
      <c r="AA15" s="18">
        <v>5.589222695072886E-3</v>
      </c>
    </row>
    <row r="16" spans="1:27" x14ac:dyDescent="0.3">
      <c r="A16" s="58" t="s">
        <v>69</v>
      </c>
      <c r="B16" s="18">
        <v>0.12230027273428019</v>
      </c>
      <c r="C16" s="18">
        <v>-0.16406656325817431</v>
      </c>
      <c r="D16" s="18">
        <v>0.2691852418998899</v>
      </c>
      <c r="E16" s="18">
        <v>2.3746056664716551E-2</v>
      </c>
      <c r="F16" s="18">
        <v>-2.7943685422850299E-2</v>
      </c>
      <c r="G16" s="18">
        <v>-0.32473310675268729</v>
      </c>
      <c r="H16" s="18">
        <v>4.2605585696830955E-2</v>
      </c>
      <c r="I16" s="18">
        <v>8.5369918074187923E-3</v>
      </c>
      <c r="J16" s="18">
        <v>3.0171646712719977E-2</v>
      </c>
      <c r="K16" s="18">
        <v>-4.4257530122679212E-3</v>
      </c>
      <c r="L16" s="18">
        <v>-8.2983277661954236E-2</v>
      </c>
      <c r="M16" s="18">
        <v>-9.1767796889029446E-3</v>
      </c>
      <c r="N16" s="18">
        <v>1.9040964557595137E-2</v>
      </c>
      <c r="O16" s="18">
        <v>2.6113426743559282E-2</v>
      </c>
      <c r="P16" s="18">
        <v>5.1612425441767924E-2</v>
      </c>
      <c r="Q16" s="18">
        <v>2.6039709053398943E-2</v>
      </c>
      <c r="R16" s="18">
        <v>1.1763262876888628E-2</v>
      </c>
      <c r="S16" s="18">
        <v>-2.1560419024350453E-2</v>
      </c>
      <c r="T16" s="18">
        <v>2.189897755680803E-2</v>
      </c>
      <c r="U16" s="18">
        <v>2.3934030914554337E-2</v>
      </c>
      <c r="V16" s="18">
        <v>1.472138141844891E-2</v>
      </c>
      <c r="W16" s="18">
        <v>1.9468645380756294E-2</v>
      </c>
      <c r="X16" s="18">
        <v>2.2825743804692277E-2</v>
      </c>
      <c r="Y16" s="18">
        <v>6.2460060185670178E-3</v>
      </c>
      <c r="Z16" s="18">
        <v>2.4395034688921548E-2</v>
      </c>
      <c r="AA16" s="18">
        <v>2.0416883911844312E-2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606D-A504-4067-BBC7-FA1E28B5D0FD}">
  <dimension ref="A1:I92"/>
  <sheetViews>
    <sheetView tabSelected="1" workbookViewId="0">
      <selection activeCell="K25" sqref="K25"/>
    </sheetView>
  </sheetViews>
  <sheetFormatPr defaultRowHeight="14.4" x14ac:dyDescent="0.3"/>
  <cols>
    <col min="1" max="1" width="69.77734375" bestFit="1" customWidth="1"/>
    <col min="2" max="2" width="10.77734375" bestFit="1" customWidth="1"/>
    <col min="3" max="3" width="16.21875" bestFit="1" customWidth="1"/>
    <col min="4" max="4" width="15.5546875" style="18" bestFit="1" customWidth="1"/>
    <col min="5" max="5" width="14.21875" style="18" bestFit="1" customWidth="1"/>
    <col min="7" max="7" width="11.5546875" customWidth="1"/>
    <col min="9" max="9" width="11.109375" customWidth="1"/>
  </cols>
  <sheetData>
    <row r="1" spans="1:9" ht="15" thickBot="1" x14ac:dyDescent="0.35">
      <c r="A1" t="s">
        <v>0</v>
      </c>
      <c r="B1" t="s">
        <v>1</v>
      </c>
      <c r="C1" t="s">
        <v>2</v>
      </c>
      <c r="D1" s="18" t="s">
        <v>3</v>
      </c>
      <c r="E1" s="18" t="s">
        <v>4</v>
      </c>
      <c r="G1" s="60" t="s">
        <v>289</v>
      </c>
      <c r="H1" s="60"/>
      <c r="I1" s="60"/>
    </row>
    <row r="2" spans="1:9" ht="15" thickTop="1" x14ac:dyDescent="0.3">
      <c r="A2" t="s">
        <v>9</v>
      </c>
      <c r="B2" t="s">
        <v>69</v>
      </c>
      <c r="C2">
        <v>2128.6999999999998</v>
      </c>
      <c r="D2" s="18">
        <v>3.3148903125606546E-2</v>
      </c>
      <c r="E2" s="18">
        <v>0.12623670705253687</v>
      </c>
      <c r="G2" s="61" t="s">
        <v>285</v>
      </c>
      <c r="H2" s="61" t="s">
        <v>70</v>
      </c>
      <c r="I2" s="61" t="s">
        <v>71</v>
      </c>
    </row>
    <row r="3" spans="1:9" x14ac:dyDescent="0.3">
      <c r="A3" t="s">
        <v>72</v>
      </c>
      <c r="B3" t="s">
        <v>69</v>
      </c>
      <c r="C3">
        <v>426.9</v>
      </c>
      <c r="D3" s="18">
        <v>2.5833724753404554E-3</v>
      </c>
      <c r="E3" s="18">
        <v>-0.17010108864696735</v>
      </c>
      <c r="G3" s="62" t="s">
        <v>286</v>
      </c>
      <c r="H3" s="63">
        <f>D33</f>
        <v>2.6260158782355474E-2</v>
      </c>
      <c r="I3" s="63">
        <f>D64</f>
        <v>3.190515426164986E-2</v>
      </c>
    </row>
    <row r="4" spans="1:9" x14ac:dyDescent="0.3">
      <c r="A4" t="s">
        <v>73</v>
      </c>
      <c r="B4" t="s">
        <v>69</v>
      </c>
      <c r="C4">
        <v>183.7</v>
      </c>
      <c r="D4" s="18">
        <v>0.1693189051559516</v>
      </c>
      <c r="E4" s="18">
        <v>0.24796195652173916</v>
      </c>
      <c r="G4" s="62" t="s">
        <v>287</v>
      </c>
      <c r="H4" s="63">
        <f>SUMPRODUCT(C3:C16,D34:D47)/SUM(C3:C16)</f>
        <v>-7.2279132650407991E-3</v>
      </c>
      <c r="I4" s="63">
        <f>SUMPRODUCT(C34:C47,D65:D78)/SUM(C34:C47)</f>
        <v>2.6084223758642389E-2</v>
      </c>
    </row>
    <row r="5" spans="1:9" x14ac:dyDescent="0.3">
      <c r="A5" t="s">
        <v>74</v>
      </c>
      <c r="B5" t="s">
        <v>69</v>
      </c>
      <c r="C5">
        <v>819.3</v>
      </c>
      <c r="D5" s="18">
        <v>-6.7887016608073987E-3</v>
      </c>
      <c r="E5" s="18">
        <v>2.3101898101898104E-2</v>
      </c>
      <c r="G5" s="62" t="s">
        <v>288</v>
      </c>
      <c r="H5" s="63">
        <f>SUMPRODUCT(C17:C27,D48:D58)/SUM(C17:C27)</f>
        <v>-2.7326917013259364E-4</v>
      </c>
      <c r="I5" s="63">
        <f>SUMPRODUCT(C48:C58,D79:D89)/SUM(C48:C58)</f>
        <v>1.5802880023069035E-2</v>
      </c>
    </row>
    <row r="6" spans="1:9" x14ac:dyDescent="0.3">
      <c r="A6" t="s">
        <v>75</v>
      </c>
      <c r="B6" t="s">
        <v>69</v>
      </c>
      <c r="C6">
        <v>562</v>
      </c>
      <c r="D6" s="18">
        <v>-4.1609822646657538E-2</v>
      </c>
      <c r="E6" s="18">
        <v>-3.0533034328100818E-2</v>
      </c>
    </row>
    <row r="7" spans="1:9" x14ac:dyDescent="0.3">
      <c r="A7" t="s">
        <v>76</v>
      </c>
      <c r="B7" t="s">
        <v>69</v>
      </c>
      <c r="C7">
        <v>-1.4</v>
      </c>
      <c r="D7" s="18">
        <v>-1.0693069306930691</v>
      </c>
      <c r="E7" s="18">
        <v>-1.1238938053097345</v>
      </c>
    </row>
    <row r="8" spans="1:9" ht="15" thickBot="1" x14ac:dyDescent="0.35">
      <c r="A8" t="s">
        <v>77</v>
      </c>
      <c r="B8" t="s">
        <v>69</v>
      </c>
      <c r="C8">
        <v>264.60000000000002</v>
      </c>
      <c r="D8" s="18">
        <v>-1.9999999999999917E-2</v>
      </c>
      <c r="E8" s="18">
        <v>3.2383925087787792E-2</v>
      </c>
      <c r="G8" s="60" t="s">
        <v>290</v>
      </c>
      <c r="H8" s="60"/>
      <c r="I8" s="60"/>
    </row>
    <row r="9" spans="1:9" ht="15" thickTop="1" x14ac:dyDescent="0.3">
      <c r="A9" t="s">
        <v>78</v>
      </c>
      <c r="B9" t="s">
        <v>69</v>
      </c>
      <c r="C9">
        <v>204.9</v>
      </c>
      <c r="D9" s="18">
        <v>-6.0522696011004073E-2</v>
      </c>
      <c r="E9" s="18">
        <v>3.4280117531832375E-3</v>
      </c>
      <c r="G9" s="61" t="s">
        <v>285</v>
      </c>
      <c r="H9" s="61" t="s">
        <v>70</v>
      </c>
      <c r="I9" s="61" t="s">
        <v>71</v>
      </c>
    </row>
    <row r="10" spans="1:9" x14ac:dyDescent="0.3">
      <c r="A10" t="s">
        <v>79</v>
      </c>
      <c r="B10" t="s">
        <v>69</v>
      </c>
      <c r="C10">
        <v>1025.2</v>
      </c>
      <c r="D10" s="18">
        <v>2.040410072658505E-2</v>
      </c>
      <c r="E10" s="18">
        <v>2.890405459654764E-2</v>
      </c>
      <c r="G10" s="62" t="s">
        <v>286</v>
      </c>
      <c r="H10" s="63">
        <f>E33</f>
        <v>7.2880856497397048E-2</v>
      </c>
      <c r="I10" s="63">
        <f>E64</f>
        <v>9.8372636912882519E-2</v>
      </c>
    </row>
    <row r="11" spans="1:9" x14ac:dyDescent="0.3">
      <c r="A11" t="s">
        <v>80</v>
      </c>
      <c r="B11" t="s">
        <v>69</v>
      </c>
      <c r="C11">
        <v>401</v>
      </c>
      <c r="D11" s="18">
        <v>-1.9910403185664791E-3</v>
      </c>
      <c r="E11" s="18">
        <v>-6.4420218037661613E-3</v>
      </c>
      <c r="G11" s="62" t="s">
        <v>287</v>
      </c>
      <c r="H11" s="63">
        <f>SUMPRODUCT(C3:C16,E34:E47)/SUM(C3:C16)</f>
        <v>1.3731088701017887E-2</v>
      </c>
      <c r="I11" s="63">
        <f>SUMPRODUCT(C34:C47,E65:E78)/SUM(C34:C47)</f>
        <v>3.9740011993513395E-2</v>
      </c>
    </row>
    <row r="12" spans="1:9" x14ac:dyDescent="0.3">
      <c r="A12" t="s">
        <v>81</v>
      </c>
      <c r="B12" t="s">
        <v>69</v>
      </c>
      <c r="C12">
        <v>238.9</v>
      </c>
      <c r="D12" s="18">
        <v>-0.14830659536541888</v>
      </c>
      <c r="E12" s="18">
        <v>-9.7127739984882902E-2</v>
      </c>
      <c r="G12" s="62" t="s">
        <v>288</v>
      </c>
      <c r="H12" s="63">
        <f>SUMPRODUCT(C17:C27,E48:E58)/SUM(C17:C27)</f>
        <v>1.4849808639414503E-2</v>
      </c>
      <c r="I12" s="63">
        <f>SUMPRODUCT(C48:C58,E79:E89)/SUM(C48:C58)</f>
        <v>2.7746695664576149E-2</v>
      </c>
    </row>
    <row r="13" spans="1:9" x14ac:dyDescent="0.3">
      <c r="A13" t="s">
        <v>82</v>
      </c>
      <c r="B13" t="s">
        <v>69</v>
      </c>
      <c r="C13">
        <v>187.8</v>
      </c>
      <c r="D13" s="18">
        <v>3.1301482701812287E-2</v>
      </c>
      <c r="E13" s="18">
        <v>-1.053740779768177E-2</v>
      </c>
    </row>
    <row r="14" spans="1:9" x14ac:dyDescent="0.3">
      <c r="A14" t="s">
        <v>83</v>
      </c>
      <c r="B14" t="s">
        <v>69</v>
      </c>
      <c r="C14">
        <v>1018.8</v>
      </c>
      <c r="D14" s="18">
        <v>2.4228410576052989E-2</v>
      </c>
      <c r="E14" s="18">
        <v>1.8596280743851137E-2</v>
      </c>
    </row>
    <row r="15" spans="1:9" x14ac:dyDescent="0.3">
      <c r="A15" t="s">
        <v>84</v>
      </c>
      <c r="B15" t="s">
        <v>69</v>
      </c>
      <c r="C15">
        <v>2878.6</v>
      </c>
      <c r="D15" s="18">
        <v>1.5665796344647553E-2</v>
      </c>
      <c r="E15" s="18">
        <v>2.6238859180035618E-2</v>
      </c>
    </row>
    <row r="16" spans="1:9" x14ac:dyDescent="0.3">
      <c r="A16" t="s">
        <v>85</v>
      </c>
      <c r="B16" t="s">
        <v>69</v>
      </c>
      <c r="C16">
        <v>1405.2</v>
      </c>
      <c r="D16" s="18">
        <v>-1.6448519633233009E-2</v>
      </c>
      <c r="E16" s="18">
        <v>5.1638976201167489E-2</v>
      </c>
    </row>
    <row r="17" spans="1:5" x14ac:dyDescent="0.3">
      <c r="A17" t="s">
        <v>86</v>
      </c>
      <c r="B17" t="s">
        <v>69</v>
      </c>
      <c r="C17">
        <v>782.7</v>
      </c>
      <c r="D17" s="18">
        <v>1.1632415664986429E-2</v>
      </c>
      <c r="E17" s="18">
        <v>2.6222630129802017E-2</v>
      </c>
    </row>
    <row r="18" spans="1:5" x14ac:dyDescent="0.3">
      <c r="A18" t="s">
        <v>87</v>
      </c>
      <c r="B18" t="s">
        <v>69</v>
      </c>
      <c r="C18">
        <v>894.9</v>
      </c>
      <c r="D18" s="18">
        <v>7.5433460932221698E-3</v>
      </c>
      <c r="E18" s="18">
        <v>1.1758055398530217E-2</v>
      </c>
    </row>
    <row r="19" spans="1:5" x14ac:dyDescent="0.3">
      <c r="A19" t="s">
        <v>88</v>
      </c>
      <c r="B19" t="s">
        <v>69</v>
      </c>
      <c r="C19">
        <v>1002.6</v>
      </c>
      <c r="D19" s="18">
        <v>-1.9908421262193909E-3</v>
      </c>
      <c r="E19" s="18">
        <v>-2.2425897035881326E-2</v>
      </c>
    </row>
    <row r="20" spans="1:5" x14ac:dyDescent="0.3">
      <c r="A20" t="s">
        <v>89</v>
      </c>
      <c r="B20" t="s">
        <v>69</v>
      </c>
      <c r="C20">
        <v>2237.5</v>
      </c>
      <c r="D20" s="18">
        <v>1.6721952106148127E-2</v>
      </c>
      <c r="E20" s="18">
        <v>2.1922813427723224E-2</v>
      </c>
    </row>
    <row r="21" spans="1:5" x14ac:dyDescent="0.3">
      <c r="A21" t="s">
        <v>90</v>
      </c>
      <c r="B21" t="s">
        <v>69</v>
      </c>
      <c r="C21">
        <v>1608.5</v>
      </c>
      <c r="D21" s="18">
        <v>1.1062920359544854E-2</v>
      </c>
      <c r="E21" s="18">
        <v>2.4130905386476564E-2</v>
      </c>
    </row>
    <row r="22" spans="1:5" x14ac:dyDescent="0.3">
      <c r="A22" t="s">
        <v>91</v>
      </c>
      <c r="B22" t="s">
        <v>69</v>
      </c>
      <c r="C22">
        <v>1075</v>
      </c>
      <c r="D22" s="18">
        <v>1.1098570353649317E-2</v>
      </c>
      <c r="E22" s="18">
        <v>1.4725316216726361E-2</v>
      </c>
    </row>
    <row r="23" spans="1:5" x14ac:dyDescent="0.3">
      <c r="A23" t="s">
        <v>92</v>
      </c>
      <c r="B23" t="s">
        <v>69</v>
      </c>
      <c r="C23">
        <v>1476.9</v>
      </c>
      <c r="D23" s="18">
        <v>2.57959405335699E-3</v>
      </c>
      <c r="E23" s="18">
        <v>1.9606489471867512E-2</v>
      </c>
    </row>
    <row r="24" spans="1:5" x14ac:dyDescent="0.3">
      <c r="A24" t="s">
        <v>93</v>
      </c>
      <c r="B24" t="s">
        <v>69</v>
      </c>
      <c r="C24">
        <v>1634.1</v>
      </c>
      <c r="D24" s="18">
        <v>0</v>
      </c>
      <c r="E24" s="18">
        <v>2.2974834105421196E-2</v>
      </c>
    </row>
    <row r="25" spans="1:5" x14ac:dyDescent="0.3">
      <c r="A25" t="s">
        <v>94</v>
      </c>
      <c r="B25" t="s">
        <v>69</v>
      </c>
      <c r="C25">
        <v>65.900000000000006</v>
      </c>
      <c r="D25" s="18">
        <v>0</v>
      </c>
      <c r="E25" s="18">
        <v>6.1068702290077203E-3</v>
      </c>
    </row>
    <row r="26" spans="1:5" x14ac:dyDescent="0.3">
      <c r="A26" t="s">
        <v>95</v>
      </c>
      <c r="B26" t="s">
        <v>69</v>
      </c>
      <c r="C26">
        <v>18245.8</v>
      </c>
      <c r="D26" s="18">
        <v>3.8788905822737451E-3</v>
      </c>
      <c r="E26" s="18">
        <v>2.4601717234679299E-2</v>
      </c>
    </row>
    <row r="27" spans="1:5" x14ac:dyDescent="0.3">
      <c r="A27" t="s">
        <v>96</v>
      </c>
      <c r="B27" t="s">
        <v>69</v>
      </c>
      <c r="C27">
        <v>4276.6000000000004</v>
      </c>
      <c r="D27" s="18">
        <v>1.6109104732940548E-2</v>
      </c>
      <c r="E27" s="18">
        <v>2.0449068219237095E-2</v>
      </c>
    </row>
    <row r="28" spans="1:5" x14ac:dyDescent="0.3">
      <c r="A28" t="s">
        <v>97</v>
      </c>
      <c r="B28" t="s">
        <v>69</v>
      </c>
      <c r="C28">
        <v>22522.400000000001</v>
      </c>
      <c r="D28" s="18">
        <v>6.1784927694212817E-3</v>
      </c>
      <c r="E28" s="18">
        <v>2.3815260131372661E-2</v>
      </c>
    </row>
    <row r="29" spans="1:5" x14ac:dyDescent="0.3">
      <c r="A29" t="s">
        <v>98</v>
      </c>
      <c r="B29" t="s">
        <v>69</v>
      </c>
      <c r="C29">
        <v>1832.5</v>
      </c>
      <c r="D29" s="18">
        <v>1.3831258644536652E-2</v>
      </c>
      <c r="E29" s="18">
        <v>3.5369229899994296E-2</v>
      </c>
    </row>
    <row r="30" spans="1:5" x14ac:dyDescent="0.3">
      <c r="A30" t="s">
        <v>99</v>
      </c>
      <c r="B30" t="s">
        <v>69</v>
      </c>
      <c r="C30">
        <v>24355</v>
      </c>
      <c r="D30" s="18">
        <v>6.7544106218688088E-3</v>
      </c>
      <c r="E30" s="18">
        <v>2.4679826997189482E-2</v>
      </c>
    </row>
    <row r="32" spans="1:5" x14ac:dyDescent="0.3">
      <c r="A32" t="s">
        <v>0</v>
      </c>
      <c r="B32" t="s">
        <v>1</v>
      </c>
      <c r="C32" t="s">
        <v>2</v>
      </c>
      <c r="D32" s="18" t="s">
        <v>3</v>
      </c>
      <c r="E32" s="18" t="s">
        <v>4</v>
      </c>
    </row>
    <row r="33" spans="1:5" x14ac:dyDescent="0.3">
      <c r="A33" t="s">
        <v>9</v>
      </c>
      <c r="B33" t="s">
        <v>70</v>
      </c>
      <c r="C33">
        <v>2184.6</v>
      </c>
      <c r="D33" s="18">
        <v>2.6260158782355474E-2</v>
      </c>
      <c r="E33" s="18">
        <v>7.2880856497397048E-2</v>
      </c>
    </row>
    <row r="34" spans="1:5" x14ac:dyDescent="0.3">
      <c r="A34" t="s">
        <v>72</v>
      </c>
      <c r="B34" t="s">
        <v>70</v>
      </c>
      <c r="C34">
        <v>384.4</v>
      </c>
      <c r="D34" s="18">
        <v>-9.9554930897165619E-2</v>
      </c>
      <c r="E34" s="18">
        <v>-7.2169925174994043E-2</v>
      </c>
    </row>
    <row r="35" spans="1:5" x14ac:dyDescent="0.3">
      <c r="A35" t="s">
        <v>73</v>
      </c>
      <c r="B35" t="s">
        <v>70</v>
      </c>
      <c r="C35">
        <v>173.1</v>
      </c>
      <c r="D35" s="18">
        <v>-5.7702776265650492E-2</v>
      </c>
      <c r="E35" s="18">
        <v>0.16880486158001351</v>
      </c>
    </row>
    <row r="36" spans="1:5" x14ac:dyDescent="0.3">
      <c r="A36" t="s">
        <v>74</v>
      </c>
      <c r="B36" t="s">
        <v>70</v>
      </c>
      <c r="C36">
        <v>890.2</v>
      </c>
      <c r="D36" s="18">
        <v>8.6537287928719758E-2</v>
      </c>
      <c r="E36" s="18">
        <v>7.1110576344603563E-2</v>
      </c>
    </row>
    <row r="37" spans="1:5" x14ac:dyDescent="0.3">
      <c r="A37" t="s">
        <v>75</v>
      </c>
      <c r="B37" t="s">
        <v>70</v>
      </c>
      <c r="C37">
        <v>571.5</v>
      </c>
      <c r="D37" s="18">
        <v>1.6903914590747332E-2</v>
      </c>
      <c r="E37" s="18">
        <v>-1.5164570049974074E-2</v>
      </c>
    </row>
    <row r="38" spans="1:5" x14ac:dyDescent="0.3">
      <c r="A38" t="s">
        <v>76</v>
      </c>
      <c r="B38" t="s">
        <v>70</v>
      </c>
      <c r="C38">
        <v>1</v>
      </c>
      <c r="D38" s="18">
        <v>-1.7142857142857144</v>
      </c>
      <c r="E38" s="18">
        <v>-0.91150442477876104</v>
      </c>
    </row>
    <row r="39" spans="1:5" x14ac:dyDescent="0.3">
      <c r="A39" t="s">
        <v>77</v>
      </c>
      <c r="B39" t="s">
        <v>70</v>
      </c>
      <c r="C39">
        <v>251.2</v>
      </c>
      <c r="D39" s="18">
        <v>-5.0642479213907909E-2</v>
      </c>
      <c r="E39" s="18">
        <v>-3.9020657995409297E-2</v>
      </c>
    </row>
    <row r="40" spans="1:5" x14ac:dyDescent="0.3">
      <c r="A40" t="s">
        <v>78</v>
      </c>
      <c r="B40" t="s">
        <v>70</v>
      </c>
      <c r="C40">
        <v>207.3</v>
      </c>
      <c r="D40" s="18">
        <v>1.1713030746705738E-2</v>
      </c>
      <c r="E40" s="18">
        <v>-6.7081935793003224E-3</v>
      </c>
    </row>
    <row r="41" spans="1:5" x14ac:dyDescent="0.3">
      <c r="A41" t="s">
        <v>79</v>
      </c>
      <c r="B41" t="s">
        <v>70</v>
      </c>
      <c r="C41">
        <v>968.3</v>
      </c>
      <c r="D41" s="18">
        <v>-5.5501365587202582E-2</v>
      </c>
      <c r="E41" s="18">
        <v>1.0646070347562814E-2</v>
      </c>
    </row>
    <row r="42" spans="1:5" x14ac:dyDescent="0.3">
      <c r="A42" t="s">
        <v>80</v>
      </c>
      <c r="B42" t="s">
        <v>70</v>
      </c>
      <c r="C42">
        <v>385.3</v>
      </c>
      <c r="D42" s="18">
        <v>-3.9152119700748104E-2</v>
      </c>
      <c r="E42" s="18">
        <v>-1.8134715025906441E-3</v>
      </c>
    </row>
    <row r="43" spans="1:5" x14ac:dyDescent="0.3">
      <c r="A43" t="s">
        <v>81</v>
      </c>
      <c r="B43" t="s">
        <v>70</v>
      </c>
      <c r="C43">
        <v>247.1</v>
      </c>
      <c r="D43" s="18">
        <v>3.4323984930933395E-2</v>
      </c>
      <c r="E43" s="18">
        <v>-4.0453074433654661E-4</v>
      </c>
    </row>
    <row r="44" spans="1:5" x14ac:dyDescent="0.3">
      <c r="A44" t="s">
        <v>82</v>
      </c>
      <c r="B44" t="s">
        <v>70</v>
      </c>
      <c r="C44">
        <v>189</v>
      </c>
      <c r="D44" s="18">
        <v>6.3897763578274151E-3</v>
      </c>
      <c r="E44" s="18">
        <v>2.9972752043596729E-2</v>
      </c>
    </row>
    <row r="45" spans="1:5" x14ac:dyDescent="0.3">
      <c r="A45" t="s">
        <v>83</v>
      </c>
      <c r="B45" t="s">
        <v>70</v>
      </c>
      <c r="C45">
        <v>1044</v>
      </c>
      <c r="D45" s="18">
        <v>2.4734982332155524E-2</v>
      </c>
      <c r="E45" s="18">
        <v>3.0398736675878359E-2</v>
      </c>
    </row>
    <row r="46" spans="1:5" x14ac:dyDescent="0.3">
      <c r="A46" t="s">
        <v>84</v>
      </c>
      <c r="B46" t="s">
        <v>70</v>
      </c>
      <c r="C46">
        <v>2849.3</v>
      </c>
      <c r="D46" s="18">
        <v>-1.0178559021746587E-2</v>
      </c>
      <c r="E46" s="18">
        <v>1.928167704085286E-2</v>
      </c>
    </row>
    <row r="47" spans="1:5" x14ac:dyDescent="0.3">
      <c r="A47" t="s">
        <v>85</v>
      </c>
      <c r="B47" t="s">
        <v>70</v>
      </c>
      <c r="C47">
        <v>1384.3</v>
      </c>
      <c r="D47" s="18">
        <v>-1.4873327640193631E-2</v>
      </c>
      <c r="E47" s="18">
        <v>-6.8871511586197972E-3</v>
      </c>
    </row>
    <row r="48" spans="1:5" x14ac:dyDescent="0.3">
      <c r="A48" t="s">
        <v>86</v>
      </c>
      <c r="B48" t="s">
        <v>70</v>
      </c>
      <c r="C48">
        <v>804.5</v>
      </c>
      <c r="D48" s="18">
        <v>2.7852306119841515E-2</v>
      </c>
      <c r="E48" s="18">
        <v>5.6883867577509135E-2</v>
      </c>
    </row>
    <row r="49" spans="1:5" x14ac:dyDescent="0.3">
      <c r="A49" t="s">
        <v>87</v>
      </c>
      <c r="B49" t="s">
        <v>70</v>
      </c>
      <c r="C49">
        <v>886.1</v>
      </c>
      <c r="D49" s="18">
        <v>-9.8335009498267453E-3</v>
      </c>
      <c r="E49" s="18">
        <v>5.6458897922312553E-4</v>
      </c>
    </row>
    <row r="50" spans="1:5" x14ac:dyDescent="0.3">
      <c r="A50" t="s">
        <v>88</v>
      </c>
      <c r="B50" t="s">
        <v>70</v>
      </c>
      <c r="C50">
        <v>953</v>
      </c>
      <c r="D50" s="18">
        <v>-4.9471374426491146E-2</v>
      </c>
      <c r="E50" s="18">
        <v>-8.5938998657203072E-2</v>
      </c>
    </row>
    <row r="51" spans="1:5" x14ac:dyDescent="0.3">
      <c r="A51" t="s">
        <v>89</v>
      </c>
      <c r="B51" t="s">
        <v>70</v>
      </c>
      <c r="C51">
        <v>2247.1999999999998</v>
      </c>
      <c r="D51" s="18">
        <v>4.3351955307261757E-3</v>
      </c>
      <c r="E51" s="18">
        <v>1.6326715209624129E-2</v>
      </c>
    </row>
    <row r="52" spans="1:5" x14ac:dyDescent="0.3">
      <c r="A52" t="s">
        <v>90</v>
      </c>
      <c r="B52" t="s">
        <v>70</v>
      </c>
      <c r="C52">
        <v>1611.3</v>
      </c>
      <c r="D52" s="18">
        <v>1.7407522536524429E-3</v>
      </c>
      <c r="E52" s="18">
        <v>2.0197543370900253E-2</v>
      </c>
    </row>
    <row r="53" spans="1:5" x14ac:dyDescent="0.3">
      <c r="A53" t="s">
        <v>91</v>
      </c>
      <c r="B53" t="s">
        <v>70</v>
      </c>
      <c r="C53">
        <v>1083.5</v>
      </c>
      <c r="D53" s="18">
        <v>7.9069767441860457E-3</v>
      </c>
      <c r="E53" s="18">
        <v>2.5361975962903335E-2</v>
      </c>
    </row>
    <row r="54" spans="1:5" x14ac:dyDescent="0.3">
      <c r="A54" t="s">
        <v>92</v>
      </c>
      <c r="B54" t="s">
        <v>70</v>
      </c>
      <c r="C54">
        <v>1490.6</v>
      </c>
      <c r="D54" s="18">
        <v>9.276186607082279E-3</v>
      </c>
      <c r="E54" s="18">
        <v>2.2008913267055133E-2</v>
      </c>
    </row>
    <row r="55" spans="1:5" x14ac:dyDescent="0.3">
      <c r="A55" t="s">
        <v>93</v>
      </c>
      <c r="B55" t="s">
        <v>70</v>
      </c>
      <c r="C55">
        <v>1638.1</v>
      </c>
      <c r="D55" s="18">
        <v>2.4478306101217797E-3</v>
      </c>
      <c r="E55" s="18">
        <v>1.6632532737541089E-2</v>
      </c>
    </row>
    <row r="56" spans="1:5" x14ac:dyDescent="0.3">
      <c r="A56" t="s">
        <v>94</v>
      </c>
      <c r="B56" t="s">
        <v>70</v>
      </c>
      <c r="C56">
        <v>66.2</v>
      </c>
      <c r="D56" s="18">
        <v>4.5523520485583786E-3</v>
      </c>
      <c r="E56" s="18">
        <v>2.1604938271605027E-2</v>
      </c>
    </row>
    <row r="57" spans="1:5" x14ac:dyDescent="0.3">
      <c r="A57" t="s">
        <v>95</v>
      </c>
      <c r="B57" t="s">
        <v>70</v>
      </c>
      <c r="C57">
        <v>18213.5</v>
      </c>
      <c r="D57" s="18">
        <v>-1.7702704183976189E-3</v>
      </c>
      <c r="E57" s="18">
        <v>1.6889062587236894E-2</v>
      </c>
    </row>
    <row r="58" spans="1:5" x14ac:dyDescent="0.3">
      <c r="A58" t="s">
        <v>96</v>
      </c>
      <c r="B58" t="s">
        <v>70</v>
      </c>
      <c r="C58">
        <v>4297.3999999999996</v>
      </c>
      <c r="D58" s="18">
        <v>4.8636767525602745E-3</v>
      </c>
      <c r="E58" s="18">
        <v>1.6390340815023122E-2</v>
      </c>
    </row>
    <row r="59" spans="1:5" x14ac:dyDescent="0.3">
      <c r="A59" t="s">
        <v>97</v>
      </c>
      <c r="B59" t="s">
        <v>70</v>
      </c>
      <c r="C59">
        <v>22510.9</v>
      </c>
      <c r="D59" s="18">
        <v>-5.1060277767911054E-4</v>
      </c>
      <c r="E59" s="18">
        <v>1.6793817273511702E-2</v>
      </c>
    </row>
    <row r="60" spans="1:5" x14ac:dyDescent="0.3">
      <c r="A60" t="s">
        <v>98</v>
      </c>
      <c r="B60" t="s">
        <v>70</v>
      </c>
      <c r="C60">
        <v>1809.4</v>
      </c>
      <c r="D60" s="18">
        <v>-1.2605729877216866E-2</v>
      </c>
      <c r="E60" s="18">
        <v>1.2251748251748303E-2</v>
      </c>
    </row>
    <row r="61" spans="1:5" x14ac:dyDescent="0.3">
      <c r="A61" t="s">
        <v>99</v>
      </c>
      <c r="B61" t="s">
        <v>70</v>
      </c>
      <c r="C61">
        <v>24320.3</v>
      </c>
      <c r="D61" s="18">
        <v>-1.424758776431974E-3</v>
      </c>
      <c r="E61" s="18">
        <v>1.6454489981861223E-2</v>
      </c>
    </row>
    <row r="63" spans="1:5" x14ac:dyDescent="0.3">
      <c r="A63" t="s">
        <v>0</v>
      </c>
      <c r="B63" t="s">
        <v>1</v>
      </c>
      <c r="C63" t="s">
        <v>2</v>
      </c>
      <c r="D63" s="18" t="s">
        <v>3</v>
      </c>
      <c r="E63" s="18" t="s">
        <v>4</v>
      </c>
    </row>
    <row r="64" spans="1:5" x14ac:dyDescent="0.3">
      <c r="A64" t="s">
        <v>9</v>
      </c>
      <c r="B64" t="s">
        <v>71</v>
      </c>
      <c r="C64">
        <v>2254.3000000000002</v>
      </c>
      <c r="D64" s="18">
        <v>3.190515426164986E-2</v>
      </c>
      <c r="E64" s="18">
        <v>9.8372636912882519E-2</v>
      </c>
    </row>
    <row r="65" spans="1:5" x14ac:dyDescent="0.3">
      <c r="A65" t="s">
        <v>72</v>
      </c>
      <c r="B65" t="s">
        <v>71</v>
      </c>
      <c r="C65">
        <v>376.6</v>
      </c>
      <c r="D65" s="18">
        <v>-2.0291363163371372E-2</v>
      </c>
      <c r="E65" s="18">
        <v>-0.1205044371788883</v>
      </c>
    </row>
    <row r="66" spans="1:5" x14ac:dyDescent="0.3">
      <c r="A66" t="s">
        <v>73</v>
      </c>
      <c r="B66" t="s">
        <v>71</v>
      </c>
      <c r="C66">
        <v>206.6</v>
      </c>
      <c r="D66" s="18">
        <v>0.19352975158867708</v>
      </c>
      <c r="E66" s="18">
        <v>0.31508593252705286</v>
      </c>
    </row>
    <row r="67" spans="1:5" x14ac:dyDescent="0.3">
      <c r="A67" t="s">
        <v>74</v>
      </c>
      <c r="B67" t="s">
        <v>71</v>
      </c>
      <c r="C67">
        <v>819.6</v>
      </c>
      <c r="D67" s="18">
        <v>-7.9308020669512494E-2</v>
      </c>
      <c r="E67" s="18">
        <v>2.9368575624081953E-3</v>
      </c>
    </row>
    <row r="68" spans="1:5" x14ac:dyDescent="0.3">
      <c r="A68" t="s">
        <v>75</v>
      </c>
      <c r="B68" t="s">
        <v>71</v>
      </c>
      <c r="C68">
        <v>551.6</v>
      </c>
      <c r="D68" s="18">
        <v>-3.4820647419072578E-2</v>
      </c>
      <c r="E68" s="18">
        <v>-9.6947935368042679E-3</v>
      </c>
    </row>
    <row r="69" spans="1:5" x14ac:dyDescent="0.3">
      <c r="A69" t="s">
        <v>76</v>
      </c>
      <c r="B69" t="s">
        <v>71</v>
      </c>
      <c r="C69">
        <v>7.2</v>
      </c>
      <c r="D69" s="18">
        <v>6.2</v>
      </c>
      <c r="E69" s="18">
        <v>-0.62105263157894741</v>
      </c>
    </row>
    <row r="70" spans="1:5" x14ac:dyDescent="0.3">
      <c r="A70" t="s">
        <v>77</v>
      </c>
      <c r="B70" t="s">
        <v>71</v>
      </c>
      <c r="C70">
        <v>264.89999999999998</v>
      </c>
      <c r="D70" s="18">
        <v>5.4538216560509514E-2</v>
      </c>
      <c r="E70" s="18">
        <v>0.10145530145530136</v>
      </c>
    </row>
    <row r="71" spans="1:5" x14ac:dyDescent="0.3">
      <c r="A71" t="s">
        <v>78</v>
      </c>
      <c r="B71" t="s">
        <v>71</v>
      </c>
      <c r="C71">
        <v>218.8</v>
      </c>
      <c r="D71" s="18">
        <v>5.5475156777616975E-2</v>
      </c>
      <c r="E71" s="18">
        <v>7.7301821762678566E-2</v>
      </c>
    </row>
    <row r="72" spans="1:5" x14ac:dyDescent="0.3">
      <c r="A72" t="s">
        <v>79</v>
      </c>
      <c r="B72" t="s">
        <v>71</v>
      </c>
      <c r="C72">
        <v>1063</v>
      </c>
      <c r="D72" s="18">
        <v>9.7800268511824898E-2</v>
      </c>
      <c r="E72" s="18">
        <v>9.6441464672511606E-2</v>
      </c>
    </row>
    <row r="73" spans="1:5" x14ac:dyDescent="0.3">
      <c r="A73" t="s">
        <v>80</v>
      </c>
      <c r="B73" t="s">
        <v>71</v>
      </c>
      <c r="C73">
        <v>389.4</v>
      </c>
      <c r="D73" s="18">
        <v>1.0641058915130978E-2</v>
      </c>
      <c r="E73" s="18">
        <v>1.4062499999999941E-2</v>
      </c>
    </row>
    <row r="74" spans="1:5" x14ac:dyDescent="0.3">
      <c r="A74" t="s">
        <v>81</v>
      </c>
      <c r="B74" t="s">
        <v>71</v>
      </c>
      <c r="C74">
        <v>279</v>
      </c>
      <c r="D74" s="18">
        <v>0.12909753136382035</v>
      </c>
      <c r="E74" s="18">
        <v>3.4099332839140059E-2</v>
      </c>
    </row>
    <row r="75" spans="1:5" x14ac:dyDescent="0.3">
      <c r="A75" t="s">
        <v>82</v>
      </c>
      <c r="B75" t="s">
        <v>71</v>
      </c>
      <c r="C75">
        <v>191.4</v>
      </c>
      <c r="D75" s="18">
        <v>1.2698412698412728E-2</v>
      </c>
      <c r="E75" s="18">
        <v>2.7375201288244735E-2</v>
      </c>
    </row>
    <row r="76" spans="1:5" x14ac:dyDescent="0.3">
      <c r="A76" t="s">
        <v>83</v>
      </c>
      <c r="B76" t="s">
        <v>71</v>
      </c>
      <c r="C76">
        <v>1086.7</v>
      </c>
      <c r="D76" s="18">
        <v>4.0900383141762496E-2</v>
      </c>
      <c r="E76" s="18">
        <v>9.6237264198527281E-2</v>
      </c>
    </row>
    <row r="77" spans="1:5" x14ac:dyDescent="0.3">
      <c r="A77" t="s">
        <v>84</v>
      </c>
      <c r="B77" t="s">
        <v>71</v>
      </c>
      <c r="C77">
        <v>2875.3</v>
      </c>
      <c r="D77" s="18">
        <v>9.125048257466746E-3</v>
      </c>
      <c r="E77" s="18">
        <v>2.7810545129580047E-2</v>
      </c>
    </row>
    <row r="78" spans="1:5" x14ac:dyDescent="0.3">
      <c r="A78" t="s">
        <v>85</v>
      </c>
      <c r="B78" t="s">
        <v>71</v>
      </c>
      <c r="C78">
        <v>1464.9</v>
      </c>
      <c r="D78" s="18">
        <v>5.8224373329480703E-2</v>
      </c>
      <c r="E78" s="18">
        <v>2.9661910451957575E-2</v>
      </c>
    </row>
    <row r="79" spans="1:5" x14ac:dyDescent="0.3">
      <c r="A79" t="s">
        <v>86</v>
      </c>
      <c r="B79" t="s">
        <v>71</v>
      </c>
      <c r="C79">
        <v>825.1</v>
      </c>
      <c r="D79" s="18">
        <v>2.560596643878188E-2</v>
      </c>
      <c r="E79" s="18">
        <v>7.0446289569278758E-2</v>
      </c>
    </row>
    <row r="80" spans="1:5" x14ac:dyDescent="0.3">
      <c r="A80" t="s">
        <v>87</v>
      </c>
      <c r="B80" t="s">
        <v>71</v>
      </c>
      <c r="C80">
        <v>906.6</v>
      </c>
      <c r="D80" s="18">
        <v>2.3135086333370952E-2</v>
      </c>
      <c r="E80" s="18">
        <v>1.5570740450319229E-2</v>
      </c>
    </row>
    <row r="81" spans="1:5" x14ac:dyDescent="0.3">
      <c r="A81" t="s">
        <v>88</v>
      </c>
      <c r="B81" t="s">
        <v>71</v>
      </c>
      <c r="C81">
        <v>978.2</v>
      </c>
      <c r="D81" s="18">
        <v>2.644281217208819E-2</v>
      </c>
      <c r="E81" s="18">
        <v>-6.829221830650542E-2</v>
      </c>
    </row>
    <row r="82" spans="1:5" x14ac:dyDescent="0.3">
      <c r="A82" t="s">
        <v>89</v>
      </c>
      <c r="B82" t="s">
        <v>71</v>
      </c>
      <c r="C82">
        <v>2250.1</v>
      </c>
      <c r="D82" s="18">
        <v>1.2904948380206885E-3</v>
      </c>
      <c r="E82" s="18">
        <v>1.5388086642599236E-2</v>
      </c>
    </row>
    <row r="83" spans="1:5" x14ac:dyDescent="0.3">
      <c r="A83" t="s">
        <v>90</v>
      </c>
      <c r="B83" t="s">
        <v>71</v>
      </c>
      <c r="C83">
        <v>1616.6</v>
      </c>
      <c r="D83" s="18">
        <v>3.2892695339166852E-3</v>
      </c>
      <c r="E83" s="18">
        <v>2.0194370819134166E-2</v>
      </c>
    </row>
    <row r="84" spans="1:5" x14ac:dyDescent="0.3">
      <c r="A84" t="s">
        <v>91</v>
      </c>
      <c r="B84" t="s">
        <v>71</v>
      </c>
      <c r="C84">
        <v>1091.8</v>
      </c>
      <c r="D84" s="18">
        <v>7.660359944623862E-3</v>
      </c>
      <c r="E84" s="18">
        <v>3.5666856383987769E-2</v>
      </c>
    </row>
    <row r="85" spans="1:5" x14ac:dyDescent="0.3">
      <c r="A85" t="s">
        <v>92</v>
      </c>
      <c r="B85" t="s">
        <v>71</v>
      </c>
      <c r="C85">
        <v>1507</v>
      </c>
      <c r="D85" s="18">
        <v>1.1002280960687033E-2</v>
      </c>
      <c r="E85" s="18">
        <v>2.8107518078864815E-2</v>
      </c>
    </row>
    <row r="86" spans="1:5" x14ac:dyDescent="0.3">
      <c r="A86" t="s">
        <v>93</v>
      </c>
      <c r="B86" t="s">
        <v>71</v>
      </c>
      <c r="C86">
        <v>1641.7</v>
      </c>
      <c r="D86" s="18">
        <v>2.1976680300348798E-3</v>
      </c>
      <c r="E86" s="18">
        <v>1.6658409710180885E-2</v>
      </c>
    </row>
    <row r="87" spans="1:5" x14ac:dyDescent="0.3">
      <c r="A87" t="s">
        <v>94</v>
      </c>
      <c r="B87" t="s">
        <v>71</v>
      </c>
      <c r="C87">
        <v>67.2</v>
      </c>
      <c r="D87" s="18">
        <v>1.5105740181268881E-2</v>
      </c>
      <c r="E87" s="18">
        <v>2.2831050228310501E-2</v>
      </c>
    </row>
    <row r="88" spans="1:5" x14ac:dyDescent="0.3">
      <c r="A88" t="s">
        <v>95</v>
      </c>
      <c r="B88" t="s">
        <v>71</v>
      </c>
      <c r="C88">
        <v>18646</v>
      </c>
      <c r="D88" s="18">
        <v>2.37461223817498E-2</v>
      </c>
      <c r="E88" s="18">
        <v>3.7162293705048893E-2</v>
      </c>
    </row>
    <row r="89" spans="1:5" x14ac:dyDescent="0.3">
      <c r="A89" t="s">
        <v>96</v>
      </c>
      <c r="B89" t="s">
        <v>71</v>
      </c>
      <c r="C89">
        <v>4287.2</v>
      </c>
      <c r="D89" s="18">
        <v>-2.3735281798296223E-3</v>
      </c>
      <c r="E89" s="18">
        <v>1.513034830582711E-2</v>
      </c>
    </row>
    <row r="90" spans="1:5" x14ac:dyDescent="0.3">
      <c r="A90" t="s">
        <v>97</v>
      </c>
      <c r="B90" t="s">
        <v>71</v>
      </c>
      <c r="C90">
        <v>22933.3</v>
      </c>
      <c r="D90" s="18">
        <v>1.876424310000923E-2</v>
      </c>
      <c r="E90" s="18">
        <v>3.2975695007477004E-2</v>
      </c>
    </row>
    <row r="91" spans="1:5" x14ac:dyDescent="0.3">
      <c r="A91" t="s">
        <v>98</v>
      </c>
      <c r="B91" t="s">
        <v>71</v>
      </c>
      <c r="C91">
        <v>1833.3</v>
      </c>
      <c r="D91" s="18">
        <v>1.3208798496739175E-2</v>
      </c>
      <c r="E91" s="18">
        <v>1.4217747289223306E-2</v>
      </c>
    </row>
    <row r="92" spans="1:5" x14ac:dyDescent="0.3">
      <c r="A92" t="s">
        <v>99</v>
      </c>
      <c r="B92" t="s">
        <v>71</v>
      </c>
      <c r="C92">
        <v>24766.5</v>
      </c>
      <c r="D92" s="18">
        <v>1.8346813156087743E-2</v>
      </c>
      <c r="E92" s="18">
        <v>3.1559261604078535E-2</v>
      </c>
    </row>
  </sheetData>
  <mergeCells count="2">
    <mergeCell ref="G1:I1"/>
    <mergeCell ref="G8:I8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99"/>
  <sheetViews>
    <sheetView zoomScale="68" zoomScaleNormal="59" workbookViewId="0">
      <selection activeCell="H1" sqref="H1"/>
    </sheetView>
  </sheetViews>
  <sheetFormatPr defaultRowHeight="14.4" x14ac:dyDescent="0.3"/>
  <cols>
    <col min="1" max="1" width="69.77734375" bestFit="1" customWidth="1"/>
    <col min="2" max="2" width="10.77734375" bestFit="1" customWidth="1"/>
    <col min="3" max="3" width="16.88671875" bestFit="1" customWidth="1"/>
    <col min="4" max="4" width="16.44140625" bestFit="1" customWidth="1"/>
    <col min="5" max="5" width="15.33203125" bestFit="1" customWidth="1"/>
    <col min="6" max="6" width="15.6640625" bestFit="1" customWidth="1"/>
    <col min="7" max="7" width="19.109375" bestFit="1" customWidth="1"/>
    <col min="8" max="8" width="18.5546875" bestFit="1" customWidth="1"/>
    <col min="9" max="9" width="7.6640625" bestFit="1" customWidth="1"/>
    <col min="11" max="11" width="10.109375" bestFit="1" customWidth="1"/>
    <col min="12" max="12" width="6.88671875" customWidth="1"/>
    <col min="13" max="14" width="9.10937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4" t="s">
        <v>6</v>
      </c>
      <c r="H1" s="4" t="s">
        <v>7</v>
      </c>
      <c r="I1" s="5" t="s">
        <v>8</v>
      </c>
    </row>
    <row r="2" spans="1:9" x14ac:dyDescent="0.3">
      <c r="A2" s="2" t="s">
        <v>9</v>
      </c>
      <c r="B2" s="2" t="s">
        <v>10</v>
      </c>
      <c r="C2" s="2">
        <v>1498.5</v>
      </c>
      <c r="D2" s="6"/>
      <c r="E2" s="6"/>
      <c r="F2" s="2">
        <v>1098</v>
      </c>
      <c r="G2" s="7"/>
      <c r="H2" s="7"/>
      <c r="I2" s="2"/>
    </row>
    <row r="3" spans="1:9" x14ac:dyDescent="0.3">
      <c r="A3" s="2" t="s">
        <v>9</v>
      </c>
      <c r="B3" s="2" t="s">
        <v>11</v>
      </c>
      <c r="C3" s="2">
        <v>1525.7</v>
      </c>
      <c r="D3" s="6">
        <f>(Table2_1[[#This Row],[Constant Prices]]-C2)/C2</f>
        <v>1.8151484818151514E-2</v>
      </c>
      <c r="E3" s="6"/>
      <c r="F3" s="2">
        <v>1110.2</v>
      </c>
      <c r="G3" s="7">
        <f>(Table2_1[[#This Row],[Current Prices]]-F2)/F2</f>
        <v>1.1111111111111153E-2</v>
      </c>
      <c r="H3" s="7"/>
      <c r="I3" s="2"/>
    </row>
    <row r="4" spans="1:9" x14ac:dyDescent="0.3">
      <c r="A4" s="2" t="s">
        <v>9</v>
      </c>
      <c r="B4" s="2" t="s">
        <v>12</v>
      </c>
      <c r="C4" s="2">
        <v>1554.3</v>
      </c>
      <c r="D4" s="6">
        <f>(Table2_1[[#This Row],[Constant Prices]]-C3)/C3</f>
        <v>1.8745493871665405E-2</v>
      </c>
      <c r="E4" s="6"/>
      <c r="F4" s="2">
        <v>1160.9000000000001</v>
      </c>
      <c r="G4" s="7">
        <f>(Table2_1[[#This Row],[Current Prices]]-F3)/F3</f>
        <v>4.5667447306791606E-2</v>
      </c>
      <c r="H4" s="7"/>
      <c r="I4" s="2"/>
    </row>
    <row r="5" spans="1:9" x14ac:dyDescent="0.3">
      <c r="A5" s="2" t="s">
        <v>9</v>
      </c>
      <c r="B5" s="2" t="s">
        <v>13</v>
      </c>
      <c r="C5" s="2">
        <v>1590.2</v>
      </c>
      <c r="D5" s="6">
        <f>(Table2_1[[#This Row],[Constant Prices]]-C4)/C4</f>
        <v>2.3097214180016788E-2</v>
      </c>
      <c r="E5" s="6"/>
      <c r="F5" s="2">
        <v>1158.9000000000001</v>
      </c>
      <c r="G5" s="7">
        <f>(Table2_1[[#This Row],[Current Prices]]-F4)/F4</f>
        <v>-1.7228012748729434E-3</v>
      </c>
      <c r="H5" s="7"/>
      <c r="I5" s="2"/>
    </row>
    <row r="6" spans="1:9" x14ac:dyDescent="0.3">
      <c r="A6" s="2" t="s">
        <v>9</v>
      </c>
      <c r="B6" s="2" t="s">
        <v>14</v>
      </c>
      <c r="C6" s="2">
        <v>1659.6</v>
      </c>
      <c r="D6" s="6">
        <f>(Table2_1[[#This Row],[Constant Prices]]-C5)/C5</f>
        <v>4.3642309143503873E-2</v>
      </c>
      <c r="E6" s="6">
        <f>(Table2_1[[#This Row],[Constant Prices]]-C2)/C2</f>
        <v>0.10750750750750744</v>
      </c>
      <c r="F6" s="2">
        <v>1231.3</v>
      </c>
      <c r="G6" s="7">
        <f>(Table2_1[[#This Row],[Current Prices]]-F5)/F5</f>
        <v>6.2473034774354869E-2</v>
      </c>
      <c r="H6" s="7">
        <f>(Table2_1[[#This Row],[Current Prices]]-F2)/F2</f>
        <v>0.12140255009107465</v>
      </c>
      <c r="I6" s="2"/>
    </row>
    <row r="7" spans="1:9" x14ac:dyDescent="0.3">
      <c r="A7" s="2" t="s">
        <v>9</v>
      </c>
      <c r="B7" s="2" t="s">
        <v>15</v>
      </c>
      <c r="C7" s="2">
        <v>1696.8</v>
      </c>
      <c r="D7" s="6">
        <f>(Table2_1[[#This Row],[Constant Prices]]-C6)/C6</f>
        <v>2.2415039768618972E-2</v>
      </c>
      <c r="E7" s="6">
        <f>(Table2_1[[#This Row],[Constant Prices]]-C3)/C3</f>
        <v>0.11214524480566292</v>
      </c>
      <c r="F7" s="2">
        <v>1241.5</v>
      </c>
      <c r="G7" s="7">
        <f>(Table2_1[[#This Row],[Current Prices]]-F6)/F6</f>
        <v>8.2839275562414088E-3</v>
      </c>
      <c r="H7" s="7">
        <f>(Table2_1[[#This Row],[Current Prices]]-F3)/F3</f>
        <v>0.11826697892271658</v>
      </c>
      <c r="I7" s="2"/>
    </row>
    <row r="8" spans="1:9" x14ac:dyDescent="0.3">
      <c r="A8" s="2" t="s">
        <v>9</v>
      </c>
      <c r="B8" s="2" t="s">
        <v>16</v>
      </c>
      <c r="C8" s="2">
        <v>1736.4</v>
      </c>
      <c r="D8" s="6">
        <f>(Table2_1[[#This Row],[Constant Prices]]-C7)/C7</f>
        <v>2.3338048090523419E-2</v>
      </c>
      <c r="E8" s="6">
        <f>(Table2_1[[#This Row],[Constant Prices]]-C4)/C4</f>
        <v>0.11715884964292617</v>
      </c>
      <c r="F8" s="2">
        <v>1311.5</v>
      </c>
      <c r="G8" s="7">
        <f>(Table2_1[[#This Row],[Current Prices]]-F7)/F7</f>
        <v>5.6383407168747485E-2</v>
      </c>
      <c r="H8" s="7">
        <f>(Table2_1[[#This Row],[Current Prices]]-F4)/F4</f>
        <v>0.12972693599793256</v>
      </c>
      <c r="I8" s="2"/>
    </row>
    <row r="9" spans="1:9" x14ac:dyDescent="0.3">
      <c r="A9" s="2" t="s">
        <v>9</v>
      </c>
      <c r="B9" s="2" t="s">
        <v>17</v>
      </c>
      <c r="C9" s="2">
        <v>1777.9</v>
      </c>
      <c r="D9" s="6">
        <f>(Table2_1[[#This Row],[Constant Prices]]-C8)/C8</f>
        <v>2.3900023036166781E-2</v>
      </c>
      <c r="E9" s="6">
        <f>(Table2_1[[#This Row],[Constant Prices]]-C5)/C5</f>
        <v>0.11803546723682558</v>
      </c>
      <c r="F9" s="2">
        <v>1348.8</v>
      </c>
      <c r="G9" s="7">
        <f>(Table2_1[[#This Row],[Current Prices]]-F8)/F8</f>
        <v>2.8440716736561154E-2</v>
      </c>
      <c r="H9" s="7">
        <f>(Table2_1[[#This Row],[Current Prices]]-F5)/F5</f>
        <v>0.16386228319958568</v>
      </c>
      <c r="I9" s="2">
        <v>1</v>
      </c>
    </row>
    <row r="10" spans="1:9" x14ac:dyDescent="0.3">
      <c r="A10" s="2" t="s">
        <v>9</v>
      </c>
      <c r="B10" s="2" t="s">
        <v>18</v>
      </c>
      <c r="C10" s="2">
        <v>1808.4</v>
      </c>
      <c r="D10" s="6">
        <f>(Table2_1[[#This Row],[Constant Prices]]-C9)/C9</f>
        <v>1.7155070588897012E-2</v>
      </c>
      <c r="E10" s="6">
        <f>(Table2_1[[#This Row],[Constant Prices]]-C6)/C6</f>
        <v>8.9660159074475887E-2</v>
      </c>
      <c r="F10" s="2">
        <v>1472.1</v>
      </c>
      <c r="G10" s="7">
        <f>(Table2_1[[#This Row],[Current Prices]]-F9)/F9</f>
        <v>9.1414590747330937E-2</v>
      </c>
      <c r="H10" s="7">
        <f>(Table2_1[[#This Row],[Current Prices]]-F6)/F6</f>
        <v>0.19556566230812958</v>
      </c>
      <c r="I10" s="2"/>
    </row>
    <row r="11" spans="1:9" x14ac:dyDescent="0.3">
      <c r="A11" s="2" t="s">
        <v>9</v>
      </c>
      <c r="B11" s="2" t="s">
        <v>19</v>
      </c>
      <c r="C11" s="2">
        <v>1855.3</v>
      </c>
      <c r="D11" s="6">
        <f>(Table2_1[[#This Row],[Constant Prices]]-C10)/C10</f>
        <v>2.59345277593452E-2</v>
      </c>
      <c r="E11" s="6">
        <f>(Table2_1[[#This Row],[Constant Prices]]-C7)/C7</f>
        <v>9.3411126826968408E-2</v>
      </c>
      <c r="F11" s="2">
        <v>1516.6</v>
      </c>
      <c r="G11" s="7">
        <f>(Table2_1[[#This Row],[Current Prices]]-F10)/F10</f>
        <v>3.0228924665443926E-2</v>
      </c>
      <c r="H11" s="7">
        <f>(Table2_1[[#This Row],[Current Prices]]-F7)/F7</f>
        <v>0.22158679017317753</v>
      </c>
      <c r="I11" s="2"/>
    </row>
    <row r="12" spans="1:9" x14ac:dyDescent="0.3">
      <c r="A12" s="2" t="s">
        <v>9</v>
      </c>
      <c r="B12" s="2" t="s">
        <v>20</v>
      </c>
      <c r="C12" s="2">
        <v>1891.6</v>
      </c>
      <c r="D12" s="6">
        <f>(Table2_1[[#This Row],[Constant Prices]]-C11)/C11</f>
        <v>1.9565568910688273E-2</v>
      </c>
      <c r="E12" s="6">
        <f>(Table2_1[[#This Row],[Constant Prices]]-C8)/C8</f>
        <v>8.9380327113568192E-2</v>
      </c>
      <c r="F12" s="2">
        <v>1562.1</v>
      </c>
      <c r="G12" s="7">
        <f>(Table2_1[[#This Row],[Current Prices]]-F11)/F11</f>
        <v>3.0001318739285247E-2</v>
      </c>
      <c r="H12" s="7">
        <f>(Table2_1[[#This Row],[Current Prices]]-F8)/F8</f>
        <v>0.1910789172703011</v>
      </c>
      <c r="I12" s="2"/>
    </row>
    <row r="13" spans="1:9" x14ac:dyDescent="0.3">
      <c r="A13" s="2" t="s">
        <v>9</v>
      </c>
      <c r="B13" s="2" t="s">
        <v>21</v>
      </c>
      <c r="C13" s="2">
        <v>1917.7</v>
      </c>
      <c r="D13" s="6">
        <f>(Table2_1[[#This Row],[Constant Prices]]-C12)/C12</f>
        <v>1.3797843095791995E-2</v>
      </c>
      <c r="E13" s="6">
        <f>(Table2_1[[#This Row],[Constant Prices]]-C9)/C9</f>
        <v>7.8632094043534481E-2</v>
      </c>
      <c r="F13" s="2">
        <v>1582.7</v>
      </c>
      <c r="G13" s="7">
        <f>(Table2_1[[#This Row],[Current Prices]]-F12)/F12</f>
        <v>1.318737596824796E-2</v>
      </c>
      <c r="H13" s="7">
        <f>(Table2_1[[#This Row],[Current Prices]]-F9)/F9</f>
        <v>0.17341340450771064</v>
      </c>
      <c r="I13" s="2">
        <v>2</v>
      </c>
    </row>
    <row r="14" spans="1:9" x14ac:dyDescent="0.3">
      <c r="A14" s="2" t="s">
        <v>9</v>
      </c>
      <c r="B14" s="2" t="s">
        <v>22</v>
      </c>
      <c r="C14" s="2">
        <v>1718</v>
      </c>
      <c r="D14" s="6">
        <f>(Table2_1[[#This Row],[Constant Prices]]-C13)/C13</f>
        <v>-0.10413516191270795</v>
      </c>
      <c r="E14" s="6">
        <f>(Table2_1[[#This Row],[Constant Prices]]-C10)/C10</f>
        <v>-4.9988940499889452E-2</v>
      </c>
      <c r="F14" s="2">
        <v>1536.6</v>
      </c>
      <c r="G14" s="7">
        <f>(Table2_1[[#This Row],[Current Prices]]-F13)/F13</f>
        <v>-2.9127440449864241E-2</v>
      </c>
      <c r="H14" s="7">
        <f>(Table2_1[[#This Row],[Current Prices]]-F10)/F10</f>
        <v>4.3814958222946815E-2</v>
      </c>
      <c r="I14" s="2"/>
    </row>
    <row r="15" spans="1:9" x14ac:dyDescent="0.3">
      <c r="A15" s="2" t="s">
        <v>9</v>
      </c>
      <c r="B15" s="2" t="s">
        <v>23</v>
      </c>
      <c r="C15" s="2">
        <v>1754.5</v>
      </c>
      <c r="D15" s="6">
        <f>(Table2_1[[#This Row],[Constant Prices]]-C14)/C14</f>
        <v>2.1245634458672877E-2</v>
      </c>
      <c r="E15" s="6">
        <f>(Table2_1[[#This Row],[Constant Prices]]-C11)/C11</f>
        <v>-5.4330835983398891E-2</v>
      </c>
      <c r="F15" s="2">
        <v>1556</v>
      </c>
      <c r="G15" s="7">
        <f>(Table2_1[[#This Row],[Current Prices]]-F14)/F14</f>
        <v>1.2625276584667508E-2</v>
      </c>
      <c r="H15" s="7">
        <f>(Table2_1[[#This Row],[Current Prices]]-F11)/F11</f>
        <v>2.5979163919293217E-2</v>
      </c>
      <c r="I15" s="2"/>
    </row>
    <row r="16" spans="1:9" x14ac:dyDescent="0.3">
      <c r="A16" s="2" t="s">
        <v>9</v>
      </c>
      <c r="B16" s="2" t="s">
        <v>24</v>
      </c>
      <c r="C16" s="2">
        <v>1790.4</v>
      </c>
      <c r="D16" s="6">
        <f>(Table2_1[[#This Row],[Constant Prices]]-C15)/C15</f>
        <v>2.0461669991450607E-2</v>
      </c>
      <c r="E16" s="6">
        <f>(Table2_1[[#This Row],[Constant Prices]]-C12)/C12</f>
        <v>-5.34996828082046E-2</v>
      </c>
      <c r="F16" s="2">
        <v>1585.9</v>
      </c>
      <c r="G16" s="7">
        <f>(Table2_1[[#This Row],[Current Prices]]-F15)/F15</f>
        <v>1.9215938303341961E-2</v>
      </c>
      <c r="H16" s="7">
        <f>(Table2_1[[#This Row],[Current Prices]]-F12)/F12</f>
        <v>1.5235900390500086E-2</v>
      </c>
      <c r="I16" s="2"/>
    </row>
    <row r="17" spans="1:9" x14ac:dyDescent="0.3">
      <c r="A17" s="2" t="s">
        <v>9</v>
      </c>
      <c r="B17" s="2" t="s">
        <v>25</v>
      </c>
      <c r="C17" s="2">
        <v>1838.2</v>
      </c>
      <c r="D17" s="6">
        <f>(Table2_1[[#This Row],[Constant Prices]]-C16)/C16</f>
        <v>2.6697944593386924E-2</v>
      </c>
      <c r="E17" s="6">
        <f>(Table2_1[[#This Row],[Constant Prices]]-C13)/C13</f>
        <v>-4.1455910726390988E-2</v>
      </c>
      <c r="F17" s="2">
        <v>1625</v>
      </c>
      <c r="G17" s="7">
        <f>(Table2_1[[#This Row],[Current Prices]]-F16)/F16</f>
        <v>2.4654770162053034E-2</v>
      </c>
      <c r="H17" s="7">
        <f>(Table2_1[[#This Row],[Current Prices]]-F13)/F13</f>
        <v>2.6726480065710465E-2</v>
      </c>
      <c r="I17" s="2">
        <v>3</v>
      </c>
    </row>
    <row r="18" spans="1:9" x14ac:dyDescent="0.3">
      <c r="A18" s="2" t="s">
        <v>9</v>
      </c>
      <c r="B18" s="2" t="s">
        <v>26</v>
      </c>
      <c r="C18" s="2">
        <v>1869.7</v>
      </c>
      <c r="D18" s="6">
        <f>(Table2_1[[#This Row],[Constant Prices]]-C17)/C17</f>
        <v>1.7136329017517136E-2</v>
      </c>
      <c r="E18" s="6">
        <f>(Table2_1[[#This Row],[Constant Prices]]-C14)/C14</f>
        <v>8.8300349243306195E-2</v>
      </c>
      <c r="F18" s="2">
        <v>1747.8</v>
      </c>
      <c r="G18" s="7">
        <f>(Table2_1[[#This Row],[Current Prices]]-F17)/F17</f>
        <v>7.5569230769230736E-2</v>
      </c>
      <c r="H18" s="7">
        <f>(Table2_1[[#This Row],[Current Prices]]-F14)/F14</f>
        <v>0.13744631003514257</v>
      </c>
      <c r="I18" s="2"/>
    </row>
    <row r="19" spans="1:9" x14ac:dyDescent="0.3">
      <c r="A19" s="2" t="s">
        <v>9</v>
      </c>
      <c r="B19" s="2" t="s">
        <v>27</v>
      </c>
      <c r="C19" s="2">
        <v>1932.5</v>
      </c>
      <c r="D19" s="6">
        <f>(Table2_1[[#This Row],[Constant Prices]]-C18)/C18</f>
        <v>3.3588276194041797E-2</v>
      </c>
      <c r="E19" s="6">
        <f>(Table2_1[[#This Row],[Constant Prices]]-C15)/C15</f>
        <v>0.10145340552864064</v>
      </c>
      <c r="F19" s="2">
        <v>1794</v>
      </c>
      <c r="G19" s="7">
        <f>(Table2_1[[#This Row],[Current Prices]]-F18)/F18</f>
        <v>2.6433230346721619E-2</v>
      </c>
      <c r="H19" s="7">
        <f>(Table2_1[[#This Row],[Current Prices]]-F15)/F15</f>
        <v>0.15295629820051415</v>
      </c>
      <c r="I19" s="2"/>
    </row>
    <row r="20" spans="1:9" x14ac:dyDescent="0.3">
      <c r="A20" s="2" t="s">
        <v>9</v>
      </c>
      <c r="B20" s="2" t="s">
        <v>28</v>
      </c>
      <c r="C20" s="2">
        <v>1971.9</v>
      </c>
      <c r="D20" s="6">
        <f>(Table2_1[[#This Row],[Constant Prices]]-C19)/C19</f>
        <v>2.0388098318240667E-2</v>
      </c>
      <c r="E20" s="6">
        <f>(Table2_1[[#This Row],[Constant Prices]]-C16)/C16</f>
        <v>0.1013739946380697</v>
      </c>
      <c r="F20" s="2">
        <v>1888.6</v>
      </c>
      <c r="G20" s="7">
        <f>(Table2_1[[#This Row],[Current Prices]]-F19)/F19</f>
        <v>5.2731326644370073E-2</v>
      </c>
      <c r="H20" s="7">
        <f>(Table2_1[[#This Row],[Current Prices]]-F16)/F16</f>
        <v>0.19086953780187893</v>
      </c>
      <c r="I20" s="2"/>
    </row>
    <row r="21" spans="1:9" x14ac:dyDescent="0.3">
      <c r="A21" s="2" t="s">
        <v>9</v>
      </c>
      <c r="B21" s="2" t="s">
        <v>29</v>
      </c>
      <c r="C21" s="2">
        <v>1987.4</v>
      </c>
      <c r="D21" s="6">
        <f>(Table2_1[[#This Row],[Constant Prices]]-C20)/C20</f>
        <v>7.8604391703433231E-3</v>
      </c>
      <c r="E21" s="6">
        <f>(Table2_1[[#This Row],[Constant Prices]]-C17)/C17</f>
        <v>8.1166358394081192E-2</v>
      </c>
      <c r="F21" s="2">
        <v>1885.1</v>
      </c>
      <c r="G21" s="7">
        <f>(Table2_1[[#This Row],[Current Prices]]-F20)/F20</f>
        <v>-1.8532246108228319E-3</v>
      </c>
      <c r="H21" s="7">
        <f>(Table2_1[[#This Row],[Current Prices]]-F17)/F17</f>
        <v>0.16006153846153839</v>
      </c>
      <c r="I21" s="2">
        <v>4</v>
      </c>
    </row>
    <row r="22" spans="1:9" x14ac:dyDescent="0.3">
      <c r="A22" s="2" t="s">
        <v>9</v>
      </c>
      <c r="B22" s="2" t="s">
        <v>30</v>
      </c>
      <c r="C22" s="2">
        <v>2033.7</v>
      </c>
      <c r="D22" s="6">
        <f>(Table2_1[[#This Row],[Constant Prices]]-C21)/C21</f>
        <v>2.3296769648787335E-2</v>
      </c>
      <c r="E22" s="6">
        <f>(Table2_1[[#This Row],[Constant Prices]]-C18)/C18</f>
        <v>8.7714606621383112E-2</v>
      </c>
      <c r="F22" s="2">
        <v>2006.4</v>
      </c>
      <c r="G22" s="7">
        <f>(Table2_1[[#This Row],[Current Prices]]-F21)/F21</f>
        <v>6.4346719006949327E-2</v>
      </c>
      <c r="H22" s="7">
        <f>(Table2_1[[#This Row],[Current Prices]]-F18)/F18</f>
        <v>0.14795743220048069</v>
      </c>
      <c r="I22" s="2"/>
    </row>
    <row r="23" spans="1:9" x14ac:dyDescent="0.3">
      <c r="A23" s="2" t="s">
        <v>9</v>
      </c>
      <c r="B23" s="2" t="s">
        <v>31</v>
      </c>
      <c r="C23" s="2">
        <v>2043.2</v>
      </c>
      <c r="D23" s="6">
        <f>(Table2_1[[#This Row],[Constant Prices]]-C22)/C22</f>
        <v>4.6712887839897724E-3</v>
      </c>
      <c r="E23" s="6">
        <f>(Table2_1[[#This Row],[Constant Prices]]-C19)/C19</f>
        <v>5.728331177231568E-2</v>
      </c>
      <c r="F23" s="2">
        <v>2006</v>
      </c>
      <c r="G23" s="7">
        <f>(Table2_1[[#This Row],[Current Prices]]-F22)/F22</f>
        <v>-1.9936204146734995E-4</v>
      </c>
      <c r="H23" s="7">
        <f>(Table2_1[[#This Row],[Current Prices]]-F19)/F19</f>
        <v>0.11817168338907469</v>
      </c>
      <c r="I23" s="2"/>
    </row>
    <row r="24" spans="1:9" x14ac:dyDescent="0.3">
      <c r="A24" s="2" t="s">
        <v>9</v>
      </c>
      <c r="B24" s="2" t="s">
        <v>32</v>
      </c>
      <c r="C24" s="2">
        <v>2080.3000000000002</v>
      </c>
      <c r="D24" s="6">
        <f>(Table2_1[[#This Row],[Constant Prices]]-C23)/C23</f>
        <v>1.8157791699295288E-2</v>
      </c>
      <c r="E24" s="6">
        <f>(Table2_1[[#This Row],[Constant Prices]]-C20)/C20</f>
        <v>5.4972361681626898E-2</v>
      </c>
      <c r="F24" s="2">
        <v>2113</v>
      </c>
      <c r="G24" s="7">
        <f>(Table2_1[[#This Row],[Current Prices]]-F23)/F23</f>
        <v>5.333998005982054E-2</v>
      </c>
      <c r="H24" s="7">
        <f>(Table2_1[[#This Row],[Current Prices]]-F20)/F20</f>
        <v>0.11881817219104103</v>
      </c>
      <c r="I24" s="2"/>
    </row>
    <row r="25" spans="1:9" x14ac:dyDescent="0.3">
      <c r="A25" s="2" t="s">
        <v>9</v>
      </c>
      <c r="B25" s="2" t="s">
        <v>33</v>
      </c>
      <c r="C25" s="2">
        <v>2110</v>
      </c>
      <c r="D25" s="6">
        <f>(Table2_1[[#This Row],[Constant Prices]]-C24)/C24</f>
        <v>1.427678700187464E-2</v>
      </c>
      <c r="E25" s="6">
        <f>(Table2_1[[#This Row],[Constant Prices]]-C21)/C21</f>
        <v>6.168863842205892E-2</v>
      </c>
      <c r="F25" s="2">
        <v>2141.8000000000002</v>
      </c>
      <c r="G25" s="7">
        <f>(Table2_1[[#This Row],[Current Prices]]-F24)/F24</f>
        <v>1.3629910080454416E-2</v>
      </c>
      <c r="H25" s="7">
        <f>(Table2_1[[#This Row],[Current Prices]]-F21)/F21</f>
        <v>0.13617314731314004</v>
      </c>
      <c r="I25" s="2">
        <v>5</v>
      </c>
    </row>
    <row r="26" spans="1:9" x14ac:dyDescent="0.3">
      <c r="A26" s="2" t="s">
        <v>9</v>
      </c>
      <c r="B26" s="2" t="s">
        <v>34</v>
      </c>
      <c r="C26" s="2">
        <v>1848.5</v>
      </c>
      <c r="D26" s="6">
        <f>(Table2_1[[#This Row],[Constant Prices]]-C25)/C25</f>
        <v>-0.12393364928909953</v>
      </c>
      <c r="E26" s="6">
        <f>(Table2_1[[#This Row],[Constant Prices]]-C22)/C22</f>
        <v>-9.1065545557358532E-2</v>
      </c>
      <c r="F26" s="2">
        <v>1950.5</v>
      </c>
      <c r="G26" s="7">
        <f>(Table2_1[[#This Row],[Current Prices]]-F25)/F25</f>
        <v>-8.9317396582314024E-2</v>
      </c>
      <c r="H26" s="7">
        <f>(Table2_1[[#This Row],[Current Prices]]-F22)/F22</f>
        <v>-2.7860845295055864E-2</v>
      </c>
      <c r="I26" s="2"/>
    </row>
    <row r="27" spans="1:9" x14ac:dyDescent="0.3">
      <c r="A27" s="2" t="s">
        <v>9</v>
      </c>
      <c r="B27" s="2" t="s">
        <v>35</v>
      </c>
      <c r="C27" s="2">
        <v>1879.4</v>
      </c>
      <c r="D27" s="6">
        <f>(Table2_1[[#This Row],[Constant Prices]]-C26)/C26</f>
        <v>1.6716256424127721E-2</v>
      </c>
      <c r="E27" s="6">
        <f>(Table2_1[[#This Row],[Constant Prices]]-C23)/C23</f>
        <v>-8.0168363351605307E-2</v>
      </c>
      <c r="F27" s="2">
        <v>1988.8</v>
      </c>
      <c r="G27" s="7">
        <f>(Table2_1[[#This Row],[Current Prices]]-F26)/F26</f>
        <v>1.9635990771597004E-2</v>
      </c>
      <c r="H27" s="7">
        <f>(Table2_1[[#This Row],[Current Prices]]-F23)/F23</f>
        <v>-8.5742771684945394E-3</v>
      </c>
      <c r="I27" s="2"/>
    </row>
    <row r="28" spans="1:9" x14ac:dyDescent="0.3">
      <c r="A28" s="2" t="s">
        <v>9</v>
      </c>
      <c r="B28" s="2" t="s">
        <v>36</v>
      </c>
      <c r="C28" s="2">
        <v>1928.3</v>
      </c>
      <c r="D28" s="6">
        <f>(Table2_1[[#This Row],[Constant Prices]]-C27)/C27</f>
        <v>2.6018942215600648E-2</v>
      </c>
      <c r="E28" s="6">
        <f>(Table2_1[[#This Row],[Constant Prices]]-C24)/C24</f>
        <v>-7.306638465605933E-2</v>
      </c>
      <c r="F28" s="2">
        <v>2071</v>
      </c>
      <c r="G28" s="7">
        <f>(Table2_1[[#This Row],[Current Prices]]-F27)/F27</f>
        <v>4.1331456154465027E-2</v>
      </c>
      <c r="H28" s="7">
        <f>(Table2_1[[#This Row],[Current Prices]]-F24)/F24</f>
        <v>-1.9876952200662566E-2</v>
      </c>
      <c r="I28" s="2"/>
    </row>
    <row r="29" spans="1:9" x14ac:dyDescent="0.3">
      <c r="A29" s="2" t="s">
        <v>9</v>
      </c>
      <c r="B29" s="2" t="s">
        <v>37</v>
      </c>
      <c r="C29" s="2">
        <v>1977.9</v>
      </c>
      <c r="D29" s="6">
        <f>(Table2_1[[#This Row],[Constant Prices]]-C28)/C28</f>
        <v>2.5722138671368633E-2</v>
      </c>
      <c r="E29" s="6">
        <f>(Table2_1[[#This Row],[Constant Prices]]-C25)/C25</f>
        <v>-6.2606635071090003E-2</v>
      </c>
      <c r="F29" s="2">
        <v>2113.4</v>
      </c>
      <c r="G29" s="7">
        <f>(Table2_1[[#This Row],[Current Prices]]-F28)/F28</f>
        <v>2.0473201352003905E-2</v>
      </c>
      <c r="H29" s="7">
        <f>(Table2_1[[#This Row],[Current Prices]]-F25)/F25</f>
        <v>-1.3259874871603365E-2</v>
      </c>
      <c r="I29" s="2">
        <v>6</v>
      </c>
    </row>
    <row r="30" spans="1:9" x14ac:dyDescent="0.3">
      <c r="A30" s="2" t="s">
        <v>9</v>
      </c>
      <c r="B30" s="2" t="s">
        <v>38</v>
      </c>
      <c r="C30" s="2">
        <v>1985.5</v>
      </c>
      <c r="D30" s="6">
        <f>(Table2_1[[#This Row],[Constant Prices]]-C29)/C29</f>
        <v>3.8424591738712315E-3</v>
      </c>
      <c r="E30" s="6">
        <f>(Table2_1[[#This Row],[Constant Prices]]-C26)/C26</f>
        <v>7.4114146605355688E-2</v>
      </c>
      <c r="F30" s="2">
        <v>2238.6999999999998</v>
      </c>
      <c r="G30" s="7">
        <f>(Table2_1[[#This Row],[Current Prices]]-F29)/F29</f>
        <v>5.9288350525219892E-2</v>
      </c>
      <c r="H30" s="7">
        <f>(Table2_1[[#This Row],[Current Prices]]-F26)/F26</f>
        <v>0.14775698538836188</v>
      </c>
      <c r="I30" s="2"/>
    </row>
    <row r="31" spans="1:9" x14ac:dyDescent="0.3">
      <c r="A31" s="2" t="s">
        <v>9</v>
      </c>
      <c r="B31" s="2" t="s">
        <v>39</v>
      </c>
      <c r="C31" s="2">
        <v>2004.9</v>
      </c>
      <c r="D31" s="6">
        <f>(Table2_1[[#This Row],[Constant Prices]]-C30)/C30</f>
        <v>9.770838579702892E-3</v>
      </c>
      <c r="E31" s="6">
        <f>(Table2_1[[#This Row],[Constant Prices]]-C27)/C27</f>
        <v>6.6776630839629661E-2</v>
      </c>
      <c r="F31" s="2">
        <v>2277.8000000000002</v>
      </c>
      <c r="G31" s="7">
        <f>(Table2_1[[#This Row],[Current Prices]]-F30)/F30</f>
        <v>1.7465493366686187E-2</v>
      </c>
      <c r="H31" s="7">
        <f>(Table2_1[[#This Row],[Current Prices]]-F27)/F27</f>
        <v>0.14531375703942087</v>
      </c>
      <c r="I31" s="2"/>
    </row>
    <row r="32" spans="1:9" x14ac:dyDescent="0.3">
      <c r="A32" s="2" t="s">
        <v>9</v>
      </c>
      <c r="B32" s="2" t="s">
        <v>40</v>
      </c>
      <c r="C32" s="2">
        <v>2039.4</v>
      </c>
      <c r="D32" s="6">
        <f>(Table2_1[[#This Row],[Constant Prices]]-C31)/C31</f>
        <v>1.7207840790064342E-2</v>
      </c>
      <c r="E32" s="6">
        <f>(Table2_1[[#This Row],[Constant Prices]]-C28)/C28</f>
        <v>5.7615516257843766E-2</v>
      </c>
      <c r="F32" s="2">
        <v>2324</v>
      </c>
      <c r="G32" s="7">
        <f>(Table2_1[[#This Row],[Current Prices]]-F31)/F31</f>
        <v>2.0282728948985782E-2</v>
      </c>
      <c r="H32" s="7">
        <f>(Table2_1[[#This Row],[Current Prices]]-F28)/F28</f>
        <v>0.12216320618058908</v>
      </c>
      <c r="I32" s="2"/>
    </row>
    <row r="33" spans="1:14" x14ac:dyDescent="0.3">
      <c r="A33" s="2" t="s">
        <v>9</v>
      </c>
      <c r="B33" s="2" t="s">
        <v>41</v>
      </c>
      <c r="C33" s="2">
        <v>2051.9</v>
      </c>
      <c r="D33" s="6">
        <f>(Table2_1[[#This Row],[Constant Prices]]-C32)/C32</f>
        <v>6.1292537020692355E-3</v>
      </c>
      <c r="E33" s="6">
        <f>(Table2_1[[#This Row],[Constant Prices]]-C29)/C29</f>
        <v>3.7413418271904544E-2</v>
      </c>
      <c r="F33" s="2">
        <v>2326.3000000000002</v>
      </c>
      <c r="G33" s="7">
        <f>(Table2_1[[#This Row],[Current Prices]]-F32)/F32</f>
        <v>9.8967297762486304E-4</v>
      </c>
      <c r="H33" s="7">
        <f>(Table2_1[[#This Row],[Current Prices]]-F29)/F29</f>
        <v>0.10073814706160693</v>
      </c>
      <c r="I33" s="2">
        <v>7</v>
      </c>
    </row>
    <row r="34" spans="1:14" x14ac:dyDescent="0.3">
      <c r="A34" s="2" t="s">
        <v>9</v>
      </c>
      <c r="B34" s="2" t="s">
        <v>42</v>
      </c>
      <c r="C34" s="2">
        <v>2150.9</v>
      </c>
      <c r="D34" s="6">
        <f>(Table2_1[[#This Row],[Constant Prices]]-C33)/C33</f>
        <v>4.8247965300453236E-2</v>
      </c>
      <c r="E34" s="6">
        <f>(Table2_1[[#This Row],[Constant Prices]]-C30)/C30</f>
        <v>8.3303953664064512E-2</v>
      </c>
      <c r="F34" s="2">
        <v>2844</v>
      </c>
      <c r="G34" s="7">
        <f>(Table2_1[[#This Row],[Current Prices]]-F33)/F33</f>
        <v>0.22254223444955498</v>
      </c>
      <c r="H34" s="7">
        <f>(Table2_1[[#This Row],[Current Prices]]-F30)/F30</f>
        <v>0.27038013132621619</v>
      </c>
      <c r="I34" s="2"/>
    </row>
    <row r="35" spans="1:14" x14ac:dyDescent="0.3">
      <c r="A35" s="2" t="s">
        <v>9</v>
      </c>
      <c r="B35" s="2" t="s">
        <v>43</v>
      </c>
      <c r="C35" s="2">
        <v>2110.6</v>
      </c>
      <c r="D35" s="6">
        <f>(Table2_1[[#This Row],[Constant Prices]]-C34)/C34</f>
        <v>-1.8736342926217016E-2</v>
      </c>
      <c r="E35" s="6">
        <f>(Table2_1[[#This Row],[Constant Prices]]-C31)/C31</f>
        <v>5.2720833956805734E-2</v>
      </c>
      <c r="F35" s="2">
        <v>2756.8</v>
      </c>
      <c r="G35" s="7">
        <f>(Table2_1[[#This Row],[Current Prices]]-F34)/F34</f>
        <v>-3.0661040787623002E-2</v>
      </c>
      <c r="H35" s="7">
        <f>(Table2_1[[#This Row],[Current Prices]]-F31)/F31</f>
        <v>0.21029063131091402</v>
      </c>
      <c r="I35" s="2"/>
      <c r="M35" s="18"/>
      <c r="N35" s="18"/>
    </row>
    <row r="36" spans="1:14" x14ac:dyDescent="0.3">
      <c r="A36" s="2" t="s">
        <v>9</v>
      </c>
      <c r="B36" s="2" t="s">
        <v>44</v>
      </c>
      <c r="C36" s="2">
        <v>2109</v>
      </c>
      <c r="D36" s="6">
        <f>(Table2_1[[#This Row],[Constant Prices]]-C35)/C35</f>
        <v>-7.5807827158149777E-4</v>
      </c>
      <c r="E36" s="6">
        <f>(Table2_1[[#This Row],[Constant Prices]]-C32)/C32</f>
        <v>3.4127684613121462E-2</v>
      </c>
      <c r="F36" s="2">
        <v>2750.1</v>
      </c>
      <c r="G36" s="7">
        <f>(Table2_1[[#This Row],[Current Prices]]-F35)/F35</f>
        <v>-2.430354033662316E-3</v>
      </c>
      <c r="H36" s="7">
        <f>(Table2_1[[#This Row],[Current Prices]]-F32)/F32</f>
        <v>0.18334767641996555</v>
      </c>
      <c r="I36" s="2"/>
    </row>
    <row r="37" spans="1:14" x14ac:dyDescent="0.3">
      <c r="A37" s="2" t="s">
        <v>9</v>
      </c>
      <c r="B37" s="2" t="s">
        <v>45</v>
      </c>
      <c r="C37" s="2">
        <v>2186.1</v>
      </c>
      <c r="D37" s="6">
        <f>(Table2_1[[#This Row],[Constant Prices]]-C36)/C36</f>
        <v>3.6557610241820727E-2</v>
      </c>
      <c r="E37" s="6">
        <f>(Table2_1[[#This Row],[Constant Prices]]-C33)/C33</f>
        <v>6.5402797407280971E-2</v>
      </c>
      <c r="F37" s="2">
        <v>2821.7</v>
      </c>
      <c r="G37" s="7">
        <f>(Table2_1[[#This Row],[Current Prices]]-F36)/F36</f>
        <v>2.6035416893931098E-2</v>
      </c>
      <c r="H37" s="7">
        <f>(Table2_1[[#This Row],[Current Prices]]-F33)/F33</f>
        <v>0.21295619653527043</v>
      </c>
      <c r="I37" s="2">
        <v>8</v>
      </c>
    </row>
    <row r="38" spans="1:14" x14ac:dyDescent="0.3">
      <c r="A38" s="2" t="s">
        <v>9</v>
      </c>
      <c r="B38" s="2" t="s">
        <v>46</v>
      </c>
      <c r="C38" s="2">
        <v>2197.1999999999998</v>
      </c>
      <c r="D38" s="6">
        <f>(Table2_1[[#This Row],[Constant Prices]]-C37)/C37</f>
        <v>5.0775353369012901E-3</v>
      </c>
      <c r="E38" s="6">
        <f>(Table2_1[[#This Row],[Constant Prices]]-C34)/C34</f>
        <v>2.1525872890417838E-2</v>
      </c>
      <c r="F38" s="2">
        <v>2932.7</v>
      </c>
      <c r="G38" s="7">
        <f>(Table2_1[[#This Row],[Current Prices]]-F37)/F37</f>
        <v>3.9337987737888512E-2</v>
      </c>
      <c r="H38" s="7">
        <f>(Table2_1[[#This Row],[Current Prices]]-F34)/F34</f>
        <v>3.1188466947960555E-2</v>
      </c>
      <c r="I38" s="2"/>
      <c r="M38" s="18"/>
      <c r="N38" s="18"/>
    </row>
    <row r="39" spans="1:14" x14ac:dyDescent="0.3">
      <c r="A39" s="2" t="s">
        <v>9</v>
      </c>
      <c r="B39" s="2" t="s">
        <v>47</v>
      </c>
      <c r="C39" s="2">
        <v>2283.6</v>
      </c>
      <c r="D39" s="6">
        <f>(Table2_1[[#This Row],[Constant Prices]]-C38)/C38</f>
        <v>3.9322774440196662E-2</v>
      </c>
      <c r="E39" s="6">
        <f>(Table2_1[[#This Row],[Constant Prices]]-C35)/C35</f>
        <v>8.1967213114754106E-2</v>
      </c>
      <c r="F39" s="2">
        <v>3007.4</v>
      </c>
      <c r="G39" s="7">
        <f>(Table2_1[[#This Row],[Current Prices]]-F38)/F38</f>
        <v>2.5471408599584095E-2</v>
      </c>
      <c r="H39" s="7">
        <f>(Table2_1[[#This Row],[Current Prices]]-F35)/F35</f>
        <v>9.090249564712706E-2</v>
      </c>
      <c r="I39" s="2"/>
    </row>
    <row r="40" spans="1:14" x14ac:dyDescent="0.3">
      <c r="A40" s="2" t="s">
        <v>9</v>
      </c>
      <c r="B40" s="2" t="s">
        <v>48</v>
      </c>
      <c r="C40" s="2">
        <v>2310.6999999999998</v>
      </c>
      <c r="D40" s="6">
        <f>(Table2_1[[#This Row],[Constant Prices]]-C39)/C39</f>
        <v>1.1867227185146221E-2</v>
      </c>
      <c r="E40" s="6">
        <f>(Table2_1[[#This Row],[Constant Prices]]-C36)/C36</f>
        <v>9.5637743006163969E-2</v>
      </c>
      <c r="F40" s="2">
        <v>3091</v>
      </c>
      <c r="G40" s="7">
        <f>(Table2_1[[#This Row],[Current Prices]]-F39)/F39</f>
        <v>2.7798098024871952E-2</v>
      </c>
      <c r="H40" s="7">
        <f>(Table2_1[[#This Row],[Current Prices]]-F36)/F36</f>
        <v>0.12395912875895426</v>
      </c>
      <c r="I40" s="2"/>
    </row>
    <row r="41" spans="1:14" x14ac:dyDescent="0.3">
      <c r="A41" s="2" t="s">
        <v>9</v>
      </c>
      <c r="B41" s="2" t="s">
        <v>49</v>
      </c>
      <c r="C41" s="2">
        <v>2272</v>
      </c>
      <c r="D41" s="6">
        <f>(Table2_1[[#This Row],[Constant Prices]]-C40)/C40</f>
        <v>-1.6748171549746754E-2</v>
      </c>
      <c r="E41" s="6">
        <f>(Table2_1[[#This Row],[Constant Prices]]-C37)/C37</f>
        <v>3.9293719408993226E-2</v>
      </c>
      <c r="F41" s="2">
        <v>2978.4</v>
      </c>
      <c r="G41" s="7">
        <f>(Table2_1[[#This Row],[Current Prices]]-F40)/F40</f>
        <v>-3.6428340342931062E-2</v>
      </c>
      <c r="H41" s="7">
        <f>(Table2_1[[#This Row],[Current Prices]]-F37)/F37</f>
        <v>5.5533898004749012E-2</v>
      </c>
      <c r="I41" s="2">
        <v>9</v>
      </c>
    </row>
    <row r="42" spans="1:14" x14ac:dyDescent="0.3">
      <c r="A42" s="2" t="s">
        <v>9</v>
      </c>
      <c r="B42" s="2" t="s">
        <v>50</v>
      </c>
      <c r="C42" s="2">
        <v>2287.5</v>
      </c>
      <c r="D42" s="6">
        <f>(Table2_1[[#This Row],[Constant Prices]]-C41)/C41</f>
        <v>6.8221830985915489E-3</v>
      </c>
      <c r="E42" s="6">
        <f>(Table2_1[[#This Row],[Constant Prices]]-C38)/C38</f>
        <v>4.1097760786455578E-2</v>
      </c>
      <c r="F42" s="2">
        <v>3033</v>
      </c>
      <c r="G42" s="7">
        <f>(Table2_1[[#This Row],[Current Prices]]-F41)/F41</f>
        <v>1.8331990330378696E-2</v>
      </c>
      <c r="H42" s="7">
        <f>(Table2_1[[#This Row],[Current Prices]]-F38)/F38</f>
        <v>3.4200566031302275E-2</v>
      </c>
      <c r="I42" s="2"/>
    </row>
    <row r="43" spans="1:14" x14ac:dyDescent="0.3">
      <c r="A43" s="2" t="s">
        <v>9</v>
      </c>
      <c r="B43" s="2" t="s">
        <v>51</v>
      </c>
      <c r="C43" s="2">
        <v>2245.9</v>
      </c>
      <c r="D43" s="6">
        <f>(Table2_1[[#This Row],[Constant Prices]]-C42)/C42</f>
        <v>-1.8185792349726736E-2</v>
      </c>
      <c r="E43" s="6">
        <f>(Table2_1[[#This Row],[Constant Prices]]-C39)/C39</f>
        <v>-1.6509020844280881E-2</v>
      </c>
      <c r="F43" s="2">
        <v>3139.9</v>
      </c>
      <c r="G43" s="7">
        <f>(Table2_1[[#This Row],[Current Prices]]-F42)/F42</f>
        <v>3.5245631388064649E-2</v>
      </c>
      <c r="H43" s="7">
        <f>(Table2_1[[#This Row],[Current Prices]]-F39)/F39</f>
        <v>4.4057990290616481E-2</v>
      </c>
      <c r="I43" s="2"/>
    </row>
    <row r="44" spans="1:14" x14ac:dyDescent="0.3">
      <c r="A44" s="2" t="s">
        <v>9</v>
      </c>
      <c r="B44" s="2" t="s">
        <v>52</v>
      </c>
      <c r="C44" s="2">
        <v>2261.6999999999998</v>
      </c>
      <c r="D44" s="6">
        <f>(Table2_1[[#This Row],[Constant Prices]]-C43)/C43</f>
        <v>7.0350416314171275E-3</v>
      </c>
      <c r="E44" s="6">
        <f>(Table2_1[[#This Row],[Constant Prices]]-C40)/C40</f>
        <v>-2.1205695243865497E-2</v>
      </c>
      <c r="F44" s="2">
        <v>3078.6</v>
      </c>
      <c r="G44" s="7">
        <f>(Table2_1[[#This Row],[Current Prices]]-F43)/F43</f>
        <v>-1.952291474250778E-2</v>
      </c>
      <c r="H44" s="7">
        <f>(Table2_1[[#This Row],[Current Prices]]-F40)/F40</f>
        <v>-4.0116467162730806E-3</v>
      </c>
      <c r="I44" s="2"/>
    </row>
    <row r="45" spans="1:14" x14ac:dyDescent="0.3">
      <c r="A45" s="2" t="s">
        <v>9</v>
      </c>
      <c r="B45" s="2" t="s">
        <v>53</v>
      </c>
      <c r="C45" s="2">
        <v>2300.6</v>
      </c>
      <c r="D45" s="6">
        <f>(Table2_1[[#This Row],[Constant Prices]]-C44)/C44</f>
        <v>1.7199451739841755E-2</v>
      </c>
      <c r="E45" s="6">
        <f>(Table2_1[[#This Row],[Constant Prices]]-C41)/C41</f>
        <v>1.2588028169014045E-2</v>
      </c>
      <c r="F45" s="2">
        <v>3166.8</v>
      </c>
      <c r="G45" s="7">
        <f>(Table2_1[[#This Row],[Current Prices]]-F44)/F44</f>
        <v>2.8649386084583991E-2</v>
      </c>
      <c r="H45" s="7">
        <f>(Table2_1[[#This Row],[Current Prices]]-F41)/F41</f>
        <v>6.3255439161966187E-2</v>
      </c>
      <c r="I45" s="2">
        <v>10</v>
      </c>
    </row>
    <row r="46" spans="1:14" x14ac:dyDescent="0.3">
      <c r="A46" s="2" t="s">
        <v>9</v>
      </c>
      <c r="B46" s="2" t="s">
        <v>54</v>
      </c>
      <c r="C46" s="2">
        <v>2172.6</v>
      </c>
      <c r="D46" s="6">
        <f>(Table2_1[[#This Row],[Constant Prices]]-C45)/C45</f>
        <v>-5.5637659740937151E-2</v>
      </c>
      <c r="E46" s="6">
        <f>(Table2_1[[#This Row],[Constant Prices]]-C42)/C42</f>
        <v>-5.0229508196721354E-2</v>
      </c>
      <c r="F46" s="2">
        <v>3175</v>
      </c>
      <c r="G46" s="7">
        <f>(Table2_1[[#This Row],[Current Prices]]-F45)/F45</f>
        <v>2.5893646583301181E-3</v>
      </c>
      <c r="H46" s="7">
        <f>(Table2_1[[#This Row],[Current Prices]]-F42)/F42</f>
        <v>4.6818331684800527E-2</v>
      </c>
      <c r="I46" s="2"/>
    </row>
    <row r="47" spans="1:14" x14ac:dyDescent="0.3">
      <c r="A47" s="2" t="s">
        <v>9</v>
      </c>
      <c r="B47" s="2" t="s">
        <v>55</v>
      </c>
      <c r="C47" s="2">
        <v>2191.4</v>
      </c>
      <c r="D47" s="6">
        <f>(Table2_1[[#This Row],[Constant Prices]]-C46)/C46</f>
        <v>8.6532265488355811E-3</v>
      </c>
      <c r="E47" s="6">
        <f>(Table2_1[[#This Row],[Constant Prices]]-C43)/C43</f>
        <v>-2.426644107039494E-2</v>
      </c>
      <c r="F47" s="2">
        <v>3314.8</v>
      </c>
      <c r="G47" s="7">
        <f>(Table2_1[[#This Row],[Current Prices]]-F46)/F46</f>
        <v>4.4031496062992184E-2</v>
      </c>
      <c r="H47" s="7">
        <f>(Table2_1[[#This Row],[Current Prices]]-F43)/F43</f>
        <v>5.5702410904805912E-2</v>
      </c>
      <c r="I47" s="2"/>
    </row>
    <row r="48" spans="1:14" x14ac:dyDescent="0.3">
      <c r="A48" s="2" t="s">
        <v>9</v>
      </c>
      <c r="B48" s="2" t="s">
        <v>56</v>
      </c>
      <c r="C48" s="2">
        <v>2257.3000000000002</v>
      </c>
      <c r="D48" s="6">
        <f>(Table2_1[[#This Row],[Constant Prices]]-C47)/C47</f>
        <v>3.0072100027379797E-2</v>
      </c>
      <c r="E48" s="6">
        <f>(Table2_1[[#This Row],[Constant Prices]]-C44)/C44</f>
        <v>-1.9454392713444031E-3</v>
      </c>
      <c r="F48" s="2">
        <v>3385.3</v>
      </c>
      <c r="G48" s="7">
        <f>(Table2_1[[#This Row],[Current Prices]]-F47)/F47</f>
        <v>2.1268251478218897E-2</v>
      </c>
      <c r="H48" s="7">
        <f>(Table2_1[[#This Row],[Current Prices]]-F44)/F44</f>
        <v>9.9623205353082667E-2</v>
      </c>
      <c r="I48" s="2"/>
    </row>
    <row r="49" spans="1:9" x14ac:dyDescent="0.3">
      <c r="A49" s="2" t="s">
        <v>9</v>
      </c>
      <c r="B49" s="2" t="s">
        <v>57</v>
      </c>
      <c r="C49" s="2">
        <v>2262.4</v>
      </c>
      <c r="D49" s="6">
        <f>(Table2_1[[#This Row],[Constant Prices]]-C48)/C48</f>
        <v>2.2593363753156022E-3</v>
      </c>
      <c r="E49" s="6">
        <f>(Table2_1[[#This Row],[Constant Prices]]-C45)/C45</f>
        <v>-1.6604364078935851E-2</v>
      </c>
      <c r="F49" s="2">
        <v>3397.9</v>
      </c>
      <c r="G49" s="7">
        <f>(Table2_1[[#This Row],[Current Prices]]-F48)/F48</f>
        <v>3.7219744188107134E-3</v>
      </c>
      <c r="H49" s="7">
        <f>(Table2_1[[#This Row],[Current Prices]]-F45)/F45</f>
        <v>7.29758747000126E-2</v>
      </c>
      <c r="I49" s="2">
        <v>11</v>
      </c>
    </row>
    <row r="50" spans="1:9" x14ac:dyDescent="0.3">
      <c r="A50" s="2" t="s">
        <v>9</v>
      </c>
      <c r="B50" s="2" t="s">
        <v>58</v>
      </c>
      <c r="C50" s="2">
        <v>2251.5</v>
      </c>
      <c r="D50" s="6">
        <f>(Table2_1[[#This Row],[Constant Prices]]-C49)/C49</f>
        <v>-4.8178925035361076E-3</v>
      </c>
      <c r="E50" s="6">
        <f>(Table2_1[[#This Row],[Constant Prices]]-C46)/C46</f>
        <v>3.6315934824634119E-2</v>
      </c>
      <c r="F50" s="2">
        <v>3574.3</v>
      </c>
      <c r="G50" s="7">
        <f>(Table2_1[[#This Row],[Current Prices]]-F49)/F49</f>
        <v>5.1914417728597097E-2</v>
      </c>
      <c r="H50" s="7">
        <f>(Table2_1[[#This Row],[Current Prices]]-F46)/F46</f>
        <v>0.1257637795275591</v>
      </c>
      <c r="I50" s="2"/>
    </row>
    <row r="51" spans="1:9" x14ac:dyDescent="0.3">
      <c r="A51" s="2" t="s">
        <v>9</v>
      </c>
      <c r="B51" s="2" t="s">
        <v>59</v>
      </c>
      <c r="C51" s="2">
        <v>2259.6</v>
      </c>
      <c r="D51" s="6">
        <f>(Table2_1[[#This Row],[Constant Prices]]-C50)/C50</f>
        <v>3.5976015989340037E-3</v>
      </c>
      <c r="E51" s="6">
        <f>(Table2_1[[#This Row],[Constant Prices]]-C47)/C47</f>
        <v>3.1121657387971076E-2</v>
      </c>
      <c r="F51" s="2">
        <v>3751.6</v>
      </c>
      <c r="G51" s="7">
        <f>(Table2_1[[#This Row],[Current Prices]]-F50)/F50</f>
        <v>4.9604118288895646E-2</v>
      </c>
      <c r="H51" s="7">
        <f>(Table2_1[[#This Row],[Current Prices]]-F47)/F47</f>
        <v>0.13177265596717741</v>
      </c>
      <c r="I51" s="2"/>
    </row>
    <row r="52" spans="1:9" x14ac:dyDescent="0.3">
      <c r="A52" s="2" t="s">
        <v>9</v>
      </c>
      <c r="B52" s="2" t="s">
        <v>60</v>
      </c>
      <c r="C52" s="2">
        <v>2293.5</v>
      </c>
      <c r="D52" s="6">
        <f>(Table2_1[[#This Row],[Constant Prices]]-C51)/C51</f>
        <v>1.5002655337227869E-2</v>
      </c>
      <c r="E52" s="6">
        <f>(Table2_1[[#This Row],[Constant Prices]]-C48)/C48</f>
        <v>1.6036858193416832E-2</v>
      </c>
      <c r="F52" s="2">
        <v>3802.4</v>
      </c>
      <c r="G52" s="7">
        <f>(Table2_1[[#This Row],[Current Prices]]-F51)/F51</f>
        <v>1.354088922059926E-2</v>
      </c>
      <c r="H52" s="7">
        <f>(Table2_1[[#This Row],[Current Prices]]-F48)/F48</f>
        <v>0.12320916905444122</v>
      </c>
      <c r="I52" s="2"/>
    </row>
    <row r="53" spans="1:9" x14ac:dyDescent="0.3">
      <c r="A53" s="2" t="s">
        <v>9</v>
      </c>
      <c r="B53" s="2" t="s">
        <v>61</v>
      </c>
      <c r="C53" s="2">
        <v>2262.4</v>
      </c>
      <c r="D53" s="6">
        <f>(Table2_1[[#This Row],[Constant Prices]]-C52)/C52</f>
        <v>-1.3560061042075392E-2</v>
      </c>
      <c r="E53" s="6">
        <f>(Table2_1[[#This Row],[Constant Prices]]-C49)/C49</f>
        <v>0</v>
      </c>
      <c r="F53" s="2">
        <v>3814.9</v>
      </c>
      <c r="G53" s="7">
        <f>(Table2_1[[#This Row],[Current Prices]]-F52)/F52</f>
        <v>3.2873974332000839E-3</v>
      </c>
      <c r="H53" s="7">
        <f>(Table2_1[[#This Row],[Current Prices]]-F49)/F49</f>
        <v>0.12272285823596928</v>
      </c>
      <c r="I53" s="2">
        <v>12</v>
      </c>
    </row>
    <row r="54" spans="1:9" x14ac:dyDescent="0.3">
      <c r="A54" s="2" t="s">
        <v>9</v>
      </c>
      <c r="B54" s="2" t="s">
        <v>62</v>
      </c>
      <c r="C54" s="2">
        <v>1979.9</v>
      </c>
      <c r="D54" s="6">
        <f>(Table2_1[[#This Row],[Constant Prices]]-C53)/C53</f>
        <v>-0.12486739745403111</v>
      </c>
      <c r="E54" s="6">
        <f>(Table2_1[[#This Row],[Constant Prices]]-C50)/C50</f>
        <v>-0.12063069065067729</v>
      </c>
      <c r="F54" s="2">
        <v>3514.2</v>
      </c>
      <c r="G54" s="7">
        <f>(Table2_1[[#This Row],[Current Prices]]-F53)/F53</f>
        <v>-7.8822511730320649E-2</v>
      </c>
      <c r="H54" s="7">
        <f>(Table2_1[[#This Row],[Current Prices]]-F50)/F50</f>
        <v>-1.6814481157149754E-2</v>
      </c>
      <c r="I54" s="2"/>
    </row>
    <row r="55" spans="1:9" x14ac:dyDescent="0.3">
      <c r="A55" s="2" t="s">
        <v>9</v>
      </c>
      <c r="B55" s="2" t="s">
        <v>63</v>
      </c>
      <c r="C55" s="2">
        <v>1877.8</v>
      </c>
      <c r="D55" s="6">
        <f>(Table2_1[[#This Row],[Constant Prices]]-C54)/C54</f>
        <v>-5.1568261023284073E-2</v>
      </c>
      <c r="E55" s="6">
        <f>(Table2_1[[#This Row],[Constant Prices]]-C51)/C51</f>
        <v>-0.1689679589307842</v>
      </c>
      <c r="F55" s="2">
        <v>3463.9</v>
      </c>
      <c r="G55" s="7">
        <f>(Table2_1[[#This Row],[Current Prices]]-F54)/F54</f>
        <v>-1.4313357236355281E-2</v>
      </c>
      <c r="H55" s="7">
        <f>(Table2_1[[#This Row],[Current Prices]]-F51)/F51</f>
        <v>-7.6687280093826582E-2</v>
      </c>
      <c r="I55" s="2"/>
    </row>
    <row r="56" spans="1:9" x14ac:dyDescent="0.3">
      <c r="A56" s="2" t="s">
        <v>9</v>
      </c>
      <c r="B56" s="2" t="s">
        <v>64</v>
      </c>
      <c r="C56" s="2">
        <v>1847.8</v>
      </c>
      <c r="D56" s="6">
        <f>(Table2_1[[#This Row],[Constant Prices]]-C55)/C55</f>
        <v>-1.5976142294174035E-2</v>
      </c>
      <c r="E56" s="6">
        <f>(Table2_1[[#This Row],[Constant Prices]]-C52)/C52</f>
        <v>-0.19433180728144758</v>
      </c>
      <c r="F56" s="2">
        <v>3404.8</v>
      </c>
      <c r="G56" s="7">
        <f>(Table2_1[[#This Row],[Current Prices]]-F55)/F55</f>
        <v>-1.7061693466901444E-2</v>
      </c>
      <c r="H56" s="7">
        <f>(Table2_1[[#This Row],[Current Prices]]-F52)/F52</f>
        <v>-0.10456553755522825</v>
      </c>
      <c r="I56" s="2"/>
    </row>
    <row r="57" spans="1:9" x14ac:dyDescent="0.3">
      <c r="A57" s="2" t="s">
        <v>9</v>
      </c>
      <c r="B57" s="2" t="s">
        <v>65</v>
      </c>
      <c r="C57" s="2">
        <v>1890.1</v>
      </c>
      <c r="D57" s="6">
        <f>(Table2_1[[#This Row],[Constant Prices]]-C56)/C56</f>
        <v>2.2892087888299575E-2</v>
      </c>
      <c r="E57" s="6">
        <f>(Table2_1[[#This Row],[Constant Prices]]-C53)/C53</f>
        <v>-0.16455975954738339</v>
      </c>
      <c r="F57" s="2">
        <v>3586.5</v>
      </c>
      <c r="G57" s="7">
        <f>(Table2_1[[#This Row],[Current Prices]]-F56)/F56</f>
        <v>5.3365836466165356E-2</v>
      </c>
      <c r="H57" s="7">
        <f>(Table2_1[[#This Row],[Current Prices]]-F53)/F53</f>
        <v>-5.987050774594356E-2</v>
      </c>
      <c r="I57" s="2">
        <v>13</v>
      </c>
    </row>
    <row r="58" spans="1:9" x14ac:dyDescent="0.3">
      <c r="A58" s="2" t="s">
        <v>9</v>
      </c>
      <c r="B58" s="2" t="s">
        <v>66</v>
      </c>
      <c r="C58" s="2">
        <v>2036.2</v>
      </c>
      <c r="D58" s="6">
        <f>(Table2_1[[#This Row],[Constant Prices]]-C57)/C57</f>
        <v>7.7297497486905536E-2</v>
      </c>
      <c r="E58" s="6">
        <f>(Table2_1[[#This Row],[Constant Prices]]-C54)/C54</f>
        <v>2.8435779584827493E-2</v>
      </c>
      <c r="F58" s="2">
        <v>3709.4</v>
      </c>
      <c r="G58" s="7">
        <f>(Table2_1[[#This Row],[Current Prices]]-F57)/F57</f>
        <v>3.4267391607416729E-2</v>
      </c>
      <c r="H58" s="7">
        <f>(Table2_1[[#This Row],[Current Prices]]-F54)/F54</f>
        <v>5.5546070229355267E-2</v>
      </c>
      <c r="I58" s="2"/>
    </row>
    <row r="59" spans="1:9" x14ac:dyDescent="0.3">
      <c r="A59" s="2" t="s">
        <v>9</v>
      </c>
      <c r="B59" s="2" t="s">
        <v>67</v>
      </c>
      <c r="C59" s="2">
        <v>2052.4</v>
      </c>
      <c r="D59" s="6">
        <f>(Table2_1[[#This Row],[Constant Prices]]-C58)/C58</f>
        <v>7.955996464001594E-3</v>
      </c>
      <c r="E59" s="6">
        <f>(Table2_1[[#This Row],[Constant Prices]]-C55)/C55</f>
        <v>9.2981148152092949E-2</v>
      </c>
      <c r="F59" s="2">
        <v>3843.4</v>
      </c>
      <c r="G59" s="7">
        <f>(Table2_1[[#This Row],[Current Prices]]-F58)/F58</f>
        <v>3.6124440610341292E-2</v>
      </c>
      <c r="H59" s="7">
        <f>(Table2_1[[#This Row],[Current Prices]]-F55)/F55</f>
        <v>0.1095585900285805</v>
      </c>
      <c r="I59" s="2"/>
    </row>
    <row r="60" spans="1:9" x14ac:dyDescent="0.3">
      <c r="A60" s="2" t="s">
        <v>9</v>
      </c>
      <c r="B60" s="2" t="s">
        <v>68</v>
      </c>
      <c r="C60" s="2">
        <v>2060.4</v>
      </c>
      <c r="D60" s="6">
        <f>(Table2_1[[#This Row],[Constant Prices]]-C59)/C59</f>
        <v>3.8978756577665169E-3</v>
      </c>
      <c r="E60" s="6">
        <f>(Table2_1[[#This Row],[Constant Prices]]-C56)/C56</f>
        <v>0.11505574196341603</v>
      </c>
      <c r="F60" s="2">
        <v>3856.7</v>
      </c>
      <c r="G60" s="7">
        <f>(Table2_1[[#This Row],[Current Prices]]-F59)/F59</f>
        <v>3.4604777020345858E-3</v>
      </c>
      <c r="H60" s="7">
        <f>(Table2_1[[#This Row],[Current Prices]]-F56)/F56</f>
        <v>0.13272438909774426</v>
      </c>
      <c r="I60" s="2"/>
    </row>
    <row r="61" spans="1:9" x14ac:dyDescent="0.3">
      <c r="A61" s="2" t="s">
        <v>9</v>
      </c>
      <c r="B61" s="2" t="s">
        <v>69</v>
      </c>
      <c r="C61" s="2">
        <v>2128.6999999999998</v>
      </c>
      <c r="D61" s="6">
        <f>(Table2_1[[#This Row],[Constant Prices]]-C60)/C60</f>
        <v>3.3148903125606546E-2</v>
      </c>
      <c r="E61" s="6">
        <f>(Table2_1[[#This Row],[Constant Prices]]-C57)/C57</f>
        <v>0.12623670705253687</v>
      </c>
      <c r="F61" s="5">
        <f>Table2_1[[#This Row],[Constant Prices]]*AVERAGE(Inflation!$C$72:$C$74)*0.01</f>
        <v>3853.6565666666661</v>
      </c>
      <c r="G61" s="7">
        <f>(Table2_1[[#This Row],[Current Prices]]-F60)/F60</f>
        <v>-7.8912887529072103E-4</v>
      </c>
      <c r="H61" s="7">
        <f>(Table2_1[[#This Row],[Current Prices]]-F57)/F57</f>
        <v>7.4489493006180421E-2</v>
      </c>
      <c r="I61" s="2">
        <v>14</v>
      </c>
    </row>
    <row r="62" spans="1:9" x14ac:dyDescent="0.3">
      <c r="A62" s="2" t="s">
        <v>9</v>
      </c>
      <c r="B62" s="2" t="s">
        <v>70</v>
      </c>
      <c r="C62" s="2">
        <v>2184.6</v>
      </c>
      <c r="D62" s="6">
        <f>(Table2_1[[#This Row],[Constant Prices]]-C61)/C61</f>
        <v>2.6260158782355474E-2</v>
      </c>
      <c r="E62" s="6">
        <f>(Table2_1[[#This Row],[Constant Prices]]-C58)/C58</f>
        <v>7.2880856497397048E-2</v>
      </c>
      <c r="F62" s="5">
        <f>Table2_1[[#This Row],[Constant Prices]]*AVERAGE(Inflation!$C$75:$C$77)*0.01</f>
        <v>3985.4385999999995</v>
      </c>
      <c r="G62" s="7">
        <f>(Table2_1[[#This Row],[Current Prices]]-F61)/F61</f>
        <v>3.4196621067175727E-2</v>
      </c>
      <c r="H62" s="7">
        <f>(Table2_1[[#This Row],[Current Prices]]-F58)/F58</f>
        <v>7.4415970237774146E-2</v>
      </c>
      <c r="I62" s="2"/>
    </row>
    <row r="63" spans="1:9" x14ac:dyDescent="0.3">
      <c r="A63" s="2" t="s">
        <v>9</v>
      </c>
      <c r="B63" s="2" t="s">
        <v>71</v>
      </c>
      <c r="C63" s="2">
        <v>2254.3000000000002</v>
      </c>
      <c r="D63" s="6">
        <f>(Table2_1[[#This Row],[Constant Prices]]-C62)/C62</f>
        <v>3.190515426164986E-2</v>
      </c>
      <c r="E63" s="6">
        <f>(Table2_1[[#This Row],[Constant Prices]]-C59)/C59</f>
        <v>9.8372636912882519E-2</v>
      </c>
      <c r="F63" s="5">
        <f>Table2_1[[#This Row],[Constant Prices]]*AVERAGE(Inflation!$C$78:$C$80)*0.01</f>
        <v>4177.9693333333344</v>
      </c>
      <c r="G63" s="7">
        <f>(Table2_1[[#This Row],[Current Prices]]-F62)/F62</f>
        <v>4.8308543339078136E-2</v>
      </c>
      <c r="H63" s="7">
        <f>(Table2_1[[#This Row],[Current Prices]]-F59)/F59</f>
        <v>8.7050354720646886E-2</v>
      </c>
      <c r="I63" s="2"/>
    </row>
    <row r="64" spans="1:9" x14ac:dyDescent="0.3">
      <c r="A64" s="2" t="s">
        <v>72</v>
      </c>
      <c r="B64" s="2" t="s">
        <v>10</v>
      </c>
      <c r="C64" s="2">
        <v>1285</v>
      </c>
      <c r="D64" s="6"/>
      <c r="E64" s="6"/>
      <c r="F64" s="2">
        <v>965.2</v>
      </c>
      <c r="G64" s="7"/>
      <c r="H64" s="7"/>
      <c r="I64" s="2"/>
    </row>
    <row r="65" spans="1:9" x14ac:dyDescent="0.3">
      <c r="A65" s="2" t="s">
        <v>72</v>
      </c>
      <c r="B65" s="2" t="s">
        <v>11</v>
      </c>
      <c r="C65" s="2">
        <v>1269.4000000000001</v>
      </c>
      <c r="D65" s="6">
        <f>(Table2_1[[#This Row],[Constant Prices]]-C64)/C64</f>
        <v>-1.2140077821011602E-2</v>
      </c>
      <c r="E65" s="6"/>
      <c r="F65" s="2">
        <v>975.8</v>
      </c>
      <c r="G65" s="7">
        <f>(Table2_1[[#This Row],[Current Prices]]-F64)/F64</f>
        <v>1.0982179859096466E-2</v>
      </c>
      <c r="H65" s="7"/>
      <c r="I65" s="2"/>
    </row>
    <row r="66" spans="1:9" x14ac:dyDescent="0.3">
      <c r="A66" s="2" t="s">
        <v>72</v>
      </c>
      <c r="B66" s="2" t="s">
        <v>12</v>
      </c>
      <c r="C66" s="2">
        <v>1287.7</v>
      </c>
      <c r="D66" s="6">
        <f>(Table2_1[[#This Row],[Constant Prices]]-C65)/C65</f>
        <v>1.4416259650228417E-2</v>
      </c>
      <c r="E66" s="6"/>
      <c r="F66" s="2">
        <v>1033.4000000000001</v>
      </c>
      <c r="G66" s="7">
        <f>(Table2_1[[#This Row],[Current Prices]]-F65)/F65</f>
        <v>5.9028489444558456E-2</v>
      </c>
      <c r="H66" s="7"/>
      <c r="I66" s="2"/>
    </row>
    <row r="67" spans="1:9" x14ac:dyDescent="0.3">
      <c r="A67" s="2" t="s">
        <v>72</v>
      </c>
      <c r="B67" s="2" t="s">
        <v>13</v>
      </c>
      <c r="C67" s="2">
        <v>1071.3</v>
      </c>
      <c r="D67" s="6">
        <f>(Table2_1[[#This Row],[Constant Prices]]-C66)/C66</f>
        <v>-0.16805156480546718</v>
      </c>
      <c r="E67" s="6"/>
      <c r="F67" s="2">
        <v>1058.5999999999999</v>
      </c>
      <c r="G67" s="7">
        <f>(Table2_1[[#This Row],[Current Prices]]-F66)/F66</f>
        <v>2.4385523514611783E-2</v>
      </c>
      <c r="H67" s="7"/>
      <c r="I67" s="2"/>
    </row>
    <row r="68" spans="1:9" x14ac:dyDescent="0.3">
      <c r="A68" s="2" t="s">
        <v>72</v>
      </c>
      <c r="B68" s="2" t="s">
        <v>14</v>
      </c>
      <c r="C68" s="2">
        <v>1021</v>
      </c>
      <c r="D68" s="6">
        <f>(Table2_1[[#This Row],[Constant Prices]]-C67)/C67</f>
        <v>-4.6952300942779759E-2</v>
      </c>
      <c r="E68" s="6">
        <f>(Table2_1[[#This Row],[Constant Prices]]-C64)/C64</f>
        <v>-0.20544747081712061</v>
      </c>
      <c r="F68" s="2">
        <v>1149.4000000000001</v>
      </c>
      <c r="G68" s="7">
        <f>(Table2_1[[#This Row],[Current Prices]]-F67)/F67</f>
        <v>8.5773663328925179E-2</v>
      </c>
      <c r="H68" s="7">
        <f>(Table2_1[[#This Row],[Current Prices]]-F64)/F64</f>
        <v>0.190841276419395</v>
      </c>
      <c r="I68" s="2"/>
    </row>
    <row r="69" spans="1:9" x14ac:dyDescent="0.3">
      <c r="A69" s="2" t="s">
        <v>72</v>
      </c>
      <c r="B69" s="2" t="s">
        <v>15</v>
      </c>
      <c r="C69" s="2">
        <v>1133.4000000000001</v>
      </c>
      <c r="D69" s="6">
        <f>(Table2_1[[#This Row],[Constant Prices]]-C68)/C68</f>
        <v>0.11008814887365337</v>
      </c>
      <c r="E69" s="6">
        <f>(Table2_1[[#This Row],[Constant Prices]]-C65)/C65</f>
        <v>-0.10713723018749015</v>
      </c>
      <c r="F69" s="2">
        <v>1173.4000000000001</v>
      </c>
      <c r="G69" s="7">
        <f>(Table2_1[[#This Row],[Current Prices]]-F68)/F68</f>
        <v>2.0880459370106141E-2</v>
      </c>
      <c r="H69" s="7">
        <f>(Table2_1[[#This Row],[Current Prices]]-F65)/F65</f>
        <v>0.20250051240008213</v>
      </c>
      <c r="I69" s="2"/>
    </row>
    <row r="70" spans="1:9" x14ac:dyDescent="0.3">
      <c r="A70" s="2" t="s">
        <v>72</v>
      </c>
      <c r="B70" s="2" t="s">
        <v>16</v>
      </c>
      <c r="C70" s="2">
        <v>1144.2</v>
      </c>
      <c r="D70" s="6">
        <f>(Table2_1[[#This Row],[Constant Prices]]-C69)/C69</f>
        <v>9.5288512440444267E-3</v>
      </c>
      <c r="E70" s="6">
        <f>(Table2_1[[#This Row],[Constant Prices]]-C66)/C66</f>
        <v>-0.11143899976702648</v>
      </c>
      <c r="F70" s="2">
        <v>1198.4000000000001</v>
      </c>
      <c r="G70" s="7">
        <f>(Table2_1[[#This Row],[Current Prices]]-F69)/F69</f>
        <v>2.1305607635929775E-2</v>
      </c>
      <c r="H70" s="7">
        <f>(Table2_1[[#This Row],[Current Prices]]-F66)/F66</f>
        <v>0.15966711825043545</v>
      </c>
      <c r="I70" s="2"/>
    </row>
    <row r="71" spans="1:9" x14ac:dyDescent="0.3">
      <c r="A71" s="2" t="s">
        <v>72</v>
      </c>
      <c r="B71" s="2" t="s">
        <v>17</v>
      </c>
      <c r="C71" s="2">
        <v>989.7</v>
      </c>
      <c r="D71" s="6">
        <f>(Table2_1[[#This Row],[Constant Prices]]-C70)/C70</f>
        <v>-0.13502884111169375</v>
      </c>
      <c r="E71" s="6">
        <f>(Table2_1[[#This Row],[Constant Prices]]-C67)/C67</f>
        <v>-7.6169140296835539E-2</v>
      </c>
      <c r="F71" s="2">
        <v>1215.7</v>
      </c>
      <c r="G71" s="7">
        <f>(Table2_1[[#This Row],[Current Prices]]-F70)/F70</f>
        <v>1.4435914552736944E-2</v>
      </c>
      <c r="H71" s="7">
        <f>(Table2_1[[#This Row],[Current Prices]]-F67)/F67</f>
        <v>0.14840355186094856</v>
      </c>
      <c r="I71" s="2">
        <v>1</v>
      </c>
    </row>
    <row r="72" spans="1:9" x14ac:dyDescent="0.3">
      <c r="A72" s="2" t="s">
        <v>72</v>
      </c>
      <c r="B72" s="2" t="s">
        <v>18</v>
      </c>
      <c r="C72" s="2">
        <v>1012.2</v>
      </c>
      <c r="D72" s="6">
        <f>(Table2_1[[#This Row],[Constant Prices]]-C71)/C71</f>
        <v>2.2734161867232493E-2</v>
      </c>
      <c r="E72" s="6">
        <f>(Table2_1[[#This Row],[Constant Prices]]-C68)/C68</f>
        <v>-8.6190009794318845E-3</v>
      </c>
      <c r="F72" s="2">
        <v>1256</v>
      </c>
      <c r="G72" s="7">
        <f>(Table2_1[[#This Row],[Current Prices]]-F71)/F71</f>
        <v>3.3149625730032044E-2</v>
      </c>
      <c r="H72" s="7">
        <f>(Table2_1[[#This Row],[Current Prices]]-F68)/F68</f>
        <v>9.2744040368888031E-2</v>
      </c>
      <c r="I72" s="2"/>
    </row>
    <row r="73" spans="1:9" x14ac:dyDescent="0.3">
      <c r="A73" s="2" t="s">
        <v>72</v>
      </c>
      <c r="B73" s="2" t="s">
        <v>19</v>
      </c>
      <c r="C73" s="2">
        <v>1027.7</v>
      </c>
      <c r="D73" s="6">
        <f>(Table2_1[[#This Row],[Constant Prices]]-C72)/C72</f>
        <v>1.5313179213594151E-2</v>
      </c>
      <c r="E73" s="6">
        <f>(Table2_1[[#This Row],[Constant Prices]]-C69)/C69</f>
        <v>-9.3259220045879693E-2</v>
      </c>
      <c r="F73" s="2">
        <v>1289.5999999999999</v>
      </c>
      <c r="G73" s="7">
        <f>(Table2_1[[#This Row],[Current Prices]]-F72)/F72</f>
        <v>2.6751592356687826E-2</v>
      </c>
      <c r="H73" s="7">
        <f>(Table2_1[[#This Row],[Current Prices]]-F69)/F69</f>
        <v>9.9028464291801441E-2</v>
      </c>
      <c r="I73" s="2"/>
    </row>
    <row r="74" spans="1:9" x14ac:dyDescent="0.3">
      <c r="A74" s="2" t="s">
        <v>72</v>
      </c>
      <c r="B74" s="2" t="s">
        <v>20</v>
      </c>
      <c r="C74" s="2">
        <v>1028.8</v>
      </c>
      <c r="D74" s="6">
        <f>(Table2_1[[#This Row],[Constant Prices]]-C73)/C73</f>
        <v>1.0703512698257362E-3</v>
      </c>
      <c r="E74" s="6">
        <f>(Table2_1[[#This Row],[Constant Prices]]-C70)/C70</f>
        <v>-0.10085649361999657</v>
      </c>
      <c r="F74" s="2">
        <v>1293.7</v>
      </c>
      <c r="G74" s="7">
        <f>(Table2_1[[#This Row],[Current Prices]]-F73)/F73</f>
        <v>3.1792803970224384E-3</v>
      </c>
      <c r="H74" s="7">
        <f>(Table2_1[[#This Row],[Current Prices]]-F70)/F70</f>
        <v>7.952269692923894E-2</v>
      </c>
      <c r="I74" s="2"/>
    </row>
    <row r="75" spans="1:9" x14ac:dyDescent="0.3">
      <c r="A75" s="2" t="s">
        <v>72</v>
      </c>
      <c r="B75" s="2" t="s">
        <v>21</v>
      </c>
      <c r="C75" s="2">
        <v>1062.2</v>
      </c>
      <c r="D75" s="6">
        <f>(Table2_1[[#This Row],[Constant Prices]]-C74)/C74</f>
        <v>3.2465007776049853E-2</v>
      </c>
      <c r="E75" s="6">
        <f>(Table2_1[[#This Row],[Constant Prices]]-C71)/C71</f>
        <v>7.3254521572193587E-2</v>
      </c>
      <c r="F75" s="2">
        <v>1361.1</v>
      </c>
      <c r="G75" s="7">
        <f>(Table2_1[[#This Row],[Current Prices]]-F74)/F74</f>
        <v>5.2098631831181776E-2</v>
      </c>
      <c r="H75" s="7">
        <f>(Table2_1[[#This Row],[Current Prices]]-F71)/F71</f>
        <v>0.11960187546269627</v>
      </c>
      <c r="I75" s="2">
        <v>2</v>
      </c>
    </row>
    <row r="76" spans="1:9" x14ac:dyDescent="0.3">
      <c r="A76" s="2" t="s">
        <v>72</v>
      </c>
      <c r="B76" s="2" t="s">
        <v>22</v>
      </c>
      <c r="C76" s="2">
        <v>953.2</v>
      </c>
      <c r="D76" s="6">
        <f>(Table2_1[[#This Row],[Constant Prices]]-C75)/C75</f>
        <v>-0.10261720956505366</v>
      </c>
      <c r="E76" s="6">
        <f>(Table2_1[[#This Row],[Constant Prices]]-C72)/C72</f>
        <v>-5.8288875716261603E-2</v>
      </c>
      <c r="F76" s="2">
        <v>1331.5</v>
      </c>
      <c r="G76" s="7">
        <f>(Table2_1[[#This Row],[Current Prices]]-F75)/F75</f>
        <v>-2.1747116302990165E-2</v>
      </c>
      <c r="H76" s="7">
        <f>(Table2_1[[#This Row],[Current Prices]]-F72)/F72</f>
        <v>6.0111464968152867E-2</v>
      </c>
      <c r="I76" s="2"/>
    </row>
    <row r="77" spans="1:9" x14ac:dyDescent="0.3">
      <c r="A77" s="2" t="s">
        <v>72</v>
      </c>
      <c r="B77" s="2" t="s">
        <v>23</v>
      </c>
      <c r="C77" s="2">
        <v>921.4</v>
      </c>
      <c r="D77" s="6">
        <f>(Table2_1[[#This Row],[Constant Prices]]-C76)/C76</f>
        <v>-3.3361309274024406E-2</v>
      </c>
      <c r="E77" s="6">
        <f>(Table2_1[[#This Row],[Constant Prices]]-C73)/C73</f>
        <v>-0.10343485452953202</v>
      </c>
      <c r="F77" s="2">
        <v>1359.5</v>
      </c>
      <c r="G77" s="7">
        <f>(Table2_1[[#This Row],[Current Prices]]-F76)/F76</f>
        <v>2.1028914757791964E-2</v>
      </c>
      <c r="H77" s="7">
        <f>(Table2_1[[#This Row],[Current Prices]]-F73)/F73</f>
        <v>5.4202853598014959E-2</v>
      </c>
      <c r="I77" s="2"/>
    </row>
    <row r="78" spans="1:9" x14ac:dyDescent="0.3">
      <c r="A78" s="2" t="s">
        <v>72</v>
      </c>
      <c r="B78" s="2" t="s">
        <v>24</v>
      </c>
      <c r="C78" s="2">
        <v>888.1</v>
      </c>
      <c r="D78" s="6">
        <f>(Table2_1[[#This Row],[Constant Prices]]-C77)/C77</f>
        <v>-3.6140655524202252E-2</v>
      </c>
      <c r="E78" s="6">
        <f>(Table2_1[[#This Row],[Constant Prices]]-C74)/C74</f>
        <v>-0.13676127527216167</v>
      </c>
      <c r="F78" s="2">
        <v>1269.4000000000001</v>
      </c>
      <c r="G78" s="7">
        <f>(Table2_1[[#This Row],[Current Prices]]-F77)/F77</f>
        <v>-6.6274365575579183E-2</v>
      </c>
      <c r="H78" s="7">
        <f>(Table2_1[[#This Row],[Current Prices]]-F74)/F74</f>
        <v>-1.8783334621627852E-2</v>
      </c>
      <c r="I78" s="2"/>
    </row>
    <row r="79" spans="1:9" x14ac:dyDescent="0.3">
      <c r="A79" s="2" t="s">
        <v>72</v>
      </c>
      <c r="B79" s="2" t="s">
        <v>25</v>
      </c>
      <c r="C79" s="2">
        <v>861.6</v>
      </c>
      <c r="D79" s="6">
        <f>(Table2_1[[#This Row],[Constant Prices]]-C78)/C78</f>
        <v>-2.983898209661074E-2</v>
      </c>
      <c r="E79" s="6">
        <f>(Table2_1[[#This Row],[Constant Prices]]-C75)/C75</f>
        <v>-0.18885332329128227</v>
      </c>
      <c r="F79" s="2">
        <v>1172.9000000000001</v>
      </c>
      <c r="G79" s="7">
        <f>(Table2_1[[#This Row],[Current Prices]]-F78)/F78</f>
        <v>-7.602016700803528E-2</v>
      </c>
      <c r="H79" s="7">
        <f>(Table2_1[[#This Row],[Current Prices]]-F75)/F75</f>
        <v>-0.13827051649401206</v>
      </c>
      <c r="I79" s="2">
        <v>3</v>
      </c>
    </row>
    <row r="80" spans="1:9" x14ac:dyDescent="0.3">
      <c r="A80" s="2" t="s">
        <v>72</v>
      </c>
      <c r="B80" s="2" t="s">
        <v>26</v>
      </c>
      <c r="C80" s="2">
        <v>856.8</v>
      </c>
      <c r="D80" s="6">
        <f>(Table2_1[[#This Row],[Constant Prices]]-C79)/C79</f>
        <v>-5.5710306406686026E-3</v>
      </c>
      <c r="E80" s="6">
        <f>(Table2_1[[#This Row],[Constant Prices]]-C76)/C76</f>
        <v>-0.10113302559798583</v>
      </c>
      <c r="F80" s="2">
        <v>1153.2</v>
      </c>
      <c r="G80" s="7">
        <f>(Table2_1[[#This Row],[Current Prices]]-F79)/F79</f>
        <v>-1.6795975786512103E-2</v>
      </c>
      <c r="H80" s="7">
        <f>(Table2_1[[#This Row],[Current Prices]]-F76)/F76</f>
        <v>-0.1339091250469395</v>
      </c>
      <c r="I80" s="2"/>
    </row>
    <row r="81" spans="1:9" x14ac:dyDescent="0.3">
      <c r="A81" s="2" t="s">
        <v>72</v>
      </c>
      <c r="B81" s="2" t="s">
        <v>27</v>
      </c>
      <c r="C81" s="2">
        <v>777.5</v>
      </c>
      <c r="D81" s="6">
        <f>(Table2_1[[#This Row],[Constant Prices]]-C80)/C80</f>
        <v>-9.2553688141923385E-2</v>
      </c>
      <c r="E81" s="6">
        <f>(Table2_1[[#This Row],[Constant Prices]]-C77)/C77</f>
        <v>-0.15617538528326458</v>
      </c>
      <c r="F81" s="2">
        <v>1005.9</v>
      </c>
      <c r="G81" s="7">
        <f>(Table2_1[[#This Row],[Current Prices]]-F80)/F80</f>
        <v>-0.12773152965660775</v>
      </c>
      <c r="H81" s="7">
        <f>(Table2_1[[#This Row],[Current Prices]]-F77)/F77</f>
        <v>-0.26009562339095255</v>
      </c>
      <c r="I81" s="2"/>
    </row>
    <row r="82" spans="1:9" x14ac:dyDescent="0.3">
      <c r="A82" s="2" t="s">
        <v>72</v>
      </c>
      <c r="B82" s="2" t="s">
        <v>28</v>
      </c>
      <c r="C82" s="2">
        <v>810</v>
      </c>
      <c r="D82" s="6">
        <f>(Table2_1[[#This Row],[Constant Prices]]-C81)/C81</f>
        <v>4.1800643086816719E-2</v>
      </c>
      <c r="E82" s="6">
        <f>(Table2_1[[#This Row],[Constant Prices]]-C78)/C78</f>
        <v>-8.7940547235671684E-2</v>
      </c>
      <c r="F82" s="2">
        <v>1067.0999999999999</v>
      </c>
      <c r="G82" s="7">
        <f>(Table2_1[[#This Row],[Current Prices]]-F81)/F81</f>
        <v>6.0841037876528413E-2</v>
      </c>
      <c r="H82" s="7">
        <f>(Table2_1[[#This Row],[Current Prices]]-F78)/F78</f>
        <v>-0.15936662990389172</v>
      </c>
      <c r="I82" s="2"/>
    </row>
    <row r="83" spans="1:9" x14ac:dyDescent="0.3">
      <c r="A83" s="2" t="s">
        <v>72</v>
      </c>
      <c r="B83" s="2" t="s">
        <v>29</v>
      </c>
      <c r="C83" s="2">
        <v>814.1</v>
      </c>
      <c r="D83" s="6">
        <f>(Table2_1[[#This Row],[Constant Prices]]-C82)/C82</f>
        <v>5.0617283950617565E-3</v>
      </c>
      <c r="E83" s="6">
        <f>(Table2_1[[#This Row],[Constant Prices]]-C79)/C79</f>
        <v>-5.512999071494893E-2</v>
      </c>
      <c r="F83" s="2">
        <v>1008.8</v>
      </c>
      <c r="G83" s="7">
        <f>(Table2_1[[#This Row],[Current Prices]]-F82)/F82</f>
        <v>-5.4634054915190668E-2</v>
      </c>
      <c r="H83" s="7">
        <f>(Table2_1[[#This Row],[Current Prices]]-F79)/F79</f>
        <v>-0.13990962571404222</v>
      </c>
      <c r="I83" s="2">
        <v>4</v>
      </c>
    </row>
    <row r="84" spans="1:9" x14ac:dyDescent="0.3">
      <c r="A84" s="2" t="s">
        <v>72</v>
      </c>
      <c r="B84" s="2" t="s">
        <v>30</v>
      </c>
      <c r="C84" s="2">
        <v>789.8</v>
      </c>
      <c r="D84" s="6">
        <f>(Table2_1[[#This Row],[Constant Prices]]-C83)/C83</f>
        <v>-2.9848912909962003E-2</v>
      </c>
      <c r="E84" s="6">
        <f>(Table2_1[[#This Row],[Constant Prices]]-C80)/C80</f>
        <v>-7.8197945845004668E-2</v>
      </c>
      <c r="F84" s="2">
        <v>860.3</v>
      </c>
      <c r="G84" s="7">
        <f>(Table2_1[[#This Row],[Current Prices]]-F83)/F83</f>
        <v>-0.14720459952418716</v>
      </c>
      <c r="H84" s="7">
        <f>(Table2_1[[#This Row],[Current Prices]]-F80)/F80</f>
        <v>-0.25398890045091926</v>
      </c>
      <c r="I84" s="2"/>
    </row>
    <row r="85" spans="1:9" x14ac:dyDescent="0.3">
      <c r="A85" s="2" t="s">
        <v>72</v>
      </c>
      <c r="B85" s="2" t="s">
        <v>31</v>
      </c>
      <c r="C85" s="2">
        <v>796.9</v>
      </c>
      <c r="D85" s="6">
        <f>(Table2_1[[#This Row],[Constant Prices]]-C84)/C84</f>
        <v>8.9896176247151478E-3</v>
      </c>
      <c r="E85" s="6">
        <f>(Table2_1[[#This Row],[Constant Prices]]-C81)/C81</f>
        <v>2.4951768488745953E-2</v>
      </c>
      <c r="F85" s="2">
        <v>811</v>
      </c>
      <c r="G85" s="7">
        <f>(Table2_1[[#This Row],[Current Prices]]-F84)/F84</f>
        <v>-5.7305591072881502E-2</v>
      </c>
      <c r="H85" s="7">
        <f>(Table2_1[[#This Row],[Current Prices]]-F81)/F81</f>
        <v>-0.19375683467541505</v>
      </c>
      <c r="I85" s="2"/>
    </row>
    <row r="86" spans="1:9" x14ac:dyDescent="0.3">
      <c r="A86" s="2" t="s">
        <v>72</v>
      </c>
      <c r="B86" s="2" t="s">
        <v>32</v>
      </c>
      <c r="C86" s="2">
        <v>756.9</v>
      </c>
      <c r="D86" s="6">
        <f>(Table2_1[[#This Row],[Constant Prices]]-C85)/C85</f>
        <v>-5.0194503701844646E-2</v>
      </c>
      <c r="E86" s="6">
        <f>(Table2_1[[#This Row],[Constant Prices]]-C82)/C82</f>
        <v>-6.5555555555555589E-2</v>
      </c>
      <c r="F86" s="2">
        <v>735.7</v>
      </c>
      <c r="G86" s="7">
        <f>(Table2_1[[#This Row],[Current Prices]]-F85)/F85</f>
        <v>-9.2848335388409309E-2</v>
      </c>
      <c r="H86" s="7">
        <f>(Table2_1[[#This Row],[Current Prices]]-F82)/F82</f>
        <v>-0.31056133445787637</v>
      </c>
      <c r="I86" s="2"/>
    </row>
    <row r="87" spans="1:9" x14ac:dyDescent="0.3">
      <c r="A87" s="2" t="s">
        <v>72</v>
      </c>
      <c r="B87" s="2" t="s">
        <v>33</v>
      </c>
      <c r="C87" s="2">
        <v>706.3</v>
      </c>
      <c r="D87" s="6">
        <f>(Table2_1[[#This Row],[Constant Prices]]-C86)/C86</f>
        <v>-6.6851631655436686E-2</v>
      </c>
      <c r="E87" s="6">
        <f>(Table2_1[[#This Row],[Constant Prices]]-C83)/C83</f>
        <v>-0.13241616509028384</v>
      </c>
      <c r="F87" s="2">
        <v>642.79999999999995</v>
      </c>
      <c r="G87" s="7">
        <f>(Table2_1[[#This Row],[Current Prices]]-F86)/F86</f>
        <v>-0.12627429658828337</v>
      </c>
      <c r="H87" s="7">
        <f>(Table2_1[[#This Row],[Current Prices]]-F83)/F83</f>
        <v>-0.36280729579698656</v>
      </c>
      <c r="I87" s="2">
        <v>5</v>
      </c>
    </row>
    <row r="88" spans="1:9" x14ac:dyDescent="0.3">
      <c r="A88" s="2" t="s">
        <v>72</v>
      </c>
      <c r="B88" s="2" t="s">
        <v>34</v>
      </c>
      <c r="C88" s="2">
        <v>642.4</v>
      </c>
      <c r="D88" s="6">
        <f>(Table2_1[[#This Row],[Constant Prices]]-C87)/C87</f>
        <v>-9.0471471046297575E-2</v>
      </c>
      <c r="E88" s="6">
        <f>(Table2_1[[#This Row],[Constant Prices]]-C84)/C84</f>
        <v>-0.18662952646239553</v>
      </c>
      <c r="F88" s="2">
        <v>693.4</v>
      </c>
      <c r="G88" s="7">
        <f>(Table2_1[[#This Row],[Current Prices]]-F87)/F87</f>
        <v>7.8718108276291263E-2</v>
      </c>
      <c r="H88" s="7">
        <f>(Table2_1[[#This Row],[Current Prices]]-F84)/F84</f>
        <v>-0.19400209229338602</v>
      </c>
      <c r="I88" s="2"/>
    </row>
    <row r="89" spans="1:9" x14ac:dyDescent="0.3">
      <c r="A89" s="2" t="s">
        <v>72</v>
      </c>
      <c r="B89" s="2" t="s">
        <v>35</v>
      </c>
      <c r="C89" s="2">
        <v>667.1</v>
      </c>
      <c r="D89" s="6">
        <f>(Table2_1[[#This Row],[Constant Prices]]-C88)/C88</f>
        <v>3.8449564134495712E-2</v>
      </c>
      <c r="E89" s="6">
        <f>(Table2_1[[#This Row],[Constant Prices]]-C85)/C85</f>
        <v>-0.16288116451248583</v>
      </c>
      <c r="F89" s="2">
        <v>649.1</v>
      </c>
      <c r="G89" s="7">
        <f>(Table2_1[[#This Row],[Current Prices]]-F88)/F88</f>
        <v>-6.3888087683876493E-2</v>
      </c>
      <c r="H89" s="7">
        <f>(Table2_1[[#This Row],[Current Prices]]-F85)/F85</f>
        <v>-0.19963008631319357</v>
      </c>
      <c r="I89" s="2"/>
    </row>
    <row r="90" spans="1:9" x14ac:dyDescent="0.3">
      <c r="A90" s="2" t="s">
        <v>72</v>
      </c>
      <c r="B90" s="2" t="s">
        <v>36</v>
      </c>
      <c r="C90" s="2">
        <v>633.79999999999995</v>
      </c>
      <c r="D90" s="6">
        <f>(Table2_1[[#This Row],[Constant Prices]]-C89)/C89</f>
        <v>-4.9917553590166495E-2</v>
      </c>
      <c r="E90" s="6">
        <f>(Table2_1[[#This Row],[Constant Prices]]-C86)/C86</f>
        <v>-0.1626370722684635</v>
      </c>
      <c r="F90" s="2">
        <v>641.5</v>
      </c>
      <c r="G90" s="7">
        <f>(Table2_1[[#This Row],[Current Prices]]-F89)/F89</f>
        <v>-1.1708519488522605E-2</v>
      </c>
      <c r="H90" s="7">
        <f>(Table2_1[[#This Row],[Current Prices]]-F86)/F86</f>
        <v>-0.12804132119070277</v>
      </c>
      <c r="I90" s="2"/>
    </row>
    <row r="91" spans="1:9" x14ac:dyDescent="0.3">
      <c r="A91" s="2" t="s">
        <v>72</v>
      </c>
      <c r="B91" s="2" t="s">
        <v>37</v>
      </c>
      <c r="C91" s="2">
        <v>647.5</v>
      </c>
      <c r="D91" s="6">
        <f>(Table2_1[[#This Row],[Constant Prices]]-C90)/C90</f>
        <v>2.1615651625118408E-2</v>
      </c>
      <c r="E91" s="6">
        <f>(Table2_1[[#This Row],[Constant Prices]]-C87)/C87</f>
        <v>-8.325074331020807E-2</v>
      </c>
      <c r="F91" s="2">
        <v>639.1</v>
      </c>
      <c r="G91" s="7">
        <f>(Table2_1[[#This Row],[Current Prices]]-F90)/F90</f>
        <v>-3.7412314886983277E-3</v>
      </c>
      <c r="H91" s="7">
        <f>(Table2_1[[#This Row],[Current Prices]]-F87)/F87</f>
        <v>-5.756067205973759E-3</v>
      </c>
      <c r="I91" s="2">
        <v>6</v>
      </c>
    </row>
    <row r="92" spans="1:9" x14ac:dyDescent="0.3">
      <c r="A92" s="2" t="s">
        <v>72</v>
      </c>
      <c r="B92" s="2" t="s">
        <v>38</v>
      </c>
      <c r="C92" s="2">
        <v>610.79999999999995</v>
      </c>
      <c r="D92" s="6">
        <f>(Table2_1[[#This Row],[Constant Prices]]-C91)/C91</f>
        <v>-5.6679536679536749E-2</v>
      </c>
      <c r="E92" s="6">
        <f>(Table2_1[[#This Row],[Constant Prices]]-C88)/C88</f>
        <v>-4.9190535491905392E-2</v>
      </c>
      <c r="F92" s="2">
        <v>652.4</v>
      </c>
      <c r="G92" s="7">
        <f>(Table2_1[[#This Row],[Current Prices]]-F91)/F91</f>
        <v>2.0810514786418328E-2</v>
      </c>
      <c r="H92" s="7">
        <f>(Table2_1[[#This Row],[Current Prices]]-F88)/F88</f>
        <v>-5.912892991058552E-2</v>
      </c>
      <c r="I92" s="2"/>
    </row>
    <row r="93" spans="1:9" x14ac:dyDescent="0.3">
      <c r="A93" s="2" t="s">
        <v>72</v>
      </c>
      <c r="B93" s="2" t="s">
        <v>39</v>
      </c>
      <c r="C93" s="2">
        <v>570.9</v>
      </c>
      <c r="D93" s="6">
        <f>(Table2_1[[#This Row],[Constant Prices]]-C92)/C92</f>
        <v>-6.5324165029469514E-2</v>
      </c>
      <c r="E93" s="6">
        <f>(Table2_1[[#This Row],[Constant Prices]]-C89)/C89</f>
        <v>-0.14420626592714741</v>
      </c>
      <c r="F93" s="2">
        <v>691.4</v>
      </c>
      <c r="G93" s="7">
        <f>(Table2_1[[#This Row],[Current Prices]]-F92)/F92</f>
        <v>5.9779276517473945E-2</v>
      </c>
      <c r="H93" s="7">
        <f>(Table2_1[[#This Row],[Current Prices]]-F89)/F89</f>
        <v>6.5167154521645287E-2</v>
      </c>
      <c r="I93" s="2"/>
    </row>
    <row r="94" spans="1:9" x14ac:dyDescent="0.3">
      <c r="A94" s="2" t="s">
        <v>72</v>
      </c>
      <c r="B94" s="2" t="s">
        <v>40</v>
      </c>
      <c r="C94" s="2">
        <v>494</v>
      </c>
      <c r="D94" s="6">
        <f>(Table2_1[[#This Row],[Constant Prices]]-C93)/C93</f>
        <v>-0.13469959712734275</v>
      </c>
      <c r="E94" s="6">
        <f>(Table2_1[[#This Row],[Constant Prices]]-C90)/C90</f>
        <v>-0.22057431366361624</v>
      </c>
      <c r="F94" s="2">
        <v>635.70000000000005</v>
      </c>
      <c r="G94" s="7">
        <f>(Table2_1[[#This Row],[Current Prices]]-F93)/F93</f>
        <v>-8.0561180214058337E-2</v>
      </c>
      <c r="H94" s="7">
        <f>(Table2_1[[#This Row],[Current Prices]]-F90)/F90</f>
        <v>-9.0413094310209732E-3</v>
      </c>
      <c r="I94" s="2"/>
    </row>
    <row r="95" spans="1:9" x14ac:dyDescent="0.3">
      <c r="A95" s="2" t="s">
        <v>72</v>
      </c>
      <c r="B95" s="2" t="s">
        <v>41</v>
      </c>
      <c r="C95" s="2">
        <v>618.1</v>
      </c>
      <c r="D95" s="6">
        <f>(Table2_1[[#This Row],[Constant Prices]]-C94)/C94</f>
        <v>0.25121457489878546</v>
      </c>
      <c r="E95" s="6">
        <f>(Table2_1[[#This Row],[Constant Prices]]-C91)/C91</f>
        <v>-4.5405405405405372E-2</v>
      </c>
      <c r="F95" s="2">
        <v>799.4</v>
      </c>
      <c r="G95" s="7">
        <f>(Table2_1[[#This Row],[Current Prices]]-F94)/F94</f>
        <v>0.25751140475066842</v>
      </c>
      <c r="H95" s="7">
        <f>(Table2_1[[#This Row],[Current Prices]]-F91)/F91</f>
        <v>0.25082146768893748</v>
      </c>
      <c r="I95" s="2">
        <v>7</v>
      </c>
    </row>
    <row r="96" spans="1:9" x14ac:dyDescent="0.3">
      <c r="A96" s="2" t="s">
        <v>72</v>
      </c>
      <c r="B96" s="2" t="s">
        <v>42</v>
      </c>
      <c r="C96" s="2">
        <v>602.70000000000005</v>
      </c>
      <c r="D96" s="6">
        <f>(Table2_1[[#This Row],[Constant Prices]]-C95)/C95</f>
        <v>-2.4915062287655682E-2</v>
      </c>
      <c r="E96" s="6">
        <f>(Table2_1[[#This Row],[Constant Prices]]-C92)/C92</f>
        <v>-1.326129666011773E-2</v>
      </c>
      <c r="F96" s="2">
        <v>814.4</v>
      </c>
      <c r="G96" s="7">
        <f>(Table2_1[[#This Row],[Current Prices]]-F95)/F95</f>
        <v>1.8764073054791094E-2</v>
      </c>
      <c r="H96" s="7">
        <f>(Table2_1[[#This Row],[Current Prices]]-F92)/F92</f>
        <v>0.24831391784181484</v>
      </c>
      <c r="I96" s="2"/>
    </row>
    <row r="97" spans="1:9" x14ac:dyDescent="0.3">
      <c r="A97" s="2" t="s">
        <v>72</v>
      </c>
      <c r="B97" s="2" t="s">
        <v>43</v>
      </c>
      <c r="C97" s="2">
        <v>562.4</v>
      </c>
      <c r="D97" s="6">
        <f>(Table2_1[[#This Row],[Constant Prices]]-C96)/C96</f>
        <v>-6.6865770698523425E-2</v>
      </c>
      <c r="E97" s="6">
        <f>(Table2_1[[#This Row],[Constant Prices]]-C93)/C93</f>
        <v>-1.4888772114205641E-2</v>
      </c>
      <c r="F97" s="2">
        <v>856.2</v>
      </c>
      <c r="G97" s="7">
        <f>(Table2_1[[#This Row],[Current Prices]]-F96)/F96</f>
        <v>5.1326129666011876E-2</v>
      </c>
      <c r="H97" s="7">
        <f>(Table2_1[[#This Row],[Current Prices]]-F93)/F93</f>
        <v>0.23835695689904551</v>
      </c>
      <c r="I97" s="2"/>
    </row>
    <row r="98" spans="1:9" x14ac:dyDescent="0.3">
      <c r="A98" s="2" t="s">
        <v>72</v>
      </c>
      <c r="B98" s="2" t="s">
        <v>44</v>
      </c>
      <c r="C98" s="2">
        <v>539.70000000000005</v>
      </c>
      <c r="D98" s="6">
        <f>(Table2_1[[#This Row],[Constant Prices]]-C97)/C97</f>
        <v>-4.036273115220472E-2</v>
      </c>
      <c r="E98" s="6">
        <f>(Table2_1[[#This Row],[Constant Prices]]-C94)/C94</f>
        <v>9.2510121457489977E-2</v>
      </c>
      <c r="F98" s="2">
        <v>935.9</v>
      </c>
      <c r="G98" s="7">
        <f>(Table2_1[[#This Row],[Current Prices]]-F97)/F97</f>
        <v>9.3085727633730353E-2</v>
      </c>
      <c r="H98" s="7">
        <f>(Table2_1[[#This Row],[Current Prices]]-F94)/F94</f>
        <v>0.4722353311310365</v>
      </c>
      <c r="I98" s="2"/>
    </row>
    <row r="99" spans="1:9" x14ac:dyDescent="0.3">
      <c r="A99" s="2" t="s">
        <v>72</v>
      </c>
      <c r="B99" s="2" t="s">
        <v>45</v>
      </c>
      <c r="C99" s="2">
        <v>540.79999999999995</v>
      </c>
      <c r="D99" s="6">
        <f>(Table2_1[[#This Row],[Constant Prices]]-C98)/C98</f>
        <v>2.0381693533442821E-3</v>
      </c>
      <c r="E99" s="6">
        <f>(Table2_1[[#This Row],[Constant Prices]]-C95)/C95</f>
        <v>-0.12506066979453173</v>
      </c>
      <c r="F99" s="2">
        <v>897.2</v>
      </c>
      <c r="G99" s="7">
        <f>(Table2_1[[#This Row],[Current Prices]]-F98)/F98</f>
        <v>-4.13505716422694E-2</v>
      </c>
      <c r="H99" s="7">
        <f>(Table2_1[[#This Row],[Current Prices]]-F95)/F95</f>
        <v>0.12234175631723802</v>
      </c>
      <c r="I99" s="2">
        <v>8</v>
      </c>
    </row>
    <row r="100" spans="1:9" x14ac:dyDescent="0.3">
      <c r="A100" s="2" t="s">
        <v>72</v>
      </c>
      <c r="B100" s="2" t="s">
        <v>46</v>
      </c>
      <c r="C100" s="2">
        <v>532.6</v>
      </c>
      <c r="D100" s="6">
        <f>(Table2_1[[#This Row],[Constant Prices]]-C99)/C99</f>
        <v>-1.5162721893490999E-2</v>
      </c>
      <c r="E100" s="6">
        <f>(Table2_1[[#This Row],[Constant Prices]]-C96)/C96</f>
        <v>-0.11630993860959021</v>
      </c>
      <c r="F100" s="2">
        <v>880.8</v>
      </c>
      <c r="G100" s="7">
        <f>(Table2_1[[#This Row],[Current Prices]]-F99)/F99</f>
        <v>-1.8279090503789668E-2</v>
      </c>
      <c r="H100" s="7">
        <f>(Table2_1[[#This Row],[Current Prices]]-F96)/F96</f>
        <v>8.1532416502946931E-2</v>
      </c>
      <c r="I100" s="2"/>
    </row>
    <row r="101" spans="1:9" x14ac:dyDescent="0.3">
      <c r="A101" s="2" t="s">
        <v>72</v>
      </c>
      <c r="B101" s="2" t="s">
        <v>47</v>
      </c>
      <c r="C101" s="2">
        <v>524.5</v>
      </c>
      <c r="D101" s="6">
        <f>(Table2_1[[#This Row],[Constant Prices]]-C100)/C100</f>
        <v>-1.5208411565903159E-2</v>
      </c>
      <c r="E101" s="6">
        <f>(Table2_1[[#This Row],[Constant Prices]]-C97)/C97</f>
        <v>-6.7389758179231832E-2</v>
      </c>
      <c r="F101" s="2">
        <v>923.7</v>
      </c>
      <c r="G101" s="7">
        <f>(Table2_1[[#This Row],[Current Prices]]-F100)/F100</f>
        <v>4.8705722070844795E-2</v>
      </c>
      <c r="H101" s="7">
        <f>(Table2_1[[#This Row],[Current Prices]]-F97)/F97</f>
        <v>7.883672039243167E-2</v>
      </c>
      <c r="I101" s="2"/>
    </row>
    <row r="102" spans="1:9" x14ac:dyDescent="0.3">
      <c r="A102" s="2" t="s">
        <v>72</v>
      </c>
      <c r="B102" s="2" t="s">
        <v>48</v>
      </c>
      <c r="C102" s="2">
        <v>502.3</v>
      </c>
      <c r="D102" s="6">
        <f>(Table2_1[[#This Row],[Constant Prices]]-C101)/C101</f>
        <v>-4.2326024785509987E-2</v>
      </c>
      <c r="E102" s="6">
        <f>(Table2_1[[#This Row],[Constant Prices]]-C98)/C98</f>
        <v>-6.929775801371138E-2</v>
      </c>
      <c r="F102" s="2">
        <v>894.8</v>
      </c>
      <c r="G102" s="7">
        <f>(Table2_1[[#This Row],[Current Prices]]-F101)/F101</f>
        <v>-3.1287214463570523E-2</v>
      </c>
      <c r="H102" s="7">
        <f>(Table2_1[[#This Row],[Current Prices]]-F98)/F98</f>
        <v>-4.3914948178224195E-2</v>
      </c>
      <c r="I102" s="2"/>
    </row>
    <row r="103" spans="1:9" x14ac:dyDescent="0.3">
      <c r="A103" s="2" t="s">
        <v>72</v>
      </c>
      <c r="B103" s="2" t="s">
        <v>49</v>
      </c>
      <c r="C103" s="2">
        <v>499.9</v>
      </c>
      <c r="D103" s="6">
        <f>(Table2_1[[#This Row],[Constant Prices]]-C102)/C102</f>
        <v>-4.778021102926606E-3</v>
      </c>
      <c r="E103" s="6">
        <f>(Table2_1[[#This Row],[Constant Prices]]-C99)/C99</f>
        <v>-7.5628698224852034E-2</v>
      </c>
      <c r="F103" s="2">
        <v>746.2</v>
      </c>
      <c r="G103" s="7">
        <f>(Table2_1[[#This Row],[Current Prices]]-F102)/F102</f>
        <v>-0.16607063030844874</v>
      </c>
      <c r="H103" s="7">
        <f>(Table2_1[[#This Row],[Current Prices]]-F99)/F99</f>
        <v>-0.16830138207757467</v>
      </c>
      <c r="I103" s="2">
        <v>9</v>
      </c>
    </row>
    <row r="104" spans="1:9" x14ac:dyDescent="0.3">
      <c r="A104" s="2" t="s">
        <v>72</v>
      </c>
      <c r="B104" s="2" t="s">
        <v>50</v>
      </c>
      <c r="C104" s="2">
        <v>519.70000000000005</v>
      </c>
      <c r="D104" s="6">
        <f>(Table2_1[[#This Row],[Constant Prices]]-C103)/C103</f>
        <v>3.9607921584317002E-2</v>
      </c>
      <c r="E104" s="6">
        <f>(Table2_1[[#This Row],[Constant Prices]]-C100)/C100</f>
        <v>-2.4220803604956771E-2</v>
      </c>
      <c r="F104" s="2">
        <v>613.9</v>
      </c>
      <c r="G104" s="7">
        <f>(Table2_1[[#This Row],[Current Prices]]-F103)/F103</f>
        <v>-0.177298311444653</v>
      </c>
      <c r="H104" s="7">
        <f>(Table2_1[[#This Row],[Current Prices]]-F100)/F100</f>
        <v>-0.3030199818346957</v>
      </c>
      <c r="I104" s="2"/>
    </row>
    <row r="105" spans="1:9" x14ac:dyDescent="0.3">
      <c r="A105" s="2" t="s">
        <v>72</v>
      </c>
      <c r="B105" s="2" t="s">
        <v>51</v>
      </c>
      <c r="C105" s="2">
        <v>563.4</v>
      </c>
      <c r="D105" s="6">
        <f>(Table2_1[[#This Row],[Constant Prices]]-C104)/C104</f>
        <v>8.4086973253800129E-2</v>
      </c>
      <c r="E105" s="6">
        <f>(Table2_1[[#This Row],[Constant Prices]]-C101)/C101</f>
        <v>7.4165872259294524E-2</v>
      </c>
      <c r="F105" s="2">
        <v>859</v>
      </c>
      <c r="G105" s="7">
        <f>(Table2_1[[#This Row],[Current Prices]]-F104)/F104</f>
        <v>0.39925069229516214</v>
      </c>
      <c r="H105" s="7">
        <f>(Table2_1[[#This Row],[Current Prices]]-F101)/F101</f>
        <v>-7.0044386705640407E-2</v>
      </c>
      <c r="I105" s="2"/>
    </row>
    <row r="106" spans="1:9" x14ac:dyDescent="0.3">
      <c r="A106" s="2" t="s">
        <v>72</v>
      </c>
      <c r="B106" s="2" t="s">
        <v>52</v>
      </c>
      <c r="C106" s="2">
        <v>444.4</v>
      </c>
      <c r="D106" s="6">
        <f>(Table2_1[[#This Row],[Constant Prices]]-C105)/C105</f>
        <v>-0.21121760738374157</v>
      </c>
      <c r="E106" s="6">
        <f>(Table2_1[[#This Row],[Constant Prices]]-C102)/C102</f>
        <v>-0.11526975910810279</v>
      </c>
      <c r="F106" s="2">
        <v>463.8</v>
      </c>
      <c r="G106" s="7">
        <f>(Table2_1[[#This Row],[Current Prices]]-F105)/F105</f>
        <v>-0.46006984866123396</v>
      </c>
      <c r="H106" s="7">
        <f>(Table2_1[[#This Row],[Current Prices]]-F102)/F102</f>
        <v>-0.48167188198480104</v>
      </c>
      <c r="I106" s="2"/>
    </row>
    <row r="107" spans="1:9" x14ac:dyDescent="0.3">
      <c r="A107" s="2" t="s">
        <v>72</v>
      </c>
      <c r="B107" s="2" t="s">
        <v>53</v>
      </c>
      <c r="C107" s="2">
        <v>506.1</v>
      </c>
      <c r="D107" s="6">
        <f>(Table2_1[[#This Row],[Constant Prices]]-C106)/C106</f>
        <v>0.13883888388838894</v>
      </c>
      <c r="E107" s="6">
        <f>(Table2_1[[#This Row],[Constant Prices]]-C103)/C103</f>
        <v>1.2402480496099311E-2</v>
      </c>
      <c r="F107" s="2">
        <v>527.1</v>
      </c>
      <c r="G107" s="7">
        <f>(Table2_1[[#This Row],[Current Prices]]-F106)/F106</f>
        <v>0.13648124191461838</v>
      </c>
      <c r="H107" s="7">
        <f>(Table2_1[[#This Row],[Current Prices]]-F103)/F103</f>
        <v>-0.29362101313320826</v>
      </c>
      <c r="I107" s="2">
        <v>10</v>
      </c>
    </row>
    <row r="108" spans="1:9" x14ac:dyDescent="0.3">
      <c r="A108" s="2" t="s">
        <v>72</v>
      </c>
      <c r="B108" s="2" t="s">
        <v>54</v>
      </c>
      <c r="C108" s="2">
        <v>644.4</v>
      </c>
      <c r="D108" s="6">
        <f>(Table2_1[[#This Row],[Constant Prices]]-C107)/C107</f>
        <v>0.27326615293420264</v>
      </c>
      <c r="E108" s="6">
        <f>(Table2_1[[#This Row],[Constant Prices]]-C104)/C104</f>
        <v>0.23994612276313243</v>
      </c>
      <c r="F108" s="2">
        <v>734.8</v>
      </c>
      <c r="G108" s="7">
        <f>(Table2_1[[#This Row],[Current Prices]]-F107)/F107</f>
        <v>0.3940428761145891</v>
      </c>
      <c r="H108" s="7">
        <f>(Table2_1[[#This Row],[Current Prices]]-F104)/F104</f>
        <v>0.19693761198892326</v>
      </c>
      <c r="I108" s="2"/>
    </row>
    <row r="109" spans="1:9" x14ac:dyDescent="0.3">
      <c r="A109" s="2" t="s">
        <v>72</v>
      </c>
      <c r="B109" s="2" t="s">
        <v>55</v>
      </c>
      <c r="C109" s="2">
        <v>641.9</v>
      </c>
      <c r="D109" s="6">
        <f>(Table2_1[[#This Row],[Constant Prices]]-C108)/C108</f>
        <v>-3.8795779019242709E-3</v>
      </c>
      <c r="E109" s="6">
        <f>(Table2_1[[#This Row],[Constant Prices]]-C105)/C105</f>
        <v>0.13933262335818247</v>
      </c>
      <c r="F109" s="2">
        <v>977.5</v>
      </c>
      <c r="G109" s="7">
        <f>(Table2_1[[#This Row],[Current Prices]]-F108)/F108</f>
        <v>0.33029395753946661</v>
      </c>
      <c r="H109" s="7">
        <f>(Table2_1[[#This Row],[Current Prices]]-F105)/F105</f>
        <v>0.13795110593713619</v>
      </c>
      <c r="I109" s="2"/>
    </row>
    <row r="110" spans="1:9" x14ac:dyDescent="0.3">
      <c r="A110" s="2" t="s">
        <v>72</v>
      </c>
      <c r="B110" s="2" t="s">
        <v>56</v>
      </c>
      <c r="C110" s="2">
        <v>572.9</v>
      </c>
      <c r="D110" s="6">
        <f>(Table2_1[[#This Row],[Constant Prices]]-C109)/C109</f>
        <v>-0.10749337903100172</v>
      </c>
      <c r="E110" s="6">
        <f>(Table2_1[[#This Row],[Constant Prices]]-C106)/C106</f>
        <v>0.28915391539153917</v>
      </c>
      <c r="F110" s="2">
        <v>857.7</v>
      </c>
      <c r="G110" s="7">
        <f>(Table2_1[[#This Row],[Current Prices]]-F109)/F109</f>
        <v>-0.1225575447570332</v>
      </c>
      <c r="H110" s="7">
        <f>(Table2_1[[#This Row],[Current Prices]]-F106)/F106</f>
        <v>0.84928848641655896</v>
      </c>
      <c r="I110" s="2"/>
    </row>
    <row r="111" spans="1:9" x14ac:dyDescent="0.3">
      <c r="A111" s="2" t="s">
        <v>72</v>
      </c>
      <c r="B111" s="2" t="s">
        <v>57</v>
      </c>
      <c r="C111" s="2">
        <v>584.6</v>
      </c>
      <c r="D111" s="6">
        <f>(Table2_1[[#This Row],[Constant Prices]]-C110)/C110</f>
        <v>2.0422412288357561E-2</v>
      </c>
      <c r="E111" s="6">
        <f>(Table2_1[[#This Row],[Constant Prices]]-C107)/C107</f>
        <v>0.15510768622801818</v>
      </c>
      <c r="F111" s="2">
        <v>812.5</v>
      </c>
      <c r="G111" s="7">
        <f>(Table2_1[[#This Row],[Current Prices]]-F110)/F110</f>
        <v>-5.2699078932027563E-2</v>
      </c>
      <c r="H111" s="7">
        <f>(Table2_1[[#This Row],[Current Prices]]-F107)/F107</f>
        <v>0.54145323468032625</v>
      </c>
      <c r="I111" s="2">
        <v>11</v>
      </c>
    </row>
    <row r="112" spans="1:9" x14ac:dyDescent="0.3">
      <c r="A112" s="2" t="s">
        <v>72</v>
      </c>
      <c r="B112" s="2" t="s">
        <v>58</v>
      </c>
      <c r="C112" s="2">
        <v>572.6</v>
      </c>
      <c r="D112" s="6">
        <f>(Table2_1[[#This Row],[Constant Prices]]-C111)/C111</f>
        <v>-2.0526855969893943E-2</v>
      </c>
      <c r="E112" s="6">
        <f>(Table2_1[[#This Row],[Constant Prices]]-C108)/C108</f>
        <v>-0.11142147734326499</v>
      </c>
      <c r="F112" s="2">
        <v>1257.8</v>
      </c>
      <c r="G112" s="7">
        <f>(Table2_1[[#This Row],[Current Prices]]-F111)/F111</f>
        <v>0.54806153846153838</v>
      </c>
      <c r="H112" s="7">
        <f>(Table2_1[[#This Row],[Current Prices]]-F108)/F108</f>
        <v>0.71175830157866093</v>
      </c>
      <c r="I112" s="2"/>
    </row>
    <row r="113" spans="1:9" x14ac:dyDescent="0.3">
      <c r="A113" s="2" t="s">
        <v>72</v>
      </c>
      <c r="B113" s="2" t="s">
        <v>59</v>
      </c>
      <c r="C113" s="2">
        <v>537.4</v>
      </c>
      <c r="D113" s="6">
        <f>(Table2_1[[#This Row],[Constant Prices]]-C112)/C112</f>
        <v>-6.1473978344394067E-2</v>
      </c>
      <c r="E113" s="6">
        <f>(Table2_1[[#This Row],[Constant Prices]]-C109)/C109</f>
        <v>-0.16279794360492289</v>
      </c>
      <c r="F113" s="2">
        <v>1261.5999999999999</v>
      </c>
      <c r="G113" s="7">
        <f>(Table2_1[[#This Row],[Current Prices]]-F112)/F112</f>
        <v>3.0211480362537404E-3</v>
      </c>
      <c r="H113" s="7">
        <f>(Table2_1[[#This Row],[Current Prices]]-F109)/F109</f>
        <v>0.29063938618925822</v>
      </c>
      <c r="I113" s="2"/>
    </row>
    <row r="114" spans="1:9" x14ac:dyDescent="0.3">
      <c r="A114" s="2" t="s">
        <v>72</v>
      </c>
      <c r="B114" s="2" t="s">
        <v>60</v>
      </c>
      <c r="C114" s="2">
        <v>511.9</v>
      </c>
      <c r="D114" s="6">
        <f>(Table2_1[[#This Row],[Constant Prices]]-C113)/C113</f>
        <v>-4.7450688500186085E-2</v>
      </c>
      <c r="E114" s="6">
        <f>(Table2_1[[#This Row],[Constant Prices]]-C110)/C110</f>
        <v>-0.10647582475126549</v>
      </c>
      <c r="F114" s="2">
        <v>1255.9000000000001</v>
      </c>
      <c r="G114" s="7">
        <f>(Table2_1[[#This Row],[Current Prices]]-F113)/F113</f>
        <v>-4.5180722891564823E-3</v>
      </c>
      <c r="H114" s="7">
        <f>(Table2_1[[#This Row],[Current Prices]]-F110)/F110</f>
        <v>0.46426489448525127</v>
      </c>
      <c r="I114" s="2"/>
    </row>
    <row r="115" spans="1:9" x14ac:dyDescent="0.3">
      <c r="A115" s="2" t="s">
        <v>72</v>
      </c>
      <c r="B115" s="2" t="s">
        <v>61</v>
      </c>
      <c r="C115" s="2">
        <v>521.70000000000005</v>
      </c>
      <c r="D115" s="6">
        <f>(Table2_1[[#This Row],[Constant Prices]]-C114)/C114</f>
        <v>1.914436413361998E-2</v>
      </c>
      <c r="E115" s="6">
        <f>(Table2_1[[#This Row],[Constant Prices]]-C111)/C111</f>
        <v>-0.10759493670886072</v>
      </c>
      <c r="F115" s="2">
        <v>1219</v>
      </c>
      <c r="G115" s="7">
        <f>(Table2_1[[#This Row],[Current Prices]]-F114)/F114</f>
        <v>-2.9381320168803318E-2</v>
      </c>
      <c r="H115" s="7">
        <f>(Table2_1[[#This Row],[Current Prices]]-F111)/F111</f>
        <v>0.50030769230769234</v>
      </c>
      <c r="I115" s="2">
        <v>12</v>
      </c>
    </row>
    <row r="116" spans="1:9" x14ac:dyDescent="0.3">
      <c r="A116" s="2" t="s">
        <v>72</v>
      </c>
      <c r="B116" s="2" t="s">
        <v>62</v>
      </c>
      <c r="C116" s="2">
        <v>508.7</v>
      </c>
      <c r="D116" s="6">
        <f>(Table2_1[[#This Row],[Constant Prices]]-C115)/C115</f>
        <v>-2.4918535556833536E-2</v>
      </c>
      <c r="E116" s="6">
        <f>(Table2_1[[#This Row],[Constant Prices]]-C112)/C112</f>
        <v>-0.1115962277331471</v>
      </c>
      <c r="F116" s="2">
        <v>1126.2</v>
      </c>
      <c r="G116" s="7">
        <f>(Table2_1[[#This Row],[Current Prices]]-F115)/F115</f>
        <v>-7.6127973748974537E-2</v>
      </c>
      <c r="H116" s="7">
        <f>(Table2_1[[#This Row],[Current Prices]]-F112)/F112</f>
        <v>-0.10462712672920967</v>
      </c>
      <c r="I116" s="2"/>
    </row>
    <row r="117" spans="1:9" x14ac:dyDescent="0.3">
      <c r="A117" s="2" t="s">
        <v>72</v>
      </c>
      <c r="B117" s="2" t="s">
        <v>63</v>
      </c>
      <c r="C117" s="2">
        <v>550</v>
      </c>
      <c r="D117" s="6">
        <f>(Table2_1[[#This Row],[Constant Prices]]-C116)/C116</f>
        <v>8.1187340279142942E-2</v>
      </c>
      <c r="E117" s="6">
        <f>(Table2_1[[#This Row],[Constant Prices]]-C113)/C113</f>
        <v>2.3446222553033167E-2</v>
      </c>
      <c r="F117" s="2">
        <v>1212.2</v>
      </c>
      <c r="G117" s="7">
        <f>(Table2_1[[#This Row],[Current Prices]]-F116)/F116</f>
        <v>7.6362990587817439E-2</v>
      </c>
      <c r="H117" s="7">
        <f>(Table2_1[[#This Row],[Current Prices]]-F113)/F113</f>
        <v>-3.9156626506023993E-2</v>
      </c>
      <c r="I117" s="2"/>
    </row>
    <row r="118" spans="1:9" x14ac:dyDescent="0.3">
      <c r="A118" s="2" t="s">
        <v>72</v>
      </c>
      <c r="B118" s="2" t="s">
        <v>64</v>
      </c>
      <c r="C118" s="2">
        <v>530.6</v>
      </c>
      <c r="D118" s="6">
        <f>(Table2_1[[#This Row],[Constant Prices]]-C117)/C117</f>
        <v>-3.5272727272727233E-2</v>
      </c>
      <c r="E118" s="6">
        <f>(Table2_1[[#This Row],[Constant Prices]]-C114)/C114</f>
        <v>3.6530572377417553E-2</v>
      </c>
      <c r="F118" s="2">
        <v>1237.5999999999999</v>
      </c>
      <c r="G118" s="7">
        <f>(Table2_1[[#This Row],[Current Prices]]-F117)/F117</f>
        <v>2.0953638013529008E-2</v>
      </c>
      <c r="H118" s="7">
        <f>(Table2_1[[#This Row],[Current Prices]]-F114)/F114</f>
        <v>-1.4571223823552975E-2</v>
      </c>
      <c r="I118" s="2"/>
    </row>
    <row r="119" spans="1:9" x14ac:dyDescent="0.3">
      <c r="A119" s="2" t="s">
        <v>72</v>
      </c>
      <c r="B119" s="2" t="s">
        <v>65</v>
      </c>
      <c r="C119" s="2">
        <v>514.4</v>
      </c>
      <c r="D119" s="6">
        <f>(Table2_1[[#This Row],[Constant Prices]]-C118)/C118</f>
        <v>-3.0531473803241699E-2</v>
      </c>
      <c r="E119" s="6">
        <f>(Table2_1[[#This Row],[Constant Prices]]-C115)/C115</f>
        <v>-1.3992716120375824E-2</v>
      </c>
      <c r="F119" s="2">
        <v>1195.4000000000001</v>
      </c>
      <c r="G119" s="7">
        <f>(Table2_1[[#This Row],[Current Prices]]-F118)/F118</f>
        <v>-3.4098254686489839E-2</v>
      </c>
      <c r="H119" s="7">
        <f>(Table2_1[[#This Row],[Current Prices]]-F115)/F115</f>
        <v>-1.9360131255127078E-2</v>
      </c>
      <c r="I119" s="2">
        <v>13</v>
      </c>
    </row>
    <row r="120" spans="1:9" x14ac:dyDescent="0.3">
      <c r="A120" s="2" t="s">
        <v>72</v>
      </c>
      <c r="B120" s="2" t="s">
        <v>66</v>
      </c>
      <c r="C120" s="2">
        <v>414.3</v>
      </c>
      <c r="D120" s="6">
        <f>(Table2_1[[#This Row],[Constant Prices]]-C119)/C119</f>
        <v>-0.19459564541213059</v>
      </c>
      <c r="E120" s="6">
        <f>(Table2_1[[#This Row],[Constant Prices]]-C116)/C116</f>
        <v>-0.18557106349518376</v>
      </c>
      <c r="F120" s="2">
        <v>972.1</v>
      </c>
      <c r="G120" s="7">
        <f>(Table2_1[[#This Row],[Current Prices]]-F119)/F119</f>
        <v>-0.18679939769114945</v>
      </c>
      <c r="H120" s="7">
        <f>(Table2_1[[#This Row],[Current Prices]]-F116)/F116</f>
        <v>-0.13683182383235662</v>
      </c>
      <c r="I120" s="2"/>
    </row>
    <row r="121" spans="1:9" x14ac:dyDescent="0.3">
      <c r="A121" s="2" t="s">
        <v>72</v>
      </c>
      <c r="B121" s="2" t="s">
        <v>67</v>
      </c>
      <c r="C121" s="2">
        <v>428.2</v>
      </c>
      <c r="D121" s="6">
        <f>(Table2_1[[#This Row],[Constant Prices]]-C120)/C120</f>
        <v>3.3550567221819878E-2</v>
      </c>
      <c r="E121" s="6">
        <f>(Table2_1[[#This Row],[Constant Prices]]-C117)/C117</f>
        <v>-0.22145454545454549</v>
      </c>
      <c r="F121" s="2">
        <v>1116.8</v>
      </c>
      <c r="G121" s="7">
        <f>(Table2_1[[#This Row],[Current Prices]]-F120)/F120</f>
        <v>0.14885299866268895</v>
      </c>
      <c r="H121" s="7">
        <f>(Table2_1[[#This Row],[Current Prices]]-F117)/F117</f>
        <v>-7.869988450750709E-2</v>
      </c>
      <c r="I121" s="2"/>
    </row>
    <row r="122" spans="1:9" x14ac:dyDescent="0.3">
      <c r="A122" s="2" t="s">
        <v>72</v>
      </c>
      <c r="B122" s="2" t="s">
        <v>68</v>
      </c>
      <c r="C122" s="2">
        <v>425.8</v>
      </c>
      <c r="D122" s="6">
        <f>(Table2_1[[#This Row],[Constant Prices]]-C121)/C121</f>
        <v>-5.6048575432040577E-3</v>
      </c>
      <c r="E122" s="6">
        <f>(Table2_1[[#This Row],[Constant Prices]]-C118)/C118</f>
        <v>-0.19751225028269884</v>
      </c>
      <c r="F122" s="2">
        <v>1017</v>
      </c>
      <c r="G122" s="7">
        <f>(Table2_1[[#This Row],[Current Prices]]-F121)/F121</f>
        <v>-8.9362464183381049E-2</v>
      </c>
      <c r="H122" s="7">
        <f>(Table2_1[[#This Row],[Current Prices]]-F118)/F118</f>
        <v>-0.17824822236586937</v>
      </c>
      <c r="I122" s="2"/>
    </row>
    <row r="123" spans="1:9" x14ac:dyDescent="0.3">
      <c r="A123" s="2" t="s">
        <v>72</v>
      </c>
      <c r="B123" s="2" t="s">
        <v>69</v>
      </c>
      <c r="C123" s="2">
        <v>426.9</v>
      </c>
      <c r="D123" s="6">
        <f>(Table2_1[[#This Row],[Constant Prices]]-C122)/C122</f>
        <v>2.5833724753404554E-3</v>
      </c>
      <c r="E123" s="6">
        <f>(Table2_1[[#This Row],[Constant Prices]]-C119)/C119</f>
        <v>-0.17010108864696735</v>
      </c>
      <c r="F123" s="5">
        <f>Table2_1[[#This Row],[Constant Prices]]*AVERAGE(Inflation!$C$72:$C$74)*0.01</f>
        <v>772.83129999999994</v>
      </c>
      <c r="G123" s="7">
        <f>(Table2_1[[#This Row],[Current Prices]]-F122)/F122</f>
        <v>-0.24008721730580143</v>
      </c>
      <c r="H123" s="7">
        <f>(Table2_1[[#This Row],[Current Prices]]-F119)/F119</f>
        <v>-0.35349564999163469</v>
      </c>
      <c r="I123" s="2">
        <v>14</v>
      </c>
    </row>
    <row r="124" spans="1:9" x14ac:dyDescent="0.3">
      <c r="A124" s="2" t="s">
        <v>72</v>
      </c>
      <c r="B124" s="2" t="s">
        <v>70</v>
      </c>
      <c r="C124" s="2">
        <v>384.4</v>
      </c>
      <c r="D124" s="6">
        <f>(Table2_1[[#This Row],[Constant Prices]]-C123)/C123</f>
        <v>-9.9554930897165619E-2</v>
      </c>
      <c r="E124" s="6">
        <f>(Table2_1[[#This Row],[Constant Prices]]-C120)/C120</f>
        <v>-7.2169925174994043E-2</v>
      </c>
      <c r="F124" s="5">
        <f>Table2_1[[#This Row],[Constant Prices]]*AVERAGE(Inflation!$C$75:$C$77)*0.01</f>
        <v>701.27373333333321</v>
      </c>
      <c r="G124" s="7">
        <f>(Table2_1[[#This Row],[Current Prices]]-F123)/F123</f>
        <v>-9.2591444816827087E-2</v>
      </c>
      <c r="H124" s="7">
        <f>(Table2_1[[#This Row],[Current Prices]]-F120)/F120</f>
        <v>-0.2785991838974044</v>
      </c>
      <c r="I124" s="2"/>
    </row>
    <row r="125" spans="1:9" x14ac:dyDescent="0.3">
      <c r="A125" s="2" t="s">
        <v>72</v>
      </c>
      <c r="B125" s="2" t="s">
        <v>71</v>
      </c>
      <c r="C125" s="2">
        <v>376.6</v>
      </c>
      <c r="D125" s="6">
        <f>(Table2_1[[#This Row],[Constant Prices]]-C124)/C124</f>
        <v>-2.0291363163371372E-2</v>
      </c>
      <c r="E125" s="6">
        <f>(Table2_1[[#This Row],[Constant Prices]]-C121)/C121</f>
        <v>-0.1205044371788883</v>
      </c>
      <c r="F125" s="5">
        <f>Table2_1[[#This Row],[Constant Prices]]*AVERAGE(Inflation!$C$78:$C$80)*0.01</f>
        <v>697.96533333333343</v>
      </c>
      <c r="G125" s="7">
        <f>(Table2_1[[#This Row],[Current Prices]]-F124)/F124</f>
        <v>-4.7177012951477712E-3</v>
      </c>
      <c r="H125" s="7">
        <f>(Table2_1[[#This Row],[Current Prices]]-F121)/F121</f>
        <v>-0.3750310410697229</v>
      </c>
      <c r="I125" s="2"/>
    </row>
    <row r="126" spans="1:9" x14ac:dyDescent="0.3">
      <c r="A126" s="2" t="s">
        <v>73</v>
      </c>
      <c r="B126" s="2" t="s">
        <v>10</v>
      </c>
      <c r="C126" s="2">
        <v>212.1</v>
      </c>
      <c r="D126" s="6"/>
      <c r="E126" s="6"/>
      <c r="F126" s="2">
        <v>120.7</v>
      </c>
      <c r="G126" s="7"/>
      <c r="H126" s="7"/>
      <c r="I126" s="2"/>
    </row>
    <row r="127" spans="1:9" x14ac:dyDescent="0.3">
      <c r="A127" s="2" t="s">
        <v>73</v>
      </c>
      <c r="B127" s="2" t="s">
        <v>11</v>
      </c>
      <c r="C127" s="2">
        <v>209</v>
      </c>
      <c r="D127" s="6">
        <f>(Table2_1[[#This Row],[Constant Prices]]-C126)/C126</f>
        <v>-1.461574728901459E-2</v>
      </c>
      <c r="E127" s="6"/>
      <c r="F127" s="2">
        <v>134.19999999999999</v>
      </c>
      <c r="G127" s="7">
        <f>(Table2_1[[#This Row],[Current Prices]]-F126)/F126</f>
        <v>0.11184755592377785</v>
      </c>
      <c r="H127" s="7"/>
      <c r="I127" s="2"/>
    </row>
    <row r="128" spans="1:9" x14ac:dyDescent="0.3">
      <c r="A128" s="2" t="s">
        <v>73</v>
      </c>
      <c r="B128" s="2" t="s">
        <v>12</v>
      </c>
      <c r="C128" s="2">
        <v>217.5</v>
      </c>
      <c r="D128" s="6">
        <f>(Table2_1[[#This Row],[Constant Prices]]-C127)/C127</f>
        <v>4.0669856459330141E-2</v>
      </c>
      <c r="E128" s="6"/>
      <c r="F128" s="2">
        <v>131.4</v>
      </c>
      <c r="G128" s="7">
        <f>(Table2_1[[#This Row],[Current Prices]]-F127)/F127</f>
        <v>-2.0864381520119098E-2</v>
      </c>
      <c r="H128" s="7"/>
      <c r="I128" s="2"/>
    </row>
    <row r="129" spans="1:9" x14ac:dyDescent="0.3">
      <c r="A129" s="2" t="s">
        <v>73</v>
      </c>
      <c r="B129" s="2" t="s">
        <v>13</v>
      </c>
      <c r="C129" s="2">
        <v>236.1</v>
      </c>
      <c r="D129" s="6">
        <f>(Table2_1[[#This Row],[Constant Prices]]-C128)/C128</f>
        <v>8.5517241379310313E-2</v>
      </c>
      <c r="E129" s="6"/>
      <c r="F129" s="2">
        <v>133.6</v>
      </c>
      <c r="G129" s="7">
        <f>(Table2_1[[#This Row],[Current Prices]]-F128)/F128</f>
        <v>1.6742770167427614E-2</v>
      </c>
      <c r="H129" s="7"/>
      <c r="I129" s="2"/>
    </row>
    <row r="130" spans="1:9" x14ac:dyDescent="0.3">
      <c r="A130" s="2" t="s">
        <v>73</v>
      </c>
      <c r="B130" s="2" t="s">
        <v>14</v>
      </c>
      <c r="C130" s="2">
        <v>92.6</v>
      </c>
      <c r="D130" s="6">
        <f>(Table2_1[[#This Row],[Constant Prices]]-C129)/C129</f>
        <v>-0.60779330792037278</v>
      </c>
      <c r="E130" s="6">
        <f>(Table2_1[[#This Row],[Constant Prices]]-C127)/C127</f>
        <v>-0.55693779904306218</v>
      </c>
      <c r="F130" s="2">
        <v>61.6</v>
      </c>
      <c r="G130" s="7">
        <f>(Table2_1[[#This Row],[Current Prices]]-F129)/F129</f>
        <v>-0.53892215568862278</v>
      </c>
      <c r="H130" s="7">
        <f>(Table2_1[[#This Row],[Current Prices]]-F126)/F126</f>
        <v>-0.4896437448218724</v>
      </c>
      <c r="I130" s="2"/>
    </row>
    <row r="131" spans="1:9" x14ac:dyDescent="0.3">
      <c r="A131" s="2" t="s">
        <v>73</v>
      </c>
      <c r="B131" s="2" t="s">
        <v>15</v>
      </c>
      <c r="C131" s="2">
        <v>89</v>
      </c>
      <c r="D131" s="6">
        <f>(Table2_1[[#This Row],[Constant Prices]]-C130)/C130</f>
        <v>-3.8876889848812039E-2</v>
      </c>
      <c r="E131" s="6">
        <f>(Table2_1[[#This Row],[Constant Prices]]-C128)/C128</f>
        <v>-0.59080459770114946</v>
      </c>
      <c r="F131" s="2">
        <v>55.4</v>
      </c>
      <c r="G131" s="7">
        <f>(Table2_1[[#This Row],[Current Prices]]-F130)/F130</f>
        <v>-0.1006493506493507</v>
      </c>
      <c r="H131" s="7">
        <f>(Table2_1[[#This Row],[Current Prices]]-F127)/F127</f>
        <v>-0.58718330849478384</v>
      </c>
      <c r="I131" s="2"/>
    </row>
    <row r="132" spans="1:9" x14ac:dyDescent="0.3">
      <c r="A132" s="2" t="s">
        <v>73</v>
      </c>
      <c r="B132" s="2" t="s">
        <v>16</v>
      </c>
      <c r="C132" s="2">
        <v>104.4</v>
      </c>
      <c r="D132" s="6">
        <f>(Table2_1[[#This Row],[Constant Prices]]-C131)/C131</f>
        <v>0.17303370786516861</v>
      </c>
      <c r="E132" s="6">
        <f>(Table2_1[[#This Row],[Constant Prices]]-C129)/C129</f>
        <v>-0.55781448538754763</v>
      </c>
      <c r="F132" s="2">
        <v>66.3</v>
      </c>
      <c r="G132" s="7">
        <f>(Table2_1[[#This Row],[Current Prices]]-F131)/F131</f>
        <v>0.1967509025270758</v>
      </c>
      <c r="H132" s="7">
        <f>(Table2_1[[#This Row],[Current Prices]]-F128)/F128</f>
        <v>-0.49543378995433796</v>
      </c>
      <c r="I132" s="2"/>
    </row>
    <row r="133" spans="1:9" x14ac:dyDescent="0.3">
      <c r="A133" s="2" t="s">
        <v>73</v>
      </c>
      <c r="B133" s="2" t="s">
        <v>17</v>
      </c>
      <c r="C133" s="2">
        <v>106.5</v>
      </c>
      <c r="D133" s="6">
        <f>(Table2_1[[#This Row],[Constant Prices]]-C132)/C132</f>
        <v>2.0114942528735576E-2</v>
      </c>
      <c r="E133" s="6">
        <f>(Table2_1[[#This Row],[Constant Prices]]-C130)/C130</f>
        <v>0.15010799136069122</v>
      </c>
      <c r="F133" s="2">
        <v>92</v>
      </c>
      <c r="G133" s="7">
        <f>(Table2_1[[#This Row],[Current Prices]]-F132)/F132</f>
        <v>0.38763197586727005</v>
      </c>
      <c r="H133" s="7">
        <f>(Table2_1[[#This Row],[Current Prices]]-F129)/F129</f>
        <v>-0.31137724550898199</v>
      </c>
      <c r="I133" s="2">
        <v>1</v>
      </c>
    </row>
    <row r="134" spans="1:9" x14ac:dyDescent="0.3">
      <c r="A134" s="2" t="s">
        <v>73</v>
      </c>
      <c r="B134" s="2" t="s">
        <v>18</v>
      </c>
      <c r="C134" s="2">
        <v>119.5</v>
      </c>
      <c r="D134" s="6">
        <f>(Table2_1[[#This Row],[Constant Prices]]-C133)/C133</f>
        <v>0.12206572769953052</v>
      </c>
      <c r="E134" s="6">
        <f>(Table2_1[[#This Row],[Constant Prices]]-C131)/C131</f>
        <v>0.34269662921348315</v>
      </c>
      <c r="F134" s="2">
        <v>108</v>
      </c>
      <c r="G134" s="7">
        <f>(Table2_1[[#This Row],[Current Prices]]-F133)/F133</f>
        <v>0.17391304347826086</v>
      </c>
      <c r="H134" s="7">
        <f>(Table2_1[[#This Row],[Current Prices]]-F130)/F130</f>
        <v>0.75324675324675316</v>
      </c>
      <c r="I134" s="2"/>
    </row>
    <row r="135" spans="1:9" x14ac:dyDescent="0.3">
      <c r="A135" s="2" t="s">
        <v>73</v>
      </c>
      <c r="B135" s="2" t="s">
        <v>19</v>
      </c>
      <c r="C135" s="2">
        <v>108.7</v>
      </c>
      <c r="D135" s="6">
        <f>(Table2_1[[#This Row],[Constant Prices]]-C134)/C134</f>
        <v>-9.0376569037656881E-2</v>
      </c>
      <c r="E135" s="6">
        <f>(Table2_1[[#This Row],[Constant Prices]]-C132)/C132</f>
        <v>4.1187739463601505E-2</v>
      </c>
      <c r="F135" s="2">
        <v>113.7</v>
      </c>
      <c r="G135" s="7">
        <f>(Table2_1[[#This Row],[Current Prices]]-F134)/F134</f>
        <v>5.2777777777777805E-2</v>
      </c>
      <c r="H135" s="7">
        <f>(Table2_1[[#This Row],[Current Prices]]-F131)/F131</f>
        <v>1.052346570397112</v>
      </c>
      <c r="I135" s="2"/>
    </row>
    <row r="136" spans="1:9" x14ac:dyDescent="0.3">
      <c r="A136" s="2" t="s">
        <v>73</v>
      </c>
      <c r="B136" s="2" t="s">
        <v>20</v>
      </c>
      <c r="C136" s="2">
        <v>130.5</v>
      </c>
      <c r="D136" s="6">
        <f>(Table2_1[[#This Row],[Constant Prices]]-C135)/C135</f>
        <v>0.20055197792088314</v>
      </c>
      <c r="E136" s="6">
        <f>(Table2_1[[#This Row],[Constant Prices]]-C133)/C133</f>
        <v>0.22535211267605634</v>
      </c>
      <c r="F136" s="2">
        <v>120.2</v>
      </c>
      <c r="G136" s="7">
        <f>(Table2_1[[#This Row],[Current Prices]]-F135)/F135</f>
        <v>5.7167985927880388E-2</v>
      </c>
      <c r="H136" s="7">
        <f>(Table2_1[[#This Row],[Current Prices]]-F132)/F132</f>
        <v>0.8129713423831072</v>
      </c>
      <c r="I136" s="2"/>
    </row>
    <row r="137" spans="1:9" x14ac:dyDescent="0.3">
      <c r="A137" s="2" t="s">
        <v>73</v>
      </c>
      <c r="B137" s="2" t="s">
        <v>21</v>
      </c>
      <c r="C137" s="2">
        <v>88.3</v>
      </c>
      <c r="D137" s="6">
        <f>(Table2_1[[#This Row],[Constant Prices]]-C136)/C136</f>
        <v>-0.32337164750957859</v>
      </c>
      <c r="E137" s="6">
        <f>(Table2_1[[#This Row],[Constant Prices]]-C134)/C134</f>
        <v>-0.26108786610878665</v>
      </c>
      <c r="F137" s="2">
        <v>111</v>
      </c>
      <c r="G137" s="7">
        <f>(Table2_1[[#This Row],[Current Prices]]-F136)/F136</f>
        <v>-7.6539101497504175E-2</v>
      </c>
      <c r="H137" s="7">
        <f>(Table2_1[[#This Row],[Current Prices]]-F133)/F133</f>
        <v>0.20652173913043478</v>
      </c>
      <c r="I137" s="2">
        <v>2</v>
      </c>
    </row>
    <row r="138" spans="1:9" x14ac:dyDescent="0.3">
      <c r="A138" s="2" t="s">
        <v>73</v>
      </c>
      <c r="B138" s="2" t="s">
        <v>22</v>
      </c>
      <c r="C138" s="2">
        <v>93.5</v>
      </c>
      <c r="D138" s="6">
        <f>(Table2_1[[#This Row],[Constant Prices]]-C137)/C137</f>
        <v>5.8890147225368096E-2</v>
      </c>
      <c r="E138" s="6">
        <f>(Table2_1[[#This Row],[Constant Prices]]-C135)/C135</f>
        <v>-0.13983440662373509</v>
      </c>
      <c r="F138" s="2">
        <v>88.5</v>
      </c>
      <c r="G138" s="7">
        <f>(Table2_1[[#This Row],[Current Prices]]-F137)/F137</f>
        <v>-0.20270270270270271</v>
      </c>
      <c r="H138" s="7">
        <f>(Table2_1[[#This Row],[Current Prices]]-F134)/F134</f>
        <v>-0.18055555555555555</v>
      </c>
      <c r="I138" s="2"/>
    </row>
    <row r="139" spans="1:9" x14ac:dyDescent="0.3">
      <c r="A139" s="2" t="s">
        <v>73</v>
      </c>
      <c r="B139" s="2" t="s">
        <v>23</v>
      </c>
      <c r="C139" s="2">
        <v>130.80000000000001</v>
      </c>
      <c r="D139" s="6">
        <f>(Table2_1[[#This Row],[Constant Prices]]-C138)/C138</f>
        <v>0.39893048128342257</v>
      </c>
      <c r="E139" s="6">
        <f>(Table2_1[[#This Row],[Constant Prices]]-C136)/C136</f>
        <v>2.2988505747127308E-3</v>
      </c>
      <c r="F139" s="2">
        <v>89</v>
      </c>
      <c r="G139" s="7">
        <f>(Table2_1[[#This Row],[Current Prices]]-F138)/F138</f>
        <v>5.6497175141242938E-3</v>
      </c>
      <c r="H139" s="7">
        <f>(Table2_1[[#This Row],[Current Prices]]-F135)/F135</f>
        <v>-0.21723834652594548</v>
      </c>
      <c r="I139" s="2"/>
    </row>
    <row r="140" spans="1:9" x14ac:dyDescent="0.3">
      <c r="A140" s="2" t="s">
        <v>73</v>
      </c>
      <c r="B140" s="2" t="s">
        <v>24</v>
      </c>
      <c r="C140" s="2">
        <v>140.5</v>
      </c>
      <c r="D140" s="6">
        <f>(Table2_1[[#This Row],[Constant Prices]]-C139)/C139</f>
        <v>7.415902140672774E-2</v>
      </c>
      <c r="E140" s="6">
        <f>(Table2_1[[#This Row],[Constant Prices]]-C137)/C137</f>
        <v>0.59116647791619481</v>
      </c>
      <c r="F140" s="2">
        <v>90.7</v>
      </c>
      <c r="G140" s="7">
        <f>(Table2_1[[#This Row],[Current Prices]]-F139)/F139</f>
        <v>1.9101123595505649E-2</v>
      </c>
      <c r="H140" s="7">
        <f>(Table2_1[[#This Row],[Current Prices]]-F136)/F136</f>
        <v>-0.24542429284525791</v>
      </c>
      <c r="I140" s="2"/>
    </row>
    <row r="141" spans="1:9" x14ac:dyDescent="0.3">
      <c r="A141" s="2" t="s">
        <v>73</v>
      </c>
      <c r="B141" s="2" t="s">
        <v>25</v>
      </c>
      <c r="C141" s="2">
        <v>137.80000000000001</v>
      </c>
      <c r="D141" s="6">
        <f>(Table2_1[[#This Row],[Constant Prices]]-C140)/C140</f>
        <v>-1.9217081850533727E-2</v>
      </c>
      <c r="E141" s="6">
        <f>(Table2_1[[#This Row],[Constant Prices]]-C138)/C138</f>
        <v>0.4737967914438504</v>
      </c>
      <c r="F141" s="2">
        <v>96.3</v>
      </c>
      <c r="G141" s="7">
        <f>(Table2_1[[#This Row],[Current Prices]]-F140)/F140</f>
        <v>6.174200661521493E-2</v>
      </c>
      <c r="H141" s="7">
        <f>(Table2_1[[#This Row],[Current Prices]]-F137)/F137</f>
        <v>-0.13243243243243247</v>
      </c>
      <c r="I141" s="2">
        <v>3</v>
      </c>
    </row>
    <row r="142" spans="1:9" x14ac:dyDescent="0.3">
      <c r="A142" s="2" t="s">
        <v>73</v>
      </c>
      <c r="B142" s="2" t="s">
        <v>26</v>
      </c>
      <c r="C142" s="2">
        <v>151.19999999999999</v>
      </c>
      <c r="D142" s="6">
        <f>(Table2_1[[#This Row],[Constant Prices]]-C141)/C141</f>
        <v>9.7242380261248013E-2</v>
      </c>
      <c r="E142" s="6">
        <f>(Table2_1[[#This Row],[Constant Prices]]-C139)/C139</f>
        <v>0.15596330275229339</v>
      </c>
      <c r="F142" s="2">
        <v>117.2</v>
      </c>
      <c r="G142" s="7">
        <f>(Table2_1[[#This Row],[Current Prices]]-F141)/F141</f>
        <v>0.21703011422637597</v>
      </c>
      <c r="H142" s="7">
        <f>(Table2_1[[#This Row],[Current Prices]]-F138)/F138</f>
        <v>0.32429378531073449</v>
      </c>
      <c r="I142" s="2"/>
    </row>
    <row r="143" spans="1:9" x14ac:dyDescent="0.3">
      <c r="A143" s="2" t="s">
        <v>73</v>
      </c>
      <c r="B143" s="2" t="s">
        <v>27</v>
      </c>
      <c r="C143" s="2">
        <v>159.30000000000001</v>
      </c>
      <c r="D143" s="6">
        <f>(Table2_1[[#This Row],[Constant Prices]]-C142)/C142</f>
        <v>5.3571428571428728E-2</v>
      </c>
      <c r="E143" s="6">
        <f>(Table2_1[[#This Row],[Constant Prices]]-C140)/C140</f>
        <v>0.13380782918149475</v>
      </c>
      <c r="F143" s="2">
        <v>127.5</v>
      </c>
      <c r="G143" s="7">
        <f>(Table2_1[[#This Row],[Current Prices]]-F142)/F142</f>
        <v>8.7883959044368576E-2</v>
      </c>
      <c r="H143" s="7">
        <f>(Table2_1[[#This Row],[Current Prices]]-F139)/F139</f>
        <v>0.43258426966292135</v>
      </c>
      <c r="I143" s="2"/>
    </row>
    <row r="144" spans="1:9" x14ac:dyDescent="0.3">
      <c r="A144" s="2" t="s">
        <v>73</v>
      </c>
      <c r="B144" s="2" t="s">
        <v>28</v>
      </c>
      <c r="C144" s="2">
        <v>138.19999999999999</v>
      </c>
      <c r="D144" s="6">
        <f>(Table2_1[[#This Row],[Constant Prices]]-C143)/C143</f>
        <v>-0.13245448838669191</v>
      </c>
      <c r="E144" s="6">
        <f>(Table2_1[[#This Row],[Constant Prices]]-C141)/C141</f>
        <v>2.9027576197385866E-3</v>
      </c>
      <c r="F144" s="2">
        <v>127.1</v>
      </c>
      <c r="G144" s="7">
        <f>(Table2_1[[#This Row],[Current Prices]]-F143)/F143</f>
        <v>-3.1372549019608289E-3</v>
      </c>
      <c r="H144" s="7">
        <f>(Table2_1[[#This Row],[Current Prices]]-F140)/F140</f>
        <v>0.40132304299889737</v>
      </c>
      <c r="I144" s="2"/>
    </row>
    <row r="145" spans="1:9" x14ac:dyDescent="0.3">
      <c r="A145" s="2" t="s">
        <v>73</v>
      </c>
      <c r="B145" s="2" t="s">
        <v>29</v>
      </c>
      <c r="C145" s="2">
        <v>123.4</v>
      </c>
      <c r="D145" s="6">
        <f>(Table2_1[[#This Row],[Constant Prices]]-C144)/C144</f>
        <v>-0.10709117221418223</v>
      </c>
      <c r="E145" s="6">
        <f>(Table2_1[[#This Row],[Constant Prices]]-C142)/C142</f>
        <v>-0.18386243386243376</v>
      </c>
      <c r="F145" s="2">
        <v>127.6</v>
      </c>
      <c r="G145" s="7">
        <f>(Table2_1[[#This Row],[Current Prices]]-F144)/F144</f>
        <v>3.9339103068450039E-3</v>
      </c>
      <c r="H145" s="7">
        <f>(Table2_1[[#This Row],[Current Prices]]-F141)/F141</f>
        <v>0.32502596053997923</v>
      </c>
      <c r="I145" s="2">
        <v>4</v>
      </c>
    </row>
    <row r="146" spans="1:9" x14ac:dyDescent="0.3">
      <c r="A146" s="2" t="s">
        <v>73</v>
      </c>
      <c r="B146" s="2" t="s">
        <v>30</v>
      </c>
      <c r="C146" s="2">
        <v>115.5</v>
      </c>
      <c r="D146" s="6">
        <f>(Table2_1[[#This Row],[Constant Prices]]-C145)/C145</f>
        <v>-6.4019448946515442E-2</v>
      </c>
      <c r="E146" s="6">
        <f>(Table2_1[[#This Row],[Constant Prices]]-C143)/C143</f>
        <v>-0.27495291902071567</v>
      </c>
      <c r="F146" s="2">
        <v>117.1</v>
      </c>
      <c r="G146" s="7">
        <f>(Table2_1[[#This Row],[Current Prices]]-F145)/F145</f>
        <v>-8.2288401253918494E-2</v>
      </c>
      <c r="H146" s="7">
        <f>(Table2_1[[#This Row],[Current Prices]]-F142)/F142</f>
        <v>-8.5324232081918539E-4</v>
      </c>
      <c r="I146" s="2"/>
    </row>
    <row r="147" spans="1:9" x14ac:dyDescent="0.3">
      <c r="A147" s="2" t="s">
        <v>73</v>
      </c>
      <c r="B147" s="2" t="s">
        <v>31</v>
      </c>
      <c r="C147" s="2">
        <v>89.4</v>
      </c>
      <c r="D147" s="6">
        <f>(Table2_1[[#This Row],[Constant Prices]]-C146)/C146</f>
        <v>-0.22597402597402594</v>
      </c>
      <c r="E147" s="6">
        <f>(Table2_1[[#This Row],[Constant Prices]]-C144)/C144</f>
        <v>-0.35311143270622275</v>
      </c>
      <c r="F147" s="2">
        <v>106.2</v>
      </c>
      <c r="G147" s="7">
        <f>(Table2_1[[#This Row],[Current Prices]]-F146)/F146</f>
        <v>-9.308283518360369E-2</v>
      </c>
      <c r="H147" s="7">
        <f>(Table2_1[[#This Row],[Current Prices]]-F143)/F143</f>
        <v>-0.16705882352941173</v>
      </c>
      <c r="I147" s="2"/>
    </row>
    <row r="148" spans="1:9" x14ac:dyDescent="0.3">
      <c r="A148" s="2" t="s">
        <v>73</v>
      </c>
      <c r="B148" s="2" t="s">
        <v>32</v>
      </c>
      <c r="C148" s="2">
        <v>142.69999999999999</v>
      </c>
      <c r="D148" s="6">
        <f>(Table2_1[[#This Row],[Constant Prices]]-C147)/C147</f>
        <v>0.59619686800894833</v>
      </c>
      <c r="E148" s="6">
        <f>(Table2_1[[#This Row],[Constant Prices]]-C145)/C145</f>
        <v>0.1564019448946514</v>
      </c>
      <c r="F148" s="2">
        <v>129.5</v>
      </c>
      <c r="G148" s="7">
        <f>(Table2_1[[#This Row],[Current Prices]]-F147)/F147</f>
        <v>0.21939736346516003</v>
      </c>
      <c r="H148" s="7">
        <f>(Table2_1[[#This Row],[Current Prices]]-F144)/F144</f>
        <v>1.8882769472856064E-2</v>
      </c>
      <c r="I148" s="2"/>
    </row>
    <row r="149" spans="1:9" x14ac:dyDescent="0.3">
      <c r="A149" s="2" t="s">
        <v>73</v>
      </c>
      <c r="B149" s="2" t="s">
        <v>33</v>
      </c>
      <c r="C149" s="2">
        <v>156.80000000000001</v>
      </c>
      <c r="D149" s="6">
        <f>(Table2_1[[#This Row],[Constant Prices]]-C148)/C148</f>
        <v>9.8808689558514531E-2</v>
      </c>
      <c r="E149" s="6">
        <f>(Table2_1[[#This Row],[Constant Prices]]-C146)/C146</f>
        <v>0.35757575757575766</v>
      </c>
      <c r="F149" s="2">
        <v>151.5</v>
      </c>
      <c r="G149" s="7">
        <f>(Table2_1[[#This Row],[Current Prices]]-F148)/F148</f>
        <v>0.16988416988416988</v>
      </c>
      <c r="H149" s="7">
        <f>(Table2_1[[#This Row],[Current Prices]]-F145)/F145</f>
        <v>0.18730407523510978</v>
      </c>
      <c r="I149" s="2">
        <v>5</v>
      </c>
    </row>
    <row r="150" spans="1:9" x14ac:dyDescent="0.3">
      <c r="A150" s="2" t="s">
        <v>73</v>
      </c>
      <c r="B150" s="2" t="s">
        <v>34</v>
      </c>
      <c r="C150" s="2">
        <v>148</v>
      </c>
      <c r="D150" s="6">
        <f>(Table2_1[[#This Row],[Constant Prices]]-C149)/C149</f>
        <v>-5.6122448979591906E-2</v>
      </c>
      <c r="E150" s="6">
        <f>(Table2_1[[#This Row],[Constant Prices]]-C147)/C147</f>
        <v>0.65548098434004465</v>
      </c>
      <c r="F150" s="2">
        <v>125.2</v>
      </c>
      <c r="G150" s="7">
        <f>(Table2_1[[#This Row],[Current Prices]]-F149)/F149</f>
        <v>-0.17359735973597357</v>
      </c>
      <c r="H150" s="7">
        <f>(Table2_1[[#This Row],[Current Prices]]-F146)/F146</f>
        <v>6.9171648163962499E-2</v>
      </c>
      <c r="I150" s="2"/>
    </row>
    <row r="151" spans="1:9" x14ac:dyDescent="0.3">
      <c r="A151" s="2" t="s">
        <v>73</v>
      </c>
      <c r="B151" s="2" t="s">
        <v>35</v>
      </c>
      <c r="C151" s="2">
        <v>142.80000000000001</v>
      </c>
      <c r="D151" s="6">
        <f>(Table2_1[[#This Row],[Constant Prices]]-C150)/C150</f>
        <v>-3.5135135135135061E-2</v>
      </c>
      <c r="E151" s="6">
        <f>(Table2_1[[#This Row],[Constant Prices]]-C148)/C148</f>
        <v>7.0077084793288534E-4</v>
      </c>
      <c r="F151" s="2">
        <v>124.7</v>
      </c>
      <c r="G151" s="7">
        <f>(Table2_1[[#This Row],[Current Prices]]-F150)/F150</f>
        <v>-3.9936102236421724E-3</v>
      </c>
      <c r="H151" s="7">
        <f>(Table2_1[[#This Row],[Current Prices]]-F147)/F147</f>
        <v>0.17419962335216571</v>
      </c>
      <c r="I151" s="2"/>
    </row>
    <row r="152" spans="1:9" x14ac:dyDescent="0.3">
      <c r="A152" s="2" t="s">
        <v>73</v>
      </c>
      <c r="B152" s="2" t="s">
        <v>36</v>
      </c>
      <c r="C152" s="2">
        <v>105.5</v>
      </c>
      <c r="D152" s="6">
        <f>(Table2_1[[#This Row],[Constant Prices]]-C151)/C151</f>
        <v>-0.26120448179271716</v>
      </c>
      <c r="E152" s="6">
        <f>(Table2_1[[#This Row],[Constant Prices]]-C149)/C149</f>
        <v>-0.32716836734693883</v>
      </c>
      <c r="F152" s="2">
        <v>108.8</v>
      </c>
      <c r="G152" s="7">
        <f>(Table2_1[[#This Row],[Current Prices]]-F151)/F151</f>
        <v>-0.12750601443464318</v>
      </c>
      <c r="H152" s="7">
        <f>(Table2_1[[#This Row],[Current Prices]]-F148)/F148</f>
        <v>-0.15984555984555987</v>
      </c>
      <c r="I152" s="2"/>
    </row>
    <row r="153" spans="1:9" x14ac:dyDescent="0.3">
      <c r="A153" s="2" t="s">
        <v>73</v>
      </c>
      <c r="B153" s="2" t="s">
        <v>37</v>
      </c>
      <c r="C153" s="2">
        <v>156.1</v>
      </c>
      <c r="D153" s="6">
        <f>(Table2_1[[#This Row],[Constant Prices]]-C152)/C152</f>
        <v>0.47962085308056868</v>
      </c>
      <c r="E153" s="6">
        <f>(Table2_1[[#This Row],[Constant Prices]]-C150)/C150</f>
        <v>5.4729729729729691E-2</v>
      </c>
      <c r="F153" s="2">
        <v>162.80000000000001</v>
      </c>
      <c r="G153" s="7">
        <f>(Table2_1[[#This Row],[Current Prices]]-F152)/F152</f>
        <v>0.49632352941176483</v>
      </c>
      <c r="H153" s="7">
        <f>(Table2_1[[#This Row],[Current Prices]]-F149)/F149</f>
        <v>7.4587458745874663E-2</v>
      </c>
      <c r="I153" s="2">
        <v>6</v>
      </c>
    </row>
    <row r="154" spans="1:9" x14ac:dyDescent="0.3">
      <c r="A154" s="2" t="s">
        <v>73</v>
      </c>
      <c r="B154" s="2" t="s">
        <v>38</v>
      </c>
      <c r="C154" s="2">
        <v>174.2</v>
      </c>
      <c r="D154" s="6">
        <f>(Table2_1[[#This Row],[Constant Prices]]-C153)/C153</f>
        <v>0.11595131326073027</v>
      </c>
      <c r="E154" s="6">
        <f>(Table2_1[[#This Row],[Constant Prices]]-C151)/C151</f>
        <v>0.21988795518207266</v>
      </c>
      <c r="F154" s="2">
        <v>142.4</v>
      </c>
      <c r="G154" s="7">
        <f>(Table2_1[[#This Row],[Current Prices]]-F153)/F153</f>
        <v>-0.12530712530712534</v>
      </c>
      <c r="H154" s="7">
        <f>(Table2_1[[#This Row],[Current Prices]]-F150)/F150</f>
        <v>0.13738019169329074</v>
      </c>
      <c r="I154" s="2"/>
    </row>
    <row r="155" spans="1:9" x14ac:dyDescent="0.3">
      <c r="A155" s="2" t="s">
        <v>73</v>
      </c>
      <c r="B155" s="2" t="s">
        <v>39</v>
      </c>
      <c r="C155" s="2">
        <v>149.6</v>
      </c>
      <c r="D155" s="6">
        <f>(Table2_1[[#This Row],[Constant Prices]]-C154)/C154</f>
        <v>-0.1412169919632606</v>
      </c>
      <c r="E155" s="6">
        <f>(Table2_1[[#This Row],[Constant Prices]]-C152)/C152</f>
        <v>0.41800947867298571</v>
      </c>
      <c r="F155" s="2">
        <v>125.7</v>
      </c>
      <c r="G155" s="7">
        <f>(Table2_1[[#This Row],[Current Prices]]-F154)/F154</f>
        <v>-0.11727528089887641</v>
      </c>
      <c r="H155" s="7">
        <f>(Table2_1[[#This Row],[Current Prices]]-F151)/F151</f>
        <v>8.0192461908580592E-3</v>
      </c>
      <c r="I155" s="2"/>
    </row>
    <row r="156" spans="1:9" x14ac:dyDescent="0.3">
      <c r="A156" s="2" t="s">
        <v>73</v>
      </c>
      <c r="B156" s="2" t="s">
        <v>40</v>
      </c>
      <c r="C156" s="2">
        <v>152</v>
      </c>
      <c r="D156" s="6">
        <f>(Table2_1[[#This Row],[Constant Prices]]-C155)/C155</f>
        <v>1.6042780748663141E-2</v>
      </c>
      <c r="E156" s="6">
        <f>(Table2_1[[#This Row],[Constant Prices]]-C153)/C153</f>
        <v>-2.6265214606021745E-2</v>
      </c>
      <c r="F156" s="2">
        <v>152.80000000000001</v>
      </c>
      <c r="G156" s="7">
        <f>(Table2_1[[#This Row],[Current Prices]]-F155)/F155</f>
        <v>0.2155926809864758</v>
      </c>
      <c r="H156" s="7">
        <f>(Table2_1[[#This Row],[Current Prices]]-F152)/F152</f>
        <v>0.40441176470588247</v>
      </c>
      <c r="I156" s="2"/>
    </row>
    <row r="157" spans="1:9" x14ac:dyDescent="0.3">
      <c r="A157" s="2" t="s">
        <v>73</v>
      </c>
      <c r="B157" s="2" t="s">
        <v>41</v>
      </c>
      <c r="C157" s="2">
        <v>136.1</v>
      </c>
      <c r="D157" s="6">
        <f>(Table2_1[[#This Row],[Constant Prices]]-C156)/C156</f>
        <v>-0.10460526315789477</v>
      </c>
      <c r="E157" s="6">
        <f>(Table2_1[[#This Row],[Constant Prices]]-C154)/C154</f>
        <v>-0.2187141216991963</v>
      </c>
      <c r="F157" s="2">
        <v>99.3</v>
      </c>
      <c r="G157" s="7">
        <f>(Table2_1[[#This Row],[Current Prices]]-F156)/F156</f>
        <v>-0.35013089005235609</v>
      </c>
      <c r="H157" s="7">
        <f>(Table2_1[[#This Row],[Current Prices]]-F153)/F153</f>
        <v>-0.3900491400491401</v>
      </c>
      <c r="I157" s="2">
        <v>7</v>
      </c>
    </row>
    <row r="158" spans="1:9" x14ac:dyDescent="0.3">
      <c r="A158" s="2" t="s">
        <v>73</v>
      </c>
      <c r="B158" s="2" t="s">
        <v>42</v>
      </c>
      <c r="C158" s="2">
        <v>105.5</v>
      </c>
      <c r="D158" s="6">
        <f>(Table2_1[[#This Row],[Constant Prices]]-C157)/C157</f>
        <v>-0.22483468038207197</v>
      </c>
      <c r="E158" s="6">
        <f>(Table2_1[[#This Row],[Constant Prices]]-C155)/C155</f>
        <v>-0.29478609625668445</v>
      </c>
      <c r="F158" s="2">
        <v>76.5</v>
      </c>
      <c r="G158" s="7">
        <f>(Table2_1[[#This Row],[Current Prices]]-F157)/F157</f>
        <v>-0.22960725075528698</v>
      </c>
      <c r="H158" s="7">
        <f>(Table2_1[[#This Row],[Current Prices]]-F154)/F154</f>
        <v>-0.4627808988764045</v>
      </c>
      <c r="I158" s="2"/>
    </row>
    <row r="159" spans="1:9" x14ac:dyDescent="0.3">
      <c r="A159" s="2" t="s">
        <v>73</v>
      </c>
      <c r="B159" s="2" t="s">
        <v>43</v>
      </c>
      <c r="C159" s="2">
        <v>153</v>
      </c>
      <c r="D159" s="6">
        <f>(Table2_1[[#This Row],[Constant Prices]]-C158)/C158</f>
        <v>0.45023696682464454</v>
      </c>
      <c r="E159" s="6">
        <f>(Table2_1[[#This Row],[Constant Prices]]-C156)/C156</f>
        <v>6.5789473684210523E-3</v>
      </c>
      <c r="F159" s="2">
        <v>124.7</v>
      </c>
      <c r="G159" s="7">
        <f>(Table2_1[[#This Row],[Current Prices]]-F158)/F158</f>
        <v>0.63006535947712417</v>
      </c>
      <c r="H159" s="7">
        <f>(Table2_1[[#This Row],[Current Prices]]-F155)/F155</f>
        <v>-7.955449482895784E-3</v>
      </c>
      <c r="I159" s="2"/>
    </row>
    <row r="160" spans="1:9" x14ac:dyDescent="0.3">
      <c r="A160" s="2" t="s">
        <v>73</v>
      </c>
      <c r="B160" s="2" t="s">
        <v>44</v>
      </c>
      <c r="C160" s="2">
        <v>151.6</v>
      </c>
      <c r="D160" s="6">
        <f>(Table2_1[[#This Row],[Constant Prices]]-C159)/C159</f>
        <v>-9.1503267973856578E-3</v>
      </c>
      <c r="E160" s="6">
        <f>(Table2_1[[#This Row],[Constant Prices]]-C157)/C157</f>
        <v>0.11388684790595151</v>
      </c>
      <c r="F160" s="2">
        <v>153.1</v>
      </c>
      <c r="G160" s="7">
        <f>(Table2_1[[#This Row],[Current Prices]]-F159)/F159</f>
        <v>0.2277465918203688</v>
      </c>
      <c r="H160" s="7">
        <f>(Table2_1[[#This Row],[Current Prices]]-F156)/F156</f>
        <v>1.9633507853402026E-3</v>
      </c>
      <c r="I160" s="2"/>
    </row>
    <row r="161" spans="1:9" x14ac:dyDescent="0.3">
      <c r="A161" s="2" t="s">
        <v>73</v>
      </c>
      <c r="B161" s="2" t="s">
        <v>45</v>
      </c>
      <c r="C161" s="2">
        <v>136.30000000000001</v>
      </c>
      <c r="D161" s="6">
        <f>(Table2_1[[#This Row],[Constant Prices]]-C160)/C160</f>
        <v>-0.10092348284960412</v>
      </c>
      <c r="E161" s="6">
        <f>(Table2_1[[#This Row],[Constant Prices]]-C158)/C158</f>
        <v>0.29194312796208544</v>
      </c>
      <c r="F161" s="2">
        <v>137.9</v>
      </c>
      <c r="G161" s="7">
        <f>(Table2_1[[#This Row],[Current Prices]]-F160)/F160</f>
        <v>-9.9281515349444738E-2</v>
      </c>
      <c r="H161" s="7">
        <f>(Table2_1[[#This Row],[Current Prices]]-F157)/F157</f>
        <v>0.38872104733131935</v>
      </c>
      <c r="I161" s="2">
        <v>8</v>
      </c>
    </row>
    <row r="162" spans="1:9" x14ac:dyDescent="0.3">
      <c r="A162" s="2" t="s">
        <v>73</v>
      </c>
      <c r="B162" s="2" t="s">
        <v>46</v>
      </c>
      <c r="C162" s="2">
        <v>151.69999999999999</v>
      </c>
      <c r="D162" s="6">
        <f>(Table2_1[[#This Row],[Constant Prices]]-C161)/C161</f>
        <v>0.11298606016140848</v>
      </c>
      <c r="E162" s="6">
        <f>(Table2_1[[#This Row],[Constant Prices]]-C159)/C159</f>
        <v>-8.4967320261438647E-3</v>
      </c>
      <c r="F162" s="2">
        <v>115.4</v>
      </c>
      <c r="G162" s="7">
        <f>(Table2_1[[#This Row],[Current Prices]]-F161)/F161</f>
        <v>-0.16316171138506164</v>
      </c>
      <c r="H162" s="7">
        <f>(Table2_1[[#This Row],[Current Prices]]-F158)/F158</f>
        <v>0.50849673202614387</v>
      </c>
      <c r="I162" s="2"/>
    </row>
    <row r="163" spans="1:9" x14ac:dyDescent="0.3">
      <c r="A163" s="2" t="s">
        <v>73</v>
      </c>
      <c r="B163" s="2" t="s">
        <v>47</v>
      </c>
      <c r="C163" s="2">
        <v>153.9</v>
      </c>
      <c r="D163" s="6">
        <f>(Table2_1[[#This Row],[Constant Prices]]-C162)/C162</f>
        <v>1.4502307185234127E-2</v>
      </c>
      <c r="E163" s="6">
        <f>(Table2_1[[#This Row],[Constant Prices]]-C160)/C160</f>
        <v>1.5171503957783716E-2</v>
      </c>
      <c r="F163" s="2">
        <v>162.4</v>
      </c>
      <c r="G163" s="7">
        <f>(Table2_1[[#This Row],[Current Prices]]-F162)/F162</f>
        <v>0.40727902946273831</v>
      </c>
      <c r="H163" s="7">
        <f>(Table2_1[[#This Row],[Current Prices]]-F159)/F159</f>
        <v>0.30232558139534887</v>
      </c>
      <c r="I163" s="2"/>
    </row>
    <row r="164" spans="1:9" x14ac:dyDescent="0.3">
      <c r="A164" s="2" t="s">
        <v>73</v>
      </c>
      <c r="B164" s="2" t="s">
        <v>48</v>
      </c>
      <c r="C164" s="2">
        <v>142.1</v>
      </c>
      <c r="D164" s="6">
        <f>(Table2_1[[#This Row],[Constant Prices]]-C163)/C163</f>
        <v>-7.6673164392462703E-2</v>
      </c>
      <c r="E164" s="6">
        <f>(Table2_1[[#This Row],[Constant Prices]]-C161)/C161</f>
        <v>4.2553191489361576E-2</v>
      </c>
      <c r="F164" s="2">
        <v>168.8</v>
      </c>
      <c r="G164" s="7">
        <f>(Table2_1[[#This Row],[Current Prices]]-F163)/F163</f>
        <v>3.9408866995073927E-2</v>
      </c>
      <c r="H164" s="7">
        <f>(Table2_1[[#This Row],[Current Prices]]-F160)/F160</f>
        <v>0.10254735467015035</v>
      </c>
      <c r="I164" s="2"/>
    </row>
    <row r="165" spans="1:9" x14ac:dyDescent="0.3">
      <c r="A165" s="2" t="s">
        <v>73</v>
      </c>
      <c r="B165" s="2" t="s">
        <v>49</v>
      </c>
      <c r="C165" s="2">
        <v>191</v>
      </c>
      <c r="D165" s="6">
        <f>(Table2_1[[#This Row],[Constant Prices]]-C164)/C164</f>
        <v>0.34412385643912741</v>
      </c>
      <c r="E165" s="6">
        <f>(Table2_1[[#This Row],[Constant Prices]]-C162)/C162</f>
        <v>0.25906394199077137</v>
      </c>
      <c r="F165" s="2">
        <v>183.6</v>
      </c>
      <c r="G165" s="7">
        <f>(Table2_1[[#This Row],[Current Prices]]-F164)/F164</f>
        <v>8.7677725118483305E-2</v>
      </c>
      <c r="H165" s="7">
        <f>(Table2_1[[#This Row],[Current Prices]]-F161)/F161</f>
        <v>0.33139956490210287</v>
      </c>
      <c r="I165" s="2">
        <v>9</v>
      </c>
    </row>
    <row r="166" spans="1:9" x14ac:dyDescent="0.3">
      <c r="A166" s="2" t="s">
        <v>73</v>
      </c>
      <c r="B166" s="2" t="s">
        <v>50</v>
      </c>
      <c r="C166" s="2">
        <v>170.2</v>
      </c>
      <c r="D166" s="6">
        <f>(Table2_1[[#This Row],[Constant Prices]]-C165)/C165</f>
        <v>-0.10890052356020949</v>
      </c>
      <c r="E166" s="6">
        <f>(Table2_1[[#This Row],[Constant Prices]]-C163)/C163</f>
        <v>0.10591293047433387</v>
      </c>
      <c r="F166" s="2">
        <v>97.7</v>
      </c>
      <c r="G166" s="7">
        <f>(Table2_1[[#This Row],[Current Prices]]-F165)/F165</f>
        <v>-0.46786492374727667</v>
      </c>
      <c r="H166" s="7">
        <f>(Table2_1[[#This Row],[Current Prices]]-F162)/F162</f>
        <v>-0.15337954939341422</v>
      </c>
      <c r="I166" s="2"/>
    </row>
    <row r="167" spans="1:9" x14ac:dyDescent="0.3">
      <c r="A167" s="2" t="s">
        <v>73</v>
      </c>
      <c r="B167" s="2" t="s">
        <v>51</v>
      </c>
      <c r="C167" s="2">
        <v>119.7</v>
      </c>
      <c r="D167" s="6">
        <f>(Table2_1[[#This Row],[Constant Prices]]-C166)/C166</f>
        <v>-0.29670975323149229</v>
      </c>
      <c r="E167" s="6">
        <f>(Table2_1[[#This Row],[Constant Prices]]-C164)/C164</f>
        <v>-0.15763546798029551</v>
      </c>
      <c r="F167" s="2">
        <v>106.7</v>
      </c>
      <c r="G167" s="7">
        <f>(Table2_1[[#This Row],[Current Prices]]-F166)/F166</f>
        <v>9.211873080859774E-2</v>
      </c>
      <c r="H167" s="7">
        <f>(Table2_1[[#This Row],[Current Prices]]-F163)/F163</f>
        <v>-0.34298029556650245</v>
      </c>
      <c r="I167" s="2"/>
    </row>
    <row r="168" spans="1:9" x14ac:dyDescent="0.3">
      <c r="A168" s="2" t="s">
        <v>73</v>
      </c>
      <c r="B168" s="2" t="s">
        <v>52</v>
      </c>
      <c r="C168" s="2">
        <v>122.2</v>
      </c>
      <c r="D168" s="6">
        <f>(Table2_1[[#This Row],[Constant Prices]]-C167)/C167</f>
        <v>2.0885547201336674E-2</v>
      </c>
      <c r="E168" s="6">
        <f>(Table2_1[[#This Row],[Constant Prices]]-C165)/C165</f>
        <v>-0.3602094240837696</v>
      </c>
      <c r="F168" s="2">
        <v>110</v>
      </c>
      <c r="G168" s="7">
        <f>(Table2_1[[#This Row],[Current Prices]]-F167)/F167</f>
        <v>3.0927835051546365E-2</v>
      </c>
      <c r="H168" s="7">
        <f>(Table2_1[[#This Row],[Current Prices]]-F164)/F164</f>
        <v>-0.3483412322274882</v>
      </c>
      <c r="I168" s="2"/>
    </row>
    <row r="169" spans="1:9" x14ac:dyDescent="0.3">
      <c r="A169" s="2" t="s">
        <v>73</v>
      </c>
      <c r="B169" s="2" t="s">
        <v>53</v>
      </c>
      <c r="C169" s="2">
        <v>116.2</v>
      </c>
      <c r="D169" s="6">
        <f>(Table2_1[[#This Row],[Constant Prices]]-C168)/C168</f>
        <v>-4.9099836333878884E-2</v>
      </c>
      <c r="E169" s="6">
        <f>(Table2_1[[#This Row],[Constant Prices]]-C166)/C166</f>
        <v>-0.31727379553466506</v>
      </c>
      <c r="F169" s="2">
        <v>93.1</v>
      </c>
      <c r="G169" s="7">
        <f>(Table2_1[[#This Row],[Current Prices]]-F168)/F168</f>
        <v>-0.15363636363636368</v>
      </c>
      <c r="H169" s="7">
        <f>(Table2_1[[#This Row],[Current Prices]]-F165)/F165</f>
        <v>-0.4929193899782135</v>
      </c>
      <c r="I169" s="2">
        <v>10</v>
      </c>
    </row>
    <row r="170" spans="1:9" x14ac:dyDescent="0.3">
      <c r="A170" s="2" t="s">
        <v>73</v>
      </c>
      <c r="B170" s="2" t="s">
        <v>54</v>
      </c>
      <c r="C170" s="2">
        <v>119.4</v>
      </c>
      <c r="D170" s="6">
        <f>(Table2_1[[#This Row],[Constant Prices]]-C169)/C169</f>
        <v>2.7538726333907082E-2</v>
      </c>
      <c r="E170" s="6">
        <f>(Table2_1[[#This Row],[Constant Prices]]-C167)/C167</f>
        <v>-2.506265664160377E-3</v>
      </c>
      <c r="F170" s="2">
        <v>112.7</v>
      </c>
      <c r="G170" s="7">
        <f>(Table2_1[[#This Row],[Current Prices]]-F169)/F169</f>
        <v>0.21052631578947378</v>
      </c>
      <c r="H170" s="7">
        <f>(Table2_1[[#This Row],[Current Prices]]-F166)/F166</f>
        <v>0.15353121801432956</v>
      </c>
      <c r="I170" s="2"/>
    </row>
    <row r="171" spans="1:9" x14ac:dyDescent="0.3">
      <c r="A171" s="2" t="s">
        <v>73</v>
      </c>
      <c r="B171" s="2" t="s">
        <v>55</v>
      </c>
      <c r="C171" s="2">
        <v>161.80000000000001</v>
      </c>
      <c r="D171" s="6">
        <f>(Table2_1[[#This Row],[Constant Prices]]-C170)/C170</f>
        <v>0.35510887772194311</v>
      </c>
      <c r="E171" s="6">
        <f>(Table2_1[[#This Row],[Constant Prices]]-C168)/C168</f>
        <v>0.32405891980360074</v>
      </c>
      <c r="F171" s="2">
        <v>177.4</v>
      </c>
      <c r="G171" s="7">
        <f>(Table2_1[[#This Row],[Current Prices]]-F170)/F170</f>
        <v>0.57409050576752441</v>
      </c>
      <c r="H171" s="7">
        <f>(Table2_1[[#This Row],[Current Prices]]-F167)/F167</f>
        <v>0.66260543580131215</v>
      </c>
      <c r="I171" s="2"/>
    </row>
    <row r="172" spans="1:9" x14ac:dyDescent="0.3">
      <c r="A172" s="2" t="s">
        <v>73</v>
      </c>
      <c r="B172" s="2" t="s">
        <v>56</v>
      </c>
      <c r="C172" s="2">
        <v>174.3</v>
      </c>
      <c r="D172" s="6">
        <f>(Table2_1[[#This Row],[Constant Prices]]-C171)/C171</f>
        <v>7.7255871446229904E-2</v>
      </c>
      <c r="E172" s="6">
        <f>(Table2_1[[#This Row],[Constant Prices]]-C169)/C169</f>
        <v>0.50000000000000011</v>
      </c>
      <c r="F172" s="2">
        <v>197</v>
      </c>
      <c r="G172" s="7">
        <f>(Table2_1[[#This Row],[Current Prices]]-F171)/F171</f>
        <v>0.11048478015783536</v>
      </c>
      <c r="H172" s="7">
        <f>(Table2_1[[#This Row],[Current Prices]]-F168)/F168</f>
        <v>0.79090909090909089</v>
      </c>
      <c r="I172" s="2"/>
    </row>
    <row r="173" spans="1:9" x14ac:dyDescent="0.3">
      <c r="A173" s="2" t="s">
        <v>73</v>
      </c>
      <c r="B173" s="2" t="s">
        <v>57</v>
      </c>
      <c r="C173" s="2">
        <v>194.4</v>
      </c>
      <c r="D173" s="6">
        <f>(Table2_1[[#This Row],[Constant Prices]]-C172)/C172</f>
        <v>0.11531841652323575</v>
      </c>
      <c r="E173" s="6">
        <f>(Table2_1[[#This Row],[Constant Prices]]-C170)/C170</f>
        <v>0.62814070351758788</v>
      </c>
      <c r="F173" s="2">
        <v>200.7</v>
      </c>
      <c r="G173" s="7">
        <f>(Table2_1[[#This Row],[Current Prices]]-F172)/F172</f>
        <v>1.8781725888324816E-2</v>
      </c>
      <c r="H173" s="7">
        <f>(Table2_1[[#This Row],[Current Prices]]-F169)/F169</f>
        <v>1.1557465091299677</v>
      </c>
      <c r="I173" s="2">
        <v>11</v>
      </c>
    </row>
    <row r="174" spans="1:9" x14ac:dyDescent="0.3">
      <c r="A174" s="2" t="s">
        <v>73</v>
      </c>
      <c r="B174" s="2" t="s">
        <v>58</v>
      </c>
      <c r="C174" s="2">
        <v>174.9</v>
      </c>
      <c r="D174" s="6">
        <f>(Table2_1[[#This Row],[Constant Prices]]-C173)/C173</f>
        <v>-0.10030864197530864</v>
      </c>
      <c r="E174" s="6">
        <f>(Table2_1[[#This Row],[Constant Prices]]-C171)/C171</f>
        <v>8.0964153275648904E-2</v>
      </c>
      <c r="F174" s="2">
        <v>205.3</v>
      </c>
      <c r="G174" s="7">
        <f>(Table2_1[[#This Row],[Current Prices]]-F173)/F173</f>
        <v>2.2919780767314515E-2</v>
      </c>
      <c r="H174" s="7">
        <f>(Table2_1[[#This Row],[Current Prices]]-F170)/F170</f>
        <v>0.82165039929015093</v>
      </c>
      <c r="I174" s="2"/>
    </row>
    <row r="175" spans="1:9" x14ac:dyDescent="0.3">
      <c r="A175" s="2" t="s">
        <v>73</v>
      </c>
      <c r="B175" s="2" t="s">
        <v>59</v>
      </c>
      <c r="C175" s="2">
        <v>169.4</v>
      </c>
      <c r="D175" s="6">
        <f>(Table2_1[[#This Row],[Constant Prices]]-C174)/C174</f>
        <v>-3.1446540880503145E-2</v>
      </c>
      <c r="E175" s="6">
        <f>(Table2_1[[#This Row],[Constant Prices]]-C172)/C172</f>
        <v>-2.8112449799196818E-2</v>
      </c>
      <c r="F175" s="2">
        <v>244.8</v>
      </c>
      <c r="G175" s="7">
        <f>(Table2_1[[#This Row],[Current Prices]]-F174)/F174</f>
        <v>0.1924013638577691</v>
      </c>
      <c r="H175" s="7">
        <f>(Table2_1[[#This Row],[Current Prices]]-F171)/F171</f>
        <v>0.37993235625704624</v>
      </c>
      <c r="I175" s="2"/>
    </row>
    <row r="176" spans="1:9" x14ac:dyDescent="0.3">
      <c r="A176" s="2" t="s">
        <v>73</v>
      </c>
      <c r="B176" s="2" t="s">
        <v>60</v>
      </c>
      <c r="C176" s="2">
        <v>147.6</v>
      </c>
      <c r="D176" s="6">
        <f>(Table2_1[[#This Row],[Constant Prices]]-C175)/C175</f>
        <v>-0.12868949232585603</v>
      </c>
      <c r="E176" s="6">
        <f>(Table2_1[[#This Row],[Constant Prices]]-C173)/C173</f>
        <v>-0.24074074074074078</v>
      </c>
      <c r="F176" s="2">
        <v>210</v>
      </c>
      <c r="G176" s="7">
        <f>(Table2_1[[#This Row],[Current Prices]]-F175)/F175</f>
        <v>-0.14215686274509809</v>
      </c>
      <c r="H176" s="7">
        <f>(Table2_1[[#This Row],[Current Prices]]-F172)/F172</f>
        <v>6.5989847715736044E-2</v>
      </c>
      <c r="I176" s="2"/>
    </row>
    <row r="177" spans="1:9" x14ac:dyDescent="0.3">
      <c r="A177" s="2" t="s">
        <v>73</v>
      </c>
      <c r="B177" s="2" t="s">
        <v>61</v>
      </c>
      <c r="C177" s="2">
        <v>154.80000000000001</v>
      </c>
      <c r="D177" s="6">
        <f>(Table2_1[[#This Row],[Constant Prices]]-C176)/C176</f>
        <v>4.8780487804878168E-2</v>
      </c>
      <c r="E177" s="6">
        <f>(Table2_1[[#This Row],[Constant Prices]]-C174)/C174</f>
        <v>-0.11492281303602055</v>
      </c>
      <c r="F177" s="2">
        <v>195.1</v>
      </c>
      <c r="G177" s="7">
        <f>(Table2_1[[#This Row],[Current Prices]]-F176)/F176</f>
        <v>-7.0952380952380975E-2</v>
      </c>
      <c r="H177" s="7">
        <f>(Table2_1[[#This Row],[Current Prices]]-F173)/F173</f>
        <v>-2.7902341803687069E-2</v>
      </c>
      <c r="I177" s="2">
        <v>12</v>
      </c>
    </row>
    <row r="178" spans="1:9" x14ac:dyDescent="0.3">
      <c r="A178" s="2" t="s">
        <v>73</v>
      </c>
      <c r="B178" s="2" t="s">
        <v>62</v>
      </c>
      <c r="C178" s="2">
        <v>154.9</v>
      </c>
      <c r="D178" s="6">
        <f>(Table2_1[[#This Row],[Constant Prices]]-C177)/C177</f>
        <v>6.4599483204130694E-4</v>
      </c>
      <c r="E178" s="6">
        <f>(Table2_1[[#This Row],[Constant Prices]]-C175)/C175</f>
        <v>-8.5596221959858318E-2</v>
      </c>
      <c r="F178" s="2">
        <v>301</v>
      </c>
      <c r="G178" s="7">
        <f>(Table2_1[[#This Row],[Current Prices]]-F177)/F177</f>
        <v>0.54279856483854438</v>
      </c>
      <c r="H178" s="7">
        <f>(Table2_1[[#This Row],[Current Prices]]-F174)/F174</f>
        <v>0.46614710180224056</v>
      </c>
      <c r="I178" s="2"/>
    </row>
    <row r="179" spans="1:9" x14ac:dyDescent="0.3">
      <c r="A179" s="2" t="s">
        <v>73</v>
      </c>
      <c r="B179" s="2" t="s">
        <v>63</v>
      </c>
      <c r="C179" s="2">
        <v>145.4</v>
      </c>
      <c r="D179" s="6">
        <f>(Table2_1[[#This Row],[Constant Prices]]-C178)/C178</f>
        <v>-6.1329890251775335E-2</v>
      </c>
      <c r="E179" s="6">
        <f>(Table2_1[[#This Row],[Constant Prices]]-C176)/C176</f>
        <v>-1.4905149051490438E-2</v>
      </c>
      <c r="F179" s="2">
        <v>323.7</v>
      </c>
      <c r="G179" s="7">
        <f>(Table2_1[[#This Row],[Current Prices]]-F178)/F178</f>
        <v>7.5415282392026536E-2</v>
      </c>
      <c r="H179" s="7">
        <f>(Table2_1[[#This Row],[Current Prices]]-F175)/F175</f>
        <v>0.32230392156862736</v>
      </c>
      <c r="I179" s="2"/>
    </row>
    <row r="180" spans="1:9" x14ac:dyDescent="0.3">
      <c r="A180" s="2" t="s">
        <v>73</v>
      </c>
      <c r="B180" s="2" t="s">
        <v>64</v>
      </c>
      <c r="C180" s="2">
        <v>136.5</v>
      </c>
      <c r="D180" s="6">
        <f>(Table2_1[[#This Row],[Constant Prices]]-C179)/C179</f>
        <v>-6.121045392022012E-2</v>
      </c>
      <c r="E180" s="6">
        <f>(Table2_1[[#This Row],[Constant Prices]]-C177)/C177</f>
        <v>-0.11821705426356596</v>
      </c>
      <c r="F180" s="2">
        <v>248.6</v>
      </c>
      <c r="G180" s="7">
        <f>(Table2_1[[#This Row],[Current Prices]]-F179)/F179</f>
        <v>-0.23200494284831633</v>
      </c>
      <c r="H180" s="7">
        <f>(Table2_1[[#This Row],[Current Prices]]-F176)/F176</f>
        <v>0.18380952380952378</v>
      </c>
      <c r="I180" s="2"/>
    </row>
    <row r="181" spans="1:9" x14ac:dyDescent="0.3">
      <c r="A181" s="2" t="s">
        <v>73</v>
      </c>
      <c r="B181" s="2" t="s">
        <v>65</v>
      </c>
      <c r="C181" s="2">
        <v>142.5</v>
      </c>
      <c r="D181" s="6">
        <f>(Table2_1[[#This Row],[Constant Prices]]-C180)/C180</f>
        <v>4.3956043956043959E-2</v>
      </c>
      <c r="E181" s="6">
        <f>(Table2_1[[#This Row],[Constant Prices]]-C178)/C178</f>
        <v>-8.0051646223369952E-2</v>
      </c>
      <c r="F181" s="2">
        <v>238.1</v>
      </c>
      <c r="G181" s="7">
        <f>(Table2_1[[#This Row],[Current Prices]]-F180)/F180</f>
        <v>-4.2236524537409496E-2</v>
      </c>
      <c r="H181" s="7">
        <f>(Table2_1[[#This Row],[Current Prices]]-F177)/F177</f>
        <v>0.2203997949769349</v>
      </c>
      <c r="I181" s="2">
        <v>13</v>
      </c>
    </row>
    <row r="182" spans="1:9" x14ac:dyDescent="0.3">
      <c r="A182" s="2" t="s">
        <v>73</v>
      </c>
      <c r="B182" s="2" t="s">
        <v>66</v>
      </c>
      <c r="C182" s="2">
        <v>147.19999999999999</v>
      </c>
      <c r="D182" s="6">
        <f>(Table2_1[[#This Row],[Constant Prices]]-C181)/C181</f>
        <v>3.2982456140350801E-2</v>
      </c>
      <c r="E182" s="6">
        <f>(Table2_1[[#This Row],[Constant Prices]]-C179)/C179</f>
        <v>1.2379642365887089E-2</v>
      </c>
      <c r="F182" s="2">
        <v>227.3</v>
      </c>
      <c r="G182" s="7">
        <f>(Table2_1[[#This Row],[Current Prices]]-F181)/F181</f>
        <v>-4.5359092818143563E-2</v>
      </c>
      <c r="H182" s="7">
        <f>(Table2_1[[#This Row],[Current Prices]]-F178)/F178</f>
        <v>-0.2448504983388704</v>
      </c>
      <c r="I182" s="2"/>
    </row>
    <row r="183" spans="1:9" x14ac:dyDescent="0.3">
      <c r="A183" s="2" t="s">
        <v>73</v>
      </c>
      <c r="B183" s="2" t="s">
        <v>67</v>
      </c>
      <c r="C183" s="2">
        <v>148.1</v>
      </c>
      <c r="D183" s="6">
        <f>(Table2_1[[#This Row],[Constant Prices]]-C182)/C182</f>
        <v>6.114130434782648E-3</v>
      </c>
      <c r="E183" s="6">
        <f>(Table2_1[[#This Row],[Constant Prices]]-C180)/C180</f>
        <v>8.4981684981684943E-2</v>
      </c>
      <c r="F183" s="2">
        <v>262.7</v>
      </c>
      <c r="G183" s="7">
        <f>(Table2_1[[#This Row],[Current Prices]]-F182)/F182</f>
        <v>0.15574131104267477</v>
      </c>
      <c r="H183" s="7">
        <f>(Table2_1[[#This Row],[Current Prices]]-F179)/F179</f>
        <v>-0.18844609206054991</v>
      </c>
      <c r="I183" s="2"/>
    </row>
    <row r="184" spans="1:9" x14ac:dyDescent="0.3">
      <c r="A184" s="2" t="s">
        <v>73</v>
      </c>
      <c r="B184" s="2" t="s">
        <v>68</v>
      </c>
      <c r="C184" s="2">
        <v>157.1</v>
      </c>
      <c r="D184" s="6">
        <f>(Table2_1[[#This Row],[Constant Prices]]-C183)/C183</f>
        <v>6.0769750168804863E-2</v>
      </c>
      <c r="E184" s="6">
        <f>(Table2_1[[#This Row],[Constant Prices]]-C181)/C181</f>
        <v>0.10245614035087715</v>
      </c>
      <c r="F184" s="2">
        <v>259.7</v>
      </c>
      <c r="G184" s="7">
        <f>(Table2_1[[#This Row],[Current Prices]]-F183)/F183</f>
        <v>-1.1419870574800152E-2</v>
      </c>
      <c r="H184" s="7">
        <f>(Table2_1[[#This Row],[Current Prices]]-F180)/F180</f>
        <v>4.4650040225261443E-2</v>
      </c>
      <c r="I184" s="2"/>
    </row>
    <row r="185" spans="1:9" x14ac:dyDescent="0.3">
      <c r="A185" s="2" t="s">
        <v>73</v>
      </c>
      <c r="B185" s="2" t="s">
        <v>69</v>
      </c>
      <c r="C185" s="2">
        <v>183.7</v>
      </c>
      <c r="D185" s="6">
        <f>(Table2_1[[#This Row],[Constant Prices]]-C184)/C184</f>
        <v>0.1693189051559516</v>
      </c>
      <c r="E185" s="6">
        <f>(Table2_1[[#This Row],[Constant Prices]]-C182)/C182</f>
        <v>0.24796195652173916</v>
      </c>
      <c r="F185" s="5">
        <f>Table2_1[[#This Row],[Constant Prices]]*AVERAGE(Inflation!$C$72:$C$74)*0.01</f>
        <v>332.55823333333336</v>
      </c>
      <c r="G185" s="7">
        <f>(Table2_1[[#This Row],[Current Prices]]-F184)/F184</f>
        <v>0.28054768322423324</v>
      </c>
      <c r="H185" s="7">
        <f>(Table2_1[[#This Row],[Current Prices]]-F181)/F181</f>
        <v>0.39671664566708681</v>
      </c>
      <c r="I185" s="2">
        <v>14</v>
      </c>
    </row>
    <row r="186" spans="1:9" x14ac:dyDescent="0.3">
      <c r="A186" s="2" t="s">
        <v>73</v>
      </c>
      <c r="B186" s="2" t="s">
        <v>70</v>
      </c>
      <c r="C186" s="2">
        <v>173.1</v>
      </c>
      <c r="D186" s="6">
        <f>(Table2_1[[#This Row],[Constant Prices]]-C185)/C185</f>
        <v>-5.7702776265650492E-2</v>
      </c>
      <c r="E186" s="6">
        <f>(Table2_1[[#This Row],[Constant Prices]]-C183)/C183</f>
        <v>0.16880486158001351</v>
      </c>
      <c r="F186" s="5">
        <f>Table2_1[[#This Row],[Constant Prices]]*AVERAGE(Inflation!$C$75:$C$77)*0.01</f>
        <v>315.79209999999995</v>
      </c>
      <c r="G186" s="7">
        <f>(Table2_1[[#This Row],[Current Prices]]-F185)/F185</f>
        <v>-5.0415631467852433E-2</v>
      </c>
      <c r="H186" s="7">
        <f>(Table2_1[[#This Row],[Current Prices]]-F182)/F182</f>
        <v>0.38931852177738641</v>
      </c>
      <c r="I186" s="2"/>
    </row>
    <row r="187" spans="1:9" x14ac:dyDescent="0.3">
      <c r="A187" s="2" t="s">
        <v>73</v>
      </c>
      <c r="B187" s="2" t="s">
        <v>71</v>
      </c>
      <c r="C187" s="2">
        <v>206.6</v>
      </c>
      <c r="D187" s="6">
        <f>(Table2_1[[#This Row],[Constant Prices]]-C186)/C186</f>
        <v>0.19352975158867708</v>
      </c>
      <c r="E187" s="6">
        <f>(Table2_1[[#This Row],[Constant Prices]]-C184)/C184</f>
        <v>0.31508593252705286</v>
      </c>
      <c r="F187" s="5">
        <f>Table2_1[[#This Row],[Constant Prices]]*AVERAGE(Inflation!$C$78:$C$80)*0.01</f>
        <v>382.89866666666671</v>
      </c>
      <c r="G187" s="7">
        <f>(Table2_1[[#This Row],[Current Prices]]-F186)/F186</f>
        <v>0.21250236046648024</v>
      </c>
      <c r="H187" s="7">
        <f>(Table2_1[[#This Row],[Current Prices]]-F183)/F183</f>
        <v>0.45755107219895974</v>
      </c>
      <c r="I187" s="2"/>
    </row>
    <row r="188" spans="1:9" x14ac:dyDescent="0.3">
      <c r="A188" s="2" t="s">
        <v>74</v>
      </c>
      <c r="B188" s="2" t="s">
        <v>10</v>
      </c>
      <c r="C188" s="2">
        <v>653.79999999999995</v>
      </c>
      <c r="D188" s="6"/>
      <c r="E188" s="6"/>
      <c r="F188" s="2">
        <v>522</v>
      </c>
      <c r="G188" s="7"/>
      <c r="H188" s="7"/>
      <c r="I188" s="2"/>
    </row>
    <row r="189" spans="1:9" x14ac:dyDescent="0.3">
      <c r="A189" s="2" t="s">
        <v>74</v>
      </c>
      <c r="B189" s="2" t="s">
        <v>11</v>
      </c>
      <c r="C189" s="2">
        <v>643.4</v>
      </c>
      <c r="D189" s="6">
        <f>(Table2_1[[#This Row],[Constant Prices]]-C188)/C188</f>
        <v>-1.5907005200367051E-2</v>
      </c>
      <c r="E189" s="6"/>
      <c r="F189" s="2">
        <v>529.1</v>
      </c>
      <c r="G189" s="7">
        <f>(Table2_1[[#This Row],[Current Prices]]-F188)/F188</f>
        <v>1.3601532567049853E-2</v>
      </c>
      <c r="H189" s="7"/>
      <c r="I189" s="2"/>
    </row>
    <row r="190" spans="1:9" x14ac:dyDescent="0.3">
      <c r="A190" s="2" t="s">
        <v>74</v>
      </c>
      <c r="B190" s="2" t="s">
        <v>12</v>
      </c>
      <c r="C190" s="2">
        <v>682.4</v>
      </c>
      <c r="D190" s="6">
        <f>(Table2_1[[#This Row],[Constant Prices]]-C189)/C189</f>
        <v>6.0615480261112839E-2</v>
      </c>
      <c r="E190" s="6"/>
      <c r="F190" s="2">
        <v>545.70000000000005</v>
      </c>
      <c r="G190" s="7">
        <f>(Table2_1[[#This Row],[Current Prices]]-F189)/F189</f>
        <v>3.1374031374031414E-2</v>
      </c>
      <c r="H190" s="7"/>
      <c r="I190" s="2"/>
    </row>
    <row r="191" spans="1:9" x14ac:dyDescent="0.3">
      <c r="A191" s="2" t="s">
        <v>74</v>
      </c>
      <c r="B191" s="2" t="s">
        <v>13</v>
      </c>
      <c r="C191" s="2">
        <v>641.5</v>
      </c>
      <c r="D191" s="6">
        <f>(Table2_1[[#This Row],[Constant Prices]]-C190)/C190</f>
        <v>-5.9935521688159403E-2</v>
      </c>
      <c r="E191" s="6"/>
      <c r="F191" s="2">
        <v>553.79999999999995</v>
      </c>
      <c r="G191" s="7">
        <f>(Table2_1[[#This Row],[Current Prices]]-F190)/F190</f>
        <v>1.4843320505772235E-2</v>
      </c>
      <c r="H191" s="7"/>
      <c r="I191" s="2"/>
    </row>
    <row r="192" spans="1:9" x14ac:dyDescent="0.3">
      <c r="A192" s="2" t="s">
        <v>74</v>
      </c>
      <c r="B192" s="2" t="s">
        <v>14</v>
      </c>
      <c r="C192" s="2">
        <v>638</v>
      </c>
      <c r="D192" s="6">
        <f>(Table2_1[[#This Row],[Constant Prices]]-C191)/C191</f>
        <v>-5.4559625876851132E-3</v>
      </c>
      <c r="E192" s="6">
        <f>(Table2_1[[#This Row],[Constant Prices]]-C188)/C188</f>
        <v>-2.4166411746711466E-2</v>
      </c>
      <c r="F192" s="2">
        <v>532.9</v>
      </c>
      <c r="G192" s="7">
        <f>(Table2_1[[#This Row],[Current Prices]]-F191)/F191</f>
        <v>-3.7739256049115169E-2</v>
      </c>
      <c r="H192" s="7">
        <f>(Table2_1[[#This Row],[Current Prices]]-F188)/F188</f>
        <v>2.0881226053639804E-2</v>
      </c>
      <c r="I192" s="2"/>
    </row>
    <row r="193" spans="1:9" x14ac:dyDescent="0.3">
      <c r="A193" s="2" t="s">
        <v>74</v>
      </c>
      <c r="B193" s="2" t="s">
        <v>15</v>
      </c>
      <c r="C193" s="2">
        <v>662.7</v>
      </c>
      <c r="D193" s="6">
        <f>(Table2_1[[#This Row],[Constant Prices]]-C192)/C192</f>
        <v>3.8714733542319822E-2</v>
      </c>
      <c r="E193" s="6">
        <f>(Table2_1[[#This Row],[Constant Prices]]-C189)/C189</f>
        <v>2.999689151383287E-2</v>
      </c>
      <c r="F193" s="2">
        <v>566.1</v>
      </c>
      <c r="G193" s="7">
        <f>(Table2_1[[#This Row],[Current Prices]]-F192)/F192</f>
        <v>6.2300619253143265E-2</v>
      </c>
      <c r="H193" s="7">
        <f>(Table2_1[[#This Row],[Current Prices]]-F189)/F189</f>
        <v>6.9930069930069921E-2</v>
      </c>
      <c r="I193" s="2"/>
    </row>
    <row r="194" spans="1:9" x14ac:dyDescent="0.3">
      <c r="A194" s="2" t="s">
        <v>74</v>
      </c>
      <c r="B194" s="2" t="s">
        <v>16</v>
      </c>
      <c r="C194" s="2">
        <v>678.8</v>
      </c>
      <c r="D194" s="6">
        <f>(Table2_1[[#This Row],[Constant Prices]]-C193)/C193</f>
        <v>2.4294552587897852E-2</v>
      </c>
      <c r="E194" s="6">
        <f>(Table2_1[[#This Row],[Constant Prices]]-C190)/C190</f>
        <v>-5.2754982415006198E-3</v>
      </c>
      <c r="F194" s="2">
        <v>582.9</v>
      </c>
      <c r="G194" s="7">
        <f>(Table2_1[[#This Row],[Current Prices]]-F193)/F193</f>
        <v>2.9676735559088417E-2</v>
      </c>
      <c r="H194" s="7">
        <f>(Table2_1[[#This Row],[Current Prices]]-F190)/F190</f>
        <v>6.8169323804287946E-2</v>
      </c>
      <c r="I194" s="2"/>
    </row>
    <row r="195" spans="1:9" x14ac:dyDescent="0.3">
      <c r="A195" s="2" t="s">
        <v>74</v>
      </c>
      <c r="B195" s="2" t="s">
        <v>17</v>
      </c>
      <c r="C195" s="2">
        <v>687.3</v>
      </c>
      <c r="D195" s="6">
        <f>(Table2_1[[#This Row],[Constant Prices]]-C194)/C194</f>
        <v>1.2522097819681792E-2</v>
      </c>
      <c r="E195" s="6">
        <f>(Table2_1[[#This Row],[Constant Prices]]-C191)/C191</f>
        <v>7.1395167575993693E-2</v>
      </c>
      <c r="F195" s="2">
        <v>601.9</v>
      </c>
      <c r="G195" s="7">
        <f>(Table2_1[[#This Row],[Current Prices]]-F194)/F194</f>
        <v>3.259564247726883E-2</v>
      </c>
      <c r="H195" s="7">
        <f>(Table2_1[[#This Row],[Current Prices]]-F191)/F191</f>
        <v>8.685446009389676E-2</v>
      </c>
      <c r="I195" s="2">
        <v>1</v>
      </c>
    </row>
    <row r="196" spans="1:9" x14ac:dyDescent="0.3">
      <c r="A196" s="2" t="s">
        <v>74</v>
      </c>
      <c r="B196" s="2" t="s">
        <v>18</v>
      </c>
      <c r="C196" s="2">
        <v>690.5</v>
      </c>
      <c r="D196" s="6">
        <f>(Table2_1[[#This Row],[Constant Prices]]-C195)/C195</f>
        <v>4.6558998981522564E-3</v>
      </c>
      <c r="E196" s="6">
        <f>(Table2_1[[#This Row],[Constant Prices]]-C192)/C192</f>
        <v>8.2288401253918494E-2</v>
      </c>
      <c r="F196" s="2">
        <v>601.29999999999995</v>
      </c>
      <c r="G196" s="7">
        <f>(Table2_1[[#This Row],[Current Prices]]-F195)/F195</f>
        <v>-9.9684332945675818E-4</v>
      </c>
      <c r="H196" s="7">
        <f>(Table2_1[[#This Row],[Current Prices]]-F192)/F192</f>
        <v>0.12835428785888531</v>
      </c>
      <c r="I196" s="2"/>
    </row>
    <row r="197" spans="1:9" x14ac:dyDescent="0.3">
      <c r="A197" s="2" t="s">
        <v>74</v>
      </c>
      <c r="B197" s="2" t="s">
        <v>19</v>
      </c>
      <c r="C197" s="2">
        <v>684.3</v>
      </c>
      <c r="D197" s="6">
        <f>(Table2_1[[#This Row],[Constant Prices]]-C196)/C196</f>
        <v>-8.9790007241130274E-3</v>
      </c>
      <c r="E197" s="6">
        <f>(Table2_1[[#This Row],[Constant Prices]]-C193)/C193</f>
        <v>3.2593933906744997E-2</v>
      </c>
      <c r="F197" s="2">
        <v>607.20000000000005</v>
      </c>
      <c r="G197" s="7">
        <f>(Table2_1[[#This Row],[Current Prices]]-F196)/F196</f>
        <v>9.8120738400134556E-3</v>
      </c>
      <c r="H197" s="7">
        <f>(Table2_1[[#This Row],[Current Prices]]-F193)/F193</f>
        <v>7.2602013778484409E-2</v>
      </c>
      <c r="I197" s="2"/>
    </row>
    <row r="198" spans="1:9" x14ac:dyDescent="0.3">
      <c r="A198" s="2" t="s">
        <v>74</v>
      </c>
      <c r="B198" s="2" t="s">
        <v>20</v>
      </c>
      <c r="C198" s="2">
        <v>682.5</v>
      </c>
      <c r="D198" s="6">
        <f>(Table2_1[[#This Row],[Constant Prices]]-C197)/C197</f>
        <v>-2.6304252520823537E-3</v>
      </c>
      <c r="E198" s="6">
        <f>(Table2_1[[#This Row],[Constant Prices]]-C194)/C194</f>
        <v>5.4507955215086119E-3</v>
      </c>
      <c r="F198" s="2">
        <v>623.4</v>
      </c>
      <c r="G198" s="7">
        <f>(Table2_1[[#This Row],[Current Prices]]-F197)/F197</f>
        <v>2.6679841897233086E-2</v>
      </c>
      <c r="H198" s="7">
        <f>(Table2_1[[#This Row],[Current Prices]]-F194)/F194</f>
        <v>6.9480185280494086E-2</v>
      </c>
      <c r="I198" s="2"/>
    </row>
    <row r="199" spans="1:9" x14ac:dyDescent="0.3">
      <c r="A199" s="2" t="s">
        <v>74</v>
      </c>
      <c r="B199" s="2" t="s">
        <v>21</v>
      </c>
      <c r="C199" s="2">
        <v>714.7</v>
      </c>
      <c r="D199" s="6">
        <f>(Table2_1[[#This Row],[Constant Prices]]-C198)/C198</f>
        <v>4.7179487179487244E-2</v>
      </c>
      <c r="E199" s="6">
        <f>(Table2_1[[#This Row],[Constant Prices]]-C195)/C195</f>
        <v>3.9866142877928258E-2</v>
      </c>
      <c r="F199" s="2">
        <v>642.70000000000005</v>
      </c>
      <c r="G199" s="7">
        <f>(Table2_1[[#This Row],[Current Prices]]-F198)/F198</f>
        <v>3.095925569457823E-2</v>
      </c>
      <c r="H199" s="7">
        <f>(Table2_1[[#This Row],[Current Prices]]-F195)/F195</f>
        <v>6.7785346403057098E-2</v>
      </c>
      <c r="I199" s="2">
        <v>2</v>
      </c>
    </row>
    <row r="200" spans="1:9" x14ac:dyDescent="0.3">
      <c r="A200" s="2" t="s">
        <v>74</v>
      </c>
      <c r="B200" s="2" t="s">
        <v>22</v>
      </c>
      <c r="C200" s="2">
        <v>723.1</v>
      </c>
      <c r="D200" s="6">
        <f>(Table2_1[[#This Row],[Constant Prices]]-C199)/C199</f>
        <v>1.1753183153770781E-2</v>
      </c>
      <c r="E200" s="6">
        <f>(Table2_1[[#This Row],[Constant Prices]]-C196)/C196</f>
        <v>4.7212165097755283E-2</v>
      </c>
      <c r="F200" s="2">
        <v>680.1</v>
      </c>
      <c r="G200" s="7">
        <f>(Table2_1[[#This Row],[Current Prices]]-F199)/F199</f>
        <v>5.8192002489497394E-2</v>
      </c>
      <c r="H200" s="7">
        <f>(Table2_1[[#This Row],[Current Prices]]-F196)/F196</f>
        <v>0.13104939298187274</v>
      </c>
      <c r="I200" s="2"/>
    </row>
    <row r="201" spans="1:9" x14ac:dyDescent="0.3">
      <c r="A201" s="2" t="s">
        <v>74</v>
      </c>
      <c r="B201" s="2" t="s">
        <v>23</v>
      </c>
      <c r="C201" s="2">
        <v>688.8</v>
      </c>
      <c r="D201" s="6">
        <f>(Table2_1[[#This Row],[Constant Prices]]-C200)/C200</f>
        <v>-4.7434656340755173E-2</v>
      </c>
      <c r="E201" s="6">
        <f>(Table2_1[[#This Row],[Constant Prices]]-C197)/C197</f>
        <v>6.57606313020605E-3</v>
      </c>
      <c r="F201" s="2">
        <v>642.79999999999995</v>
      </c>
      <c r="G201" s="7">
        <f>(Table2_1[[#This Row],[Current Prices]]-F200)/F200</f>
        <v>-5.4844875753565753E-2</v>
      </c>
      <c r="H201" s="7">
        <f>(Table2_1[[#This Row],[Current Prices]]-F197)/F197</f>
        <v>5.8629776021080215E-2</v>
      </c>
      <c r="I201" s="2"/>
    </row>
    <row r="202" spans="1:9" x14ac:dyDescent="0.3">
      <c r="A202" s="2" t="s">
        <v>74</v>
      </c>
      <c r="B202" s="2" t="s">
        <v>24</v>
      </c>
      <c r="C202" s="2">
        <v>669.5</v>
      </c>
      <c r="D202" s="6">
        <f>(Table2_1[[#This Row],[Constant Prices]]-C201)/C201</f>
        <v>-2.8019744483159054E-2</v>
      </c>
      <c r="E202" s="6">
        <f>(Table2_1[[#This Row],[Constant Prices]]-C198)/C198</f>
        <v>-1.9047619047619049E-2</v>
      </c>
      <c r="F202" s="2">
        <v>634</v>
      </c>
      <c r="G202" s="7">
        <f>(Table2_1[[#This Row],[Current Prices]]-F201)/F201</f>
        <v>-1.3690105787181012E-2</v>
      </c>
      <c r="H202" s="7">
        <f>(Table2_1[[#This Row],[Current Prices]]-F198)/F198</f>
        <v>1.7003529034327915E-2</v>
      </c>
      <c r="I202" s="2"/>
    </row>
    <row r="203" spans="1:9" x14ac:dyDescent="0.3">
      <c r="A203" s="2" t="s">
        <v>74</v>
      </c>
      <c r="B203" s="2" t="s">
        <v>25</v>
      </c>
      <c r="C203" s="2">
        <v>694.8</v>
      </c>
      <c r="D203" s="6">
        <f>(Table2_1[[#This Row],[Constant Prices]]-C202)/C202</f>
        <v>3.7789395070948403E-2</v>
      </c>
      <c r="E203" s="6">
        <f>(Table2_1[[#This Row],[Constant Prices]]-C199)/C199</f>
        <v>-2.7843850566671456E-2</v>
      </c>
      <c r="F203" s="2">
        <v>649.20000000000005</v>
      </c>
      <c r="G203" s="7">
        <f>(Table2_1[[#This Row],[Current Prices]]-F202)/F202</f>
        <v>2.3974763406940134E-2</v>
      </c>
      <c r="H203" s="7">
        <f>(Table2_1[[#This Row],[Current Prices]]-F199)/F199</f>
        <v>1.01135833203672E-2</v>
      </c>
      <c r="I203" s="2">
        <v>3</v>
      </c>
    </row>
    <row r="204" spans="1:9" x14ac:dyDescent="0.3">
      <c r="A204" s="2" t="s">
        <v>74</v>
      </c>
      <c r="B204" s="2" t="s">
        <v>26</v>
      </c>
      <c r="C204" s="2">
        <v>661.2</v>
      </c>
      <c r="D204" s="6">
        <f>(Table2_1[[#This Row],[Constant Prices]]-C203)/C203</f>
        <v>-4.83592400690845E-2</v>
      </c>
      <c r="E204" s="6">
        <f>(Table2_1[[#This Row],[Constant Prices]]-C200)/C200</f>
        <v>-8.5603650947310164E-2</v>
      </c>
      <c r="F204" s="2">
        <v>643.79999999999995</v>
      </c>
      <c r="G204" s="7">
        <f>(Table2_1[[#This Row],[Current Prices]]-F203)/F203</f>
        <v>-8.3179297597043914E-3</v>
      </c>
      <c r="H204" s="7">
        <f>(Table2_1[[#This Row],[Current Prices]]-F200)/F200</f>
        <v>-5.3374503749448708E-2</v>
      </c>
      <c r="I204" s="2"/>
    </row>
    <row r="205" spans="1:9" x14ac:dyDescent="0.3">
      <c r="A205" s="2" t="s">
        <v>74</v>
      </c>
      <c r="B205" s="2" t="s">
        <v>27</v>
      </c>
      <c r="C205" s="2">
        <v>690.9</v>
      </c>
      <c r="D205" s="6">
        <f>(Table2_1[[#This Row],[Constant Prices]]-C204)/C204</f>
        <v>4.491833030852984E-2</v>
      </c>
      <c r="E205" s="6">
        <f>(Table2_1[[#This Row],[Constant Prices]]-C201)/C201</f>
        <v>3.0487804878049111E-3</v>
      </c>
      <c r="F205" s="2">
        <v>672.8</v>
      </c>
      <c r="G205" s="7">
        <f>(Table2_1[[#This Row],[Current Prices]]-F204)/F204</f>
        <v>4.504504504504505E-2</v>
      </c>
      <c r="H205" s="7">
        <f>(Table2_1[[#This Row],[Current Prices]]-F201)/F201</f>
        <v>4.6670815183571877E-2</v>
      </c>
      <c r="I205" s="2"/>
    </row>
    <row r="206" spans="1:9" x14ac:dyDescent="0.3">
      <c r="A206" s="2" t="s">
        <v>74</v>
      </c>
      <c r="B206" s="2" t="s">
        <v>28</v>
      </c>
      <c r="C206" s="2">
        <v>694.2</v>
      </c>
      <c r="D206" s="6">
        <f>(Table2_1[[#This Row],[Constant Prices]]-C205)/C205</f>
        <v>4.7763786365611063E-3</v>
      </c>
      <c r="E206" s="6">
        <f>(Table2_1[[#This Row],[Constant Prices]]-C202)/C202</f>
        <v>3.6893203883495214E-2</v>
      </c>
      <c r="F206" s="2">
        <v>673.9</v>
      </c>
      <c r="G206" s="7">
        <f>(Table2_1[[#This Row],[Current Prices]]-F205)/F205</f>
        <v>1.6349583828775608E-3</v>
      </c>
      <c r="H206" s="7">
        <f>(Table2_1[[#This Row],[Current Prices]]-F202)/F202</f>
        <v>6.2933753943217624E-2</v>
      </c>
      <c r="I206" s="2"/>
    </row>
    <row r="207" spans="1:9" x14ac:dyDescent="0.3">
      <c r="A207" s="2" t="s">
        <v>74</v>
      </c>
      <c r="B207" s="2" t="s">
        <v>29</v>
      </c>
      <c r="C207" s="2">
        <v>725.6</v>
      </c>
      <c r="D207" s="6">
        <f>(Table2_1[[#This Row],[Constant Prices]]-C206)/C206</f>
        <v>4.5231921636415984E-2</v>
      </c>
      <c r="E207" s="6">
        <f>(Table2_1[[#This Row],[Constant Prices]]-C203)/C203</f>
        <v>4.432930339666101E-2</v>
      </c>
      <c r="F207" s="2">
        <v>715.1</v>
      </c>
      <c r="G207" s="7">
        <f>(Table2_1[[#This Row],[Current Prices]]-F206)/F206</f>
        <v>6.1136667161299965E-2</v>
      </c>
      <c r="H207" s="7">
        <f>(Table2_1[[#This Row],[Current Prices]]-F203)/F203</f>
        <v>0.10150955021564999</v>
      </c>
      <c r="I207" s="2">
        <v>4</v>
      </c>
    </row>
    <row r="208" spans="1:9" x14ac:dyDescent="0.3">
      <c r="A208" s="2" t="s">
        <v>74</v>
      </c>
      <c r="B208" s="2" t="s">
        <v>30</v>
      </c>
      <c r="C208" s="2">
        <v>816.2</v>
      </c>
      <c r="D208" s="6">
        <f>(Table2_1[[#This Row],[Constant Prices]]-C207)/C207</f>
        <v>0.1248621830209482</v>
      </c>
      <c r="E208" s="6">
        <f>(Table2_1[[#This Row],[Constant Prices]]-C204)/C204</f>
        <v>0.23442226255293405</v>
      </c>
      <c r="F208" s="2">
        <v>832.9</v>
      </c>
      <c r="G208" s="7">
        <f>(Table2_1[[#This Row],[Current Prices]]-F207)/F207</f>
        <v>0.16473220528597393</v>
      </c>
      <c r="H208" s="7">
        <f>(Table2_1[[#This Row],[Current Prices]]-F204)/F204</f>
        <v>0.2937247592420007</v>
      </c>
      <c r="I208" s="2"/>
    </row>
    <row r="209" spans="1:9" x14ac:dyDescent="0.3">
      <c r="A209" s="2" t="s">
        <v>74</v>
      </c>
      <c r="B209" s="2" t="s">
        <v>31</v>
      </c>
      <c r="C209" s="2">
        <v>732.1</v>
      </c>
      <c r="D209" s="6">
        <f>(Table2_1[[#This Row],[Constant Prices]]-C208)/C208</f>
        <v>-0.10303847096299928</v>
      </c>
      <c r="E209" s="6">
        <f>(Table2_1[[#This Row],[Constant Prices]]-C205)/C205</f>
        <v>5.9632363583731432E-2</v>
      </c>
      <c r="F209" s="2">
        <v>726.8</v>
      </c>
      <c r="G209" s="7">
        <f>(Table2_1[[#This Row],[Current Prices]]-F208)/F208</f>
        <v>-0.12738624084523956</v>
      </c>
      <c r="H209" s="7">
        <f>(Table2_1[[#This Row],[Current Prices]]-F205)/F205</f>
        <v>8.0261593341260415E-2</v>
      </c>
      <c r="I209" s="2"/>
    </row>
    <row r="210" spans="1:9" x14ac:dyDescent="0.3">
      <c r="A210" s="2" t="s">
        <v>74</v>
      </c>
      <c r="B210" s="2" t="s">
        <v>32</v>
      </c>
      <c r="C210" s="2">
        <v>724.1</v>
      </c>
      <c r="D210" s="6">
        <f>(Table2_1[[#This Row],[Constant Prices]]-C209)/C209</f>
        <v>-1.0927468925010245E-2</v>
      </c>
      <c r="E210" s="6">
        <f>(Table2_1[[#This Row],[Constant Prices]]-C206)/C206</f>
        <v>4.3071161048689105E-2</v>
      </c>
      <c r="F210" s="2">
        <v>721.3</v>
      </c>
      <c r="G210" s="7">
        <f>(Table2_1[[#This Row],[Current Prices]]-F209)/F209</f>
        <v>-7.5674188222344526E-3</v>
      </c>
      <c r="H210" s="7">
        <f>(Table2_1[[#This Row],[Current Prices]]-F206)/F206</f>
        <v>7.0336845229262465E-2</v>
      </c>
      <c r="I210" s="2"/>
    </row>
    <row r="211" spans="1:9" x14ac:dyDescent="0.3">
      <c r="A211" s="2" t="s">
        <v>74</v>
      </c>
      <c r="B211" s="2" t="s">
        <v>33</v>
      </c>
      <c r="C211" s="2">
        <v>709</v>
      </c>
      <c r="D211" s="6">
        <f>(Table2_1[[#This Row],[Constant Prices]]-C210)/C210</f>
        <v>-2.0853473277171693E-2</v>
      </c>
      <c r="E211" s="6">
        <f>(Table2_1[[#This Row],[Constant Prices]]-C207)/C207</f>
        <v>-2.2877618522602016E-2</v>
      </c>
      <c r="F211" s="2">
        <v>700.3</v>
      </c>
      <c r="G211" s="7">
        <f>(Table2_1[[#This Row],[Current Prices]]-F210)/F210</f>
        <v>-2.9114099542492722E-2</v>
      </c>
      <c r="H211" s="7">
        <f>(Table2_1[[#This Row],[Current Prices]]-F207)/F207</f>
        <v>-2.0696406097049459E-2</v>
      </c>
      <c r="I211" s="2">
        <v>5</v>
      </c>
    </row>
    <row r="212" spans="1:9" x14ac:dyDescent="0.3">
      <c r="A212" s="2" t="s">
        <v>74</v>
      </c>
      <c r="B212" s="2" t="s">
        <v>34</v>
      </c>
      <c r="C212" s="2">
        <v>736</v>
      </c>
      <c r="D212" s="6">
        <f>(Table2_1[[#This Row],[Constant Prices]]-C211)/C211</f>
        <v>3.8081805359661498E-2</v>
      </c>
      <c r="E212" s="6">
        <f>(Table2_1[[#This Row],[Constant Prices]]-C208)/C208</f>
        <v>-9.8260230335702081E-2</v>
      </c>
      <c r="F212" s="2">
        <v>750.1</v>
      </c>
      <c r="G212" s="7">
        <f>(Table2_1[[#This Row],[Current Prices]]-F211)/F211</f>
        <v>7.11123804083965E-2</v>
      </c>
      <c r="H212" s="7">
        <f>(Table2_1[[#This Row],[Current Prices]]-F208)/F208</f>
        <v>-9.9411694080922028E-2</v>
      </c>
      <c r="I212" s="2"/>
    </row>
    <row r="213" spans="1:9" x14ac:dyDescent="0.3">
      <c r="A213" s="2" t="s">
        <v>74</v>
      </c>
      <c r="B213" s="2" t="s">
        <v>35</v>
      </c>
      <c r="C213" s="2">
        <v>736.5</v>
      </c>
      <c r="D213" s="6">
        <f>(Table2_1[[#This Row],[Constant Prices]]-C212)/C212</f>
        <v>6.793478260869565E-4</v>
      </c>
      <c r="E213" s="6">
        <f>(Table2_1[[#This Row],[Constant Prices]]-C209)/C209</f>
        <v>6.0101079087556035E-3</v>
      </c>
      <c r="F213" s="2">
        <v>761.2</v>
      </c>
      <c r="G213" s="7">
        <f>(Table2_1[[#This Row],[Current Prices]]-F212)/F212</f>
        <v>1.4798026929742731E-2</v>
      </c>
      <c r="H213" s="7">
        <f>(Table2_1[[#This Row],[Current Prices]]-F209)/F209</f>
        <v>4.7330764997248337E-2</v>
      </c>
      <c r="I213" s="2"/>
    </row>
    <row r="214" spans="1:9" x14ac:dyDescent="0.3">
      <c r="A214" s="2" t="s">
        <v>74</v>
      </c>
      <c r="B214" s="2" t="s">
        <v>36</v>
      </c>
      <c r="C214" s="2">
        <v>748.1</v>
      </c>
      <c r="D214" s="6">
        <f>(Table2_1[[#This Row],[Constant Prices]]-C213)/C213</f>
        <v>1.5750169721656514E-2</v>
      </c>
      <c r="E214" s="6">
        <f>(Table2_1[[#This Row],[Constant Prices]]-C210)/C210</f>
        <v>3.3144593288219858E-2</v>
      </c>
      <c r="F214" s="2">
        <v>782.7</v>
      </c>
      <c r="G214" s="7">
        <f>(Table2_1[[#This Row],[Current Prices]]-F213)/F213</f>
        <v>2.8244876510772461E-2</v>
      </c>
      <c r="H214" s="7">
        <f>(Table2_1[[#This Row],[Current Prices]]-F210)/F210</f>
        <v>8.5124081519478853E-2</v>
      </c>
      <c r="I214" s="2"/>
    </row>
    <row r="215" spans="1:9" x14ac:dyDescent="0.3">
      <c r="A215" s="2" t="s">
        <v>74</v>
      </c>
      <c r="B215" s="2" t="s">
        <v>37</v>
      </c>
      <c r="C215" s="2">
        <v>740.2</v>
      </c>
      <c r="D215" s="6">
        <f>(Table2_1[[#This Row],[Constant Prices]]-C214)/C214</f>
        <v>-1.0560085550060121E-2</v>
      </c>
      <c r="E215" s="6">
        <f>(Table2_1[[#This Row],[Constant Prices]]-C211)/C211</f>
        <v>4.400564174894224E-2</v>
      </c>
      <c r="F215" s="2">
        <v>769.8</v>
      </c>
      <c r="G215" s="7">
        <f>(Table2_1[[#This Row],[Current Prices]]-F214)/F214</f>
        <v>-1.6481410502108204E-2</v>
      </c>
      <c r="H215" s="7">
        <f>(Table2_1[[#This Row],[Current Prices]]-F211)/F211</f>
        <v>9.9243181493645583E-2</v>
      </c>
      <c r="I215" s="2">
        <v>6</v>
      </c>
    </row>
    <row r="216" spans="1:9" x14ac:dyDescent="0.3">
      <c r="A216" s="2" t="s">
        <v>74</v>
      </c>
      <c r="B216" s="2" t="s">
        <v>38</v>
      </c>
      <c r="C216" s="2">
        <v>731</v>
      </c>
      <c r="D216" s="6">
        <f>(Table2_1[[#This Row],[Constant Prices]]-C215)/C215</f>
        <v>-1.2429073223453182E-2</v>
      </c>
      <c r="E216" s="6">
        <f>(Table2_1[[#This Row],[Constant Prices]]-C212)/C212</f>
        <v>-6.793478260869565E-3</v>
      </c>
      <c r="F216" s="2">
        <v>761.3</v>
      </c>
      <c r="G216" s="7">
        <f>(Table2_1[[#This Row],[Current Prices]]-F215)/F215</f>
        <v>-1.1041829046505587E-2</v>
      </c>
      <c r="H216" s="7">
        <f>(Table2_1[[#This Row],[Current Prices]]-F212)/F212</f>
        <v>1.493134248766822E-2</v>
      </c>
      <c r="I216" s="2"/>
    </row>
    <row r="217" spans="1:9" x14ac:dyDescent="0.3">
      <c r="A217" s="2" t="s">
        <v>74</v>
      </c>
      <c r="B217" s="2" t="s">
        <v>39</v>
      </c>
      <c r="C217" s="2">
        <v>740.9</v>
      </c>
      <c r="D217" s="6">
        <f>(Table2_1[[#This Row],[Constant Prices]]-C216)/C216</f>
        <v>1.3543091655266726E-2</v>
      </c>
      <c r="E217" s="6">
        <f>(Table2_1[[#This Row],[Constant Prices]]-C213)/C213</f>
        <v>5.974202308214497E-3</v>
      </c>
      <c r="F217" s="2">
        <v>824.6</v>
      </c>
      <c r="G217" s="7">
        <f>(Table2_1[[#This Row],[Current Prices]]-F216)/F216</f>
        <v>8.3147248128201859E-2</v>
      </c>
      <c r="H217" s="7">
        <f>(Table2_1[[#This Row],[Current Prices]]-F213)/F213</f>
        <v>8.3289542827115051E-2</v>
      </c>
      <c r="I217" s="2"/>
    </row>
    <row r="218" spans="1:9" x14ac:dyDescent="0.3">
      <c r="A218" s="2" t="s">
        <v>74</v>
      </c>
      <c r="B218" s="2" t="s">
        <v>40</v>
      </c>
      <c r="C218" s="2">
        <v>773.7</v>
      </c>
      <c r="D218" s="6">
        <f>(Table2_1[[#This Row],[Constant Prices]]-C217)/C217</f>
        <v>4.4270481846403115E-2</v>
      </c>
      <c r="E218" s="6">
        <f>(Table2_1[[#This Row],[Constant Prices]]-C214)/C214</f>
        <v>3.4220024060954445E-2</v>
      </c>
      <c r="F218" s="2">
        <v>860.1</v>
      </c>
      <c r="G218" s="7">
        <f>(Table2_1[[#This Row],[Current Prices]]-F217)/F217</f>
        <v>4.3051176327916565E-2</v>
      </c>
      <c r="H218" s="7">
        <f>(Table2_1[[#This Row],[Current Prices]]-F214)/F214</f>
        <v>9.8888463012648489E-2</v>
      </c>
      <c r="I218" s="2"/>
    </row>
    <row r="219" spans="1:9" x14ac:dyDescent="0.3">
      <c r="A219" s="2" t="s">
        <v>74</v>
      </c>
      <c r="B219" s="2" t="s">
        <v>41</v>
      </c>
      <c r="C219" s="2">
        <v>790.7</v>
      </c>
      <c r="D219" s="6">
        <f>(Table2_1[[#This Row],[Constant Prices]]-C218)/C218</f>
        <v>2.1972340700529919E-2</v>
      </c>
      <c r="E219" s="6">
        <f>(Table2_1[[#This Row],[Constant Prices]]-C215)/C215</f>
        <v>6.8224804106998105E-2</v>
      </c>
      <c r="F219" s="2">
        <v>869.3</v>
      </c>
      <c r="G219" s="7">
        <f>(Table2_1[[#This Row],[Current Prices]]-F218)/F218</f>
        <v>1.0696430647599037E-2</v>
      </c>
      <c r="H219" s="7">
        <f>(Table2_1[[#This Row],[Current Prices]]-F215)/F215</f>
        <v>0.12925435177968303</v>
      </c>
      <c r="I219" s="2">
        <v>7</v>
      </c>
    </row>
    <row r="220" spans="1:9" x14ac:dyDescent="0.3">
      <c r="A220" s="2" t="s">
        <v>74</v>
      </c>
      <c r="B220" s="2" t="s">
        <v>42</v>
      </c>
      <c r="C220" s="2">
        <v>818.1</v>
      </c>
      <c r="D220" s="6">
        <f>(Table2_1[[#This Row],[Constant Prices]]-C219)/C219</f>
        <v>3.4652839256355095E-2</v>
      </c>
      <c r="E220" s="6">
        <f>(Table2_1[[#This Row],[Constant Prices]]-C216)/C216</f>
        <v>0.11915184678522575</v>
      </c>
      <c r="F220" s="2">
        <v>944</v>
      </c>
      <c r="G220" s="7">
        <f>(Table2_1[[#This Row],[Current Prices]]-F219)/F219</f>
        <v>8.5931209018750773E-2</v>
      </c>
      <c r="H220" s="7">
        <f>(Table2_1[[#This Row],[Current Prices]]-F216)/F216</f>
        <v>0.23998423748850659</v>
      </c>
      <c r="I220" s="2"/>
    </row>
    <row r="221" spans="1:9" x14ac:dyDescent="0.3">
      <c r="A221" s="2" t="s">
        <v>74</v>
      </c>
      <c r="B221" s="2" t="s">
        <v>43</v>
      </c>
      <c r="C221" s="2">
        <v>794.2</v>
      </c>
      <c r="D221" s="6">
        <f>(Table2_1[[#This Row],[Constant Prices]]-C220)/C220</f>
        <v>-2.9214032514362519E-2</v>
      </c>
      <c r="E221" s="6">
        <f>(Table2_1[[#This Row],[Constant Prices]]-C217)/C217</f>
        <v>7.1939533000405009E-2</v>
      </c>
      <c r="F221" s="2">
        <v>922</v>
      </c>
      <c r="G221" s="7">
        <f>(Table2_1[[#This Row],[Current Prices]]-F220)/F220</f>
        <v>-2.3305084745762712E-2</v>
      </c>
      <c r="H221" s="7">
        <f>(Table2_1[[#This Row],[Current Prices]]-F217)/F217</f>
        <v>0.11811787533349499</v>
      </c>
      <c r="I221" s="2"/>
    </row>
    <row r="222" spans="1:9" x14ac:dyDescent="0.3">
      <c r="A222" s="2" t="s">
        <v>74</v>
      </c>
      <c r="B222" s="2" t="s">
        <v>44</v>
      </c>
      <c r="C222" s="2">
        <v>801.9</v>
      </c>
      <c r="D222" s="6">
        <f>(Table2_1[[#This Row],[Constant Prices]]-C221)/C221</f>
        <v>9.6952908587256761E-3</v>
      </c>
      <c r="E222" s="6">
        <f>(Table2_1[[#This Row],[Constant Prices]]-C218)/C218</f>
        <v>3.6448235750290721E-2</v>
      </c>
      <c r="F222" s="2">
        <v>935.6</v>
      </c>
      <c r="G222" s="7">
        <f>(Table2_1[[#This Row],[Current Prices]]-F221)/F221</f>
        <v>1.4750542299349266E-2</v>
      </c>
      <c r="H222" s="7">
        <f>(Table2_1[[#This Row],[Current Prices]]-F218)/F218</f>
        <v>8.7780490640623182E-2</v>
      </c>
      <c r="I222" s="2"/>
    </row>
    <row r="223" spans="1:9" x14ac:dyDescent="0.3">
      <c r="A223" s="2" t="s">
        <v>74</v>
      </c>
      <c r="B223" s="2" t="s">
        <v>45</v>
      </c>
      <c r="C223" s="2">
        <v>777.2</v>
      </c>
      <c r="D223" s="6">
        <f>(Table2_1[[#This Row],[Constant Prices]]-C222)/C222</f>
        <v>-3.0801845616660346E-2</v>
      </c>
      <c r="E223" s="6">
        <f>(Table2_1[[#This Row],[Constant Prices]]-C219)/C219</f>
        <v>-1.7073479195649423E-2</v>
      </c>
      <c r="F223" s="2">
        <v>919.3</v>
      </c>
      <c r="G223" s="7">
        <f>(Table2_1[[#This Row],[Current Prices]]-F222)/F222</f>
        <v>-1.742197520307831E-2</v>
      </c>
      <c r="H223" s="7">
        <f>(Table2_1[[#This Row],[Current Prices]]-F219)/F219</f>
        <v>5.7517542850569425E-2</v>
      </c>
      <c r="I223" s="2">
        <v>8</v>
      </c>
    </row>
    <row r="224" spans="1:9" x14ac:dyDescent="0.3">
      <c r="A224" s="2" t="s">
        <v>74</v>
      </c>
      <c r="B224" s="2" t="s">
        <v>46</v>
      </c>
      <c r="C224" s="2">
        <v>788.1</v>
      </c>
      <c r="D224" s="6">
        <f>(Table2_1[[#This Row],[Constant Prices]]-C223)/C223</f>
        <v>1.402470406587748E-2</v>
      </c>
      <c r="E224" s="6">
        <f>(Table2_1[[#This Row],[Constant Prices]]-C220)/C220</f>
        <v>-3.6670333700036667E-2</v>
      </c>
      <c r="F224" s="2">
        <v>940.8</v>
      </c>
      <c r="G224" s="7">
        <f>(Table2_1[[#This Row],[Current Prices]]-F223)/F223</f>
        <v>2.338735994778636E-2</v>
      </c>
      <c r="H224" s="7">
        <f>(Table2_1[[#This Row],[Current Prices]]-F220)/F220</f>
        <v>-3.3898305084746243E-3</v>
      </c>
      <c r="I224" s="2"/>
    </row>
    <row r="225" spans="1:9" x14ac:dyDescent="0.3">
      <c r="A225" s="2" t="s">
        <v>74</v>
      </c>
      <c r="B225" s="2" t="s">
        <v>47</v>
      </c>
      <c r="C225" s="2">
        <v>816.5</v>
      </c>
      <c r="D225" s="6">
        <f>(Table2_1[[#This Row],[Constant Prices]]-C224)/C224</f>
        <v>3.6036036036036008E-2</v>
      </c>
      <c r="E225" s="6">
        <f>(Table2_1[[#This Row],[Constant Prices]]-C221)/C221</f>
        <v>2.8078569629816107E-2</v>
      </c>
      <c r="F225" s="2">
        <v>1025.7</v>
      </c>
      <c r="G225" s="7">
        <f>(Table2_1[[#This Row],[Current Prices]]-F224)/F224</f>
        <v>9.0242346938775614E-2</v>
      </c>
      <c r="H225" s="7">
        <f>(Table2_1[[#This Row],[Current Prices]]-F221)/F221</f>
        <v>0.11247288503253801</v>
      </c>
      <c r="I225" s="2"/>
    </row>
    <row r="226" spans="1:9" x14ac:dyDescent="0.3">
      <c r="A226" s="2" t="s">
        <v>74</v>
      </c>
      <c r="B226" s="2" t="s">
        <v>48</v>
      </c>
      <c r="C226" s="2">
        <v>815.4</v>
      </c>
      <c r="D226" s="6">
        <f>(Table2_1[[#This Row],[Constant Prices]]-C225)/C225</f>
        <v>-1.3472137170851472E-3</v>
      </c>
      <c r="E226" s="6">
        <f>(Table2_1[[#This Row],[Constant Prices]]-C222)/C222</f>
        <v>1.6835016835016835E-2</v>
      </c>
      <c r="F226" s="2">
        <v>1029.2</v>
      </c>
      <c r="G226" s="7">
        <f>(Table2_1[[#This Row],[Current Prices]]-F225)/F225</f>
        <v>3.4123037925319292E-3</v>
      </c>
      <c r="H226" s="7">
        <f>(Table2_1[[#This Row],[Current Prices]]-F222)/F222</f>
        <v>0.1000427533133818</v>
      </c>
      <c r="I226" s="2"/>
    </row>
    <row r="227" spans="1:9" x14ac:dyDescent="0.3">
      <c r="A227" s="2" t="s">
        <v>74</v>
      </c>
      <c r="B227" s="2" t="s">
        <v>49</v>
      </c>
      <c r="C227" s="2">
        <v>826.5</v>
      </c>
      <c r="D227" s="6">
        <f>(Table2_1[[#This Row],[Constant Prices]]-C226)/C226</f>
        <v>1.3612950699043443E-2</v>
      </c>
      <c r="E227" s="6">
        <f>(Table2_1[[#This Row],[Constant Prices]]-C223)/C223</f>
        <v>6.3432835820895456E-2</v>
      </c>
      <c r="F227" s="2">
        <v>1098.5999999999999</v>
      </c>
      <c r="G227" s="7">
        <f>(Table2_1[[#This Row],[Current Prices]]-F226)/F226</f>
        <v>6.743101438010092E-2</v>
      </c>
      <c r="H227" s="7">
        <f>(Table2_1[[#This Row],[Current Prices]]-F223)/F223</f>
        <v>0.19503970412270202</v>
      </c>
      <c r="I227" s="2">
        <v>9</v>
      </c>
    </row>
    <row r="228" spans="1:9" x14ac:dyDescent="0.3">
      <c r="A228" s="2" t="s">
        <v>74</v>
      </c>
      <c r="B228" s="2" t="s">
        <v>50</v>
      </c>
      <c r="C228" s="2">
        <v>905.2</v>
      </c>
      <c r="D228" s="6">
        <f>(Table2_1[[#This Row],[Constant Prices]]-C227)/C227</f>
        <v>9.5220810647307974E-2</v>
      </c>
      <c r="E228" s="6">
        <f>(Table2_1[[#This Row],[Constant Prices]]-C224)/C224</f>
        <v>0.14858520492323313</v>
      </c>
      <c r="F228" s="2">
        <v>1118.5</v>
      </c>
      <c r="G228" s="7">
        <f>(Table2_1[[#This Row],[Current Prices]]-F227)/F227</f>
        <v>1.8113963225923988E-2</v>
      </c>
      <c r="H228" s="7">
        <f>(Table2_1[[#This Row],[Current Prices]]-F224)/F224</f>
        <v>0.18888180272108848</v>
      </c>
      <c r="I228" s="2"/>
    </row>
    <row r="229" spans="1:9" x14ac:dyDescent="0.3">
      <c r="A229" s="2" t="s">
        <v>74</v>
      </c>
      <c r="B229" s="2" t="s">
        <v>51</v>
      </c>
      <c r="C229" s="2">
        <v>778</v>
      </c>
      <c r="D229" s="6">
        <f>(Table2_1[[#This Row],[Constant Prices]]-C228)/C228</f>
        <v>-0.14052143172779499</v>
      </c>
      <c r="E229" s="6">
        <f>(Table2_1[[#This Row],[Constant Prices]]-C225)/C225</f>
        <v>-4.7152480097979177E-2</v>
      </c>
      <c r="F229" s="2">
        <v>1021.7</v>
      </c>
      <c r="G229" s="7">
        <f>(Table2_1[[#This Row],[Current Prices]]-F228)/F228</f>
        <v>-8.6544479213231967E-2</v>
      </c>
      <c r="H229" s="7">
        <f>(Table2_1[[#This Row],[Current Prices]]-F225)/F225</f>
        <v>-3.8997757628936335E-3</v>
      </c>
      <c r="I229" s="2"/>
    </row>
    <row r="230" spans="1:9" x14ac:dyDescent="0.3">
      <c r="A230" s="2" t="s">
        <v>74</v>
      </c>
      <c r="B230" s="2" t="s">
        <v>52</v>
      </c>
      <c r="C230" s="2">
        <v>803.5</v>
      </c>
      <c r="D230" s="6">
        <f>(Table2_1[[#This Row],[Constant Prices]]-C229)/C229</f>
        <v>3.2776349614395885E-2</v>
      </c>
      <c r="E230" s="6">
        <f>(Table2_1[[#This Row],[Constant Prices]]-C226)/C226</f>
        <v>-1.4594064262938408E-2</v>
      </c>
      <c r="F230" s="2">
        <v>1030.8</v>
      </c>
      <c r="G230" s="7">
        <f>(Table2_1[[#This Row],[Current Prices]]-F229)/F229</f>
        <v>8.9067240873053812E-3</v>
      </c>
      <c r="H230" s="7">
        <f>(Table2_1[[#This Row],[Current Prices]]-F226)/F226</f>
        <v>1.5546055188495034E-3</v>
      </c>
      <c r="I230" s="2"/>
    </row>
    <row r="231" spans="1:9" x14ac:dyDescent="0.3">
      <c r="A231" s="2" t="s">
        <v>74</v>
      </c>
      <c r="B231" s="2" t="s">
        <v>53</v>
      </c>
      <c r="C231" s="2">
        <v>764.2</v>
      </c>
      <c r="D231" s="6">
        <f>(Table2_1[[#This Row],[Constant Prices]]-C230)/C230</f>
        <v>-4.8911014312383268E-2</v>
      </c>
      <c r="E231" s="6">
        <f>(Table2_1[[#This Row],[Constant Prices]]-C227)/C227</f>
        <v>-7.5378100423472413E-2</v>
      </c>
      <c r="F231" s="2">
        <v>1012.4</v>
      </c>
      <c r="G231" s="7">
        <f>(Table2_1[[#This Row],[Current Prices]]-F230)/F230</f>
        <v>-1.785021342646486E-2</v>
      </c>
      <c r="H231" s="7">
        <f>(Table2_1[[#This Row],[Current Prices]]-F227)/F227</f>
        <v>-7.8463498998725595E-2</v>
      </c>
      <c r="I231" s="2">
        <v>10</v>
      </c>
    </row>
    <row r="232" spans="1:9" x14ac:dyDescent="0.3">
      <c r="A232" s="2" t="s">
        <v>74</v>
      </c>
      <c r="B232" s="2" t="s">
        <v>54</v>
      </c>
      <c r="C232" s="2">
        <v>793.3</v>
      </c>
      <c r="D232" s="6">
        <f>(Table2_1[[#This Row],[Constant Prices]]-C231)/C231</f>
        <v>3.8079036901334608E-2</v>
      </c>
      <c r="E232" s="6">
        <f>(Table2_1[[#This Row],[Constant Prices]]-C228)/C228</f>
        <v>-0.12361908970393293</v>
      </c>
      <c r="F232" s="2">
        <v>1018.2</v>
      </c>
      <c r="G232" s="7">
        <f>(Table2_1[[#This Row],[Current Prices]]-F231)/F231</f>
        <v>5.7289608850257488E-3</v>
      </c>
      <c r="H232" s="7">
        <f>(Table2_1[[#This Row],[Current Prices]]-F228)/F228</f>
        <v>-8.9673670093875682E-2</v>
      </c>
      <c r="I232" s="2"/>
    </row>
    <row r="233" spans="1:9" x14ac:dyDescent="0.3">
      <c r="A233" s="2" t="s">
        <v>74</v>
      </c>
      <c r="B233" s="2" t="s">
        <v>55</v>
      </c>
      <c r="C233" s="2">
        <v>819.6</v>
      </c>
      <c r="D233" s="6">
        <f>(Table2_1[[#This Row],[Constant Prices]]-C232)/C232</f>
        <v>3.3152653472835081E-2</v>
      </c>
      <c r="E233" s="6">
        <f>(Table2_1[[#This Row],[Constant Prices]]-C229)/C229</f>
        <v>5.3470437017994886E-2</v>
      </c>
      <c r="F233" s="2">
        <v>1086.0999999999999</v>
      </c>
      <c r="G233" s="7">
        <f>(Table2_1[[#This Row],[Current Prices]]-F232)/F232</f>
        <v>6.6686309173050351E-2</v>
      </c>
      <c r="H233" s="7">
        <f>(Table2_1[[#This Row],[Current Prices]]-F229)/F229</f>
        <v>6.3032201233238577E-2</v>
      </c>
      <c r="I233" s="2"/>
    </row>
    <row r="234" spans="1:9" x14ac:dyDescent="0.3">
      <c r="A234" s="2" t="s">
        <v>74</v>
      </c>
      <c r="B234" s="2" t="s">
        <v>56</v>
      </c>
      <c r="C234" s="2">
        <v>802.8</v>
      </c>
      <c r="D234" s="6">
        <f>(Table2_1[[#This Row],[Constant Prices]]-C233)/C233</f>
        <v>-2.0497803806735077E-2</v>
      </c>
      <c r="E234" s="6">
        <f>(Table2_1[[#This Row],[Constant Prices]]-C230)/C230</f>
        <v>-8.711885500933982E-4</v>
      </c>
      <c r="F234" s="2">
        <v>1089.9000000000001</v>
      </c>
      <c r="G234" s="7">
        <f>(Table2_1[[#This Row],[Current Prices]]-F233)/F233</f>
        <v>3.498757020532347E-3</v>
      </c>
      <c r="H234" s="7">
        <f>(Table2_1[[#This Row],[Current Prices]]-F230)/F230</f>
        <v>5.7334109429569402E-2</v>
      </c>
      <c r="I234" s="2"/>
    </row>
    <row r="235" spans="1:9" x14ac:dyDescent="0.3">
      <c r="A235" s="2" t="s">
        <v>74</v>
      </c>
      <c r="B235" s="2" t="s">
        <v>57</v>
      </c>
      <c r="C235" s="2">
        <v>812.1</v>
      </c>
      <c r="D235" s="6">
        <f>(Table2_1[[#This Row],[Constant Prices]]-C234)/C234</f>
        <v>1.1584454409566602E-2</v>
      </c>
      <c r="E235" s="6">
        <f>(Table2_1[[#This Row],[Constant Prices]]-C231)/C231</f>
        <v>6.267992672075369E-2</v>
      </c>
      <c r="F235" s="2">
        <v>1110.2</v>
      </c>
      <c r="G235" s="7">
        <f>(Table2_1[[#This Row],[Current Prices]]-F234)/F234</f>
        <v>1.8625561978163091E-2</v>
      </c>
      <c r="H235" s="7">
        <f>(Table2_1[[#This Row],[Current Prices]]-F231)/F231</f>
        <v>9.6602133544053809E-2</v>
      </c>
      <c r="I235" s="2">
        <v>11</v>
      </c>
    </row>
    <row r="236" spans="1:9" x14ac:dyDescent="0.3">
      <c r="A236" s="2" t="s">
        <v>74</v>
      </c>
      <c r="B236" s="2" t="s">
        <v>58</v>
      </c>
      <c r="C236" s="2">
        <v>864.3</v>
      </c>
      <c r="D236" s="6">
        <f>(Table2_1[[#This Row],[Constant Prices]]-C235)/C235</f>
        <v>6.4277798300701794E-2</v>
      </c>
      <c r="E236" s="6">
        <f>(Table2_1[[#This Row],[Constant Prices]]-C232)/C232</f>
        <v>8.9499558804991816E-2</v>
      </c>
      <c r="F236" s="2">
        <v>1143.7</v>
      </c>
      <c r="G236" s="7">
        <f>(Table2_1[[#This Row],[Current Prices]]-F235)/F235</f>
        <v>3.0174743289497388E-2</v>
      </c>
      <c r="H236" s="7">
        <f>(Table2_1[[#This Row],[Current Prices]]-F232)/F232</f>
        <v>0.12325672755843645</v>
      </c>
      <c r="I236" s="2"/>
    </row>
    <row r="237" spans="1:9" x14ac:dyDescent="0.3">
      <c r="A237" s="2" t="s">
        <v>74</v>
      </c>
      <c r="B237" s="2" t="s">
        <v>59</v>
      </c>
      <c r="C237" s="2">
        <v>823</v>
      </c>
      <c r="D237" s="6">
        <f>(Table2_1[[#This Row],[Constant Prices]]-C236)/C236</f>
        <v>-4.7784334143237253E-2</v>
      </c>
      <c r="E237" s="6">
        <f>(Table2_1[[#This Row],[Constant Prices]]-C233)/C233</f>
        <v>4.1483650561249114E-3</v>
      </c>
      <c r="F237" s="2">
        <v>1152.0999999999999</v>
      </c>
      <c r="G237" s="7">
        <f>(Table2_1[[#This Row],[Current Prices]]-F236)/F236</f>
        <v>7.344583369764679E-3</v>
      </c>
      <c r="H237" s="7">
        <f>(Table2_1[[#This Row],[Current Prices]]-F233)/F233</f>
        <v>6.0767885093453648E-2</v>
      </c>
      <c r="I237" s="2"/>
    </row>
    <row r="238" spans="1:9" x14ac:dyDescent="0.3">
      <c r="A238" s="2" t="s">
        <v>74</v>
      </c>
      <c r="B238" s="2" t="s">
        <v>60</v>
      </c>
      <c r="C238" s="2">
        <v>775.2</v>
      </c>
      <c r="D238" s="6">
        <f>(Table2_1[[#This Row],[Constant Prices]]-C237)/C237</f>
        <v>-5.808019441069253E-2</v>
      </c>
      <c r="E238" s="6">
        <f>(Table2_1[[#This Row],[Constant Prices]]-C234)/C234</f>
        <v>-3.4379671150971486E-2</v>
      </c>
      <c r="F238" s="2">
        <v>1139.0999999999999</v>
      </c>
      <c r="G238" s="7">
        <f>(Table2_1[[#This Row],[Current Prices]]-F237)/F237</f>
        <v>-1.1283742730665743E-2</v>
      </c>
      <c r="H238" s="7">
        <f>(Table2_1[[#This Row],[Current Prices]]-F234)/F234</f>
        <v>4.5141756124414914E-2</v>
      </c>
      <c r="I238" s="2"/>
    </row>
    <row r="239" spans="1:9" x14ac:dyDescent="0.3">
      <c r="A239" s="2" t="s">
        <v>74</v>
      </c>
      <c r="B239" s="2" t="s">
        <v>61</v>
      </c>
      <c r="C239" s="2">
        <v>802.8</v>
      </c>
      <c r="D239" s="6">
        <f>(Table2_1[[#This Row],[Constant Prices]]-C238)/C238</f>
        <v>3.5603715170278522E-2</v>
      </c>
      <c r="E239" s="6">
        <f>(Table2_1[[#This Row],[Constant Prices]]-C235)/C235</f>
        <v>-1.1451791651274558E-2</v>
      </c>
      <c r="F239" s="2">
        <v>1158.0999999999999</v>
      </c>
      <c r="G239" s="7">
        <f>(Table2_1[[#This Row],[Current Prices]]-F238)/F238</f>
        <v>1.6679834957422528E-2</v>
      </c>
      <c r="H239" s="7">
        <f>(Table2_1[[#This Row],[Current Prices]]-F235)/F235</f>
        <v>4.3145379210952857E-2</v>
      </c>
      <c r="I239" s="2">
        <v>12</v>
      </c>
    </row>
    <row r="240" spans="1:9" x14ac:dyDescent="0.3">
      <c r="A240" s="2" t="s">
        <v>74</v>
      </c>
      <c r="B240" s="2" t="s">
        <v>62</v>
      </c>
      <c r="C240" s="2">
        <v>823.7</v>
      </c>
      <c r="D240" s="6">
        <f>(Table2_1[[#This Row],[Constant Prices]]-C239)/C239</f>
        <v>2.603388141504745E-2</v>
      </c>
      <c r="E240" s="6">
        <f>(Table2_1[[#This Row],[Constant Prices]]-C236)/C236</f>
        <v>-4.6974430174707753E-2</v>
      </c>
      <c r="F240" s="2">
        <v>1192.3</v>
      </c>
      <c r="G240" s="7">
        <f>(Table2_1[[#This Row],[Current Prices]]-F239)/F239</f>
        <v>2.9531128572662161E-2</v>
      </c>
      <c r="H240" s="7">
        <f>(Table2_1[[#This Row],[Current Prices]]-F236)/F236</f>
        <v>4.2493660925067685E-2</v>
      </c>
      <c r="I240" s="2"/>
    </row>
    <row r="241" spans="1:9" x14ac:dyDescent="0.3">
      <c r="A241" s="2" t="s">
        <v>74</v>
      </c>
      <c r="B241" s="2" t="s">
        <v>63</v>
      </c>
      <c r="C241" s="2">
        <v>793.3</v>
      </c>
      <c r="D241" s="6">
        <f>(Table2_1[[#This Row],[Constant Prices]]-C240)/C240</f>
        <v>-3.6906640767269745E-2</v>
      </c>
      <c r="E241" s="6">
        <f>(Table2_1[[#This Row],[Constant Prices]]-C237)/C237</f>
        <v>-3.6087484811664697E-2</v>
      </c>
      <c r="F241" s="2">
        <v>1171.2</v>
      </c>
      <c r="G241" s="7">
        <f>(Table2_1[[#This Row],[Current Prices]]-F240)/F240</f>
        <v>-1.7696888367021647E-2</v>
      </c>
      <c r="H241" s="7">
        <f>(Table2_1[[#This Row],[Current Prices]]-F237)/F237</f>
        <v>1.6578422011978247E-2</v>
      </c>
      <c r="I241" s="2"/>
    </row>
    <row r="242" spans="1:9" x14ac:dyDescent="0.3">
      <c r="A242" s="2" t="s">
        <v>74</v>
      </c>
      <c r="B242" s="2" t="s">
        <v>64</v>
      </c>
      <c r="C242" s="2">
        <v>791.3</v>
      </c>
      <c r="D242" s="6">
        <f>(Table2_1[[#This Row],[Constant Prices]]-C241)/C241</f>
        <v>-2.5211143325349805E-3</v>
      </c>
      <c r="E242" s="6">
        <f>(Table2_1[[#This Row],[Constant Prices]]-C238)/C238</f>
        <v>2.0768833849329087E-2</v>
      </c>
      <c r="F242" s="2">
        <v>1217.5</v>
      </c>
      <c r="G242" s="7">
        <f>(Table2_1[[#This Row],[Current Prices]]-F241)/F241</f>
        <v>3.9532103825136569E-2</v>
      </c>
      <c r="H242" s="7">
        <f>(Table2_1[[#This Row],[Current Prices]]-F238)/F238</f>
        <v>6.8826266350627774E-2</v>
      </c>
      <c r="I242" s="2"/>
    </row>
    <row r="243" spans="1:9" x14ac:dyDescent="0.3">
      <c r="A243" s="2" t="s">
        <v>74</v>
      </c>
      <c r="B243" s="2" t="s">
        <v>65</v>
      </c>
      <c r="C243" s="2">
        <v>800.8</v>
      </c>
      <c r="D243" s="6">
        <f>(Table2_1[[#This Row],[Constant Prices]]-C242)/C242</f>
        <v>1.2005560470112473E-2</v>
      </c>
      <c r="E243" s="6">
        <f>(Table2_1[[#This Row],[Constant Prices]]-C239)/C239</f>
        <v>-2.4912805181863478E-3</v>
      </c>
      <c r="F243" s="2">
        <v>1226</v>
      </c>
      <c r="G243" s="7">
        <f>(Table2_1[[#This Row],[Current Prices]]-F242)/F242</f>
        <v>6.9815195071868588E-3</v>
      </c>
      <c r="H243" s="7">
        <f>(Table2_1[[#This Row],[Current Prices]]-F239)/F239</f>
        <v>5.8630515499525165E-2</v>
      </c>
      <c r="I243" s="2">
        <v>13</v>
      </c>
    </row>
    <row r="244" spans="1:9" x14ac:dyDescent="0.3">
      <c r="A244" s="2" t="s">
        <v>74</v>
      </c>
      <c r="B244" s="2" t="s">
        <v>66</v>
      </c>
      <c r="C244" s="2">
        <v>831.1</v>
      </c>
      <c r="D244" s="6">
        <f>(Table2_1[[#This Row],[Constant Prices]]-C243)/C243</f>
        <v>3.7837162837162923E-2</v>
      </c>
      <c r="E244" s="6">
        <f>(Table2_1[[#This Row],[Constant Prices]]-C240)/C240</f>
        <v>8.9838533446642919E-3</v>
      </c>
      <c r="F244" s="2">
        <v>1263.5999999999999</v>
      </c>
      <c r="G244" s="7">
        <f>(Table2_1[[#This Row],[Current Prices]]-F243)/F243</f>
        <v>3.0668841761827006E-2</v>
      </c>
      <c r="H244" s="7">
        <f>(Table2_1[[#This Row],[Current Prices]]-F240)/F240</f>
        <v>5.9800385808940669E-2</v>
      </c>
      <c r="I244" s="2"/>
    </row>
    <row r="245" spans="1:9" x14ac:dyDescent="0.3">
      <c r="A245" s="2" t="s">
        <v>74</v>
      </c>
      <c r="B245" s="2" t="s">
        <v>67</v>
      </c>
      <c r="C245" s="2">
        <v>817.2</v>
      </c>
      <c r="D245" s="6">
        <f>(Table2_1[[#This Row],[Constant Prices]]-C244)/C244</f>
        <v>-1.672482252436527E-2</v>
      </c>
      <c r="E245" s="6">
        <f>(Table2_1[[#This Row],[Constant Prices]]-C241)/C241</f>
        <v>3.0127316273793132E-2</v>
      </c>
      <c r="F245" s="2">
        <v>1254.0999999999999</v>
      </c>
      <c r="G245" s="7">
        <f>(Table2_1[[#This Row],[Current Prices]]-F244)/F244</f>
        <v>-7.5182019626464074E-3</v>
      </c>
      <c r="H245" s="7">
        <f>(Table2_1[[#This Row],[Current Prices]]-F241)/F241</f>
        <v>7.0782103825136486E-2</v>
      </c>
      <c r="I245" s="2"/>
    </row>
    <row r="246" spans="1:9" x14ac:dyDescent="0.3">
      <c r="A246" s="2" t="s">
        <v>74</v>
      </c>
      <c r="B246" s="2" t="s">
        <v>68</v>
      </c>
      <c r="C246" s="2">
        <v>824.9</v>
      </c>
      <c r="D246" s="6">
        <f>(Table2_1[[#This Row],[Constant Prices]]-C245)/C245</f>
        <v>9.4224180127262993E-3</v>
      </c>
      <c r="E246" s="6">
        <f>(Table2_1[[#This Row],[Constant Prices]]-C242)/C242</f>
        <v>4.2461771767976782E-2</v>
      </c>
      <c r="F246" s="2">
        <v>1302.0999999999999</v>
      </c>
      <c r="G246" s="7">
        <f>(Table2_1[[#This Row],[Current Prices]]-F245)/F245</f>
        <v>3.8274459771948016E-2</v>
      </c>
      <c r="H246" s="7">
        <f>(Table2_1[[#This Row],[Current Prices]]-F242)/F242</f>
        <v>6.9486652977412661E-2</v>
      </c>
      <c r="I246" s="2"/>
    </row>
    <row r="247" spans="1:9" x14ac:dyDescent="0.3">
      <c r="A247" s="2" t="s">
        <v>74</v>
      </c>
      <c r="B247" s="2" t="s">
        <v>69</v>
      </c>
      <c r="C247" s="2">
        <v>819.3</v>
      </c>
      <c r="D247" s="6">
        <f>(Table2_1[[#This Row],[Constant Prices]]-C246)/C246</f>
        <v>-6.7887016608073987E-3</v>
      </c>
      <c r="E247" s="6">
        <f>(Table2_1[[#This Row],[Constant Prices]]-C243)/C243</f>
        <v>2.3101898101898104E-2</v>
      </c>
      <c r="F247" s="5">
        <f>Table2_1[[#This Row],[Constant Prices]]*AVERAGE(Inflation!$C$72:$C$74)*0.01</f>
        <v>1483.2060999999999</v>
      </c>
      <c r="G247" s="7">
        <f>(Table2_1[[#This Row],[Current Prices]]-F246)/F246</f>
        <v>0.13908770447738267</v>
      </c>
      <c r="H247" s="7">
        <f>(Table2_1[[#This Row],[Current Prices]]-F243)/F243</f>
        <v>0.20979290375203904</v>
      </c>
      <c r="I247" s="2">
        <v>14</v>
      </c>
    </row>
    <row r="248" spans="1:9" x14ac:dyDescent="0.3">
      <c r="A248" s="2" t="s">
        <v>74</v>
      </c>
      <c r="B248" s="2" t="s">
        <v>70</v>
      </c>
      <c r="C248" s="2">
        <v>890.2</v>
      </c>
      <c r="D248" s="6">
        <f>(Table2_1[[#This Row],[Constant Prices]]-C247)/C247</f>
        <v>8.6537287928719758E-2</v>
      </c>
      <c r="E248" s="6">
        <f>(Table2_1[[#This Row],[Constant Prices]]-C244)/C244</f>
        <v>7.1110576344603563E-2</v>
      </c>
      <c r="F248" s="5">
        <f>Table2_1[[#This Row],[Constant Prices]]*AVERAGE(Inflation!$C$75:$C$77)*0.01</f>
        <v>1624.0215333333333</v>
      </c>
      <c r="G248" s="7">
        <f>(Table2_1[[#This Row],[Current Prices]]-F247)/F247</f>
        <v>9.4939896305262936E-2</v>
      </c>
      <c r="H248" s="7">
        <f>(Table2_1[[#This Row],[Current Prices]]-F244)/F244</f>
        <v>0.28523388203017841</v>
      </c>
      <c r="I248" s="2"/>
    </row>
    <row r="249" spans="1:9" x14ac:dyDescent="0.3">
      <c r="A249" s="2" t="s">
        <v>74</v>
      </c>
      <c r="B249" s="2" t="s">
        <v>71</v>
      </c>
      <c r="C249" s="2">
        <v>819.6</v>
      </c>
      <c r="D249" s="6">
        <f>(Table2_1[[#This Row],[Constant Prices]]-C248)/C248</f>
        <v>-7.9308020669512494E-2</v>
      </c>
      <c r="E249" s="6">
        <f>(Table2_1[[#This Row],[Constant Prices]]-C245)/C245</f>
        <v>2.9368575624081953E-3</v>
      </c>
      <c r="F249" s="5">
        <f>Table2_1[[#This Row],[Constant Prices]]*AVERAGE(Inflation!$C$78:$C$80)*0.01</f>
        <v>1518.9920000000002</v>
      </c>
      <c r="G249" s="7">
        <f>(Table2_1[[#This Row],[Current Prices]]-F248)/F248</f>
        <v>-6.4672500442625361E-2</v>
      </c>
      <c r="H249" s="7">
        <f>(Table2_1[[#This Row],[Current Prices]]-F245)/F245</f>
        <v>0.21122079578980965</v>
      </c>
      <c r="I249" s="2"/>
    </row>
    <row r="250" spans="1:9" x14ac:dyDescent="0.3">
      <c r="A250" s="2" t="s">
        <v>75</v>
      </c>
      <c r="B250" s="2" t="s">
        <v>10</v>
      </c>
      <c r="C250" s="2">
        <v>670.9</v>
      </c>
      <c r="D250" s="6"/>
      <c r="E250" s="6"/>
      <c r="F250" s="2">
        <v>598.6</v>
      </c>
      <c r="G250" s="7"/>
      <c r="H250" s="7"/>
      <c r="I250" s="2"/>
    </row>
    <row r="251" spans="1:9" x14ac:dyDescent="0.3">
      <c r="A251" s="2" t="s">
        <v>75</v>
      </c>
      <c r="B251" s="2" t="s">
        <v>11</v>
      </c>
      <c r="C251" s="2">
        <v>663.9</v>
      </c>
      <c r="D251" s="6">
        <f>(Table2_1[[#This Row],[Constant Prices]]-C250)/C250</f>
        <v>-1.0433745714711581E-2</v>
      </c>
      <c r="E251" s="6"/>
      <c r="F251" s="2">
        <v>588.5</v>
      </c>
      <c r="G251" s="7">
        <f>(Table2_1[[#This Row],[Current Prices]]-F250)/F250</f>
        <v>-1.6872702973605117E-2</v>
      </c>
      <c r="H251" s="7"/>
      <c r="I251" s="2"/>
    </row>
    <row r="252" spans="1:9" x14ac:dyDescent="0.3">
      <c r="A252" s="2" t="s">
        <v>75</v>
      </c>
      <c r="B252" s="2" t="s">
        <v>12</v>
      </c>
      <c r="C252" s="2">
        <v>671.7</v>
      </c>
      <c r="D252" s="6">
        <f>(Table2_1[[#This Row],[Constant Prices]]-C251)/C251</f>
        <v>1.1748757342973443E-2</v>
      </c>
      <c r="E252" s="6"/>
      <c r="F252" s="2">
        <v>602.5</v>
      </c>
      <c r="G252" s="7">
        <f>(Table2_1[[#This Row],[Current Prices]]-F251)/F251</f>
        <v>2.3789294817332201E-2</v>
      </c>
      <c r="H252" s="7"/>
      <c r="I252" s="2"/>
    </row>
    <row r="253" spans="1:9" x14ac:dyDescent="0.3">
      <c r="A253" s="2" t="s">
        <v>75</v>
      </c>
      <c r="B253" s="2" t="s">
        <v>13</v>
      </c>
      <c r="C253" s="2">
        <v>689.1</v>
      </c>
      <c r="D253" s="6">
        <f>(Table2_1[[#This Row],[Constant Prices]]-C252)/C252</f>
        <v>2.5904421616793176E-2</v>
      </c>
      <c r="E253" s="6"/>
      <c r="F253" s="2">
        <v>610.70000000000005</v>
      </c>
      <c r="G253" s="7">
        <f>(Table2_1[[#This Row],[Current Prices]]-F252)/F252</f>
        <v>1.3609958506224143E-2</v>
      </c>
      <c r="H253" s="7"/>
      <c r="I253" s="2"/>
    </row>
    <row r="254" spans="1:9" x14ac:dyDescent="0.3">
      <c r="A254" s="2" t="s">
        <v>75</v>
      </c>
      <c r="B254" s="2" t="s">
        <v>14</v>
      </c>
      <c r="C254" s="2">
        <v>664</v>
      </c>
      <c r="D254" s="6">
        <f>(Table2_1[[#This Row],[Constant Prices]]-C253)/C253</f>
        <v>-3.6424321578871023E-2</v>
      </c>
      <c r="E254" s="6">
        <f>(Table2_1[[#This Row],[Constant Prices]]-C250)/C250</f>
        <v>-1.0284692204501383E-2</v>
      </c>
      <c r="F254" s="2">
        <v>613.29999999999995</v>
      </c>
      <c r="G254" s="7">
        <f>(Table2_1[[#This Row],[Current Prices]]-F253)/F253</f>
        <v>4.2574095300473369E-3</v>
      </c>
      <c r="H254" s="7">
        <f>(Table2_1[[#This Row],[Current Prices]]-F250)/F250</f>
        <v>2.4557300367524109E-2</v>
      </c>
      <c r="I254" s="2"/>
    </row>
    <row r="255" spans="1:9" x14ac:dyDescent="0.3">
      <c r="A255" s="2" t="s">
        <v>75</v>
      </c>
      <c r="B255" s="2" t="s">
        <v>15</v>
      </c>
      <c r="C255" s="2">
        <v>682.1</v>
      </c>
      <c r="D255" s="6">
        <f>(Table2_1[[#This Row],[Constant Prices]]-C254)/C254</f>
        <v>2.7259036144578346E-2</v>
      </c>
      <c r="E255" s="6">
        <f>(Table2_1[[#This Row],[Constant Prices]]-C251)/C251</f>
        <v>2.7413767133604529E-2</v>
      </c>
      <c r="F255" s="2">
        <v>635.20000000000005</v>
      </c>
      <c r="G255" s="7">
        <f>(Table2_1[[#This Row],[Current Prices]]-F254)/F254</f>
        <v>3.5708462416435827E-2</v>
      </c>
      <c r="H255" s="7">
        <f>(Table2_1[[#This Row],[Current Prices]]-F251)/F251</f>
        <v>7.9354290569243924E-2</v>
      </c>
      <c r="I255" s="2"/>
    </row>
    <row r="256" spans="1:9" x14ac:dyDescent="0.3">
      <c r="A256" s="2" t="s">
        <v>75</v>
      </c>
      <c r="B256" s="2" t="s">
        <v>16</v>
      </c>
      <c r="C256" s="2">
        <v>660.8</v>
      </c>
      <c r="D256" s="6">
        <f>(Table2_1[[#This Row],[Constant Prices]]-C255)/C255</f>
        <v>-3.1227092801642087E-2</v>
      </c>
      <c r="E256" s="6">
        <f>(Table2_1[[#This Row],[Constant Prices]]-C252)/C252</f>
        <v>-1.6227482507071744E-2</v>
      </c>
      <c r="F256" s="2">
        <v>613.79999999999995</v>
      </c>
      <c r="G256" s="7">
        <f>(Table2_1[[#This Row],[Current Prices]]-F255)/F255</f>
        <v>-3.3690176322418275E-2</v>
      </c>
      <c r="H256" s="7">
        <f>(Table2_1[[#This Row],[Current Prices]]-F252)/F252</f>
        <v>1.8755186721991626E-2</v>
      </c>
      <c r="I256" s="2"/>
    </row>
    <row r="257" spans="1:9" x14ac:dyDescent="0.3">
      <c r="A257" s="2" t="s">
        <v>75</v>
      </c>
      <c r="B257" s="2" t="s">
        <v>17</v>
      </c>
      <c r="C257" s="2">
        <v>650.5</v>
      </c>
      <c r="D257" s="6">
        <f>(Table2_1[[#This Row],[Constant Prices]]-C256)/C256</f>
        <v>-1.558716707021785E-2</v>
      </c>
      <c r="E257" s="6">
        <f>(Table2_1[[#This Row],[Constant Prices]]-C253)/C253</f>
        <v>-5.6015092149180122E-2</v>
      </c>
      <c r="F257" s="2">
        <v>603.79999999999995</v>
      </c>
      <c r="G257" s="7">
        <f>(Table2_1[[#This Row],[Current Prices]]-F256)/F256</f>
        <v>-1.6291951775822745E-2</v>
      </c>
      <c r="H257" s="7">
        <f>(Table2_1[[#This Row],[Current Prices]]-F253)/F253</f>
        <v>-1.1298509906664632E-2</v>
      </c>
      <c r="I257" s="2">
        <v>1</v>
      </c>
    </row>
    <row r="258" spans="1:9" x14ac:dyDescent="0.3">
      <c r="A258" s="2" t="s">
        <v>75</v>
      </c>
      <c r="B258" s="2" t="s">
        <v>18</v>
      </c>
      <c r="C258" s="2">
        <v>646.5</v>
      </c>
      <c r="D258" s="6">
        <f>(Table2_1[[#This Row],[Constant Prices]]-C257)/C257</f>
        <v>-6.1491160645657187E-3</v>
      </c>
      <c r="E258" s="6">
        <f>(Table2_1[[#This Row],[Constant Prices]]-C254)/C254</f>
        <v>-2.635542168674699E-2</v>
      </c>
      <c r="F258" s="2">
        <v>597.5</v>
      </c>
      <c r="G258" s="7">
        <f>(Table2_1[[#This Row],[Current Prices]]-F257)/F257</f>
        <v>-1.0433918516064847E-2</v>
      </c>
      <c r="H258" s="7">
        <f>(Table2_1[[#This Row],[Current Prices]]-F254)/F254</f>
        <v>-2.5762269688569959E-2</v>
      </c>
      <c r="I258" s="2"/>
    </row>
    <row r="259" spans="1:9" x14ac:dyDescent="0.3">
      <c r="A259" s="2" t="s">
        <v>75</v>
      </c>
      <c r="B259" s="2" t="s">
        <v>19</v>
      </c>
      <c r="C259" s="2">
        <v>631.20000000000005</v>
      </c>
      <c r="D259" s="6">
        <f>(Table2_1[[#This Row],[Constant Prices]]-C258)/C258</f>
        <v>-2.3665893271461645E-2</v>
      </c>
      <c r="E259" s="6">
        <f>(Table2_1[[#This Row],[Constant Prices]]-C255)/C255</f>
        <v>-7.4622489371059933E-2</v>
      </c>
      <c r="F259" s="2">
        <v>587.4</v>
      </c>
      <c r="G259" s="7">
        <f>(Table2_1[[#This Row],[Current Prices]]-F258)/F258</f>
        <v>-1.6903765690376608E-2</v>
      </c>
      <c r="H259" s="7">
        <f>(Table2_1[[#This Row],[Current Prices]]-F255)/F255</f>
        <v>-7.5251889168765851E-2</v>
      </c>
      <c r="I259" s="2"/>
    </row>
    <row r="260" spans="1:9" x14ac:dyDescent="0.3">
      <c r="A260" s="2" t="s">
        <v>75</v>
      </c>
      <c r="B260" s="2" t="s">
        <v>20</v>
      </c>
      <c r="C260" s="2">
        <v>634.79999999999995</v>
      </c>
      <c r="D260" s="6">
        <f>(Table2_1[[#This Row],[Constant Prices]]-C259)/C259</f>
        <v>5.7034220532317945E-3</v>
      </c>
      <c r="E260" s="6">
        <f>(Table2_1[[#This Row],[Constant Prices]]-C256)/C256</f>
        <v>-3.9346246973365619E-2</v>
      </c>
      <c r="F260" s="2">
        <v>598.4</v>
      </c>
      <c r="G260" s="7">
        <f>(Table2_1[[#This Row],[Current Prices]]-F259)/F259</f>
        <v>1.8726591760299626E-2</v>
      </c>
      <c r="H260" s="7">
        <f>(Table2_1[[#This Row],[Current Prices]]-F256)/F256</f>
        <v>-2.5089605734766991E-2</v>
      </c>
      <c r="I260" s="2"/>
    </row>
    <row r="261" spans="1:9" x14ac:dyDescent="0.3">
      <c r="A261" s="2" t="s">
        <v>75</v>
      </c>
      <c r="B261" s="2" t="s">
        <v>21</v>
      </c>
      <c r="C261" s="2">
        <v>634.20000000000005</v>
      </c>
      <c r="D261" s="6">
        <f>(Table2_1[[#This Row],[Constant Prices]]-C260)/C260</f>
        <v>-9.4517958412083979E-4</v>
      </c>
      <c r="E261" s="6">
        <f>(Table2_1[[#This Row],[Constant Prices]]-C257)/C257</f>
        <v>-2.5057647963105233E-2</v>
      </c>
      <c r="F261" s="2">
        <v>604.20000000000005</v>
      </c>
      <c r="G261" s="7">
        <f>(Table2_1[[#This Row],[Current Prices]]-F260)/F260</f>
        <v>9.6925133689840723E-3</v>
      </c>
      <c r="H261" s="7">
        <f>(Table2_1[[#This Row],[Current Prices]]-F257)/F257</f>
        <v>6.6247101689316165E-4</v>
      </c>
      <c r="I261" s="2">
        <v>2</v>
      </c>
    </row>
    <row r="262" spans="1:9" x14ac:dyDescent="0.3">
      <c r="A262" s="2" t="s">
        <v>75</v>
      </c>
      <c r="B262" s="2" t="s">
        <v>22</v>
      </c>
      <c r="C262" s="2">
        <v>644.5</v>
      </c>
      <c r="D262" s="6">
        <f>(Table2_1[[#This Row],[Constant Prices]]-C261)/C261</f>
        <v>1.6240933459476432E-2</v>
      </c>
      <c r="E262" s="6">
        <f>(Table2_1[[#This Row],[Constant Prices]]-C258)/C258</f>
        <v>-3.0935808197989174E-3</v>
      </c>
      <c r="F262" s="2">
        <v>615.20000000000005</v>
      </c>
      <c r="G262" s="7">
        <f>(Table2_1[[#This Row],[Current Prices]]-F261)/F261</f>
        <v>1.8205892088712344E-2</v>
      </c>
      <c r="H262" s="7">
        <f>(Table2_1[[#This Row],[Current Prices]]-F258)/F258</f>
        <v>2.9623430962343173E-2</v>
      </c>
      <c r="I262" s="2"/>
    </row>
    <row r="263" spans="1:9" x14ac:dyDescent="0.3">
      <c r="A263" s="2" t="s">
        <v>75</v>
      </c>
      <c r="B263" s="2" t="s">
        <v>23</v>
      </c>
      <c r="C263" s="2">
        <v>645.1</v>
      </c>
      <c r="D263" s="6">
        <f>(Table2_1[[#This Row],[Constant Prices]]-C262)/C262</f>
        <v>9.3095422808382115E-4</v>
      </c>
      <c r="E263" s="6">
        <f>(Table2_1[[#This Row],[Constant Prices]]-C259)/C259</f>
        <v>2.2021546261089951E-2</v>
      </c>
      <c r="F263" s="2">
        <v>624.5</v>
      </c>
      <c r="G263" s="7">
        <f>(Table2_1[[#This Row],[Current Prices]]-F262)/F262</f>
        <v>1.5117035110533085E-2</v>
      </c>
      <c r="H263" s="7">
        <f>(Table2_1[[#This Row],[Current Prices]]-F259)/F259</f>
        <v>6.3159686755192415E-2</v>
      </c>
      <c r="I263" s="2"/>
    </row>
    <row r="264" spans="1:9" x14ac:dyDescent="0.3">
      <c r="A264" s="2" t="s">
        <v>75</v>
      </c>
      <c r="B264" s="2" t="s">
        <v>24</v>
      </c>
      <c r="C264" s="2">
        <v>653.5</v>
      </c>
      <c r="D264" s="6">
        <f>(Table2_1[[#This Row],[Constant Prices]]-C263)/C263</f>
        <v>1.3021237017516629E-2</v>
      </c>
      <c r="E264" s="6">
        <f>(Table2_1[[#This Row],[Constant Prices]]-C260)/C260</f>
        <v>2.9458097038437377E-2</v>
      </c>
      <c r="F264" s="2">
        <v>623.20000000000005</v>
      </c>
      <c r="G264" s="7">
        <f>(Table2_1[[#This Row],[Current Prices]]-F263)/F263</f>
        <v>-2.08166533226574E-3</v>
      </c>
      <c r="H264" s="7">
        <f>(Table2_1[[#This Row],[Current Prices]]-F260)/F260</f>
        <v>4.1443850267379796E-2</v>
      </c>
      <c r="I264" s="2"/>
    </row>
    <row r="265" spans="1:9" x14ac:dyDescent="0.3">
      <c r="A265" s="2" t="s">
        <v>75</v>
      </c>
      <c r="B265" s="2" t="s">
        <v>25</v>
      </c>
      <c r="C265" s="2">
        <v>638.20000000000005</v>
      </c>
      <c r="D265" s="6">
        <f>(Table2_1[[#This Row],[Constant Prices]]-C264)/C264</f>
        <v>-2.341239479724553E-2</v>
      </c>
      <c r="E265" s="6">
        <f>(Table2_1[[#This Row],[Constant Prices]]-C261)/C261</f>
        <v>6.3071586250394189E-3</v>
      </c>
      <c r="F265" s="2">
        <v>634.29999999999995</v>
      </c>
      <c r="G265" s="7">
        <f>(Table2_1[[#This Row],[Current Prices]]-F264)/F264</f>
        <v>1.7811296534017824E-2</v>
      </c>
      <c r="H265" s="7">
        <f>(Table2_1[[#This Row],[Current Prices]]-F261)/F261</f>
        <v>4.9817941079112721E-2</v>
      </c>
      <c r="I265" s="2">
        <v>3</v>
      </c>
    </row>
    <row r="266" spans="1:9" x14ac:dyDescent="0.3">
      <c r="A266" s="2" t="s">
        <v>75</v>
      </c>
      <c r="B266" s="2" t="s">
        <v>26</v>
      </c>
      <c r="C266" s="2">
        <v>646</v>
      </c>
      <c r="D266" s="6">
        <f>(Table2_1[[#This Row],[Constant Prices]]-C265)/C265</f>
        <v>1.22218740206831E-2</v>
      </c>
      <c r="E266" s="6">
        <f>(Table2_1[[#This Row],[Constant Prices]]-C262)/C262</f>
        <v>2.3273855702094647E-3</v>
      </c>
      <c r="F266" s="2">
        <v>645.1</v>
      </c>
      <c r="G266" s="7">
        <f>(Table2_1[[#This Row],[Current Prices]]-F265)/F265</f>
        <v>1.702664354406443E-2</v>
      </c>
      <c r="H266" s="7">
        <f>(Table2_1[[#This Row],[Current Prices]]-F262)/F262</f>
        <v>4.8602080624187215E-2</v>
      </c>
      <c r="I266" s="2"/>
    </row>
    <row r="267" spans="1:9" x14ac:dyDescent="0.3">
      <c r="A267" s="2" t="s">
        <v>75</v>
      </c>
      <c r="B267" s="2" t="s">
        <v>27</v>
      </c>
      <c r="C267" s="2">
        <v>634.9</v>
      </c>
      <c r="D267" s="6">
        <f>(Table2_1[[#This Row],[Constant Prices]]-C266)/C266</f>
        <v>-1.7182662538699725E-2</v>
      </c>
      <c r="E267" s="6">
        <f>(Table2_1[[#This Row],[Constant Prices]]-C263)/C263</f>
        <v>-1.5811502092698878E-2</v>
      </c>
      <c r="F267" s="2">
        <v>638</v>
      </c>
      <c r="G267" s="7">
        <f>(Table2_1[[#This Row],[Current Prices]]-F266)/F266</f>
        <v>-1.1006045574329597E-2</v>
      </c>
      <c r="H267" s="7">
        <f>(Table2_1[[#This Row],[Current Prices]]-F263)/F263</f>
        <v>2.1617293835068056E-2</v>
      </c>
      <c r="I267" s="2"/>
    </row>
    <row r="268" spans="1:9" x14ac:dyDescent="0.3">
      <c r="A268" s="2" t="s">
        <v>75</v>
      </c>
      <c r="B268" s="2" t="s">
        <v>28</v>
      </c>
      <c r="C268" s="2">
        <v>622.1</v>
      </c>
      <c r="D268" s="6">
        <f>(Table2_1[[#This Row],[Constant Prices]]-C267)/C267</f>
        <v>-2.0160655221294621E-2</v>
      </c>
      <c r="E268" s="6">
        <f>(Table2_1[[#This Row],[Constant Prices]]-C264)/C264</f>
        <v>-4.8048967100229496E-2</v>
      </c>
      <c r="F268" s="2">
        <v>639.70000000000005</v>
      </c>
      <c r="G268" s="7">
        <f>(Table2_1[[#This Row],[Current Prices]]-F267)/F267</f>
        <v>2.6645768025079083E-3</v>
      </c>
      <c r="H268" s="7">
        <f>(Table2_1[[#This Row],[Current Prices]]-F264)/F264</f>
        <v>2.6476251604621307E-2</v>
      </c>
      <c r="I268" s="2"/>
    </row>
    <row r="269" spans="1:9" x14ac:dyDescent="0.3">
      <c r="A269" s="2" t="s">
        <v>75</v>
      </c>
      <c r="B269" s="2" t="s">
        <v>29</v>
      </c>
      <c r="C269" s="2">
        <v>629.20000000000005</v>
      </c>
      <c r="D269" s="6">
        <f>(Table2_1[[#This Row],[Constant Prices]]-C268)/C268</f>
        <v>1.1412956116380039E-2</v>
      </c>
      <c r="E269" s="6">
        <f>(Table2_1[[#This Row],[Constant Prices]]-C265)/C265</f>
        <v>-1.4102162331557505E-2</v>
      </c>
      <c r="F269" s="2">
        <v>637.4</v>
      </c>
      <c r="G269" s="7">
        <f>(Table2_1[[#This Row],[Current Prices]]-F268)/F268</f>
        <v>-3.5954353603252589E-3</v>
      </c>
      <c r="H269" s="7">
        <f>(Table2_1[[#This Row],[Current Prices]]-F265)/F265</f>
        <v>4.8872773135740545E-3</v>
      </c>
      <c r="I269" s="2">
        <v>4</v>
      </c>
    </row>
    <row r="270" spans="1:9" x14ac:dyDescent="0.3">
      <c r="A270" s="2" t="s">
        <v>75</v>
      </c>
      <c r="B270" s="2" t="s">
        <v>30</v>
      </c>
      <c r="C270" s="2">
        <v>605.79999999999995</v>
      </c>
      <c r="D270" s="6">
        <f>(Table2_1[[#This Row],[Constant Prices]]-C269)/C269</f>
        <v>-3.7190082644628239E-2</v>
      </c>
      <c r="E270" s="6">
        <f>(Table2_1[[#This Row],[Constant Prices]]-C266)/C266</f>
        <v>-6.2229102167182734E-2</v>
      </c>
      <c r="F270" s="2">
        <v>603.20000000000005</v>
      </c>
      <c r="G270" s="7">
        <f>(Table2_1[[#This Row],[Current Prices]]-F269)/F269</f>
        <v>-5.3655475368685181E-2</v>
      </c>
      <c r="H270" s="7">
        <f>(Table2_1[[#This Row],[Current Prices]]-F266)/F266</f>
        <v>-6.4951170361184279E-2</v>
      </c>
      <c r="I270" s="2"/>
    </row>
    <row r="271" spans="1:9" x14ac:dyDescent="0.3">
      <c r="A271" s="2" t="s">
        <v>75</v>
      </c>
      <c r="B271" s="2" t="s">
        <v>31</v>
      </c>
      <c r="C271" s="2">
        <v>608.6</v>
      </c>
      <c r="D271" s="6">
        <f>(Table2_1[[#This Row],[Constant Prices]]-C270)/C270</f>
        <v>4.6219874546055929E-3</v>
      </c>
      <c r="E271" s="6">
        <f>(Table2_1[[#This Row],[Constant Prices]]-C267)/C267</f>
        <v>-4.1423846275003867E-2</v>
      </c>
      <c r="F271" s="2">
        <v>591.1</v>
      </c>
      <c r="G271" s="7">
        <f>(Table2_1[[#This Row],[Current Prices]]-F270)/F270</f>
        <v>-2.0059681697612769E-2</v>
      </c>
      <c r="H271" s="7">
        <f>(Table2_1[[#This Row],[Current Prices]]-F267)/F267</f>
        <v>-7.3510971786833815E-2</v>
      </c>
      <c r="I271" s="2"/>
    </row>
    <row r="272" spans="1:9" x14ac:dyDescent="0.3">
      <c r="A272" s="2" t="s">
        <v>75</v>
      </c>
      <c r="B272" s="2" t="s">
        <v>32</v>
      </c>
      <c r="C272" s="2">
        <v>602.1</v>
      </c>
      <c r="D272" s="6">
        <f>(Table2_1[[#This Row],[Constant Prices]]-C271)/C271</f>
        <v>-1.0680249753532697E-2</v>
      </c>
      <c r="E272" s="6">
        <f>(Table2_1[[#This Row],[Constant Prices]]-C268)/C268</f>
        <v>-3.2149172158816908E-2</v>
      </c>
      <c r="F272" s="2">
        <v>606.20000000000005</v>
      </c>
      <c r="G272" s="7">
        <f>(Table2_1[[#This Row],[Current Prices]]-F271)/F271</f>
        <v>2.5545592962273763E-2</v>
      </c>
      <c r="H272" s="7">
        <f>(Table2_1[[#This Row],[Current Prices]]-F268)/F268</f>
        <v>-5.2368297639518523E-2</v>
      </c>
      <c r="I272" s="2"/>
    </row>
    <row r="273" spans="1:9" x14ac:dyDescent="0.3">
      <c r="A273" s="2" t="s">
        <v>75</v>
      </c>
      <c r="B273" s="2" t="s">
        <v>33</v>
      </c>
      <c r="C273" s="2">
        <v>603.29999999999995</v>
      </c>
      <c r="D273" s="6">
        <f>(Table2_1[[#This Row],[Constant Prices]]-C272)/C272</f>
        <v>1.993024414548965E-3</v>
      </c>
      <c r="E273" s="6">
        <f>(Table2_1[[#This Row],[Constant Prices]]-C269)/C269</f>
        <v>-4.1163382072473123E-2</v>
      </c>
      <c r="F273" s="2">
        <v>619.4</v>
      </c>
      <c r="G273" s="7">
        <f>(Table2_1[[#This Row],[Current Prices]]-F272)/F272</f>
        <v>2.1774991751896948E-2</v>
      </c>
      <c r="H273" s="7">
        <f>(Table2_1[[#This Row],[Current Prices]]-F269)/F269</f>
        <v>-2.8239723878255414E-2</v>
      </c>
      <c r="I273" s="2">
        <v>5</v>
      </c>
    </row>
    <row r="274" spans="1:9" x14ac:dyDescent="0.3">
      <c r="A274" s="2" t="s">
        <v>75</v>
      </c>
      <c r="B274" s="2" t="s">
        <v>34</v>
      </c>
      <c r="C274" s="2">
        <v>607.1</v>
      </c>
      <c r="D274" s="6">
        <f>(Table2_1[[#This Row],[Constant Prices]]-C273)/C273</f>
        <v>6.2986905353888088E-3</v>
      </c>
      <c r="E274" s="6">
        <f>(Table2_1[[#This Row],[Constant Prices]]-C270)/C270</f>
        <v>2.1459227467812286E-3</v>
      </c>
      <c r="F274" s="2">
        <v>627.1</v>
      </c>
      <c r="G274" s="7">
        <f>(Table2_1[[#This Row],[Current Prices]]-F273)/F273</f>
        <v>1.2431385211495069E-2</v>
      </c>
      <c r="H274" s="7">
        <f>(Table2_1[[#This Row],[Current Prices]]-F270)/F270</f>
        <v>3.9622015915119324E-2</v>
      </c>
      <c r="I274" s="2"/>
    </row>
    <row r="275" spans="1:9" x14ac:dyDescent="0.3">
      <c r="A275" s="2" t="s">
        <v>75</v>
      </c>
      <c r="B275" s="2" t="s">
        <v>35</v>
      </c>
      <c r="C275" s="2">
        <v>608</v>
      </c>
      <c r="D275" s="6">
        <f>(Table2_1[[#This Row],[Constant Prices]]-C274)/C274</f>
        <v>1.4824575852412736E-3</v>
      </c>
      <c r="E275" s="6">
        <f>(Table2_1[[#This Row],[Constant Prices]]-C271)/C271</f>
        <v>-9.8586920801844026E-4</v>
      </c>
      <c r="F275" s="2">
        <v>654.5</v>
      </c>
      <c r="G275" s="7">
        <f>(Table2_1[[#This Row],[Current Prices]]-F274)/F274</f>
        <v>4.3693190878647703E-2</v>
      </c>
      <c r="H275" s="7">
        <f>(Table2_1[[#This Row],[Current Prices]]-F271)/F271</f>
        <v>0.10725765521908302</v>
      </c>
      <c r="I275" s="2"/>
    </row>
    <row r="276" spans="1:9" x14ac:dyDescent="0.3">
      <c r="A276" s="2" t="s">
        <v>75</v>
      </c>
      <c r="B276" s="2" t="s">
        <v>36</v>
      </c>
      <c r="C276" s="2">
        <v>608.1</v>
      </c>
      <c r="D276" s="6">
        <f>(Table2_1[[#This Row],[Constant Prices]]-C275)/C275</f>
        <v>1.6447368421056372E-4</v>
      </c>
      <c r="E276" s="6">
        <f>(Table2_1[[#This Row],[Constant Prices]]-C272)/C272</f>
        <v>9.9651220727453912E-3</v>
      </c>
      <c r="F276" s="2">
        <v>651.5</v>
      </c>
      <c r="G276" s="7">
        <f>(Table2_1[[#This Row],[Current Prices]]-F275)/F275</f>
        <v>-4.5836516424751722E-3</v>
      </c>
      <c r="H276" s="7">
        <f>(Table2_1[[#This Row],[Current Prices]]-F272)/F272</f>
        <v>7.4727812603101212E-2</v>
      </c>
      <c r="I276" s="2"/>
    </row>
    <row r="277" spans="1:9" x14ac:dyDescent="0.3">
      <c r="A277" s="2" t="s">
        <v>75</v>
      </c>
      <c r="B277" s="2" t="s">
        <v>37</v>
      </c>
      <c r="C277" s="2">
        <v>602.6</v>
      </c>
      <c r="D277" s="6">
        <f>(Table2_1[[#This Row],[Constant Prices]]-C276)/C276</f>
        <v>-9.0445650386449597E-3</v>
      </c>
      <c r="E277" s="6">
        <f>(Table2_1[[#This Row],[Constant Prices]]-C273)/C273</f>
        <v>-1.1602850986241204E-3</v>
      </c>
      <c r="F277" s="2">
        <v>648</v>
      </c>
      <c r="G277" s="7">
        <f>(Table2_1[[#This Row],[Current Prices]]-F276)/F276</f>
        <v>-5.3722179585571758E-3</v>
      </c>
      <c r="H277" s="7">
        <f>(Table2_1[[#This Row],[Current Prices]]-F273)/F273</f>
        <v>4.6173716499838591E-2</v>
      </c>
      <c r="I277" s="2">
        <v>6</v>
      </c>
    </row>
    <row r="278" spans="1:9" x14ac:dyDescent="0.3">
      <c r="A278" s="2" t="s">
        <v>75</v>
      </c>
      <c r="B278" s="2" t="s">
        <v>38</v>
      </c>
      <c r="C278" s="2">
        <v>608.20000000000005</v>
      </c>
      <c r="D278" s="6">
        <f>(Table2_1[[#This Row],[Constant Prices]]-C277)/C277</f>
        <v>9.2930633919681756E-3</v>
      </c>
      <c r="E278" s="6">
        <f>(Table2_1[[#This Row],[Constant Prices]]-C274)/C274</f>
        <v>1.8118926041838621E-3</v>
      </c>
      <c r="F278" s="2">
        <v>692</v>
      </c>
      <c r="G278" s="7">
        <f>(Table2_1[[#This Row],[Current Prices]]-F277)/F277</f>
        <v>6.7901234567901231E-2</v>
      </c>
      <c r="H278" s="7">
        <f>(Table2_1[[#This Row],[Current Prices]]-F274)/F274</f>
        <v>0.10349226598628604</v>
      </c>
      <c r="I278" s="2"/>
    </row>
    <row r="279" spans="1:9" x14ac:dyDescent="0.3">
      <c r="A279" s="2" t="s">
        <v>75</v>
      </c>
      <c r="B279" s="2" t="s">
        <v>39</v>
      </c>
      <c r="C279" s="2">
        <v>602.20000000000005</v>
      </c>
      <c r="D279" s="6">
        <f>(Table2_1[[#This Row],[Constant Prices]]-C278)/C278</f>
        <v>-9.8651759289707323E-3</v>
      </c>
      <c r="E279" s="6">
        <f>(Table2_1[[#This Row],[Constant Prices]]-C275)/C275</f>
        <v>-9.5394736842104519E-3</v>
      </c>
      <c r="F279" s="2">
        <v>697.4</v>
      </c>
      <c r="G279" s="7">
        <f>(Table2_1[[#This Row],[Current Prices]]-F278)/F278</f>
        <v>7.803468208092453E-3</v>
      </c>
      <c r="H279" s="7">
        <f>(Table2_1[[#This Row],[Current Prices]]-F275)/F275</f>
        <v>6.5546218487394919E-2</v>
      </c>
      <c r="I279" s="2"/>
    </row>
    <row r="280" spans="1:9" x14ac:dyDescent="0.3">
      <c r="A280" s="2" t="s">
        <v>75</v>
      </c>
      <c r="B280" s="2" t="s">
        <v>40</v>
      </c>
      <c r="C280" s="2">
        <v>608.9</v>
      </c>
      <c r="D280" s="6">
        <f>(Table2_1[[#This Row],[Constant Prices]]-C279)/C279</f>
        <v>1.1125871803387465E-2</v>
      </c>
      <c r="E280" s="6">
        <f>(Table2_1[[#This Row],[Constant Prices]]-C276)/C276</f>
        <v>1.3155730965301012E-3</v>
      </c>
      <c r="F280" s="2">
        <v>731.5</v>
      </c>
      <c r="G280" s="7">
        <f>(Table2_1[[#This Row],[Current Prices]]-F279)/F279</f>
        <v>4.8895899053627796E-2</v>
      </c>
      <c r="H280" s="7">
        <f>(Table2_1[[#This Row],[Current Prices]]-F276)/F276</f>
        <v>0.12279355333844973</v>
      </c>
      <c r="I280" s="2"/>
    </row>
    <row r="281" spans="1:9" x14ac:dyDescent="0.3">
      <c r="A281" s="2" t="s">
        <v>75</v>
      </c>
      <c r="B281" s="2" t="s">
        <v>41</v>
      </c>
      <c r="C281" s="2">
        <v>615.5</v>
      </c>
      <c r="D281" s="6">
        <f>(Table2_1[[#This Row],[Constant Prices]]-C280)/C280</f>
        <v>1.0839218262440505E-2</v>
      </c>
      <c r="E281" s="6">
        <f>(Table2_1[[#This Row],[Constant Prices]]-C277)/C277</f>
        <v>2.140723531364085E-2</v>
      </c>
      <c r="F281" s="2">
        <v>765.5</v>
      </c>
      <c r="G281" s="7">
        <f>(Table2_1[[#This Row],[Current Prices]]-F280)/F280</f>
        <v>4.6479835953520163E-2</v>
      </c>
      <c r="H281" s="7">
        <f>(Table2_1[[#This Row],[Current Prices]]-F277)/F277</f>
        <v>0.18132716049382716</v>
      </c>
      <c r="I281" s="2">
        <v>7</v>
      </c>
    </row>
    <row r="282" spans="1:9" x14ac:dyDescent="0.3">
      <c r="A282" s="2" t="s">
        <v>75</v>
      </c>
      <c r="B282" s="2" t="s">
        <v>42</v>
      </c>
      <c r="C282" s="2">
        <v>618</v>
      </c>
      <c r="D282" s="6">
        <f>(Table2_1[[#This Row],[Constant Prices]]-C281)/C281</f>
        <v>4.0617384240454911E-3</v>
      </c>
      <c r="E282" s="6">
        <f>(Table2_1[[#This Row],[Constant Prices]]-C278)/C278</f>
        <v>1.6113120683985457E-2</v>
      </c>
      <c r="F282" s="2">
        <v>791</v>
      </c>
      <c r="G282" s="7">
        <f>(Table2_1[[#This Row],[Current Prices]]-F281)/F281</f>
        <v>3.3311561071195296E-2</v>
      </c>
      <c r="H282" s="7">
        <f>(Table2_1[[#This Row],[Current Prices]]-F278)/F278</f>
        <v>0.1430635838150289</v>
      </c>
      <c r="I282" s="2"/>
    </row>
    <row r="283" spans="1:9" x14ac:dyDescent="0.3">
      <c r="A283" s="2" t="s">
        <v>75</v>
      </c>
      <c r="B283" s="2" t="s">
        <v>43</v>
      </c>
      <c r="C283" s="2">
        <v>624.70000000000005</v>
      </c>
      <c r="D283" s="6">
        <f>(Table2_1[[#This Row],[Constant Prices]]-C282)/C282</f>
        <v>1.0841423948220139E-2</v>
      </c>
      <c r="E283" s="6">
        <f>(Table2_1[[#This Row],[Constant Prices]]-C279)/C279</f>
        <v>3.7363002324809033E-2</v>
      </c>
      <c r="F283" s="2">
        <v>823.5</v>
      </c>
      <c r="G283" s="7">
        <f>(Table2_1[[#This Row],[Current Prices]]-F282)/F282</f>
        <v>4.1087231352718079E-2</v>
      </c>
      <c r="H283" s="7">
        <f>(Table2_1[[#This Row],[Current Prices]]-F279)/F279</f>
        <v>0.18081445368511617</v>
      </c>
      <c r="I283" s="2"/>
    </row>
    <row r="284" spans="1:9" x14ac:dyDescent="0.3">
      <c r="A284" s="2" t="s">
        <v>75</v>
      </c>
      <c r="B284" s="2" t="s">
        <v>44</v>
      </c>
      <c r="C284" s="2">
        <v>623.1</v>
      </c>
      <c r="D284" s="6">
        <f>(Table2_1[[#This Row],[Constant Prices]]-C283)/C283</f>
        <v>-2.5612293901072876E-3</v>
      </c>
      <c r="E284" s="6">
        <f>(Table2_1[[#This Row],[Constant Prices]]-C280)/C280</f>
        <v>2.3320742322220474E-2</v>
      </c>
      <c r="F284" s="2">
        <v>837.5</v>
      </c>
      <c r="G284" s="7">
        <f>(Table2_1[[#This Row],[Current Prices]]-F283)/F283</f>
        <v>1.700060716454159E-2</v>
      </c>
      <c r="H284" s="7">
        <f>(Table2_1[[#This Row],[Current Prices]]-F280)/F280</f>
        <v>0.14490772385509226</v>
      </c>
      <c r="I284" s="2"/>
    </row>
    <row r="285" spans="1:9" x14ac:dyDescent="0.3">
      <c r="A285" s="2" t="s">
        <v>75</v>
      </c>
      <c r="B285" s="2" t="s">
        <v>45</v>
      </c>
      <c r="C285" s="2">
        <v>621.1</v>
      </c>
      <c r="D285" s="6">
        <f>(Table2_1[[#This Row],[Constant Prices]]-C284)/C284</f>
        <v>-3.209757663296421E-3</v>
      </c>
      <c r="E285" s="6">
        <f>(Table2_1[[#This Row],[Constant Prices]]-C281)/C281</f>
        <v>9.0982940698619372E-3</v>
      </c>
      <c r="F285" s="2">
        <v>859</v>
      </c>
      <c r="G285" s="7">
        <f>(Table2_1[[#This Row],[Current Prices]]-F284)/F284</f>
        <v>2.5671641791044777E-2</v>
      </c>
      <c r="H285" s="7">
        <f>(Table2_1[[#This Row],[Current Prices]]-F281)/F281</f>
        <v>0.12214239059438275</v>
      </c>
      <c r="I285" s="2">
        <v>8</v>
      </c>
    </row>
    <row r="286" spans="1:9" x14ac:dyDescent="0.3">
      <c r="A286" s="2" t="s">
        <v>75</v>
      </c>
      <c r="B286" s="2" t="s">
        <v>46</v>
      </c>
      <c r="C286" s="2">
        <v>610</v>
      </c>
      <c r="D286" s="6">
        <f>(Table2_1[[#This Row],[Constant Prices]]-C285)/C285</f>
        <v>-1.7871518274029982E-2</v>
      </c>
      <c r="E286" s="6">
        <f>(Table2_1[[#This Row],[Constant Prices]]-C282)/C282</f>
        <v>-1.2944983818770227E-2</v>
      </c>
      <c r="F286" s="2">
        <v>862.9</v>
      </c>
      <c r="G286" s="7">
        <f>(Table2_1[[#This Row],[Current Prices]]-F285)/F285</f>
        <v>4.5401629802095198E-3</v>
      </c>
      <c r="H286" s="7">
        <f>(Table2_1[[#This Row],[Current Prices]]-F282)/F282</f>
        <v>9.0897597977243963E-2</v>
      </c>
      <c r="I286" s="2"/>
    </row>
    <row r="287" spans="1:9" x14ac:dyDescent="0.3">
      <c r="A287" s="2" t="s">
        <v>75</v>
      </c>
      <c r="B287" s="2" t="s">
        <v>47</v>
      </c>
      <c r="C287" s="2">
        <v>600.1</v>
      </c>
      <c r="D287" s="6">
        <f>(Table2_1[[#This Row],[Constant Prices]]-C286)/C286</f>
        <v>-1.6229508196721275E-2</v>
      </c>
      <c r="E287" s="6">
        <f>(Table2_1[[#This Row],[Constant Prices]]-C283)/C283</f>
        <v>-3.9378901872899025E-2</v>
      </c>
      <c r="F287" s="2">
        <v>873.5</v>
      </c>
      <c r="G287" s="7">
        <f>(Table2_1[[#This Row],[Current Prices]]-F286)/F286</f>
        <v>1.2284158071618987E-2</v>
      </c>
      <c r="H287" s="7">
        <f>(Table2_1[[#This Row],[Current Prices]]-F283)/F283</f>
        <v>6.0716454159077109E-2</v>
      </c>
      <c r="I287" s="2"/>
    </row>
    <row r="288" spans="1:9" x14ac:dyDescent="0.3">
      <c r="A288" s="2" t="s">
        <v>75</v>
      </c>
      <c r="B288" s="2" t="s">
        <v>48</v>
      </c>
      <c r="C288" s="2">
        <v>591.4</v>
      </c>
      <c r="D288" s="6">
        <f>(Table2_1[[#This Row],[Constant Prices]]-C287)/C287</f>
        <v>-1.4497583736044067E-2</v>
      </c>
      <c r="E288" s="6">
        <f>(Table2_1[[#This Row],[Constant Prices]]-C284)/C284</f>
        <v>-5.0874658963248345E-2</v>
      </c>
      <c r="F288" s="2">
        <v>877.3</v>
      </c>
      <c r="G288" s="7">
        <f>(Table2_1[[#This Row],[Current Prices]]-F287)/F287</f>
        <v>4.3503148254149448E-3</v>
      </c>
      <c r="H288" s="7">
        <f>(Table2_1[[#This Row],[Current Prices]]-F284)/F284</f>
        <v>4.7522388059701437E-2</v>
      </c>
      <c r="I288" s="2"/>
    </row>
    <row r="289" spans="1:9" x14ac:dyDescent="0.3">
      <c r="A289" s="2" t="s">
        <v>75</v>
      </c>
      <c r="B289" s="2" t="s">
        <v>49</v>
      </c>
      <c r="C289" s="2">
        <v>585.29999999999995</v>
      </c>
      <c r="D289" s="6">
        <f>(Table2_1[[#This Row],[Constant Prices]]-C288)/C288</f>
        <v>-1.0314507947243867E-2</v>
      </c>
      <c r="E289" s="6">
        <f>(Table2_1[[#This Row],[Constant Prices]]-C285)/C285</f>
        <v>-5.7639671550475072E-2</v>
      </c>
      <c r="F289" s="2">
        <v>897.4</v>
      </c>
      <c r="G289" s="7">
        <f>(Table2_1[[#This Row],[Current Prices]]-F288)/F288</f>
        <v>2.2911204833010401E-2</v>
      </c>
      <c r="H289" s="7">
        <f>(Table2_1[[#This Row],[Current Prices]]-F285)/F285</f>
        <v>4.4703143189755504E-2</v>
      </c>
      <c r="I289" s="2">
        <v>9</v>
      </c>
    </row>
    <row r="290" spans="1:9" x14ac:dyDescent="0.3">
      <c r="A290" s="2" t="s">
        <v>75</v>
      </c>
      <c r="B290" s="2" t="s">
        <v>50</v>
      </c>
      <c r="C290" s="2">
        <v>517.4</v>
      </c>
      <c r="D290" s="6">
        <f>(Table2_1[[#This Row],[Constant Prices]]-C289)/C289</f>
        <v>-0.11600888433282075</v>
      </c>
      <c r="E290" s="6">
        <f>(Table2_1[[#This Row],[Constant Prices]]-C286)/C286</f>
        <v>-0.15180327868852464</v>
      </c>
      <c r="F290" s="2">
        <v>747.9</v>
      </c>
      <c r="G290" s="7">
        <f>(Table2_1[[#This Row],[Current Prices]]-F289)/F289</f>
        <v>-0.16659237798083351</v>
      </c>
      <c r="H290" s="7">
        <f>(Table2_1[[#This Row],[Current Prices]]-F286)/F286</f>
        <v>-0.13327152624869626</v>
      </c>
      <c r="I290" s="2"/>
    </row>
    <row r="291" spans="1:9" x14ac:dyDescent="0.3">
      <c r="A291" s="2" t="s">
        <v>75</v>
      </c>
      <c r="B291" s="2" t="s">
        <v>51</v>
      </c>
      <c r="C291" s="2">
        <v>352.8</v>
      </c>
      <c r="D291" s="6">
        <f>(Table2_1[[#This Row],[Constant Prices]]-C290)/C290</f>
        <v>-0.31812910707383063</v>
      </c>
      <c r="E291" s="6">
        <f>(Table2_1[[#This Row],[Constant Prices]]-C287)/C287</f>
        <v>-0.41209798366938843</v>
      </c>
      <c r="F291" s="2">
        <v>539.70000000000005</v>
      </c>
      <c r="G291" s="7">
        <f>(Table2_1[[#This Row],[Current Prices]]-F290)/F290</f>
        <v>-0.27837946249498585</v>
      </c>
      <c r="H291" s="7">
        <f>(Table2_1[[#This Row],[Current Prices]]-F287)/F287</f>
        <v>-0.38214081282198048</v>
      </c>
      <c r="I291" s="2"/>
    </row>
    <row r="292" spans="1:9" x14ac:dyDescent="0.3">
      <c r="A292" s="2" t="s">
        <v>75</v>
      </c>
      <c r="B292" s="2" t="s">
        <v>52</v>
      </c>
      <c r="C292" s="2">
        <v>590.6</v>
      </c>
      <c r="D292" s="6">
        <f>(Table2_1[[#This Row],[Constant Prices]]-C291)/C291</f>
        <v>0.67403628117913839</v>
      </c>
      <c r="E292" s="6">
        <f>(Table2_1[[#This Row],[Constant Prices]]-C288)/C288</f>
        <v>-1.3527223537368187E-3</v>
      </c>
      <c r="F292" s="2">
        <v>869.8</v>
      </c>
      <c r="G292" s="7">
        <f>(Table2_1[[#This Row],[Current Prices]]-F291)/F291</f>
        <v>0.61163609412636633</v>
      </c>
      <c r="H292" s="7">
        <f>(Table2_1[[#This Row],[Current Prices]]-F288)/F288</f>
        <v>-8.5489570272426763E-3</v>
      </c>
      <c r="I292" s="2"/>
    </row>
    <row r="293" spans="1:9" x14ac:dyDescent="0.3">
      <c r="A293" s="2" t="s">
        <v>75</v>
      </c>
      <c r="B293" s="2" t="s">
        <v>53</v>
      </c>
      <c r="C293" s="2">
        <v>550</v>
      </c>
      <c r="D293" s="6">
        <f>(Table2_1[[#This Row],[Constant Prices]]-C292)/C292</f>
        <v>-6.8743650524889982E-2</v>
      </c>
      <c r="E293" s="6">
        <f>(Table2_1[[#This Row],[Constant Prices]]-C289)/C289</f>
        <v>-6.0310951648727074E-2</v>
      </c>
      <c r="F293" s="2">
        <v>884.5</v>
      </c>
      <c r="G293" s="7">
        <f>(Table2_1[[#This Row],[Current Prices]]-F292)/F292</f>
        <v>1.6900436882041903E-2</v>
      </c>
      <c r="H293" s="7">
        <f>(Table2_1[[#This Row],[Current Prices]]-F289)/F289</f>
        <v>-1.4374860708714039E-2</v>
      </c>
      <c r="I293" s="2">
        <v>10</v>
      </c>
    </row>
    <row r="294" spans="1:9" x14ac:dyDescent="0.3">
      <c r="A294" s="2" t="s">
        <v>75</v>
      </c>
      <c r="B294" s="2" t="s">
        <v>54</v>
      </c>
      <c r="C294" s="2">
        <v>526.4</v>
      </c>
      <c r="D294" s="6">
        <f>(Table2_1[[#This Row],[Constant Prices]]-C293)/C293</f>
        <v>-4.2909090909090952E-2</v>
      </c>
      <c r="E294" s="6">
        <f>(Table2_1[[#This Row],[Constant Prices]]-C290)/C290</f>
        <v>1.7394665635871668E-2</v>
      </c>
      <c r="F294" s="2">
        <v>803.2</v>
      </c>
      <c r="G294" s="7">
        <f>(Table2_1[[#This Row],[Current Prices]]-F293)/F293</f>
        <v>-9.1916336913510407E-2</v>
      </c>
      <c r="H294" s="7">
        <f>(Table2_1[[#This Row],[Current Prices]]-F290)/F290</f>
        <v>7.3940366359139018E-2</v>
      </c>
      <c r="I294" s="2"/>
    </row>
    <row r="295" spans="1:9" x14ac:dyDescent="0.3">
      <c r="A295" s="2" t="s">
        <v>75</v>
      </c>
      <c r="B295" s="2" t="s">
        <v>55</v>
      </c>
      <c r="C295" s="2">
        <v>528.5</v>
      </c>
      <c r="D295" s="6">
        <f>(Table2_1[[#This Row],[Constant Prices]]-C294)/C294</f>
        <v>3.9893617021277026E-3</v>
      </c>
      <c r="E295" s="6">
        <f>(Table2_1[[#This Row],[Constant Prices]]-C291)/C291</f>
        <v>0.49801587301587297</v>
      </c>
      <c r="F295" s="2">
        <v>847.1</v>
      </c>
      <c r="G295" s="7">
        <f>(Table2_1[[#This Row],[Current Prices]]-F294)/F294</f>
        <v>5.4656374501991997E-2</v>
      </c>
      <c r="H295" s="7">
        <f>(Table2_1[[#This Row],[Current Prices]]-F291)/F291</f>
        <v>0.56957569019825816</v>
      </c>
      <c r="I295" s="2"/>
    </row>
    <row r="296" spans="1:9" x14ac:dyDescent="0.3">
      <c r="A296" s="2" t="s">
        <v>75</v>
      </c>
      <c r="B296" s="2" t="s">
        <v>56</v>
      </c>
      <c r="C296" s="2">
        <v>564.29999999999995</v>
      </c>
      <c r="D296" s="6">
        <f>(Table2_1[[#This Row],[Constant Prices]]-C295)/C295</f>
        <v>6.7738883632923283E-2</v>
      </c>
      <c r="E296" s="6">
        <f>(Table2_1[[#This Row],[Constant Prices]]-C292)/C292</f>
        <v>-4.4530985438537195E-2</v>
      </c>
      <c r="F296" s="2">
        <v>871.8</v>
      </c>
      <c r="G296" s="7">
        <f>(Table2_1[[#This Row],[Current Prices]]-F295)/F295</f>
        <v>2.9158304804627472E-2</v>
      </c>
      <c r="H296" s="7">
        <f>(Table2_1[[#This Row],[Current Prices]]-F292)/F292</f>
        <v>2.2993791676247416E-3</v>
      </c>
      <c r="I296" s="2"/>
    </row>
    <row r="297" spans="1:9" x14ac:dyDescent="0.3">
      <c r="A297" s="2" t="s">
        <v>75</v>
      </c>
      <c r="B297" s="2" t="s">
        <v>57</v>
      </c>
      <c r="C297" s="2">
        <v>564.29999999999995</v>
      </c>
      <c r="D297" s="6">
        <f>(Table2_1[[#This Row],[Constant Prices]]-C296)/C296</f>
        <v>0</v>
      </c>
      <c r="E297" s="6">
        <f>(Table2_1[[#This Row],[Constant Prices]]-C293)/C293</f>
        <v>2.5999999999999919E-2</v>
      </c>
      <c r="F297" s="2">
        <v>907.5</v>
      </c>
      <c r="G297" s="7">
        <f>(Table2_1[[#This Row],[Current Prices]]-F296)/F296</f>
        <v>4.0949759119064059E-2</v>
      </c>
      <c r="H297" s="7">
        <f>(Table2_1[[#This Row],[Current Prices]]-F293)/F293</f>
        <v>2.6003391746749576E-2</v>
      </c>
      <c r="I297" s="2">
        <v>11</v>
      </c>
    </row>
    <row r="298" spans="1:9" x14ac:dyDescent="0.3">
      <c r="A298" s="2" t="s">
        <v>75</v>
      </c>
      <c r="B298" s="2" t="s">
        <v>58</v>
      </c>
      <c r="C298" s="2">
        <v>589</v>
      </c>
      <c r="D298" s="6">
        <f>(Table2_1[[#This Row],[Constant Prices]]-C297)/C297</f>
        <v>4.3771043771043856E-2</v>
      </c>
      <c r="E298" s="6">
        <f>(Table2_1[[#This Row],[Constant Prices]]-C294)/C294</f>
        <v>0.11892097264437695</v>
      </c>
      <c r="F298" s="2">
        <v>940.2</v>
      </c>
      <c r="G298" s="7">
        <f>(Table2_1[[#This Row],[Current Prices]]-F297)/F297</f>
        <v>3.6033057851239718E-2</v>
      </c>
      <c r="H298" s="7">
        <f>(Table2_1[[#This Row],[Current Prices]]-F294)/F294</f>
        <v>0.17056772908366533</v>
      </c>
      <c r="I298" s="2"/>
    </row>
    <row r="299" spans="1:9" x14ac:dyDescent="0.3">
      <c r="A299" s="2" t="s">
        <v>75</v>
      </c>
      <c r="B299" s="2" t="s">
        <v>59</v>
      </c>
      <c r="C299" s="2">
        <v>617.1</v>
      </c>
      <c r="D299" s="6">
        <f>(Table2_1[[#This Row],[Constant Prices]]-C298)/C298</f>
        <v>4.7707979626485604E-2</v>
      </c>
      <c r="E299" s="6">
        <f>(Table2_1[[#This Row],[Constant Prices]]-C295)/C295</f>
        <v>0.16764427625354783</v>
      </c>
      <c r="F299" s="2">
        <v>1017.8</v>
      </c>
      <c r="G299" s="7">
        <f>(Table2_1[[#This Row],[Current Prices]]-F298)/F298</f>
        <v>8.2535630716868646E-2</v>
      </c>
      <c r="H299" s="7">
        <f>(Table2_1[[#This Row],[Current Prices]]-F295)/F295</f>
        <v>0.20151103765789155</v>
      </c>
      <c r="I299" s="2"/>
    </row>
    <row r="300" spans="1:9" x14ac:dyDescent="0.3">
      <c r="A300" s="2" t="s">
        <v>75</v>
      </c>
      <c r="B300" s="2" t="s">
        <v>60</v>
      </c>
      <c r="C300" s="2">
        <v>633.79999999999995</v>
      </c>
      <c r="D300" s="6">
        <f>(Table2_1[[#This Row],[Constant Prices]]-C299)/C299</f>
        <v>2.7062064495219463E-2</v>
      </c>
      <c r="E300" s="6">
        <f>(Table2_1[[#This Row],[Constant Prices]]-C296)/C296</f>
        <v>0.12316143895091264</v>
      </c>
      <c r="F300" s="2">
        <v>1016.5</v>
      </c>
      <c r="G300" s="7">
        <f>(Table2_1[[#This Row],[Current Prices]]-F299)/F299</f>
        <v>-1.2772646885438736E-3</v>
      </c>
      <c r="H300" s="7">
        <f>(Table2_1[[#This Row],[Current Prices]]-F296)/F296</f>
        <v>0.16597843542096818</v>
      </c>
      <c r="I300" s="2"/>
    </row>
    <row r="301" spans="1:9" x14ac:dyDescent="0.3">
      <c r="A301" s="2" t="s">
        <v>75</v>
      </c>
      <c r="B301" s="2" t="s">
        <v>61</v>
      </c>
      <c r="C301" s="2">
        <v>640.6</v>
      </c>
      <c r="D301" s="6">
        <f>(Table2_1[[#This Row],[Constant Prices]]-C300)/C300</f>
        <v>1.0728936573051543E-2</v>
      </c>
      <c r="E301" s="6">
        <f>(Table2_1[[#This Row],[Constant Prices]]-C297)/C297</f>
        <v>0.13521176679071428</v>
      </c>
      <c r="F301" s="2">
        <v>1094.7</v>
      </c>
      <c r="G301" s="7">
        <f>(Table2_1[[#This Row],[Current Prices]]-F300)/F300</f>
        <v>7.6930644367929207E-2</v>
      </c>
      <c r="H301" s="7">
        <f>(Table2_1[[#This Row],[Current Prices]]-F297)/F297</f>
        <v>0.20628099173553724</v>
      </c>
      <c r="I301" s="2">
        <v>12</v>
      </c>
    </row>
    <row r="302" spans="1:9" x14ac:dyDescent="0.3">
      <c r="A302" s="2" t="s">
        <v>75</v>
      </c>
      <c r="B302" s="2" t="s">
        <v>62</v>
      </c>
      <c r="C302" s="2">
        <v>641.9</v>
      </c>
      <c r="D302" s="6">
        <f>(Table2_1[[#This Row],[Constant Prices]]-C301)/C301</f>
        <v>2.0293474867311184E-3</v>
      </c>
      <c r="E302" s="6">
        <f>(Table2_1[[#This Row],[Constant Prices]]-C298)/C298</f>
        <v>8.9813242784380271E-2</v>
      </c>
      <c r="F302" s="2">
        <v>1128.7</v>
      </c>
      <c r="G302" s="7">
        <f>(Table2_1[[#This Row],[Current Prices]]-F301)/F301</f>
        <v>3.105873755366767E-2</v>
      </c>
      <c r="H302" s="7">
        <f>(Table2_1[[#This Row],[Current Prices]]-F298)/F298</f>
        <v>0.20048925760476494</v>
      </c>
      <c r="I302" s="2"/>
    </row>
    <row r="303" spans="1:9" x14ac:dyDescent="0.3">
      <c r="A303" s="2" t="s">
        <v>75</v>
      </c>
      <c r="B303" s="2" t="s">
        <v>63</v>
      </c>
      <c r="C303" s="2">
        <v>610.1</v>
      </c>
      <c r="D303" s="6">
        <f>(Table2_1[[#This Row],[Constant Prices]]-C302)/C302</f>
        <v>-4.954042685776594E-2</v>
      </c>
      <c r="E303" s="6">
        <f>(Table2_1[[#This Row],[Constant Prices]]-C299)/C299</f>
        <v>-1.1343380327337546E-2</v>
      </c>
      <c r="F303" s="2">
        <v>1110</v>
      </c>
      <c r="G303" s="7">
        <f>(Table2_1[[#This Row],[Current Prices]]-F302)/F302</f>
        <v>-1.6567732789935362E-2</v>
      </c>
      <c r="H303" s="7">
        <f>(Table2_1[[#This Row],[Current Prices]]-F299)/F299</f>
        <v>9.0587541756730255E-2</v>
      </c>
      <c r="I303" s="2"/>
    </row>
    <row r="304" spans="1:9" x14ac:dyDescent="0.3">
      <c r="A304" s="2" t="s">
        <v>75</v>
      </c>
      <c r="B304" s="2" t="s">
        <v>64</v>
      </c>
      <c r="C304" s="2">
        <v>588.20000000000005</v>
      </c>
      <c r="D304" s="6">
        <f>(Table2_1[[#This Row],[Constant Prices]]-C303)/C303</f>
        <v>-3.5895754794295978E-2</v>
      </c>
      <c r="E304" s="6">
        <f>(Table2_1[[#This Row],[Constant Prices]]-C300)/C300</f>
        <v>-7.1946986431050672E-2</v>
      </c>
      <c r="F304" s="2">
        <v>1036.5999999999999</v>
      </c>
      <c r="G304" s="7">
        <f>(Table2_1[[#This Row],[Current Prices]]-F303)/F303</f>
        <v>-6.6126126126126214E-2</v>
      </c>
      <c r="H304" s="7">
        <f>(Table2_1[[#This Row],[Current Prices]]-F300)/F300</f>
        <v>1.9773733398917765E-2</v>
      </c>
      <c r="I304" s="2"/>
    </row>
    <row r="305" spans="1:9" x14ac:dyDescent="0.3">
      <c r="A305" s="2" t="s">
        <v>75</v>
      </c>
      <c r="B305" s="2" t="s">
        <v>65</v>
      </c>
      <c r="C305" s="2">
        <v>579.70000000000005</v>
      </c>
      <c r="D305" s="6">
        <f>(Table2_1[[#This Row],[Constant Prices]]-C304)/C304</f>
        <v>-1.4450867052023121E-2</v>
      </c>
      <c r="E305" s="6">
        <f>(Table2_1[[#This Row],[Constant Prices]]-C301)/C301</f>
        <v>-9.5067124570714923E-2</v>
      </c>
      <c r="F305" s="2">
        <v>1052.5</v>
      </c>
      <c r="G305" s="7">
        <f>(Table2_1[[#This Row],[Current Prices]]-F304)/F304</f>
        <v>1.5338606984372075E-2</v>
      </c>
      <c r="H305" s="7">
        <f>(Table2_1[[#This Row],[Current Prices]]-F301)/F301</f>
        <v>-3.8549374257787559E-2</v>
      </c>
      <c r="I305" s="2">
        <v>13</v>
      </c>
    </row>
    <row r="306" spans="1:9" x14ac:dyDescent="0.3">
      <c r="A306" s="2" t="s">
        <v>75</v>
      </c>
      <c r="B306" s="2" t="s">
        <v>66</v>
      </c>
      <c r="C306" s="2">
        <v>580.29999999999995</v>
      </c>
      <c r="D306" s="6">
        <f>(Table2_1[[#This Row],[Constant Prices]]-C305)/C305</f>
        <v>1.0350181128168173E-3</v>
      </c>
      <c r="E306" s="6">
        <f>(Table2_1[[#This Row],[Constant Prices]]-C302)/C302</f>
        <v>-9.5965103598691426E-2</v>
      </c>
      <c r="F306" s="2">
        <v>1031.5</v>
      </c>
      <c r="G306" s="7">
        <f>(Table2_1[[#This Row],[Current Prices]]-F305)/F305</f>
        <v>-1.9952494061757718E-2</v>
      </c>
      <c r="H306" s="7">
        <f>(Table2_1[[#This Row],[Current Prices]]-F302)/F302</f>
        <v>-8.6116771507043541E-2</v>
      </c>
      <c r="I306" s="2"/>
    </row>
    <row r="307" spans="1:9" x14ac:dyDescent="0.3">
      <c r="A307" s="2" t="s">
        <v>75</v>
      </c>
      <c r="B307" s="2" t="s">
        <v>67</v>
      </c>
      <c r="C307" s="2">
        <v>557</v>
      </c>
      <c r="D307" s="6">
        <f>(Table2_1[[#This Row],[Constant Prices]]-C306)/C306</f>
        <v>-4.0151645700499665E-2</v>
      </c>
      <c r="E307" s="6">
        <f>(Table2_1[[#This Row],[Constant Prices]]-C303)/C303</f>
        <v>-8.7034912309457493E-2</v>
      </c>
      <c r="F307" s="2">
        <v>1050.7</v>
      </c>
      <c r="G307" s="7">
        <f>(Table2_1[[#This Row],[Current Prices]]-F306)/F306</f>
        <v>1.8613669413475566E-2</v>
      </c>
      <c r="H307" s="7">
        <f>(Table2_1[[#This Row],[Current Prices]]-F303)/F303</f>
        <v>-5.3423423423423384E-2</v>
      </c>
      <c r="I307" s="2"/>
    </row>
    <row r="308" spans="1:9" x14ac:dyDescent="0.3">
      <c r="A308" s="2" t="s">
        <v>75</v>
      </c>
      <c r="B308" s="2" t="s">
        <v>68</v>
      </c>
      <c r="C308" s="2">
        <v>586.4</v>
      </c>
      <c r="D308" s="6">
        <f>(Table2_1[[#This Row],[Constant Prices]]-C307)/C307</f>
        <v>5.2782764811490086E-2</v>
      </c>
      <c r="E308" s="6">
        <f>(Table2_1[[#This Row],[Constant Prices]]-C304)/C304</f>
        <v>-3.0601836110167768E-3</v>
      </c>
      <c r="F308" s="2">
        <v>1047.7</v>
      </c>
      <c r="G308" s="7">
        <f>(Table2_1[[#This Row],[Current Prices]]-F307)/F307</f>
        <v>-2.8552393642333682E-3</v>
      </c>
      <c r="H308" s="7">
        <f>(Table2_1[[#This Row],[Current Prices]]-F304)/F304</f>
        <v>1.070808412116548E-2</v>
      </c>
      <c r="I308" s="2"/>
    </row>
    <row r="309" spans="1:9" x14ac:dyDescent="0.3">
      <c r="A309" s="2" t="s">
        <v>75</v>
      </c>
      <c r="B309" s="2" t="s">
        <v>69</v>
      </c>
      <c r="C309" s="2">
        <v>562</v>
      </c>
      <c r="D309" s="6">
        <f>(Table2_1[[#This Row],[Constant Prices]]-C308)/C308</f>
        <v>-4.1609822646657538E-2</v>
      </c>
      <c r="E309" s="6">
        <f>(Table2_1[[#This Row],[Constant Prices]]-C305)/C305</f>
        <v>-3.0533034328100818E-2</v>
      </c>
      <c r="F309" s="5">
        <f>Table2_1[[#This Row],[Constant Prices]]*AVERAGE(Inflation!$C$72:$C$74)*0.01</f>
        <v>1017.4073333333334</v>
      </c>
      <c r="G309" s="7">
        <f>(Table2_1[[#This Row],[Current Prices]]-F308)/F308</f>
        <v>-2.8913493048264391E-2</v>
      </c>
      <c r="H309" s="7">
        <f>(Table2_1[[#This Row],[Current Prices]]-F305)/F305</f>
        <v>-3.3342201108471789E-2</v>
      </c>
      <c r="I309" s="2">
        <v>14</v>
      </c>
    </row>
    <row r="310" spans="1:9" x14ac:dyDescent="0.3">
      <c r="A310" s="2" t="s">
        <v>75</v>
      </c>
      <c r="B310" s="2" t="s">
        <v>70</v>
      </c>
      <c r="C310" s="2">
        <v>571.5</v>
      </c>
      <c r="D310" s="6">
        <f>(Table2_1[[#This Row],[Constant Prices]]-C309)/C309</f>
        <v>1.6903914590747332E-2</v>
      </c>
      <c r="E310" s="6">
        <f>(Table2_1[[#This Row],[Constant Prices]]-C306)/C306</f>
        <v>-1.5164570049974074E-2</v>
      </c>
      <c r="F310" s="5">
        <f>Table2_1[[#This Row],[Constant Prices]]*AVERAGE(Inflation!$C$75:$C$77)*0.01</f>
        <v>1042.6064999999999</v>
      </c>
      <c r="G310" s="7">
        <f>(Table2_1[[#This Row],[Current Prices]]-F309)/F309</f>
        <v>2.4768021461086146E-2</v>
      </c>
      <c r="H310" s="7">
        <f>(Table2_1[[#This Row],[Current Prices]]-F306)/F306</f>
        <v>1.076732913233143E-2</v>
      </c>
      <c r="I310" s="2"/>
    </row>
    <row r="311" spans="1:9" x14ac:dyDescent="0.3">
      <c r="A311" s="2" t="s">
        <v>75</v>
      </c>
      <c r="B311" s="2" t="s">
        <v>71</v>
      </c>
      <c r="C311" s="2">
        <v>551.6</v>
      </c>
      <c r="D311" s="6">
        <f>(Table2_1[[#This Row],[Constant Prices]]-C310)/C310</f>
        <v>-3.4820647419072578E-2</v>
      </c>
      <c r="E311" s="6">
        <f>(Table2_1[[#This Row],[Constant Prices]]-C307)/C307</f>
        <v>-9.6947935368042679E-3</v>
      </c>
      <c r="F311" s="5">
        <f>Table2_1[[#This Row],[Constant Prices]]*AVERAGE(Inflation!$C$78:$C$80)*0.01</f>
        <v>1022.2986666666668</v>
      </c>
      <c r="G311" s="7">
        <f>(Table2_1[[#This Row],[Current Prices]]-F310)/F310</f>
        <v>-1.9477946217804194E-2</v>
      </c>
      <c r="H311" s="7">
        <f>(Table2_1[[#This Row],[Current Prices]]-F307)/F307</f>
        <v>-2.7030868310015457E-2</v>
      </c>
      <c r="I311" s="2"/>
    </row>
    <row r="312" spans="1:9" x14ac:dyDescent="0.3">
      <c r="A312" s="2" t="s">
        <v>76</v>
      </c>
      <c r="B312" s="2" t="s">
        <v>10</v>
      </c>
      <c r="C312" s="2">
        <v>33.299999999999997</v>
      </c>
      <c r="D312" s="6"/>
      <c r="E312" s="6"/>
      <c r="F312" s="2">
        <v>56.1</v>
      </c>
      <c r="G312" s="7"/>
      <c r="H312" s="7"/>
      <c r="I312" s="2"/>
    </row>
    <row r="313" spans="1:9" x14ac:dyDescent="0.3">
      <c r="A313" s="2" t="s">
        <v>76</v>
      </c>
      <c r="B313" s="2" t="s">
        <v>11</v>
      </c>
      <c r="C313" s="2">
        <v>13.5</v>
      </c>
      <c r="D313" s="6">
        <f>(Table2_1[[#This Row],[Constant Prices]]-C312)/C312</f>
        <v>-0.59459459459459452</v>
      </c>
      <c r="E313" s="6"/>
      <c r="F313" s="2">
        <v>16.5</v>
      </c>
      <c r="G313" s="7">
        <f>(Table2_1[[#This Row],[Current Prices]]-F312)/F312</f>
        <v>-0.70588235294117652</v>
      </c>
      <c r="H313" s="7"/>
      <c r="I313" s="2"/>
    </row>
    <row r="314" spans="1:9" x14ac:dyDescent="0.3">
      <c r="A314" s="2" t="s">
        <v>76</v>
      </c>
      <c r="B314" s="2" t="s">
        <v>12</v>
      </c>
      <c r="C314" s="2">
        <v>11.9</v>
      </c>
      <c r="D314" s="6">
        <f>(Table2_1[[#This Row],[Constant Prices]]-C313)/C313</f>
        <v>-0.1185185185185185</v>
      </c>
      <c r="E314" s="6"/>
      <c r="F314" s="2">
        <v>9.1999999999999993</v>
      </c>
      <c r="G314" s="7">
        <f>(Table2_1[[#This Row],[Current Prices]]-F313)/F313</f>
        <v>-0.44242424242424244</v>
      </c>
      <c r="H314" s="7"/>
      <c r="I314" s="2"/>
    </row>
    <row r="315" spans="1:9" x14ac:dyDescent="0.3">
      <c r="A315" s="2" t="s">
        <v>76</v>
      </c>
      <c r="B315" s="2" t="s">
        <v>13</v>
      </c>
      <c r="C315" s="2">
        <v>17.600000000000001</v>
      </c>
      <c r="D315" s="6">
        <f>(Table2_1[[#This Row],[Constant Prices]]-C314)/C314</f>
        <v>0.47899159663865554</v>
      </c>
      <c r="E315" s="6"/>
      <c r="F315" s="2">
        <v>20.5</v>
      </c>
      <c r="G315" s="7">
        <f>(Table2_1[[#This Row],[Current Prices]]-F314)/F314</f>
        <v>1.2282608695652175</v>
      </c>
      <c r="H315" s="7"/>
      <c r="I315" s="2"/>
    </row>
    <row r="316" spans="1:9" x14ac:dyDescent="0.3">
      <c r="A316" s="2" t="s">
        <v>76</v>
      </c>
      <c r="B316" s="2" t="s">
        <v>14</v>
      </c>
      <c r="C316" s="2">
        <v>26.1</v>
      </c>
      <c r="D316" s="6">
        <f>(Table2_1[[#This Row],[Constant Prices]]-C315)/C315</f>
        <v>0.48295454545454541</v>
      </c>
      <c r="E316" s="6">
        <f>(Table2_1[[#This Row],[Constant Prices]]-C312)/C312</f>
        <v>-0.21621621621621612</v>
      </c>
      <c r="F316" s="2">
        <v>48.8</v>
      </c>
      <c r="G316" s="7">
        <f>(Table2_1[[#This Row],[Current Prices]]-F315)/F315</f>
        <v>1.3804878048780487</v>
      </c>
      <c r="H316" s="7">
        <f>(Table2_1[[#This Row],[Current Prices]]-F312)/F312</f>
        <v>-0.1301247771836008</v>
      </c>
      <c r="I316" s="2"/>
    </row>
    <row r="317" spans="1:9" x14ac:dyDescent="0.3">
      <c r="A317" s="2" t="s">
        <v>76</v>
      </c>
      <c r="B317" s="2" t="s">
        <v>15</v>
      </c>
      <c r="C317" s="2">
        <v>28.9</v>
      </c>
      <c r="D317" s="6">
        <f>(Table2_1[[#This Row],[Constant Prices]]-C316)/C316</f>
        <v>0.10727969348658993</v>
      </c>
      <c r="E317" s="6">
        <f>(Table2_1[[#This Row],[Constant Prices]]-C313)/C313</f>
        <v>1.1407407407407406</v>
      </c>
      <c r="F317" s="2">
        <v>62.3</v>
      </c>
      <c r="G317" s="7">
        <f>(Table2_1[[#This Row],[Current Prices]]-F316)/F316</f>
        <v>0.27663934426229508</v>
      </c>
      <c r="H317" s="7">
        <f>(Table2_1[[#This Row],[Current Prices]]-F313)/F313</f>
        <v>2.7757575757575754</v>
      </c>
      <c r="I317" s="2"/>
    </row>
    <row r="318" spans="1:9" x14ac:dyDescent="0.3">
      <c r="A318" s="2" t="s">
        <v>76</v>
      </c>
      <c r="B318" s="2" t="s">
        <v>16</v>
      </c>
      <c r="C318" s="2">
        <v>72.3</v>
      </c>
      <c r="D318" s="6">
        <f>(Table2_1[[#This Row],[Constant Prices]]-C317)/C317</f>
        <v>1.5017301038062283</v>
      </c>
      <c r="E318" s="6">
        <f>(Table2_1[[#This Row],[Constant Prices]]-C314)/C314</f>
        <v>5.0756302521008401</v>
      </c>
      <c r="F318" s="2">
        <v>63.9</v>
      </c>
      <c r="G318" s="7">
        <f>(Table2_1[[#This Row],[Current Prices]]-F317)/F317</f>
        <v>2.5682182985553796E-2</v>
      </c>
      <c r="H318" s="7">
        <f>(Table2_1[[#This Row],[Current Prices]]-F314)/F314</f>
        <v>5.9456521739130439</v>
      </c>
      <c r="I318" s="2"/>
    </row>
    <row r="319" spans="1:9" x14ac:dyDescent="0.3">
      <c r="A319" s="2" t="s">
        <v>76</v>
      </c>
      <c r="B319" s="2" t="s">
        <v>17</v>
      </c>
      <c r="C319" s="2">
        <v>66.7</v>
      </c>
      <c r="D319" s="6">
        <f>(Table2_1[[#This Row],[Constant Prices]]-C318)/C318</f>
        <v>-7.7455048409405175E-2</v>
      </c>
      <c r="E319" s="6">
        <f>(Table2_1[[#This Row],[Constant Prices]]-C315)/C315</f>
        <v>2.7897727272727271</v>
      </c>
      <c r="F319" s="2">
        <v>53.4</v>
      </c>
      <c r="G319" s="7">
        <f>(Table2_1[[#This Row],[Current Prices]]-F318)/F318</f>
        <v>-0.16431924882629109</v>
      </c>
      <c r="H319" s="7">
        <f>(Table2_1[[#This Row],[Current Prices]]-F315)/F315</f>
        <v>1.6048780487804877</v>
      </c>
      <c r="I319" s="2">
        <v>1</v>
      </c>
    </row>
    <row r="320" spans="1:9" x14ac:dyDescent="0.3">
      <c r="A320" s="2" t="s">
        <v>76</v>
      </c>
      <c r="B320" s="2" t="s">
        <v>18</v>
      </c>
      <c r="C320" s="2">
        <v>53.6</v>
      </c>
      <c r="D320" s="6">
        <f>(Table2_1[[#This Row],[Constant Prices]]-C319)/C319</f>
        <v>-0.19640179910044978</v>
      </c>
      <c r="E320" s="6">
        <f>(Table2_1[[#This Row],[Constant Prices]]-C316)/C316</f>
        <v>1.053639846743295</v>
      </c>
      <c r="F320" s="2">
        <v>43.3</v>
      </c>
      <c r="G320" s="7">
        <f>(Table2_1[[#This Row],[Current Prices]]-F319)/F319</f>
        <v>-0.18913857677902624</v>
      </c>
      <c r="H320" s="7">
        <f>(Table2_1[[#This Row],[Current Prices]]-F316)/F316</f>
        <v>-0.11270491803278689</v>
      </c>
      <c r="I320" s="2"/>
    </row>
    <row r="321" spans="1:9" x14ac:dyDescent="0.3">
      <c r="A321" s="2" t="s">
        <v>76</v>
      </c>
      <c r="B321" s="2" t="s">
        <v>19</v>
      </c>
      <c r="C321" s="2">
        <v>49.8</v>
      </c>
      <c r="D321" s="6">
        <f>(Table2_1[[#This Row],[Constant Prices]]-C320)/C320</f>
        <v>-7.0895522388059781E-2</v>
      </c>
      <c r="E321" s="6">
        <f>(Table2_1[[#This Row],[Constant Prices]]-C317)/C317</f>
        <v>0.72318339100346019</v>
      </c>
      <c r="F321" s="2">
        <v>44.7</v>
      </c>
      <c r="G321" s="7">
        <f>(Table2_1[[#This Row],[Current Prices]]-F320)/F320</f>
        <v>3.2332563510392744E-2</v>
      </c>
      <c r="H321" s="7">
        <f>(Table2_1[[#This Row],[Current Prices]]-F317)/F317</f>
        <v>-0.28250401284109139</v>
      </c>
      <c r="I321" s="2"/>
    </row>
    <row r="322" spans="1:9" x14ac:dyDescent="0.3">
      <c r="A322" s="2" t="s">
        <v>76</v>
      </c>
      <c r="B322" s="2" t="s">
        <v>20</v>
      </c>
      <c r="C322" s="2">
        <v>52.8</v>
      </c>
      <c r="D322" s="6">
        <f>(Table2_1[[#This Row],[Constant Prices]]-C321)/C321</f>
        <v>6.0240963855421693E-2</v>
      </c>
      <c r="E322" s="6">
        <f>(Table2_1[[#This Row],[Constant Prices]]-C318)/C318</f>
        <v>-0.26970954356846472</v>
      </c>
      <c r="F322" s="2">
        <v>53.3</v>
      </c>
      <c r="G322" s="7">
        <f>(Table2_1[[#This Row],[Current Prices]]-F321)/F321</f>
        <v>0.19239373601789694</v>
      </c>
      <c r="H322" s="7">
        <f>(Table2_1[[#This Row],[Current Prices]]-F318)/F318</f>
        <v>-0.16588419405320817</v>
      </c>
      <c r="I322" s="2"/>
    </row>
    <row r="323" spans="1:9" x14ac:dyDescent="0.3">
      <c r="A323" s="2" t="s">
        <v>76</v>
      </c>
      <c r="B323" s="2" t="s">
        <v>21</v>
      </c>
      <c r="C323" s="2">
        <v>48.9</v>
      </c>
      <c r="D323" s="6">
        <f>(Table2_1[[#This Row],[Constant Prices]]-C322)/C322</f>
        <v>-7.386363636363634E-2</v>
      </c>
      <c r="E323" s="6">
        <f>(Table2_1[[#This Row],[Constant Prices]]-C319)/C319</f>
        <v>-0.26686656671664172</v>
      </c>
      <c r="F323" s="2">
        <v>48</v>
      </c>
      <c r="G323" s="7">
        <f>(Table2_1[[#This Row],[Current Prices]]-F322)/F322</f>
        <v>-9.9437148217635968E-2</v>
      </c>
      <c r="H323" s="7">
        <f>(Table2_1[[#This Row],[Current Prices]]-F319)/F319</f>
        <v>-0.10112359550561795</v>
      </c>
      <c r="I323" s="2">
        <v>2</v>
      </c>
    </row>
    <row r="324" spans="1:9" x14ac:dyDescent="0.3">
      <c r="A324" s="2" t="s">
        <v>76</v>
      </c>
      <c r="B324" s="2" t="s">
        <v>22</v>
      </c>
      <c r="C324" s="2">
        <v>48.9</v>
      </c>
      <c r="D324" s="6">
        <f>(Table2_1[[#This Row],[Constant Prices]]-C323)/C323</f>
        <v>0</v>
      </c>
      <c r="E324" s="6">
        <f>(Table2_1[[#This Row],[Constant Prices]]-C320)/C320</f>
        <v>-8.7686567164179149E-2</v>
      </c>
      <c r="F324" s="2">
        <v>37.4</v>
      </c>
      <c r="G324" s="7">
        <f>(Table2_1[[#This Row],[Current Prices]]-F323)/F323</f>
        <v>-0.22083333333333335</v>
      </c>
      <c r="H324" s="7">
        <f>(Table2_1[[#This Row],[Current Prices]]-F320)/F320</f>
        <v>-0.13625866050808311</v>
      </c>
      <c r="I324" s="2"/>
    </row>
    <row r="325" spans="1:9" x14ac:dyDescent="0.3">
      <c r="A325" s="2" t="s">
        <v>76</v>
      </c>
      <c r="B325" s="2" t="s">
        <v>23</v>
      </c>
      <c r="C325" s="2">
        <v>48</v>
      </c>
      <c r="D325" s="6">
        <f>(Table2_1[[#This Row],[Constant Prices]]-C324)/C324</f>
        <v>-1.8404907975460093E-2</v>
      </c>
      <c r="E325" s="6">
        <f>(Table2_1[[#This Row],[Constant Prices]]-C321)/C321</f>
        <v>-3.6144578313252955E-2</v>
      </c>
      <c r="F325" s="2">
        <v>25.5</v>
      </c>
      <c r="G325" s="7">
        <f>(Table2_1[[#This Row],[Current Prices]]-F324)/F324</f>
        <v>-0.31818181818181818</v>
      </c>
      <c r="H325" s="7">
        <f>(Table2_1[[#This Row],[Current Prices]]-F321)/F321</f>
        <v>-0.42953020134228193</v>
      </c>
      <c r="I325" s="2"/>
    </row>
    <row r="326" spans="1:9" x14ac:dyDescent="0.3">
      <c r="A326" s="2" t="s">
        <v>76</v>
      </c>
      <c r="B326" s="2" t="s">
        <v>24</v>
      </c>
      <c r="C326" s="2">
        <v>46.4</v>
      </c>
      <c r="D326" s="6">
        <f>(Table2_1[[#This Row],[Constant Prices]]-C325)/C325</f>
        <v>-3.3333333333333361E-2</v>
      </c>
      <c r="E326" s="6">
        <f>(Table2_1[[#This Row],[Constant Prices]]-C322)/C322</f>
        <v>-0.12121212121212119</v>
      </c>
      <c r="F326" s="2">
        <v>3.6</v>
      </c>
      <c r="G326" s="7">
        <f>(Table2_1[[#This Row],[Current Prices]]-F325)/F325</f>
        <v>-0.85882352941176465</v>
      </c>
      <c r="H326" s="7">
        <f>(Table2_1[[#This Row],[Current Prices]]-F322)/F322</f>
        <v>-0.93245778611632268</v>
      </c>
      <c r="I326" s="2"/>
    </row>
    <row r="327" spans="1:9" x14ac:dyDescent="0.3">
      <c r="A327" s="2" t="s">
        <v>76</v>
      </c>
      <c r="B327" s="2" t="s">
        <v>25</v>
      </c>
      <c r="C327" s="2">
        <v>46.1</v>
      </c>
      <c r="D327" s="6">
        <f>(Table2_1[[#This Row],[Constant Prices]]-C326)/C326</f>
        <v>-6.4655172413792495E-3</v>
      </c>
      <c r="E327" s="6">
        <f>(Table2_1[[#This Row],[Constant Prices]]-C323)/C323</f>
        <v>-5.7259713701431438E-2</v>
      </c>
      <c r="F327" s="2">
        <v>23.4</v>
      </c>
      <c r="G327" s="7">
        <f>(Table2_1[[#This Row],[Current Prices]]-F326)/F326</f>
        <v>5.4999999999999991</v>
      </c>
      <c r="H327" s="7">
        <f>(Table2_1[[#This Row],[Current Prices]]-F323)/F323</f>
        <v>-0.51250000000000007</v>
      </c>
      <c r="I327" s="2">
        <v>3</v>
      </c>
    </row>
    <row r="328" spans="1:9" x14ac:dyDescent="0.3">
      <c r="A328" s="2" t="s">
        <v>76</v>
      </c>
      <c r="B328" s="2" t="s">
        <v>26</v>
      </c>
      <c r="C328" s="2">
        <v>44.1</v>
      </c>
      <c r="D328" s="6">
        <f>(Table2_1[[#This Row],[Constant Prices]]-C327)/C327</f>
        <v>-4.3383947939262472E-2</v>
      </c>
      <c r="E328" s="6">
        <f>(Table2_1[[#This Row],[Constant Prices]]-C324)/C324</f>
        <v>-9.8159509202453935E-2</v>
      </c>
      <c r="F328" s="2">
        <v>25.7</v>
      </c>
      <c r="G328" s="7">
        <f>(Table2_1[[#This Row],[Current Prices]]-F327)/F327</f>
        <v>9.829059829059833E-2</v>
      </c>
      <c r="H328" s="7">
        <f>(Table2_1[[#This Row],[Current Prices]]-F324)/F324</f>
        <v>-0.31283422459893045</v>
      </c>
      <c r="I328" s="2"/>
    </row>
    <row r="329" spans="1:9" x14ac:dyDescent="0.3">
      <c r="A329" s="2" t="s">
        <v>76</v>
      </c>
      <c r="B329" s="2" t="s">
        <v>27</v>
      </c>
      <c r="C329" s="2">
        <v>45</v>
      </c>
      <c r="D329" s="6">
        <f>(Table2_1[[#This Row],[Constant Prices]]-C328)/C328</f>
        <v>2.040816326530609E-2</v>
      </c>
      <c r="E329" s="6">
        <f>(Table2_1[[#This Row],[Constant Prices]]-C325)/C325</f>
        <v>-6.25E-2</v>
      </c>
      <c r="F329" s="2">
        <v>23.4</v>
      </c>
      <c r="G329" s="7">
        <f>(Table2_1[[#This Row],[Current Prices]]-F328)/F328</f>
        <v>-8.9494163424124543E-2</v>
      </c>
      <c r="H329" s="7">
        <f>(Table2_1[[#This Row],[Current Prices]]-F325)/F325</f>
        <v>-8.2352941176470643E-2</v>
      </c>
      <c r="I329" s="2"/>
    </row>
    <row r="330" spans="1:9" x14ac:dyDescent="0.3">
      <c r="A330" s="2" t="s">
        <v>76</v>
      </c>
      <c r="B330" s="2" t="s">
        <v>28</v>
      </c>
      <c r="C330" s="2">
        <v>42.9</v>
      </c>
      <c r="D330" s="6">
        <f>(Table2_1[[#This Row],[Constant Prices]]-C329)/C329</f>
        <v>-4.6666666666666697E-2</v>
      </c>
      <c r="E330" s="6">
        <f>(Table2_1[[#This Row],[Constant Prices]]-C326)/C326</f>
        <v>-7.5431034482758619E-2</v>
      </c>
      <c r="F330" s="2">
        <v>30.8</v>
      </c>
      <c r="G330" s="7">
        <f>(Table2_1[[#This Row],[Current Prices]]-F329)/F329</f>
        <v>0.31623931623931634</v>
      </c>
      <c r="H330" s="7">
        <f>(Table2_1[[#This Row],[Current Prices]]-F326)/F326</f>
        <v>7.5555555555555554</v>
      </c>
      <c r="I330" s="2"/>
    </row>
    <row r="331" spans="1:9" x14ac:dyDescent="0.3">
      <c r="A331" s="2" t="s">
        <v>76</v>
      </c>
      <c r="B331" s="2" t="s">
        <v>29</v>
      </c>
      <c r="C331" s="2">
        <v>43.9</v>
      </c>
      <c r="D331" s="6">
        <f>(Table2_1[[#This Row],[Constant Prices]]-C330)/C330</f>
        <v>2.3310023310023312E-2</v>
      </c>
      <c r="E331" s="6">
        <f>(Table2_1[[#This Row],[Constant Prices]]-C327)/C327</f>
        <v>-4.7722342733188781E-2</v>
      </c>
      <c r="F331" s="2">
        <v>32.9</v>
      </c>
      <c r="G331" s="7">
        <f>(Table2_1[[#This Row],[Current Prices]]-F330)/F330</f>
        <v>6.8181818181818107E-2</v>
      </c>
      <c r="H331" s="7">
        <f>(Table2_1[[#This Row],[Current Prices]]-F327)/F327</f>
        <v>0.40598290598290598</v>
      </c>
      <c r="I331" s="2">
        <v>4</v>
      </c>
    </row>
    <row r="332" spans="1:9" x14ac:dyDescent="0.3">
      <c r="A332" s="2" t="s">
        <v>76</v>
      </c>
      <c r="B332" s="2" t="s">
        <v>30</v>
      </c>
      <c r="C332" s="2">
        <v>42.9</v>
      </c>
      <c r="D332" s="6">
        <f>(Table2_1[[#This Row],[Constant Prices]]-C331)/C331</f>
        <v>-2.2779043280182234E-2</v>
      </c>
      <c r="E332" s="6">
        <f>(Table2_1[[#This Row],[Constant Prices]]-C328)/C328</f>
        <v>-2.7210884353741562E-2</v>
      </c>
      <c r="F332" s="2">
        <v>39.4</v>
      </c>
      <c r="G332" s="7">
        <f>(Table2_1[[#This Row],[Current Prices]]-F331)/F331</f>
        <v>0.19756838905775076</v>
      </c>
      <c r="H332" s="7">
        <f>(Table2_1[[#This Row],[Current Prices]]-F328)/F328</f>
        <v>0.53307392996108949</v>
      </c>
      <c r="I332" s="2"/>
    </row>
    <row r="333" spans="1:9" x14ac:dyDescent="0.3">
      <c r="A333" s="2" t="s">
        <v>76</v>
      </c>
      <c r="B333" s="2" t="s">
        <v>31</v>
      </c>
      <c r="C333" s="2">
        <v>42.5</v>
      </c>
      <c r="D333" s="6">
        <f>(Table2_1[[#This Row],[Constant Prices]]-C332)/C332</f>
        <v>-9.324009324009291E-3</v>
      </c>
      <c r="E333" s="6">
        <f>(Table2_1[[#This Row],[Constant Prices]]-C329)/C329</f>
        <v>-5.5555555555555552E-2</v>
      </c>
      <c r="F333" s="2">
        <v>37</v>
      </c>
      <c r="G333" s="7">
        <f>(Table2_1[[#This Row],[Current Prices]]-F332)/F332</f>
        <v>-6.0913705583756313E-2</v>
      </c>
      <c r="H333" s="7">
        <f>(Table2_1[[#This Row],[Current Prices]]-F329)/F329</f>
        <v>0.58119658119658124</v>
      </c>
      <c r="I333" s="2"/>
    </row>
    <row r="334" spans="1:9" x14ac:dyDescent="0.3">
      <c r="A334" s="2" t="s">
        <v>76</v>
      </c>
      <c r="B334" s="2" t="s">
        <v>32</v>
      </c>
      <c r="C334" s="2">
        <v>30.7</v>
      </c>
      <c r="D334" s="6">
        <f>(Table2_1[[#This Row],[Constant Prices]]-C333)/C333</f>
        <v>-0.27764705882352941</v>
      </c>
      <c r="E334" s="6">
        <f>(Table2_1[[#This Row],[Constant Prices]]-C330)/C330</f>
        <v>-0.28438228438228436</v>
      </c>
      <c r="F334" s="2">
        <v>42.4</v>
      </c>
      <c r="G334" s="7">
        <f>(Table2_1[[#This Row],[Current Prices]]-F333)/F333</f>
        <v>0.1459459459459459</v>
      </c>
      <c r="H334" s="7">
        <f>(Table2_1[[#This Row],[Current Prices]]-F330)/F330</f>
        <v>0.37662337662337653</v>
      </c>
      <c r="I334" s="2"/>
    </row>
    <row r="335" spans="1:9" x14ac:dyDescent="0.3">
      <c r="A335" s="2" t="s">
        <v>76</v>
      </c>
      <c r="B335" s="2" t="s">
        <v>33</v>
      </c>
      <c r="C335" s="2">
        <v>32.5</v>
      </c>
      <c r="D335" s="6">
        <f>(Table2_1[[#This Row],[Constant Prices]]-C334)/C334</f>
        <v>5.8631921824104261E-2</v>
      </c>
      <c r="E335" s="6">
        <f>(Table2_1[[#This Row],[Constant Prices]]-C331)/C331</f>
        <v>-0.25968109339407741</v>
      </c>
      <c r="F335" s="2">
        <v>29.8</v>
      </c>
      <c r="G335" s="7">
        <f>(Table2_1[[#This Row],[Current Prices]]-F334)/F334</f>
        <v>-0.29716981132075465</v>
      </c>
      <c r="H335" s="7">
        <f>(Table2_1[[#This Row],[Current Prices]]-F331)/F331</f>
        <v>-9.4224924012157998E-2</v>
      </c>
      <c r="I335" s="2">
        <v>5</v>
      </c>
    </row>
    <row r="336" spans="1:9" x14ac:dyDescent="0.3">
      <c r="A336" s="2" t="s">
        <v>76</v>
      </c>
      <c r="B336" s="2" t="s">
        <v>34</v>
      </c>
      <c r="C336" s="2">
        <v>22.6</v>
      </c>
      <c r="D336" s="6">
        <f>(Table2_1[[#This Row],[Constant Prices]]-C335)/C335</f>
        <v>-0.30461538461538457</v>
      </c>
      <c r="E336" s="6">
        <f>(Table2_1[[#This Row],[Constant Prices]]-C332)/C332</f>
        <v>-0.47319347319347316</v>
      </c>
      <c r="F336" s="2">
        <v>22.6</v>
      </c>
      <c r="G336" s="7">
        <f>(Table2_1[[#This Row],[Current Prices]]-F335)/F335</f>
        <v>-0.24161073825503351</v>
      </c>
      <c r="H336" s="7">
        <f>(Table2_1[[#This Row],[Current Prices]]-F332)/F332</f>
        <v>-0.42639593908629436</v>
      </c>
      <c r="I336" s="2"/>
    </row>
    <row r="337" spans="1:9" x14ac:dyDescent="0.3">
      <c r="A337" s="2" t="s">
        <v>76</v>
      </c>
      <c r="B337" s="2" t="s">
        <v>35</v>
      </c>
      <c r="C337" s="2">
        <v>14.4</v>
      </c>
      <c r="D337" s="6">
        <f>(Table2_1[[#This Row],[Constant Prices]]-C336)/C336</f>
        <v>-0.36283185840707965</v>
      </c>
      <c r="E337" s="6">
        <f>(Table2_1[[#This Row],[Constant Prices]]-C333)/C333</f>
        <v>-0.66117647058823537</v>
      </c>
      <c r="F337" s="2">
        <v>9.8000000000000007</v>
      </c>
      <c r="G337" s="7">
        <f>(Table2_1[[#This Row],[Current Prices]]-F336)/F336</f>
        <v>-0.5663716814159292</v>
      </c>
      <c r="H337" s="7">
        <f>(Table2_1[[#This Row],[Current Prices]]-F333)/F333</f>
        <v>-0.73513513513513506</v>
      </c>
      <c r="I337" s="2"/>
    </row>
    <row r="338" spans="1:9" x14ac:dyDescent="0.3">
      <c r="A338" s="2" t="s">
        <v>76</v>
      </c>
      <c r="B338" s="2" t="s">
        <v>36</v>
      </c>
      <c r="C338" s="2">
        <v>15.5</v>
      </c>
      <c r="D338" s="6">
        <f>(Table2_1[[#This Row],[Constant Prices]]-C337)/C337</f>
        <v>7.6388888888888867E-2</v>
      </c>
      <c r="E338" s="6">
        <f>(Table2_1[[#This Row],[Constant Prices]]-C334)/C334</f>
        <v>-0.49511400651465798</v>
      </c>
      <c r="F338" s="2">
        <v>13.7</v>
      </c>
      <c r="G338" s="7">
        <f>(Table2_1[[#This Row],[Current Prices]]-F337)/F337</f>
        <v>0.39795918367346922</v>
      </c>
      <c r="H338" s="7">
        <f>(Table2_1[[#This Row],[Current Prices]]-F334)/F334</f>
        <v>-0.67688679245283023</v>
      </c>
      <c r="I338" s="2"/>
    </row>
    <row r="339" spans="1:9" x14ac:dyDescent="0.3">
      <c r="A339" s="2" t="s">
        <v>76</v>
      </c>
      <c r="B339" s="2" t="s">
        <v>37</v>
      </c>
      <c r="C339" s="2">
        <v>11.4</v>
      </c>
      <c r="D339" s="6">
        <f>(Table2_1[[#This Row],[Constant Prices]]-C338)/C338</f>
        <v>-0.26451612903225802</v>
      </c>
      <c r="E339" s="6">
        <f>(Table2_1[[#This Row],[Constant Prices]]-C335)/C335</f>
        <v>-0.64923076923076928</v>
      </c>
      <c r="F339" s="2">
        <v>16.3</v>
      </c>
      <c r="G339" s="7">
        <f>(Table2_1[[#This Row],[Current Prices]]-F338)/F338</f>
        <v>0.18978102189781032</v>
      </c>
      <c r="H339" s="7">
        <f>(Table2_1[[#This Row],[Current Prices]]-F335)/F335</f>
        <v>-0.45302013422818793</v>
      </c>
      <c r="I339" s="2">
        <v>6</v>
      </c>
    </row>
    <row r="340" spans="1:9" x14ac:dyDescent="0.3">
      <c r="A340" s="2" t="s">
        <v>76</v>
      </c>
      <c r="B340" s="2" t="s">
        <v>38</v>
      </c>
      <c r="C340" s="2">
        <v>13.1</v>
      </c>
      <c r="D340" s="6">
        <f>(Table2_1[[#This Row],[Constant Prices]]-C339)/C339</f>
        <v>0.1491228070175438</v>
      </c>
      <c r="E340" s="6">
        <f>(Table2_1[[#This Row],[Constant Prices]]-C336)/C336</f>
        <v>-0.420353982300885</v>
      </c>
      <c r="F340" s="2">
        <v>2.4</v>
      </c>
      <c r="G340" s="7">
        <f>(Table2_1[[#This Row],[Current Prices]]-F339)/F339</f>
        <v>-0.85276073619631898</v>
      </c>
      <c r="H340" s="7">
        <f>(Table2_1[[#This Row],[Current Prices]]-F336)/F336</f>
        <v>-0.89380530973451333</v>
      </c>
      <c r="I340" s="2"/>
    </row>
    <row r="341" spans="1:9" x14ac:dyDescent="0.3">
      <c r="A341" s="2" t="s">
        <v>76</v>
      </c>
      <c r="B341" s="2" t="s">
        <v>39</v>
      </c>
      <c r="C341" s="2">
        <v>15.1</v>
      </c>
      <c r="D341" s="6">
        <f>(Table2_1[[#This Row],[Constant Prices]]-C340)/C340</f>
        <v>0.15267175572519084</v>
      </c>
      <c r="E341" s="6">
        <f>(Table2_1[[#This Row],[Constant Prices]]-C337)/C337</f>
        <v>4.8611111111111063E-2</v>
      </c>
      <c r="F341" s="2">
        <v>11</v>
      </c>
      <c r="G341" s="7">
        <f>(Table2_1[[#This Row],[Current Prices]]-F340)/F340</f>
        <v>3.5833333333333335</v>
      </c>
      <c r="H341" s="7">
        <f>(Table2_1[[#This Row],[Current Prices]]-F337)/F337</f>
        <v>0.12244897959183665</v>
      </c>
      <c r="I341" s="2"/>
    </row>
    <row r="342" spans="1:9" x14ac:dyDescent="0.3">
      <c r="A342" s="2" t="s">
        <v>76</v>
      </c>
      <c r="B342" s="2" t="s">
        <v>40</v>
      </c>
      <c r="C342" s="2">
        <v>17.899999999999999</v>
      </c>
      <c r="D342" s="6">
        <f>(Table2_1[[#This Row],[Constant Prices]]-C341)/C341</f>
        <v>0.18543046357615886</v>
      </c>
      <c r="E342" s="6">
        <f>(Table2_1[[#This Row],[Constant Prices]]-C338)/C338</f>
        <v>0.15483870967741925</v>
      </c>
      <c r="F342" s="2">
        <v>16.2</v>
      </c>
      <c r="G342" s="7">
        <f>(Table2_1[[#This Row],[Current Prices]]-F341)/F341</f>
        <v>0.47272727272727266</v>
      </c>
      <c r="H342" s="7">
        <f>(Table2_1[[#This Row],[Current Prices]]-F338)/F338</f>
        <v>0.18248175182481752</v>
      </c>
      <c r="I342" s="2"/>
    </row>
    <row r="343" spans="1:9" x14ac:dyDescent="0.3">
      <c r="A343" s="2" t="s">
        <v>76</v>
      </c>
      <c r="B343" s="2" t="s">
        <v>41</v>
      </c>
      <c r="C343" s="2">
        <v>12.1</v>
      </c>
      <c r="D343" s="6">
        <f>(Table2_1[[#This Row],[Constant Prices]]-C342)/C342</f>
        <v>-0.32402234636871508</v>
      </c>
      <c r="E343" s="6">
        <f>(Table2_1[[#This Row],[Constant Prices]]-C339)/C339</f>
        <v>6.1403508771929759E-2</v>
      </c>
      <c r="F343" s="2">
        <v>2.6</v>
      </c>
      <c r="G343" s="7">
        <f>(Table2_1[[#This Row],[Current Prices]]-F342)/F342</f>
        <v>-0.83950617283950624</v>
      </c>
      <c r="H343" s="7">
        <f>(Table2_1[[#This Row],[Current Prices]]-F339)/F339</f>
        <v>-0.8404907975460123</v>
      </c>
      <c r="I343" s="2">
        <v>7</v>
      </c>
    </row>
    <row r="344" spans="1:9" x14ac:dyDescent="0.3">
      <c r="A344" s="2" t="s">
        <v>76</v>
      </c>
      <c r="B344" s="2" t="s">
        <v>42</v>
      </c>
      <c r="C344" s="2">
        <v>12.9</v>
      </c>
      <c r="D344" s="6">
        <f>(Table2_1[[#This Row],[Constant Prices]]-C343)/C343</f>
        <v>6.61157024793389E-2</v>
      </c>
      <c r="E344" s="6">
        <f>(Table2_1[[#This Row],[Constant Prices]]-C340)/C340</f>
        <v>-1.526717557251903E-2</v>
      </c>
      <c r="F344" s="2">
        <v>0.8</v>
      </c>
      <c r="G344" s="7">
        <f>(Table2_1[[#This Row],[Current Prices]]-F343)/F343</f>
        <v>-0.69230769230769229</v>
      </c>
      <c r="H344" s="7">
        <f>(Table2_1[[#This Row],[Current Prices]]-F340)/F340</f>
        <v>-0.66666666666666663</v>
      </c>
      <c r="I344" s="2"/>
    </row>
    <row r="345" spans="1:9" x14ac:dyDescent="0.3">
      <c r="A345" s="2" t="s">
        <v>76</v>
      </c>
      <c r="B345" s="2" t="s">
        <v>43</v>
      </c>
      <c r="C345" s="2">
        <v>15.5</v>
      </c>
      <c r="D345" s="6">
        <f>(Table2_1[[#This Row],[Constant Prices]]-C344)/C344</f>
        <v>0.20155038759689919</v>
      </c>
      <c r="E345" s="6">
        <f>(Table2_1[[#This Row],[Constant Prices]]-C341)/C341</f>
        <v>2.6490066225165587E-2</v>
      </c>
      <c r="F345" s="2">
        <v>14.9</v>
      </c>
      <c r="G345" s="7">
        <f>(Table2_1[[#This Row],[Current Prices]]-F344)/F344</f>
        <v>17.625</v>
      </c>
      <c r="H345" s="7">
        <f>(Table2_1[[#This Row],[Current Prices]]-F341)/F341</f>
        <v>0.35454545454545455</v>
      </c>
      <c r="I345" s="2"/>
    </row>
    <row r="346" spans="1:9" x14ac:dyDescent="0.3">
      <c r="A346" s="2" t="s">
        <v>76</v>
      </c>
      <c r="B346" s="2" t="s">
        <v>44</v>
      </c>
      <c r="C346" s="2">
        <v>16.2</v>
      </c>
      <c r="D346" s="6">
        <f>(Table2_1[[#This Row],[Constant Prices]]-C345)/C345</f>
        <v>4.5161290322580601E-2</v>
      </c>
      <c r="E346" s="6">
        <f>(Table2_1[[#This Row],[Constant Prices]]-C342)/C342</f>
        <v>-9.4972067039106114E-2</v>
      </c>
      <c r="F346" s="2">
        <v>12.2</v>
      </c>
      <c r="G346" s="7">
        <f>(Table2_1[[#This Row],[Current Prices]]-F345)/F345</f>
        <v>-0.18120805369127524</v>
      </c>
      <c r="H346" s="7">
        <f>(Table2_1[[#This Row],[Current Prices]]-F342)/F342</f>
        <v>-0.24691358024691359</v>
      </c>
      <c r="I346" s="2"/>
    </row>
    <row r="347" spans="1:9" x14ac:dyDescent="0.3">
      <c r="A347" s="2" t="s">
        <v>76</v>
      </c>
      <c r="B347" s="2" t="s">
        <v>45</v>
      </c>
      <c r="C347" s="2">
        <v>17.600000000000001</v>
      </c>
      <c r="D347" s="6">
        <f>(Table2_1[[#This Row],[Constant Prices]]-C346)/C346</f>
        <v>8.6419753086419887E-2</v>
      </c>
      <c r="E347" s="6">
        <f>(Table2_1[[#This Row],[Constant Prices]]-C343)/C343</f>
        <v>0.4545454545454547</v>
      </c>
      <c r="F347" s="2">
        <v>10.1</v>
      </c>
      <c r="G347" s="7">
        <f>(Table2_1[[#This Row],[Current Prices]]-F346)/F346</f>
        <v>-0.17213114754098358</v>
      </c>
      <c r="H347" s="7">
        <f>(Table2_1[[#This Row],[Current Prices]]-F343)/F343</f>
        <v>2.8846153846153846</v>
      </c>
      <c r="I347" s="2">
        <v>8</v>
      </c>
    </row>
    <row r="348" spans="1:9" x14ac:dyDescent="0.3">
      <c r="A348" s="2" t="s">
        <v>76</v>
      </c>
      <c r="B348" s="2" t="s">
        <v>46</v>
      </c>
      <c r="C348" s="2">
        <v>9.6999999999999993</v>
      </c>
      <c r="D348" s="6">
        <f>(Table2_1[[#This Row],[Constant Prices]]-C347)/C347</f>
        <v>-0.44886363636363646</v>
      </c>
      <c r="E348" s="6">
        <f>(Table2_1[[#This Row],[Constant Prices]]-C344)/C344</f>
        <v>-0.24806201550387605</v>
      </c>
      <c r="F348" s="2">
        <v>4.8</v>
      </c>
      <c r="G348" s="7">
        <f>(Table2_1[[#This Row],[Current Prices]]-F347)/F347</f>
        <v>-0.52475247524752477</v>
      </c>
      <c r="H348" s="7">
        <f>(Table2_1[[#This Row],[Current Prices]]-F344)/F344</f>
        <v>5</v>
      </c>
      <c r="I348" s="2"/>
    </row>
    <row r="349" spans="1:9" x14ac:dyDescent="0.3">
      <c r="A349" s="2" t="s">
        <v>76</v>
      </c>
      <c r="B349" s="2" t="s">
        <v>47</v>
      </c>
      <c r="C349" s="2">
        <v>8.5</v>
      </c>
      <c r="D349" s="6">
        <f>(Table2_1[[#This Row],[Constant Prices]]-C348)/C348</f>
        <v>-0.1237113402061855</v>
      </c>
      <c r="E349" s="6">
        <f>(Table2_1[[#This Row],[Constant Prices]]-C345)/C345</f>
        <v>-0.45161290322580644</v>
      </c>
      <c r="F349" s="2">
        <v>7</v>
      </c>
      <c r="G349" s="7">
        <f>(Table2_1[[#This Row],[Current Prices]]-F348)/F348</f>
        <v>0.45833333333333337</v>
      </c>
      <c r="H349" s="7">
        <f>(Table2_1[[#This Row],[Current Prices]]-F345)/F345</f>
        <v>-0.53020134228187921</v>
      </c>
      <c r="I349" s="2"/>
    </row>
    <row r="350" spans="1:9" x14ac:dyDescent="0.3">
      <c r="A350" s="2" t="s">
        <v>76</v>
      </c>
      <c r="B350" s="2" t="s">
        <v>48</v>
      </c>
      <c r="C350" s="2">
        <v>7.2</v>
      </c>
      <c r="D350" s="6">
        <f>(Table2_1[[#This Row],[Constant Prices]]-C349)/C349</f>
        <v>-0.15294117647058822</v>
      </c>
      <c r="E350" s="6">
        <f>(Table2_1[[#This Row],[Constant Prices]]-C346)/C346</f>
        <v>-0.55555555555555558</v>
      </c>
      <c r="F350" s="2">
        <v>6.9</v>
      </c>
      <c r="G350" s="7">
        <f>(Table2_1[[#This Row],[Current Prices]]-F349)/F349</f>
        <v>-1.4285714285714235E-2</v>
      </c>
      <c r="H350" s="7">
        <f>(Table2_1[[#This Row],[Current Prices]]-F346)/F346</f>
        <v>-0.43442622950819665</v>
      </c>
      <c r="I350" s="2"/>
    </row>
    <row r="351" spans="1:9" x14ac:dyDescent="0.3">
      <c r="A351" s="2" t="s">
        <v>76</v>
      </c>
      <c r="B351" s="2" t="s">
        <v>49</v>
      </c>
      <c r="C351" s="2">
        <v>17.8</v>
      </c>
      <c r="D351" s="6">
        <f>(Table2_1[[#This Row],[Constant Prices]]-C350)/C350</f>
        <v>1.4722222222222223</v>
      </c>
      <c r="E351" s="6">
        <f>(Table2_1[[#This Row],[Constant Prices]]-C347)/C347</f>
        <v>1.1363636363636322E-2</v>
      </c>
      <c r="F351" s="2">
        <v>8.4</v>
      </c>
      <c r="G351" s="7">
        <f>(Table2_1[[#This Row],[Current Prices]]-F350)/F350</f>
        <v>0.21739130434782608</v>
      </c>
      <c r="H351" s="7">
        <f>(Table2_1[[#This Row],[Current Prices]]-F347)/F347</f>
        <v>-0.16831683168316824</v>
      </c>
      <c r="I351" s="2">
        <v>9</v>
      </c>
    </row>
    <row r="352" spans="1:9" x14ac:dyDescent="0.3">
      <c r="A352" s="2" t="s">
        <v>76</v>
      </c>
      <c r="B352" s="2" t="s">
        <v>50</v>
      </c>
      <c r="C352" s="2">
        <v>35.4</v>
      </c>
      <c r="D352" s="6">
        <f>(Table2_1[[#This Row],[Constant Prices]]-C351)/C351</f>
        <v>0.98876404494382009</v>
      </c>
      <c r="E352" s="6">
        <f>(Table2_1[[#This Row],[Constant Prices]]-C348)/C348</f>
        <v>2.6494845360824741</v>
      </c>
      <c r="F352" s="2">
        <v>10.1</v>
      </c>
      <c r="G352" s="7">
        <f>(Table2_1[[#This Row],[Current Prices]]-F351)/F351</f>
        <v>0.2023809523809523</v>
      </c>
      <c r="H352" s="7">
        <f>(Table2_1[[#This Row],[Current Prices]]-F348)/F348</f>
        <v>1.1041666666666667</v>
      </c>
      <c r="I352" s="2"/>
    </row>
    <row r="353" spans="1:9" x14ac:dyDescent="0.3">
      <c r="A353" s="2" t="s">
        <v>76</v>
      </c>
      <c r="B353" s="2" t="s">
        <v>51</v>
      </c>
      <c r="C353" s="2">
        <v>27</v>
      </c>
      <c r="D353" s="6">
        <f>(Table2_1[[#This Row],[Constant Prices]]-C352)/C352</f>
        <v>-0.23728813559322032</v>
      </c>
      <c r="E353" s="6">
        <f>(Table2_1[[#This Row],[Constant Prices]]-C349)/C349</f>
        <v>2.1764705882352939</v>
      </c>
      <c r="F353" s="2">
        <v>22.5</v>
      </c>
      <c r="G353" s="7">
        <f>(Table2_1[[#This Row],[Current Prices]]-F352)/F352</f>
        <v>1.2277227722772277</v>
      </c>
      <c r="H353" s="7">
        <f>(Table2_1[[#This Row],[Current Prices]]-F349)/F349</f>
        <v>2.2142857142857144</v>
      </c>
      <c r="I353" s="2"/>
    </row>
    <row r="354" spans="1:9" x14ac:dyDescent="0.3">
      <c r="A354" s="2" t="s">
        <v>76</v>
      </c>
      <c r="B354" s="2" t="s">
        <v>52</v>
      </c>
      <c r="C354" s="2">
        <v>30.8</v>
      </c>
      <c r="D354" s="6">
        <f>(Table2_1[[#This Row],[Constant Prices]]-C353)/C353</f>
        <v>0.14074074074074078</v>
      </c>
      <c r="E354" s="6">
        <f>(Table2_1[[#This Row],[Constant Prices]]-C350)/C350</f>
        <v>3.2777777777777777</v>
      </c>
      <c r="F354" s="2">
        <v>27.4</v>
      </c>
      <c r="G354" s="7">
        <f>(Table2_1[[#This Row],[Current Prices]]-F353)/F353</f>
        <v>0.21777777777777771</v>
      </c>
      <c r="H354" s="7">
        <f>(Table2_1[[#This Row],[Current Prices]]-F350)/F350</f>
        <v>2.9710144927536231</v>
      </c>
      <c r="I354" s="2"/>
    </row>
    <row r="355" spans="1:9" x14ac:dyDescent="0.3">
      <c r="A355" s="2" t="s">
        <v>76</v>
      </c>
      <c r="B355" s="2" t="s">
        <v>53</v>
      </c>
      <c r="C355" s="2">
        <v>9.6999999999999993</v>
      </c>
      <c r="D355" s="6">
        <f>(Table2_1[[#This Row],[Constant Prices]]-C354)/C354</f>
        <v>-0.68506493506493504</v>
      </c>
      <c r="E355" s="6">
        <f>(Table2_1[[#This Row],[Constant Prices]]-C351)/C351</f>
        <v>-0.45505617977528096</v>
      </c>
      <c r="F355" s="2">
        <v>17.2</v>
      </c>
      <c r="G355" s="7">
        <f>(Table2_1[[#This Row],[Current Prices]]-F354)/F354</f>
        <v>-0.37226277372262773</v>
      </c>
      <c r="H355" s="7">
        <f>(Table2_1[[#This Row],[Current Prices]]-F351)/F351</f>
        <v>1.0476190476190474</v>
      </c>
      <c r="I355" s="2">
        <v>10</v>
      </c>
    </row>
    <row r="356" spans="1:9" x14ac:dyDescent="0.3">
      <c r="A356" s="2" t="s">
        <v>76</v>
      </c>
      <c r="B356" s="2" t="s">
        <v>54</v>
      </c>
      <c r="C356" s="2">
        <v>30.1</v>
      </c>
      <c r="D356" s="6">
        <f>(Table2_1[[#This Row],[Constant Prices]]-C355)/C355</f>
        <v>2.1030927835051552</v>
      </c>
      <c r="E356" s="6">
        <f>(Table2_1[[#This Row],[Constant Prices]]-C352)/C352</f>
        <v>-0.14971751412429371</v>
      </c>
      <c r="F356" s="2">
        <v>10</v>
      </c>
      <c r="G356" s="7">
        <f>(Table2_1[[#This Row],[Current Prices]]-F355)/F355</f>
        <v>-0.41860465116279066</v>
      </c>
      <c r="H356" s="7">
        <f>(Table2_1[[#This Row],[Current Prices]]-F352)/F352</f>
        <v>-9.9009900990098664E-3</v>
      </c>
      <c r="I356" s="2"/>
    </row>
    <row r="357" spans="1:9" x14ac:dyDescent="0.3">
      <c r="A357" s="2" t="s">
        <v>76</v>
      </c>
      <c r="B357" s="2" t="s">
        <v>55</v>
      </c>
      <c r="C357" s="2">
        <v>27.5</v>
      </c>
      <c r="D357" s="6">
        <f>(Table2_1[[#This Row],[Constant Prices]]-C356)/C356</f>
        <v>-8.6378737541528278E-2</v>
      </c>
      <c r="E357" s="6">
        <f>(Table2_1[[#This Row],[Constant Prices]]-C353)/C353</f>
        <v>1.8518518518518517E-2</v>
      </c>
      <c r="F357" s="2">
        <v>17.100000000000001</v>
      </c>
      <c r="G357" s="7">
        <f>(Table2_1[[#This Row],[Current Prices]]-F356)/F356</f>
        <v>0.71000000000000019</v>
      </c>
      <c r="H357" s="7">
        <f>(Table2_1[[#This Row],[Current Prices]]-F353)/F353</f>
        <v>-0.23999999999999994</v>
      </c>
      <c r="I357" s="2"/>
    </row>
    <row r="358" spans="1:9" x14ac:dyDescent="0.3">
      <c r="A358" s="2" t="s">
        <v>76</v>
      </c>
      <c r="B358" s="2" t="s">
        <v>56</v>
      </c>
      <c r="C358" s="2">
        <v>22.1</v>
      </c>
      <c r="D358" s="6">
        <f>(Table2_1[[#This Row],[Constant Prices]]-C357)/C357</f>
        <v>-0.19636363636363632</v>
      </c>
      <c r="E358" s="6">
        <f>(Table2_1[[#This Row],[Constant Prices]]-C354)/C354</f>
        <v>-0.28246753246753242</v>
      </c>
      <c r="F358" s="2">
        <v>12.8</v>
      </c>
      <c r="G358" s="7">
        <f>(Table2_1[[#This Row],[Current Prices]]-F357)/F357</f>
        <v>-0.25146198830409361</v>
      </c>
      <c r="H358" s="7">
        <f>(Table2_1[[#This Row],[Current Prices]]-F354)/F354</f>
        <v>-0.53284671532846706</v>
      </c>
      <c r="I358" s="2"/>
    </row>
    <row r="359" spans="1:9" x14ac:dyDescent="0.3">
      <c r="A359" s="2" t="s">
        <v>76</v>
      </c>
      <c r="B359" s="2" t="s">
        <v>57</v>
      </c>
      <c r="C359" s="2">
        <v>25.6</v>
      </c>
      <c r="D359" s="6">
        <f>(Table2_1[[#This Row],[Constant Prices]]-C358)/C358</f>
        <v>0.15837104072398189</v>
      </c>
      <c r="E359" s="6">
        <f>(Table2_1[[#This Row],[Constant Prices]]-C355)/C355</f>
        <v>1.6391752577319592</v>
      </c>
      <c r="F359" s="2">
        <v>21.4</v>
      </c>
      <c r="G359" s="7">
        <f>(Table2_1[[#This Row],[Current Prices]]-F358)/F358</f>
        <v>0.67187499999999978</v>
      </c>
      <c r="H359" s="7">
        <f>(Table2_1[[#This Row],[Current Prices]]-F355)/F355</f>
        <v>0.24418604651162787</v>
      </c>
      <c r="I359" s="2">
        <v>11</v>
      </c>
    </row>
    <row r="360" spans="1:9" x14ac:dyDescent="0.3">
      <c r="A360" s="2" t="s">
        <v>76</v>
      </c>
      <c r="B360" s="2" t="s">
        <v>58</v>
      </c>
      <c r="C360" s="2">
        <v>30.2</v>
      </c>
      <c r="D360" s="6">
        <f>(Table2_1[[#This Row],[Constant Prices]]-C359)/C359</f>
        <v>0.17968749999999992</v>
      </c>
      <c r="E360" s="6">
        <f>(Table2_1[[#This Row],[Constant Prices]]-C356)/C356</f>
        <v>3.3222591362125535E-3</v>
      </c>
      <c r="F360" s="2">
        <v>7.7</v>
      </c>
      <c r="G360" s="7">
        <f>(Table2_1[[#This Row],[Current Prices]]-F359)/F359</f>
        <v>-0.64018691588785048</v>
      </c>
      <c r="H360" s="7">
        <f>(Table2_1[[#This Row],[Current Prices]]-F356)/F356</f>
        <v>-0.22999999999999998</v>
      </c>
      <c r="I360" s="2"/>
    </row>
    <row r="361" spans="1:9" x14ac:dyDescent="0.3">
      <c r="A361" s="2" t="s">
        <v>76</v>
      </c>
      <c r="B361" s="2" t="s">
        <v>59</v>
      </c>
      <c r="C361" s="2">
        <v>32.9</v>
      </c>
      <c r="D361" s="6">
        <f>(Table2_1[[#This Row],[Constant Prices]]-C360)/C360</f>
        <v>8.940397350993376E-2</v>
      </c>
      <c r="E361" s="6">
        <f>(Table2_1[[#This Row],[Constant Prices]]-C357)/C357</f>
        <v>0.19636363636363632</v>
      </c>
      <c r="F361" s="2">
        <v>23.6</v>
      </c>
      <c r="G361" s="7">
        <f>(Table2_1[[#This Row],[Current Prices]]-F360)/F360</f>
        <v>2.0649350649350651</v>
      </c>
      <c r="H361" s="7">
        <f>(Table2_1[[#This Row],[Current Prices]]-F357)/F357</f>
        <v>0.38011695906432746</v>
      </c>
      <c r="I361" s="2"/>
    </row>
    <row r="362" spans="1:9" x14ac:dyDescent="0.3">
      <c r="A362" s="2" t="s">
        <v>76</v>
      </c>
      <c r="B362" s="2" t="s">
        <v>60</v>
      </c>
      <c r="C362" s="2">
        <v>29.1</v>
      </c>
      <c r="D362" s="6">
        <f>(Table2_1[[#This Row],[Constant Prices]]-C361)/C361</f>
        <v>-0.11550151975683882</v>
      </c>
      <c r="E362" s="6">
        <f>(Table2_1[[#This Row],[Constant Prices]]-C358)/C358</f>
        <v>0.31674208144796379</v>
      </c>
      <c r="F362" s="2">
        <v>22.3</v>
      </c>
      <c r="G362" s="7">
        <f>(Table2_1[[#This Row],[Current Prices]]-F361)/F361</f>
        <v>-5.5084745762711891E-2</v>
      </c>
      <c r="H362" s="7">
        <f>(Table2_1[[#This Row],[Current Prices]]-F358)/F358</f>
        <v>0.7421875</v>
      </c>
      <c r="I362" s="2"/>
    </row>
    <row r="363" spans="1:9" x14ac:dyDescent="0.3">
      <c r="A363" s="2" t="s">
        <v>76</v>
      </c>
      <c r="B363" s="2" t="s">
        <v>61</v>
      </c>
      <c r="C363" s="2">
        <v>26.5</v>
      </c>
      <c r="D363" s="6">
        <f>(Table2_1[[#This Row],[Constant Prices]]-C362)/C362</f>
        <v>-8.9347079037800731E-2</v>
      </c>
      <c r="E363" s="6">
        <f>(Table2_1[[#This Row],[Constant Prices]]-C359)/C359</f>
        <v>3.5156249999999944E-2</v>
      </c>
      <c r="F363" s="2">
        <v>31.8</v>
      </c>
      <c r="G363" s="7">
        <f>(Table2_1[[#This Row],[Current Prices]]-F362)/F362</f>
        <v>0.42600896860986548</v>
      </c>
      <c r="H363" s="7">
        <f>(Table2_1[[#This Row],[Current Prices]]-F359)/F359</f>
        <v>0.48598130841121506</v>
      </c>
      <c r="I363" s="2">
        <v>12</v>
      </c>
    </row>
    <row r="364" spans="1:9" x14ac:dyDescent="0.3">
      <c r="A364" s="2" t="s">
        <v>76</v>
      </c>
      <c r="B364" s="2" t="s">
        <v>62</v>
      </c>
      <c r="C364" s="2">
        <v>20.8</v>
      </c>
      <c r="D364" s="6">
        <f>(Table2_1[[#This Row],[Constant Prices]]-C363)/C363</f>
        <v>-0.21509433962264149</v>
      </c>
      <c r="E364" s="6">
        <f>(Table2_1[[#This Row],[Constant Prices]]-C360)/C360</f>
        <v>-0.31125827814569534</v>
      </c>
      <c r="F364" s="2">
        <v>5.4</v>
      </c>
      <c r="G364" s="7">
        <f>(Table2_1[[#This Row],[Current Prices]]-F363)/F363</f>
        <v>-0.83018867924528295</v>
      </c>
      <c r="H364" s="7">
        <f>(Table2_1[[#This Row],[Current Prices]]-F360)/F360</f>
        <v>-0.29870129870129869</v>
      </c>
      <c r="I364" s="2"/>
    </row>
    <row r="365" spans="1:9" x14ac:dyDescent="0.3">
      <c r="A365" s="2" t="s">
        <v>76</v>
      </c>
      <c r="B365" s="2" t="s">
        <v>63</v>
      </c>
      <c r="C365" s="2">
        <v>5.0999999999999996</v>
      </c>
      <c r="D365" s="6">
        <f>(Table2_1[[#This Row],[Constant Prices]]-C364)/C364</f>
        <v>-0.75480769230769229</v>
      </c>
      <c r="E365" s="6">
        <f>(Table2_1[[#This Row],[Constant Prices]]-C361)/C361</f>
        <v>-0.84498480243161089</v>
      </c>
      <c r="F365" s="2">
        <v>6.4</v>
      </c>
      <c r="G365" s="7">
        <f>(Table2_1[[#This Row],[Current Prices]]-F364)/F364</f>
        <v>0.18518518518518517</v>
      </c>
      <c r="H365" s="7">
        <f>(Table2_1[[#This Row],[Current Prices]]-F361)/F361</f>
        <v>-0.72881355932203395</v>
      </c>
      <c r="I365" s="2"/>
    </row>
    <row r="366" spans="1:9" x14ac:dyDescent="0.3">
      <c r="A366" s="2" t="s">
        <v>76</v>
      </c>
      <c r="B366" s="2" t="s">
        <v>64</v>
      </c>
      <c r="C366" s="2">
        <v>7.1</v>
      </c>
      <c r="D366" s="6">
        <f>(Table2_1[[#This Row],[Constant Prices]]-C365)/C365</f>
        <v>0.39215686274509809</v>
      </c>
      <c r="E366" s="6">
        <f>(Table2_1[[#This Row],[Constant Prices]]-C362)/C362</f>
        <v>-0.75601374570446733</v>
      </c>
      <c r="F366" s="2">
        <v>10.5</v>
      </c>
      <c r="G366" s="7">
        <f>(Table2_1[[#This Row],[Current Prices]]-F365)/F365</f>
        <v>0.64062499999999989</v>
      </c>
      <c r="H366" s="7">
        <f>(Table2_1[[#This Row],[Current Prices]]-F362)/F362</f>
        <v>-0.52914798206278024</v>
      </c>
      <c r="I366" s="2"/>
    </row>
    <row r="367" spans="1:9" x14ac:dyDescent="0.3">
      <c r="A367" s="2" t="s">
        <v>76</v>
      </c>
      <c r="B367" s="2" t="s">
        <v>65</v>
      </c>
      <c r="C367" s="2">
        <v>11.3</v>
      </c>
      <c r="D367" s="6">
        <f>(Table2_1[[#This Row],[Constant Prices]]-C366)/C366</f>
        <v>0.5915492957746481</v>
      </c>
      <c r="E367" s="6">
        <f>(Table2_1[[#This Row],[Constant Prices]]-C363)/C363</f>
        <v>-0.57358490566037734</v>
      </c>
      <c r="F367" s="2">
        <v>21.9</v>
      </c>
      <c r="G367" s="7">
        <f>(Table2_1[[#This Row],[Current Prices]]-F366)/F366</f>
        <v>1.0857142857142856</v>
      </c>
      <c r="H367" s="7">
        <f>(Table2_1[[#This Row],[Current Prices]]-F363)/F363</f>
        <v>-0.31132075471698117</v>
      </c>
      <c r="I367" s="2">
        <v>13</v>
      </c>
    </row>
    <row r="368" spans="1:9" x14ac:dyDescent="0.3">
      <c r="A368" s="2" t="s">
        <v>76</v>
      </c>
      <c r="B368" s="2" t="s">
        <v>66</v>
      </c>
      <c r="C368" s="2">
        <v>11.3</v>
      </c>
      <c r="D368" s="6">
        <f>(Table2_1[[#This Row],[Constant Prices]]-C367)/C367</f>
        <v>0</v>
      </c>
      <c r="E368" s="6">
        <f>(Table2_1[[#This Row],[Constant Prices]]-C364)/C364</f>
        <v>-0.45673076923076922</v>
      </c>
      <c r="F368" s="2">
        <v>4.7</v>
      </c>
      <c r="G368" s="7">
        <f>(Table2_1[[#This Row],[Current Prices]]-F367)/F367</f>
        <v>-0.78538812785388135</v>
      </c>
      <c r="H368" s="7">
        <f>(Table2_1[[#This Row],[Current Prices]]-F364)/F364</f>
        <v>-0.12962962962962965</v>
      </c>
      <c r="I368" s="2"/>
    </row>
    <row r="369" spans="1:9" x14ac:dyDescent="0.3">
      <c r="A369" s="2" t="s">
        <v>76</v>
      </c>
      <c r="B369" s="2" t="s">
        <v>67</v>
      </c>
      <c r="C369" s="2">
        <v>19</v>
      </c>
      <c r="D369" s="6">
        <f>(Table2_1[[#This Row],[Constant Prices]]-C368)/C368</f>
        <v>0.68141592920353977</v>
      </c>
      <c r="E369" s="6">
        <f>(Table2_1[[#This Row],[Constant Prices]]-C365)/C365</f>
        <v>2.7254901960784315</v>
      </c>
      <c r="F369" s="2">
        <v>10</v>
      </c>
      <c r="G369" s="7">
        <f>(Table2_1[[#This Row],[Current Prices]]-F368)/F368</f>
        <v>1.1276595744680851</v>
      </c>
      <c r="H369" s="7">
        <f>(Table2_1[[#This Row],[Current Prices]]-F365)/F365</f>
        <v>0.56249999999999989</v>
      </c>
      <c r="I369" s="2"/>
    </row>
    <row r="370" spans="1:9" x14ac:dyDescent="0.3">
      <c r="A370" s="2" t="s">
        <v>76</v>
      </c>
      <c r="B370" s="2" t="s">
        <v>68</v>
      </c>
      <c r="C370" s="2">
        <v>20.2</v>
      </c>
      <c r="D370" s="6">
        <f>(Table2_1[[#This Row],[Constant Prices]]-C369)/C369</f>
        <v>6.3157894736842066E-2</v>
      </c>
      <c r="E370" s="6">
        <f>(Table2_1[[#This Row],[Constant Prices]]-C366)/C366</f>
        <v>1.8450704225352113</v>
      </c>
      <c r="F370" s="2">
        <v>13.6</v>
      </c>
      <c r="G370" s="7">
        <f>(Table2_1[[#This Row],[Current Prices]]-F369)/F369</f>
        <v>0.36</v>
      </c>
      <c r="H370" s="7">
        <f>(Table2_1[[#This Row],[Current Prices]]-F366)/F366</f>
        <v>0.29523809523809519</v>
      </c>
      <c r="I370" s="2"/>
    </row>
    <row r="371" spans="1:9" x14ac:dyDescent="0.3">
      <c r="A371" s="2" t="s">
        <v>76</v>
      </c>
      <c r="B371" s="2" t="s">
        <v>69</v>
      </c>
      <c r="C371" s="2">
        <v>-1.4</v>
      </c>
      <c r="D371" s="6">
        <f>(Table2_1[[#This Row],[Constant Prices]]-C370)/C370</f>
        <v>-1.0693069306930691</v>
      </c>
      <c r="E371" s="6">
        <f>(Table2_1[[#This Row],[Constant Prices]]-C367)/C367</f>
        <v>-1.1238938053097345</v>
      </c>
      <c r="F371" s="5">
        <f>Table2_1[[#This Row],[Constant Prices]]*AVERAGE(Inflation!$C$72:$C$74)*0.01</f>
        <v>-2.5344666666666664</v>
      </c>
      <c r="G371" s="7">
        <f>(Table2_1[[#This Row],[Current Prices]]-F370)/F370</f>
        <v>-1.1863578431372548</v>
      </c>
      <c r="H371" s="7">
        <f>(Table2_1[[#This Row],[Current Prices]]-F367)/F367</f>
        <v>-1.1157290715372907</v>
      </c>
      <c r="I371" s="2">
        <v>14</v>
      </c>
    </row>
    <row r="372" spans="1:9" x14ac:dyDescent="0.3">
      <c r="A372" s="2" t="s">
        <v>76</v>
      </c>
      <c r="B372" s="2" t="s">
        <v>70</v>
      </c>
      <c r="C372" s="2">
        <v>1</v>
      </c>
      <c r="D372" s="6">
        <f>(Table2_1[[#This Row],[Constant Prices]]-C371)/C371</f>
        <v>-1.7142857142857144</v>
      </c>
      <c r="E372" s="6">
        <f>(Table2_1[[#This Row],[Constant Prices]]-C368)/C368</f>
        <v>-0.91150442477876104</v>
      </c>
      <c r="F372" s="5">
        <f>Table2_1[[#This Row],[Constant Prices]]*AVERAGE(Inflation!$C$75:$C$77)*0.01</f>
        <v>1.8243333333333331</v>
      </c>
      <c r="G372" s="7">
        <f>(Table2_1[[#This Row],[Current Prices]]-F371)/F371</f>
        <v>-1.719809558881553</v>
      </c>
      <c r="H372" s="7">
        <f>(Table2_1[[#This Row],[Current Prices]]-F368)/F368</f>
        <v>-0.61184397163120574</v>
      </c>
      <c r="I372" s="2"/>
    </row>
    <row r="373" spans="1:9" x14ac:dyDescent="0.3">
      <c r="A373" s="2" t="s">
        <v>76</v>
      </c>
      <c r="B373" s="2" t="s">
        <v>71</v>
      </c>
      <c r="C373" s="2">
        <v>7.2</v>
      </c>
      <c r="D373" s="6">
        <f>(Table2_1[[#This Row],[Constant Prices]]-C372)/C372</f>
        <v>6.2</v>
      </c>
      <c r="E373" s="6">
        <f>(Table2_1[[#This Row],[Constant Prices]]-C369)/C369</f>
        <v>-0.62105263157894741</v>
      </c>
      <c r="F373" s="5">
        <f>Table2_1[[#This Row],[Constant Prices]]*AVERAGE(Inflation!$C$78:$C$80)*0.01</f>
        <v>13.344000000000001</v>
      </c>
      <c r="G373" s="7">
        <f>(Table2_1[[#This Row],[Current Prices]]-F372)/F372</f>
        <v>6.3144527681344798</v>
      </c>
      <c r="H373" s="7">
        <f>(Table2_1[[#This Row],[Current Prices]]-F369)/F369</f>
        <v>0.33440000000000014</v>
      </c>
      <c r="I373" s="2"/>
    </row>
    <row r="374" spans="1:9" x14ac:dyDescent="0.3">
      <c r="A374" s="2" t="s">
        <v>77</v>
      </c>
      <c r="B374" s="2" t="s">
        <v>10</v>
      </c>
      <c r="C374" s="2">
        <v>301.89999999999998</v>
      </c>
      <c r="D374" s="6"/>
      <c r="E374" s="6"/>
      <c r="F374" s="2">
        <v>244.8</v>
      </c>
      <c r="G374" s="7"/>
      <c r="H374" s="7"/>
      <c r="I374" s="2"/>
    </row>
    <row r="375" spans="1:9" x14ac:dyDescent="0.3">
      <c r="A375" s="2" t="s">
        <v>77</v>
      </c>
      <c r="B375" s="2" t="s">
        <v>11</v>
      </c>
      <c r="C375" s="2">
        <v>267.60000000000002</v>
      </c>
      <c r="D375" s="6">
        <f>(Table2_1[[#This Row],[Constant Prices]]-C374)/C374</f>
        <v>-0.11361377939715123</v>
      </c>
      <c r="E375" s="6"/>
      <c r="F375" s="2">
        <v>238.8</v>
      </c>
      <c r="G375" s="7">
        <f>(Table2_1[[#This Row],[Current Prices]]-F374)/F374</f>
        <v>-2.4509803921568627E-2</v>
      </c>
      <c r="H375" s="7"/>
      <c r="I375" s="2"/>
    </row>
    <row r="376" spans="1:9" x14ac:dyDescent="0.3">
      <c r="A376" s="2" t="s">
        <v>77</v>
      </c>
      <c r="B376" s="2" t="s">
        <v>12</v>
      </c>
      <c r="C376" s="2">
        <v>302.5</v>
      </c>
      <c r="D376" s="6">
        <f>(Table2_1[[#This Row],[Constant Prices]]-C375)/C375</f>
        <v>0.1304185351270552</v>
      </c>
      <c r="E376" s="6"/>
      <c r="F376" s="2">
        <v>239.5</v>
      </c>
      <c r="G376" s="7">
        <f>(Table2_1[[#This Row],[Current Prices]]-F375)/F375</f>
        <v>2.9313232830820292E-3</v>
      </c>
      <c r="H376" s="7"/>
      <c r="I376" s="2"/>
    </row>
    <row r="377" spans="1:9" x14ac:dyDescent="0.3">
      <c r="A377" s="2" t="s">
        <v>77</v>
      </c>
      <c r="B377" s="2" t="s">
        <v>13</v>
      </c>
      <c r="C377" s="2">
        <v>317.60000000000002</v>
      </c>
      <c r="D377" s="6">
        <f>(Table2_1[[#This Row],[Constant Prices]]-C376)/C376</f>
        <v>4.9917355371900902E-2</v>
      </c>
      <c r="E377" s="6"/>
      <c r="F377" s="2">
        <v>235.8</v>
      </c>
      <c r="G377" s="7">
        <f>(Table2_1[[#This Row],[Current Prices]]-F376)/F376</f>
        <v>-1.5448851774530224E-2</v>
      </c>
      <c r="H377" s="7"/>
      <c r="I377" s="2"/>
    </row>
    <row r="378" spans="1:9" x14ac:dyDescent="0.3">
      <c r="A378" s="2" t="s">
        <v>77</v>
      </c>
      <c r="B378" s="2" t="s">
        <v>14</v>
      </c>
      <c r="C378" s="2">
        <v>182.3</v>
      </c>
      <c r="D378" s="6">
        <f>(Table2_1[[#This Row],[Constant Prices]]-C377)/C377</f>
        <v>-0.42600755667506296</v>
      </c>
      <c r="E378" s="6">
        <f>(Table2_1[[#This Row],[Constant Prices]]-C374)/C374</f>
        <v>-0.39615766810202047</v>
      </c>
      <c r="F378" s="2">
        <v>139.80000000000001</v>
      </c>
      <c r="G378" s="7">
        <f>(Table2_1[[#This Row],[Current Prices]]-F377)/F377</f>
        <v>-0.40712468193384221</v>
      </c>
      <c r="H378" s="7">
        <f>(Table2_1[[#This Row],[Current Prices]]-F374)/F374</f>
        <v>-0.42892156862745096</v>
      </c>
      <c r="I378" s="2"/>
    </row>
    <row r="379" spans="1:9" x14ac:dyDescent="0.3">
      <c r="A379" s="2" t="s">
        <v>77</v>
      </c>
      <c r="B379" s="2" t="s">
        <v>15</v>
      </c>
      <c r="C379" s="2">
        <v>238.1</v>
      </c>
      <c r="D379" s="6">
        <f>(Table2_1[[#This Row],[Constant Prices]]-C378)/C378</f>
        <v>0.30608886450905093</v>
      </c>
      <c r="E379" s="6">
        <f>(Table2_1[[#This Row],[Constant Prices]]-C375)/C375</f>
        <v>-0.11023916292974599</v>
      </c>
      <c r="F379" s="2">
        <v>223.1</v>
      </c>
      <c r="G379" s="7">
        <f>(Table2_1[[#This Row],[Current Prices]]-F378)/F378</f>
        <v>0.59585121602288971</v>
      </c>
      <c r="H379" s="7">
        <f>(Table2_1[[#This Row],[Current Prices]]-F375)/F375</f>
        <v>-6.5745393634840943E-2</v>
      </c>
      <c r="I379" s="2"/>
    </row>
    <row r="380" spans="1:9" x14ac:dyDescent="0.3">
      <c r="A380" s="2" t="s">
        <v>77</v>
      </c>
      <c r="B380" s="2" t="s">
        <v>16</v>
      </c>
      <c r="C380" s="2">
        <v>191.1</v>
      </c>
      <c r="D380" s="6">
        <f>(Table2_1[[#This Row],[Constant Prices]]-C379)/C379</f>
        <v>-0.19739605207895844</v>
      </c>
      <c r="E380" s="6">
        <f>(Table2_1[[#This Row],[Constant Prices]]-C376)/C376</f>
        <v>-0.36826446280991737</v>
      </c>
      <c r="F380" s="2">
        <v>170</v>
      </c>
      <c r="G380" s="7">
        <f>(Table2_1[[#This Row],[Current Prices]]-F379)/F379</f>
        <v>-0.23800986104885699</v>
      </c>
      <c r="H380" s="7">
        <f>(Table2_1[[#This Row],[Current Prices]]-F376)/F376</f>
        <v>-0.29018789144050106</v>
      </c>
      <c r="I380" s="2"/>
    </row>
    <row r="381" spans="1:9" x14ac:dyDescent="0.3">
      <c r="A381" s="2" t="s">
        <v>77</v>
      </c>
      <c r="B381" s="2" t="s">
        <v>17</v>
      </c>
      <c r="C381" s="2">
        <v>206.5</v>
      </c>
      <c r="D381" s="6">
        <f>(Table2_1[[#This Row],[Constant Prices]]-C380)/C380</f>
        <v>8.0586080586080619E-2</v>
      </c>
      <c r="E381" s="6">
        <f>(Table2_1[[#This Row],[Constant Prices]]-C377)/C377</f>
        <v>-0.34981108312342574</v>
      </c>
      <c r="F381" s="2">
        <v>187.8</v>
      </c>
      <c r="G381" s="7">
        <f>(Table2_1[[#This Row],[Current Prices]]-F380)/F380</f>
        <v>0.10470588235294125</v>
      </c>
      <c r="H381" s="7">
        <f>(Table2_1[[#This Row],[Current Prices]]-F377)/F377</f>
        <v>-0.20356234096692111</v>
      </c>
      <c r="I381" s="2">
        <v>1</v>
      </c>
    </row>
    <row r="382" spans="1:9" x14ac:dyDescent="0.3">
      <c r="A382" s="2" t="s">
        <v>77</v>
      </c>
      <c r="B382" s="2" t="s">
        <v>18</v>
      </c>
      <c r="C382" s="2">
        <v>235.3</v>
      </c>
      <c r="D382" s="6">
        <f>(Table2_1[[#This Row],[Constant Prices]]-C381)/C381</f>
        <v>0.13946731234866833</v>
      </c>
      <c r="E382" s="6">
        <f>(Table2_1[[#This Row],[Constant Prices]]-C378)/C378</f>
        <v>0.29072956664838179</v>
      </c>
      <c r="F382" s="2">
        <v>217.7</v>
      </c>
      <c r="G382" s="7">
        <f>(Table2_1[[#This Row],[Current Prices]]-F381)/F381</f>
        <v>0.15921192758253447</v>
      </c>
      <c r="H382" s="7">
        <f>(Table2_1[[#This Row],[Current Prices]]-F378)/F378</f>
        <v>0.55722460658082951</v>
      </c>
      <c r="I382" s="2"/>
    </row>
    <row r="383" spans="1:9" x14ac:dyDescent="0.3">
      <c r="A383" s="2" t="s">
        <v>77</v>
      </c>
      <c r="B383" s="2" t="s">
        <v>19</v>
      </c>
      <c r="C383" s="2">
        <v>214.1</v>
      </c>
      <c r="D383" s="6">
        <f>(Table2_1[[#This Row],[Constant Prices]]-C382)/C382</f>
        <v>-9.0097747556311156E-2</v>
      </c>
      <c r="E383" s="6">
        <f>(Table2_1[[#This Row],[Constant Prices]]-C379)/C379</f>
        <v>-0.1007979840403192</v>
      </c>
      <c r="F383" s="2">
        <v>217.1</v>
      </c>
      <c r="G383" s="7">
        <f>(Table2_1[[#This Row],[Current Prices]]-F382)/F382</f>
        <v>-2.7560863573725049E-3</v>
      </c>
      <c r="H383" s="7">
        <f>(Table2_1[[#This Row],[Current Prices]]-F379)/F379</f>
        <v>-2.6893769610040343E-2</v>
      </c>
      <c r="I383" s="2"/>
    </row>
    <row r="384" spans="1:9" x14ac:dyDescent="0.3">
      <c r="A384" s="2" t="s">
        <v>77</v>
      </c>
      <c r="B384" s="2" t="s">
        <v>20</v>
      </c>
      <c r="C384" s="2">
        <v>236.3</v>
      </c>
      <c r="D384" s="6">
        <f>(Table2_1[[#This Row],[Constant Prices]]-C383)/C383</f>
        <v>0.10368986454927612</v>
      </c>
      <c r="E384" s="6">
        <f>(Table2_1[[#This Row],[Constant Prices]]-C380)/C380</f>
        <v>0.23652537938252233</v>
      </c>
      <c r="F384" s="2">
        <v>235.3</v>
      </c>
      <c r="G384" s="7">
        <f>(Table2_1[[#This Row],[Current Prices]]-F383)/F383</f>
        <v>8.3832335329341395E-2</v>
      </c>
      <c r="H384" s="7">
        <f>(Table2_1[[#This Row],[Current Prices]]-F380)/F380</f>
        <v>0.38411764705882362</v>
      </c>
      <c r="I384" s="2"/>
    </row>
    <row r="385" spans="1:9" x14ac:dyDescent="0.3">
      <c r="A385" s="2" t="s">
        <v>77</v>
      </c>
      <c r="B385" s="2" t="s">
        <v>21</v>
      </c>
      <c r="C385" s="2">
        <v>238.5</v>
      </c>
      <c r="D385" s="6">
        <f>(Table2_1[[#This Row],[Constant Prices]]-C384)/C384</f>
        <v>9.3101988997037182E-3</v>
      </c>
      <c r="E385" s="6">
        <f>(Table2_1[[#This Row],[Constant Prices]]-C381)/C381</f>
        <v>0.15496368038740921</v>
      </c>
      <c r="F385" s="2">
        <v>226.6</v>
      </c>
      <c r="G385" s="7">
        <f>(Table2_1[[#This Row],[Current Prices]]-F384)/F384</f>
        <v>-3.6974075648108867E-2</v>
      </c>
      <c r="H385" s="7">
        <f>(Table2_1[[#This Row],[Current Prices]]-F381)/F381</f>
        <v>0.20660276890308829</v>
      </c>
      <c r="I385" s="2">
        <v>2</v>
      </c>
    </row>
    <row r="386" spans="1:9" x14ac:dyDescent="0.3">
      <c r="A386" s="2" t="s">
        <v>77</v>
      </c>
      <c r="B386" s="2" t="s">
        <v>22</v>
      </c>
      <c r="C386" s="2">
        <v>222.5</v>
      </c>
      <c r="D386" s="6">
        <f>(Table2_1[[#This Row],[Constant Prices]]-C385)/C385</f>
        <v>-6.7085953878406712E-2</v>
      </c>
      <c r="E386" s="6">
        <f>(Table2_1[[#This Row],[Constant Prices]]-C382)/C382</f>
        <v>-5.4398640033999197E-2</v>
      </c>
      <c r="F386" s="2">
        <v>216.8</v>
      </c>
      <c r="G386" s="7">
        <f>(Table2_1[[#This Row],[Current Prices]]-F385)/F385</f>
        <v>-4.3248014121800453E-2</v>
      </c>
      <c r="H386" s="7">
        <f>(Table2_1[[#This Row],[Current Prices]]-F382)/F382</f>
        <v>-4.1341295360586925E-3</v>
      </c>
      <c r="I386" s="2"/>
    </row>
    <row r="387" spans="1:9" x14ac:dyDescent="0.3">
      <c r="A387" s="2" t="s">
        <v>77</v>
      </c>
      <c r="B387" s="2" t="s">
        <v>23</v>
      </c>
      <c r="C387" s="2">
        <v>254.1</v>
      </c>
      <c r="D387" s="6">
        <f>(Table2_1[[#This Row],[Constant Prices]]-C386)/C386</f>
        <v>0.14202247191011233</v>
      </c>
      <c r="E387" s="6">
        <f>(Table2_1[[#This Row],[Constant Prices]]-C383)/C383</f>
        <v>0.18682858477347034</v>
      </c>
      <c r="F387" s="2">
        <v>241</v>
      </c>
      <c r="G387" s="7">
        <f>(Table2_1[[#This Row],[Current Prices]]-F386)/F386</f>
        <v>0.11162361623616231</v>
      </c>
      <c r="H387" s="7">
        <f>(Table2_1[[#This Row],[Current Prices]]-F383)/F383</f>
        <v>0.11008751727314604</v>
      </c>
      <c r="I387" s="2"/>
    </row>
    <row r="388" spans="1:9" x14ac:dyDescent="0.3">
      <c r="A388" s="2" t="s">
        <v>77</v>
      </c>
      <c r="B388" s="2" t="s">
        <v>24</v>
      </c>
      <c r="C388" s="2">
        <v>241.6</v>
      </c>
      <c r="D388" s="6">
        <f>(Table2_1[[#This Row],[Constant Prices]]-C387)/C387</f>
        <v>-4.9193231011412833E-2</v>
      </c>
      <c r="E388" s="6">
        <f>(Table2_1[[#This Row],[Constant Prices]]-C384)/C384</f>
        <v>2.2429115531104455E-2</v>
      </c>
      <c r="F388" s="2">
        <v>228.2</v>
      </c>
      <c r="G388" s="7">
        <f>(Table2_1[[#This Row],[Current Prices]]-F387)/F387</f>
        <v>-5.3112033195020794E-2</v>
      </c>
      <c r="H388" s="7">
        <f>(Table2_1[[#This Row],[Current Prices]]-F384)/F384</f>
        <v>-3.0174245643859E-2</v>
      </c>
      <c r="I388" s="2"/>
    </row>
    <row r="389" spans="1:9" x14ac:dyDescent="0.3">
      <c r="A389" s="2" t="s">
        <v>77</v>
      </c>
      <c r="B389" s="2" t="s">
        <v>25</v>
      </c>
      <c r="C389" s="2">
        <v>264.8</v>
      </c>
      <c r="D389" s="6">
        <f>(Table2_1[[#This Row],[Constant Prices]]-C388)/C388</f>
        <v>9.602649006622524E-2</v>
      </c>
      <c r="E389" s="6">
        <f>(Table2_1[[#This Row],[Constant Prices]]-C385)/C385</f>
        <v>0.11027253668763108</v>
      </c>
      <c r="F389" s="2">
        <v>233.8</v>
      </c>
      <c r="G389" s="7">
        <f>(Table2_1[[#This Row],[Current Prices]]-F388)/F388</f>
        <v>2.4539877300613598E-2</v>
      </c>
      <c r="H389" s="7">
        <f>(Table2_1[[#This Row],[Current Prices]]-F385)/F385</f>
        <v>3.1774051191526993E-2</v>
      </c>
      <c r="I389" s="2">
        <v>3</v>
      </c>
    </row>
    <row r="390" spans="1:9" x14ac:dyDescent="0.3">
      <c r="A390" s="2" t="s">
        <v>77</v>
      </c>
      <c r="B390" s="2" t="s">
        <v>26</v>
      </c>
      <c r="C390" s="2">
        <v>253.2</v>
      </c>
      <c r="D390" s="6">
        <f>(Table2_1[[#This Row],[Constant Prices]]-C389)/C389</f>
        <v>-4.3806646525679845E-2</v>
      </c>
      <c r="E390" s="6">
        <f>(Table2_1[[#This Row],[Constant Prices]]-C386)/C386</f>
        <v>0.13797752808988759</v>
      </c>
      <c r="F390" s="2">
        <v>227.9</v>
      </c>
      <c r="G390" s="7">
        <f>(Table2_1[[#This Row],[Current Prices]]-F389)/F389</f>
        <v>-2.5235243798118073E-2</v>
      </c>
      <c r="H390" s="7">
        <f>(Table2_1[[#This Row],[Current Prices]]-F386)/F386</f>
        <v>5.1199261992619899E-2</v>
      </c>
      <c r="I390" s="2"/>
    </row>
    <row r="391" spans="1:9" x14ac:dyDescent="0.3">
      <c r="A391" s="2" t="s">
        <v>77</v>
      </c>
      <c r="B391" s="2" t="s">
        <v>27</v>
      </c>
      <c r="C391" s="2">
        <v>253.7</v>
      </c>
      <c r="D391" s="6">
        <f>(Table2_1[[#This Row],[Constant Prices]]-C390)/C390</f>
        <v>1.9747235387045817E-3</v>
      </c>
      <c r="E391" s="6">
        <f>(Table2_1[[#This Row],[Constant Prices]]-C387)/C387</f>
        <v>-1.574183392365233E-3</v>
      </c>
      <c r="F391" s="2">
        <v>233.7</v>
      </c>
      <c r="G391" s="7">
        <f>(Table2_1[[#This Row],[Current Prices]]-F390)/F390</f>
        <v>2.544975866608154E-2</v>
      </c>
      <c r="H391" s="7">
        <f>(Table2_1[[#This Row],[Current Prices]]-F387)/F387</f>
        <v>-3.0290456431535318E-2</v>
      </c>
      <c r="I391" s="2"/>
    </row>
    <row r="392" spans="1:9" x14ac:dyDescent="0.3">
      <c r="A392" s="2" t="s">
        <v>77</v>
      </c>
      <c r="B392" s="2" t="s">
        <v>28</v>
      </c>
      <c r="C392" s="2">
        <v>237.2</v>
      </c>
      <c r="D392" s="6">
        <f>(Table2_1[[#This Row],[Constant Prices]]-C391)/C391</f>
        <v>-6.5037445802128502E-2</v>
      </c>
      <c r="E392" s="6">
        <f>(Table2_1[[#This Row],[Constant Prices]]-C388)/C388</f>
        <v>-1.8211920529801348E-2</v>
      </c>
      <c r="F392" s="2">
        <v>227.1</v>
      </c>
      <c r="G392" s="7">
        <f>(Table2_1[[#This Row],[Current Prices]]-F391)/F391</f>
        <v>-2.8241335044929372E-2</v>
      </c>
      <c r="H392" s="7">
        <f>(Table2_1[[#This Row],[Current Prices]]-F388)/F388</f>
        <v>-4.8203330411919123E-3</v>
      </c>
      <c r="I392" s="2"/>
    </row>
    <row r="393" spans="1:9" x14ac:dyDescent="0.3">
      <c r="A393" s="2" t="s">
        <v>77</v>
      </c>
      <c r="B393" s="2" t="s">
        <v>29</v>
      </c>
      <c r="C393" s="2">
        <v>231.7</v>
      </c>
      <c r="D393" s="6">
        <f>(Table2_1[[#This Row],[Constant Prices]]-C392)/C392</f>
        <v>-2.3187183811129851E-2</v>
      </c>
      <c r="E393" s="6">
        <f>(Table2_1[[#This Row],[Constant Prices]]-C389)/C389</f>
        <v>-0.12500000000000008</v>
      </c>
      <c r="F393" s="2">
        <v>224.5</v>
      </c>
      <c r="G393" s="7">
        <f>(Table2_1[[#This Row],[Current Prices]]-F392)/F392</f>
        <v>-1.144870101276968E-2</v>
      </c>
      <c r="H393" s="7">
        <f>(Table2_1[[#This Row],[Current Prices]]-F389)/F389</f>
        <v>-3.9777587681779344E-2</v>
      </c>
      <c r="I393" s="2">
        <v>4</v>
      </c>
    </row>
    <row r="394" spans="1:9" x14ac:dyDescent="0.3">
      <c r="A394" s="2" t="s">
        <v>77</v>
      </c>
      <c r="B394" s="2" t="s">
        <v>30</v>
      </c>
      <c r="C394" s="2">
        <v>224.2</v>
      </c>
      <c r="D394" s="6">
        <f>(Table2_1[[#This Row],[Constant Prices]]-C393)/C393</f>
        <v>-3.2369443245576175E-2</v>
      </c>
      <c r="E394" s="6">
        <f>(Table2_1[[#This Row],[Constant Prices]]-C390)/C390</f>
        <v>-0.11453396524486573</v>
      </c>
      <c r="F394" s="2">
        <v>214.2</v>
      </c>
      <c r="G394" s="7">
        <f>(Table2_1[[#This Row],[Current Prices]]-F393)/F393</f>
        <v>-4.5879732739420989E-2</v>
      </c>
      <c r="H394" s="7">
        <f>(Table2_1[[#This Row],[Current Prices]]-F390)/F390</f>
        <v>-6.0114085125054922E-2</v>
      </c>
      <c r="I394" s="2"/>
    </row>
    <row r="395" spans="1:9" x14ac:dyDescent="0.3">
      <c r="A395" s="2" t="s">
        <v>77</v>
      </c>
      <c r="B395" s="2" t="s">
        <v>31</v>
      </c>
      <c r="C395" s="2">
        <v>212.5</v>
      </c>
      <c r="D395" s="6">
        <f>(Table2_1[[#This Row],[Constant Prices]]-C394)/C394</f>
        <v>-5.2185548617305927E-2</v>
      </c>
      <c r="E395" s="6">
        <f>(Table2_1[[#This Row],[Constant Prices]]-C391)/C391</f>
        <v>-0.16239653133622384</v>
      </c>
      <c r="F395" s="2">
        <v>214.5</v>
      </c>
      <c r="G395" s="7">
        <f>(Table2_1[[#This Row],[Current Prices]]-F394)/F394</f>
        <v>1.400560224089689E-3</v>
      </c>
      <c r="H395" s="7">
        <f>(Table2_1[[#This Row],[Current Prices]]-F391)/F391</f>
        <v>-8.2156611039794561E-2</v>
      </c>
      <c r="I395" s="2"/>
    </row>
    <row r="396" spans="1:9" x14ac:dyDescent="0.3">
      <c r="A396" s="2" t="s">
        <v>77</v>
      </c>
      <c r="B396" s="2" t="s">
        <v>32</v>
      </c>
      <c r="C396" s="2">
        <v>220.1</v>
      </c>
      <c r="D396" s="6">
        <f>(Table2_1[[#This Row],[Constant Prices]]-C395)/C395</f>
        <v>3.5764705882352914E-2</v>
      </c>
      <c r="E396" s="6">
        <f>(Table2_1[[#This Row],[Constant Prices]]-C392)/C392</f>
        <v>-7.2091062394603694E-2</v>
      </c>
      <c r="F396" s="2">
        <v>229.7</v>
      </c>
      <c r="G396" s="7">
        <f>(Table2_1[[#This Row],[Current Prices]]-F395)/F395</f>
        <v>7.0862470862470814E-2</v>
      </c>
      <c r="H396" s="7">
        <f>(Table2_1[[#This Row],[Current Prices]]-F392)/F392</f>
        <v>1.144870101276968E-2</v>
      </c>
      <c r="I396" s="2"/>
    </row>
    <row r="397" spans="1:9" x14ac:dyDescent="0.3">
      <c r="A397" s="2" t="s">
        <v>77</v>
      </c>
      <c r="B397" s="2" t="s">
        <v>33</v>
      </c>
      <c r="C397" s="2">
        <v>246.3</v>
      </c>
      <c r="D397" s="6">
        <f>(Table2_1[[#This Row],[Constant Prices]]-C396)/C396</f>
        <v>0.11903680145388468</v>
      </c>
      <c r="E397" s="6">
        <f>(Table2_1[[#This Row],[Constant Prices]]-C393)/C393</f>
        <v>6.3012516184721729E-2</v>
      </c>
      <c r="F397" s="2">
        <v>244.8</v>
      </c>
      <c r="G397" s="7">
        <f>(Table2_1[[#This Row],[Current Prices]]-F396)/F396</f>
        <v>6.5737919024815072E-2</v>
      </c>
      <c r="H397" s="7">
        <f>(Table2_1[[#This Row],[Current Prices]]-F393)/F393</f>
        <v>9.0423162583518985E-2</v>
      </c>
      <c r="I397" s="2">
        <v>5</v>
      </c>
    </row>
    <row r="398" spans="1:9" x14ac:dyDescent="0.3">
      <c r="A398" s="2" t="s">
        <v>77</v>
      </c>
      <c r="B398" s="2" t="s">
        <v>34</v>
      </c>
      <c r="C398" s="2">
        <v>268.5</v>
      </c>
      <c r="D398" s="6">
        <f>(Table2_1[[#This Row],[Constant Prices]]-C397)/C397</f>
        <v>9.0133982947624799E-2</v>
      </c>
      <c r="E398" s="6">
        <f>(Table2_1[[#This Row],[Constant Prices]]-C394)/C394</f>
        <v>0.19759143621766287</v>
      </c>
      <c r="F398" s="2">
        <v>254.7</v>
      </c>
      <c r="G398" s="7">
        <f>(Table2_1[[#This Row],[Current Prices]]-F397)/F397</f>
        <v>4.044117647058814E-2</v>
      </c>
      <c r="H398" s="7">
        <f>(Table2_1[[#This Row],[Current Prices]]-F394)/F394</f>
        <v>0.18907563025210086</v>
      </c>
      <c r="I398" s="2"/>
    </row>
    <row r="399" spans="1:9" x14ac:dyDescent="0.3">
      <c r="A399" s="2" t="s">
        <v>77</v>
      </c>
      <c r="B399" s="2" t="s">
        <v>35</v>
      </c>
      <c r="C399" s="2">
        <v>252.5</v>
      </c>
      <c r="D399" s="6">
        <f>(Table2_1[[#This Row],[Constant Prices]]-C398)/C398</f>
        <v>-5.9590316573556797E-2</v>
      </c>
      <c r="E399" s="6">
        <f>(Table2_1[[#This Row],[Constant Prices]]-C395)/C395</f>
        <v>0.18823529411764706</v>
      </c>
      <c r="F399" s="2">
        <v>253.4</v>
      </c>
      <c r="G399" s="7">
        <f>(Table2_1[[#This Row],[Current Prices]]-F398)/F398</f>
        <v>-5.1040439733018575E-3</v>
      </c>
      <c r="H399" s="7">
        <f>(Table2_1[[#This Row],[Current Prices]]-F395)/F395</f>
        <v>0.18135198135198138</v>
      </c>
      <c r="I399" s="2"/>
    </row>
    <row r="400" spans="1:9" x14ac:dyDescent="0.3">
      <c r="A400" s="2" t="s">
        <v>77</v>
      </c>
      <c r="B400" s="2" t="s">
        <v>36</v>
      </c>
      <c r="C400" s="2">
        <v>222.7</v>
      </c>
      <c r="D400" s="6">
        <f>(Table2_1[[#This Row],[Constant Prices]]-C399)/C399</f>
        <v>-0.11801980198019807</v>
      </c>
      <c r="E400" s="6">
        <f>(Table2_1[[#This Row],[Constant Prices]]-C396)/C396</f>
        <v>1.1812812358019056E-2</v>
      </c>
      <c r="F400" s="2">
        <v>247.1</v>
      </c>
      <c r="G400" s="7">
        <f>(Table2_1[[#This Row],[Current Prices]]-F399)/F399</f>
        <v>-2.4861878453038718E-2</v>
      </c>
      <c r="H400" s="7">
        <f>(Table2_1[[#This Row],[Current Prices]]-F396)/F396</f>
        <v>7.5750979538528537E-2</v>
      </c>
      <c r="I400" s="2"/>
    </row>
    <row r="401" spans="1:9" x14ac:dyDescent="0.3">
      <c r="A401" s="2" t="s">
        <v>77</v>
      </c>
      <c r="B401" s="2" t="s">
        <v>37</v>
      </c>
      <c r="C401" s="2">
        <v>243.5</v>
      </c>
      <c r="D401" s="6">
        <f>(Table2_1[[#This Row],[Constant Prices]]-C400)/C400</f>
        <v>9.339919173776387E-2</v>
      </c>
      <c r="E401" s="6">
        <f>(Table2_1[[#This Row],[Constant Prices]]-C397)/C397</f>
        <v>-1.1368250101502279E-2</v>
      </c>
      <c r="F401" s="2">
        <v>254.6</v>
      </c>
      <c r="G401" s="7">
        <f>(Table2_1[[#This Row],[Current Prices]]-F400)/F400</f>
        <v>3.0352084176446782E-2</v>
      </c>
      <c r="H401" s="7">
        <f>(Table2_1[[#This Row],[Current Prices]]-F397)/F397</f>
        <v>4.0032679738562019E-2</v>
      </c>
      <c r="I401" s="2">
        <v>6</v>
      </c>
    </row>
    <row r="402" spans="1:9" x14ac:dyDescent="0.3">
      <c r="A402" s="2" t="s">
        <v>77</v>
      </c>
      <c r="B402" s="2" t="s">
        <v>38</v>
      </c>
      <c r="C402" s="2">
        <v>257.60000000000002</v>
      </c>
      <c r="D402" s="6">
        <f>(Table2_1[[#This Row],[Constant Prices]]-C401)/C401</f>
        <v>5.7905544147844039E-2</v>
      </c>
      <c r="E402" s="6">
        <f>(Table2_1[[#This Row],[Constant Prices]]-C398)/C398</f>
        <v>-4.0595903165735484E-2</v>
      </c>
      <c r="F402" s="2">
        <v>275.8</v>
      </c>
      <c r="G402" s="7">
        <f>(Table2_1[[#This Row],[Current Prices]]-F401)/F401</f>
        <v>8.3267871170463539E-2</v>
      </c>
      <c r="H402" s="7">
        <f>(Table2_1[[#This Row],[Current Prices]]-F398)/F398</f>
        <v>8.2842559874362093E-2</v>
      </c>
      <c r="I402" s="2"/>
    </row>
    <row r="403" spans="1:9" x14ac:dyDescent="0.3">
      <c r="A403" s="2" t="s">
        <v>77</v>
      </c>
      <c r="B403" s="2" t="s">
        <v>39</v>
      </c>
      <c r="C403" s="2">
        <v>243.3</v>
      </c>
      <c r="D403" s="6">
        <f>(Table2_1[[#This Row],[Constant Prices]]-C402)/C402</f>
        <v>-5.551242236024849E-2</v>
      </c>
      <c r="E403" s="6">
        <f>(Table2_1[[#This Row],[Constant Prices]]-C399)/C399</f>
        <v>-3.6435643564356392E-2</v>
      </c>
      <c r="F403" s="2">
        <v>275.60000000000002</v>
      </c>
      <c r="G403" s="7">
        <f>(Table2_1[[#This Row],[Current Prices]]-F402)/F402</f>
        <v>-7.2516316171134377E-4</v>
      </c>
      <c r="H403" s="7">
        <f>(Table2_1[[#This Row],[Current Prices]]-F399)/F399</f>
        <v>8.7608524072612534E-2</v>
      </c>
      <c r="I403" s="2"/>
    </row>
    <row r="404" spans="1:9" x14ac:dyDescent="0.3">
      <c r="A404" s="2" t="s">
        <v>77</v>
      </c>
      <c r="B404" s="2" t="s">
        <v>40</v>
      </c>
      <c r="C404" s="2">
        <v>254.1</v>
      </c>
      <c r="D404" s="6">
        <f>(Table2_1[[#This Row],[Constant Prices]]-C403)/C403</f>
        <v>4.4389642416769348E-2</v>
      </c>
      <c r="E404" s="6">
        <f>(Table2_1[[#This Row],[Constant Prices]]-C400)/C400</f>
        <v>0.14099685675797038</v>
      </c>
      <c r="F404" s="2">
        <v>283.60000000000002</v>
      </c>
      <c r="G404" s="7">
        <f>(Table2_1[[#This Row],[Current Prices]]-F403)/F403</f>
        <v>2.9027576197387515E-2</v>
      </c>
      <c r="H404" s="7">
        <f>(Table2_1[[#This Row],[Current Prices]]-F400)/F400</f>
        <v>0.14771347632537446</v>
      </c>
      <c r="I404" s="2"/>
    </row>
    <row r="405" spans="1:9" x14ac:dyDescent="0.3">
      <c r="A405" s="2" t="s">
        <v>77</v>
      </c>
      <c r="B405" s="2" t="s">
        <v>41</v>
      </c>
      <c r="C405" s="2">
        <v>248</v>
      </c>
      <c r="D405" s="6">
        <f>(Table2_1[[#This Row],[Constant Prices]]-C404)/C404</f>
        <v>-2.4006296733569438E-2</v>
      </c>
      <c r="E405" s="6">
        <f>(Table2_1[[#This Row],[Constant Prices]]-C401)/C401</f>
        <v>1.8480492813141684E-2</v>
      </c>
      <c r="F405" s="2">
        <v>273</v>
      </c>
      <c r="G405" s="7">
        <f>(Table2_1[[#This Row],[Current Prices]]-F404)/F404</f>
        <v>-3.737658674189006E-2</v>
      </c>
      <c r="H405" s="7">
        <f>(Table2_1[[#This Row],[Current Prices]]-F401)/F401</f>
        <v>7.2270227808326815E-2</v>
      </c>
      <c r="I405" s="2">
        <v>7</v>
      </c>
    </row>
    <row r="406" spans="1:9" x14ac:dyDescent="0.3">
      <c r="A406" s="2" t="s">
        <v>77</v>
      </c>
      <c r="B406" s="2" t="s">
        <v>42</v>
      </c>
      <c r="C406" s="2">
        <v>229.5</v>
      </c>
      <c r="D406" s="6">
        <f>(Table2_1[[#This Row],[Constant Prices]]-C405)/C405</f>
        <v>-7.459677419354839E-2</v>
      </c>
      <c r="E406" s="6">
        <f>(Table2_1[[#This Row],[Constant Prices]]-C402)/C402</f>
        <v>-0.10908385093167709</v>
      </c>
      <c r="F406" s="2">
        <v>247.4</v>
      </c>
      <c r="G406" s="7">
        <f>(Table2_1[[#This Row],[Current Prices]]-F405)/F405</f>
        <v>-9.3772893772893759E-2</v>
      </c>
      <c r="H406" s="7">
        <f>(Table2_1[[#This Row],[Current Prices]]-F402)/F402</f>
        <v>-0.1029731689630167</v>
      </c>
      <c r="I406" s="2"/>
    </row>
    <row r="407" spans="1:9" x14ac:dyDescent="0.3">
      <c r="A407" s="2" t="s">
        <v>77</v>
      </c>
      <c r="B407" s="2" t="s">
        <v>43</v>
      </c>
      <c r="C407" s="2">
        <v>256.2</v>
      </c>
      <c r="D407" s="6">
        <f>(Table2_1[[#This Row],[Constant Prices]]-C406)/C406</f>
        <v>0.1163398692810457</v>
      </c>
      <c r="E407" s="6">
        <f>(Table2_1[[#This Row],[Constant Prices]]-C403)/C403</f>
        <v>5.3020961775585601E-2</v>
      </c>
      <c r="F407" s="2">
        <v>314.10000000000002</v>
      </c>
      <c r="G407" s="7">
        <f>(Table2_1[[#This Row],[Current Prices]]-F406)/F406</f>
        <v>0.26960388035569932</v>
      </c>
      <c r="H407" s="7">
        <f>(Table2_1[[#This Row],[Current Prices]]-F403)/F403</f>
        <v>0.13969521044992741</v>
      </c>
      <c r="I407" s="2"/>
    </row>
    <row r="408" spans="1:9" x14ac:dyDescent="0.3">
      <c r="A408" s="2" t="s">
        <v>77</v>
      </c>
      <c r="B408" s="2" t="s">
        <v>44</v>
      </c>
      <c r="C408" s="2">
        <v>245.1</v>
      </c>
      <c r="D408" s="6">
        <f>(Table2_1[[#This Row],[Constant Prices]]-C407)/C407</f>
        <v>-4.3325526932084288E-2</v>
      </c>
      <c r="E408" s="6">
        <f>(Table2_1[[#This Row],[Constant Prices]]-C404)/C404</f>
        <v>-3.541912632821724E-2</v>
      </c>
      <c r="F408" s="2">
        <v>317.7</v>
      </c>
      <c r="G408" s="7">
        <f>(Table2_1[[#This Row],[Current Prices]]-F407)/F407</f>
        <v>1.1461318051575822E-2</v>
      </c>
      <c r="H408" s="7">
        <f>(Table2_1[[#This Row],[Current Prices]]-F404)/F404</f>
        <v>0.12023977433004218</v>
      </c>
      <c r="I408" s="2"/>
    </row>
    <row r="409" spans="1:9" x14ac:dyDescent="0.3">
      <c r="A409" s="2" t="s">
        <v>77</v>
      </c>
      <c r="B409" s="2" t="s">
        <v>45</v>
      </c>
      <c r="C409" s="2">
        <v>249.4</v>
      </c>
      <c r="D409" s="6">
        <f>(Table2_1[[#This Row],[Constant Prices]]-C408)/C408</f>
        <v>1.7543859649122855E-2</v>
      </c>
      <c r="E409" s="6">
        <f>(Table2_1[[#This Row],[Constant Prices]]-C405)/C405</f>
        <v>5.6451612903226037E-3</v>
      </c>
      <c r="F409" s="2">
        <v>325.89999999999998</v>
      </c>
      <c r="G409" s="7">
        <f>(Table2_1[[#This Row],[Current Prices]]-F408)/F408</f>
        <v>2.5810513062637673E-2</v>
      </c>
      <c r="H409" s="7">
        <f>(Table2_1[[#This Row],[Current Prices]]-F405)/F405</f>
        <v>0.1937728937728937</v>
      </c>
      <c r="I409" s="2">
        <v>8</v>
      </c>
    </row>
    <row r="410" spans="1:9" x14ac:dyDescent="0.3">
      <c r="A410" s="2" t="s">
        <v>77</v>
      </c>
      <c r="B410" s="2" t="s">
        <v>46</v>
      </c>
      <c r="C410" s="2">
        <v>249.8</v>
      </c>
      <c r="D410" s="6">
        <f>(Table2_1[[#This Row],[Constant Prices]]-C409)/C409</f>
        <v>1.6038492381716346E-3</v>
      </c>
      <c r="E410" s="6">
        <f>(Table2_1[[#This Row],[Constant Prices]]-C406)/C406</f>
        <v>8.8453159041394391E-2</v>
      </c>
      <c r="F410" s="2">
        <v>328.1</v>
      </c>
      <c r="G410" s="7">
        <f>(Table2_1[[#This Row],[Current Prices]]-F409)/F409</f>
        <v>6.7505369745322055E-3</v>
      </c>
      <c r="H410" s="7">
        <f>(Table2_1[[#This Row],[Current Prices]]-F406)/F406</f>
        <v>0.326192400970089</v>
      </c>
      <c r="I410" s="2"/>
    </row>
    <row r="411" spans="1:9" x14ac:dyDescent="0.3">
      <c r="A411" s="2" t="s">
        <v>77</v>
      </c>
      <c r="B411" s="2" t="s">
        <v>47</v>
      </c>
      <c r="C411" s="2">
        <v>245.3</v>
      </c>
      <c r="D411" s="6">
        <f>(Table2_1[[#This Row],[Constant Prices]]-C410)/C410</f>
        <v>-1.8014411529223378E-2</v>
      </c>
      <c r="E411" s="6">
        <f>(Table2_1[[#This Row],[Constant Prices]]-C407)/C407</f>
        <v>-4.2544886807181805E-2</v>
      </c>
      <c r="F411" s="2">
        <v>329.6</v>
      </c>
      <c r="G411" s="7">
        <f>(Table2_1[[#This Row],[Current Prices]]-F410)/F410</f>
        <v>4.5717768972874124E-3</v>
      </c>
      <c r="H411" s="7">
        <f>(Table2_1[[#This Row],[Current Prices]]-F407)/F407</f>
        <v>4.9347341610951924E-2</v>
      </c>
      <c r="I411" s="2"/>
    </row>
    <row r="412" spans="1:9" x14ac:dyDescent="0.3">
      <c r="A412" s="2" t="s">
        <v>77</v>
      </c>
      <c r="B412" s="2" t="s">
        <v>48</v>
      </c>
      <c r="C412" s="2">
        <v>253.9</v>
      </c>
      <c r="D412" s="6">
        <f>(Table2_1[[#This Row],[Constant Prices]]-C411)/C411</f>
        <v>3.5059111292295123E-2</v>
      </c>
      <c r="E412" s="6">
        <f>(Table2_1[[#This Row],[Constant Prices]]-C408)/C408</f>
        <v>3.5903712770297885E-2</v>
      </c>
      <c r="F412" s="2">
        <v>338.5</v>
      </c>
      <c r="G412" s="7">
        <f>(Table2_1[[#This Row],[Current Prices]]-F411)/F411</f>
        <v>2.7002427184465948E-2</v>
      </c>
      <c r="H412" s="7">
        <f>(Table2_1[[#This Row],[Current Prices]]-F408)/F408</f>
        <v>6.5470569719861538E-2</v>
      </c>
      <c r="I412" s="2"/>
    </row>
    <row r="413" spans="1:9" x14ac:dyDescent="0.3">
      <c r="A413" s="2" t="s">
        <v>77</v>
      </c>
      <c r="B413" s="2" t="s">
        <v>49</v>
      </c>
      <c r="C413" s="2">
        <v>250.1</v>
      </c>
      <c r="D413" s="6">
        <f>(Table2_1[[#This Row],[Constant Prices]]-C412)/C412</f>
        <v>-1.49665222528555E-2</v>
      </c>
      <c r="E413" s="6">
        <f>(Table2_1[[#This Row],[Constant Prices]]-C409)/C409</f>
        <v>2.8067361668002752E-3</v>
      </c>
      <c r="F413" s="2">
        <v>328.5</v>
      </c>
      <c r="G413" s="7">
        <f>(Table2_1[[#This Row],[Current Prices]]-F412)/F412</f>
        <v>-2.9542097488921712E-2</v>
      </c>
      <c r="H413" s="7">
        <f>(Table2_1[[#This Row],[Current Prices]]-F409)/F409</f>
        <v>7.9779073335379657E-3</v>
      </c>
      <c r="I413" s="2">
        <v>9</v>
      </c>
    </row>
    <row r="414" spans="1:9" x14ac:dyDescent="0.3">
      <c r="A414" s="2" t="s">
        <v>77</v>
      </c>
      <c r="B414" s="2" t="s">
        <v>50</v>
      </c>
      <c r="C414" s="2">
        <v>269.2</v>
      </c>
      <c r="D414" s="6">
        <f>(Table2_1[[#This Row],[Constant Prices]]-C413)/C413</f>
        <v>7.636945221911233E-2</v>
      </c>
      <c r="E414" s="6">
        <f>(Table2_1[[#This Row],[Constant Prices]]-C410)/C410</f>
        <v>7.7662129703762919E-2</v>
      </c>
      <c r="F414" s="2">
        <v>325.10000000000002</v>
      </c>
      <c r="G414" s="7">
        <f>(Table2_1[[#This Row],[Current Prices]]-F413)/F413</f>
        <v>-1.0350076103500692E-2</v>
      </c>
      <c r="H414" s="7">
        <f>(Table2_1[[#This Row],[Current Prices]]-F410)/F410</f>
        <v>-9.1435537945748248E-3</v>
      </c>
      <c r="I414" s="2"/>
    </row>
    <row r="415" spans="1:9" x14ac:dyDescent="0.3">
      <c r="A415" s="2" t="s">
        <v>77</v>
      </c>
      <c r="B415" s="2" t="s">
        <v>51</v>
      </c>
      <c r="C415" s="2">
        <v>227.2</v>
      </c>
      <c r="D415" s="6">
        <f>(Table2_1[[#This Row],[Constant Prices]]-C414)/C414</f>
        <v>-0.15601783060921248</v>
      </c>
      <c r="E415" s="6">
        <f>(Table2_1[[#This Row],[Constant Prices]]-C411)/C411</f>
        <v>-7.3787199347737559E-2</v>
      </c>
      <c r="F415" s="2">
        <v>351.4</v>
      </c>
      <c r="G415" s="7">
        <f>(Table2_1[[#This Row],[Current Prices]]-F414)/F414</f>
        <v>8.0898185173792533E-2</v>
      </c>
      <c r="H415" s="7">
        <f>(Table2_1[[#This Row],[Current Prices]]-F411)/F411</f>
        <v>6.6140776699028986E-2</v>
      </c>
      <c r="I415" s="2"/>
    </row>
    <row r="416" spans="1:9" x14ac:dyDescent="0.3">
      <c r="A416" s="2" t="s">
        <v>77</v>
      </c>
      <c r="B416" s="2" t="s">
        <v>52</v>
      </c>
      <c r="C416" s="2">
        <v>220.9</v>
      </c>
      <c r="D416" s="6">
        <f>(Table2_1[[#This Row],[Constant Prices]]-C415)/C415</f>
        <v>-2.7728873239436545E-2</v>
      </c>
      <c r="E416" s="6">
        <f>(Table2_1[[#This Row],[Constant Prices]]-C412)/C412</f>
        <v>-0.12997243009058684</v>
      </c>
      <c r="F416" s="2">
        <v>284.39999999999998</v>
      </c>
      <c r="G416" s="7">
        <f>(Table2_1[[#This Row],[Current Prices]]-F415)/F415</f>
        <v>-0.19066590779738191</v>
      </c>
      <c r="H416" s="7">
        <f>(Table2_1[[#This Row],[Current Prices]]-F412)/F412</f>
        <v>-0.15982274741506652</v>
      </c>
      <c r="I416" s="2"/>
    </row>
    <row r="417" spans="1:9" x14ac:dyDescent="0.3">
      <c r="A417" s="2" t="s">
        <v>77</v>
      </c>
      <c r="B417" s="2" t="s">
        <v>53</v>
      </c>
      <c r="C417" s="2">
        <v>217.5</v>
      </c>
      <c r="D417" s="6">
        <f>(Table2_1[[#This Row],[Constant Prices]]-C416)/C416</f>
        <v>-1.5391579900407449E-2</v>
      </c>
      <c r="E417" s="6">
        <f>(Table2_1[[#This Row],[Constant Prices]]-C413)/C413</f>
        <v>-0.13034786085565772</v>
      </c>
      <c r="F417" s="2">
        <v>281.5</v>
      </c>
      <c r="G417" s="7">
        <f>(Table2_1[[#This Row],[Current Prices]]-F416)/F416</f>
        <v>-1.0196905766525941E-2</v>
      </c>
      <c r="H417" s="7">
        <f>(Table2_1[[#This Row],[Current Prices]]-F413)/F413</f>
        <v>-0.14307458143074581</v>
      </c>
      <c r="I417" s="2">
        <v>10</v>
      </c>
    </row>
    <row r="418" spans="1:9" x14ac:dyDescent="0.3">
      <c r="A418" s="2" t="s">
        <v>77</v>
      </c>
      <c r="B418" s="2" t="s">
        <v>54</v>
      </c>
      <c r="C418" s="2">
        <v>256.8</v>
      </c>
      <c r="D418" s="6">
        <f>(Table2_1[[#This Row],[Constant Prices]]-C417)/C417</f>
        <v>0.18068965517241384</v>
      </c>
      <c r="E418" s="6">
        <f>(Table2_1[[#This Row],[Constant Prices]]-C414)/C414</f>
        <v>-4.6062407132243605E-2</v>
      </c>
      <c r="F418" s="2">
        <v>360.6</v>
      </c>
      <c r="G418" s="7">
        <f>(Table2_1[[#This Row],[Current Prices]]-F417)/F417</f>
        <v>0.28099467140319723</v>
      </c>
      <c r="H418" s="7">
        <f>(Table2_1[[#This Row],[Current Prices]]-F414)/F414</f>
        <v>0.10919717010150722</v>
      </c>
      <c r="I418" s="2"/>
    </row>
    <row r="419" spans="1:9" x14ac:dyDescent="0.3">
      <c r="A419" s="2" t="s">
        <v>77</v>
      </c>
      <c r="B419" s="2" t="s">
        <v>55</v>
      </c>
      <c r="C419" s="2">
        <v>242.3</v>
      </c>
      <c r="D419" s="6">
        <f>(Table2_1[[#This Row],[Constant Prices]]-C418)/C418</f>
        <v>-5.646417445482866E-2</v>
      </c>
      <c r="E419" s="6">
        <f>(Table2_1[[#This Row],[Constant Prices]]-C415)/C415</f>
        <v>6.6461267605633909E-2</v>
      </c>
      <c r="F419" s="2">
        <v>368.1</v>
      </c>
      <c r="G419" s="7">
        <f>(Table2_1[[#This Row],[Current Prices]]-F418)/F418</f>
        <v>2.0798668885191347E-2</v>
      </c>
      <c r="H419" s="7">
        <f>(Table2_1[[#This Row],[Current Prices]]-F415)/F415</f>
        <v>4.7524188958452042E-2</v>
      </c>
      <c r="I419" s="2"/>
    </row>
    <row r="420" spans="1:9" x14ac:dyDescent="0.3">
      <c r="A420" s="2" t="s">
        <v>77</v>
      </c>
      <c r="B420" s="2" t="s">
        <v>56</v>
      </c>
      <c r="C420" s="2">
        <v>252.6</v>
      </c>
      <c r="D420" s="6">
        <f>(Table2_1[[#This Row],[Constant Prices]]-C419)/C419</f>
        <v>4.2509286009079578E-2</v>
      </c>
      <c r="E420" s="6">
        <f>(Table2_1[[#This Row],[Constant Prices]]-C416)/C416</f>
        <v>0.14350384789497506</v>
      </c>
      <c r="F420" s="2">
        <v>439.3</v>
      </c>
      <c r="G420" s="7">
        <f>(Table2_1[[#This Row],[Current Prices]]-F419)/F419</f>
        <v>0.19342569953816893</v>
      </c>
      <c r="H420" s="7">
        <f>(Table2_1[[#This Row],[Current Prices]]-F416)/F416</f>
        <v>0.5446554149085796</v>
      </c>
      <c r="I420" s="2"/>
    </row>
    <row r="421" spans="1:9" x14ac:dyDescent="0.3">
      <c r="A421" s="2" t="s">
        <v>77</v>
      </c>
      <c r="B421" s="2" t="s">
        <v>57</v>
      </c>
      <c r="C421" s="2">
        <v>275</v>
      </c>
      <c r="D421" s="6">
        <f>(Table2_1[[#This Row],[Constant Prices]]-C420)/C420</f>
        <v>8.8677751385589892E-2</v>
      </c>
      <c r="E421" s="6">
        <f>(Table2_1[[#This Row],[Constant Prices]]-C417)/C417</f>
        <v>0.26436781609195403</v>
      </c>
      <c r="F421" s="2">
        <v>469.9</v>
      </c>
      <c r="G421" s="7">
        <f>(Table2_1[[#This Row],[Current Prices]]-F420)/F420</f>
        <v>6.9656271340769321E-2</v>
      </c>
      <c r="H421" s="7">
        <f>(Table2_1[[#This Row],[Current Prices]]-F417)/F417</f>
        <v>0.66927175843694486</v>
      </c>
      <c r="I421" s="2">
        <v>11</v>
      </c>
    </row>
    <row r="422" spans="1:9" x14ac:dyDescent="0.3">
      <c r="A422" s="2" t="s">
        <v>77</v>
      </c>
      <c r="B422" s="2" t="s">
        <v>58</v>
      </c>
      <c r="C422" s="2">
        <v>262.5</v>
      </c>
      <c r="D422" s="6">
        <f>(Table2_1[[#This Row],[Constant Prices]]-C421)/C421</f>
        <v>-4.5454545454545456E-2</v>
      </c>
      <c r="E422" s="6">
        <f>(Table2_1[[#This Row],[Constant Prices]]-C418)/C418</f>
        <v>2.2196261682242945E-2</v>
      </c>
      <c r="F422" s="2">
        <v>467.4</v>
      </c>
      <c r="G422" s="7">
        <f>(Table2_1[[#This Row],[Current Prices]]-F421)/F421</f>
        <v>-5.3202809108320922E-3</v>
      </c>
      <c r="H422" s="7">
        <f>(Table2_1[[#This Row],[Current Prices]]-F418)/F418</f>
        <v>0.29617304492512464</v>
      </c>
      <c r="I422" s="2"/>
    </row>
    <row r="423" spans="1:9" x14ac:dyDescent="0.3">
      <c r="A423" s="2" t="s">
        <v>77</v>
      </c>
      <c r="B423" s="2" t="s">
        <v>59</v>
      </c>
      <c r="C423" s="2">
        <v>255.8</v>
      </c>
      <c r="D423" s="6">
        <f>(Table2_1[[#This Row],[Constant Prices]]-C422)/C422</f>
        <v>-2.552380952380948E-2</v>
      </c>
      <c r="E423" s="6">
        <f>(Table2_1[[#This Row],[Constant Prices]]-C419)/C419</f>
        <v>5.5716054477919934E-2</v>
      </c>
      <c r="F423" s="2">
        <v>473.2</v>
      </c>
      <c r="G423" s="7">
        <f>(Table2_1[[#This Row],[Current Prices]]-F422)/F422</f>
        <v>1.2409071459135669E-2</v>
      </c>
      <c r="H423" s="7">
        <f>(Table2_1[[#This Row],[Current Prices]]-F419)/F419</f>
        <v>0.28552023906547125</v>
      </c>
      <c r="I423" s="2"/>
    </row>
    <row r="424" spans="1:9" x14ac:dyDescent="0.3">
      <c r="A424" s="2" t="s">
        <v>77</v>
      </c>
      <c r="B424" s="2" t="s">
        <v>60</v>
      </c>
      <c r="C424" s="2">
        <v>252.4</v>
      </c>
      <c r="D424" s="6">
        <f>(Table2_1[[#This Row],[Constant Prices]]-C423)/C423</f>
        <v>-1.3291634089132157E-2</v>
      </c>
      <c r="E424" s="6">
        <f>(Table2_1[[#This Row],[Constant Prices]]-C420)/C420</f>
        <v>-7.9176563737129305E-4</v>
      </c>
      <c r="F424" s="2">
        <v>506.2</v>
      </c>
      <c r="G424" s="7">
        <f>(Table2_1[[#This Row],[Current Prices]]-F423)/F423</f>
        <v>6.9737954353338974E-2</v>
      </c>
      <c r="H424" s="7">
        <f>(Table2_1[[#This Row],[Current Prices]]-F420)/F420</f>
        <v>0.15228773048030952</v>
      </c>
      <c r="I424" s="2"/>
    </row>
    <row r="425" spans="1:9" x14ac:dyDescent="0.3">
      <c r="A425" s="2" t="s">
        <v>77</v>
      </c>
      <c r="B425" s="2" t="s">
        <v>61</v>
      </c>
      <c r="C425" s="2">
        <v>272.5</v>
      </c>
      <c r="D425" s="6">
        <f>(Table2_1[[#This Row],[Constant Prices]]-C424)/C424</f>
        <v>7.9635499207606944E-2</v>
      </c>
      <c r="E425" s="6">
        <f>(Table2_1[[#This Row],[Constant Prices]]-C421)/C421</f>
        <v>-9.0909090909090905E-3</v>
      </c>
      <c r="F425" s="2">
        <v>529.5</v>
      </c>
      <c r="G425" s="7">
        <f>(Table2_1[[#This Row],[Current Prices]]-F424)/F424</f>
        <v>4.6029237455551188E-2</v>
      </c>
      <c r="H425" s="7">
        <f>(Table2_1[[#This Row],[Current Prices]]-F421)/F421</f>
        <v>0.12683549691423712</v>
      </c>
      <c r="I425" s="2">
        <v>12</v>
      </c>
    </row>
    <row r="426" spans="1:9" x14ac:dyDescent="0.3">
      <c r="A426" s="2" t="s">
        <v>77</v>
      </c>
      <c r="B426" s="2" t="s">
        <v>62</v>
      </c>
      <c r="C426" s="2">
        <v>267.8</v>
      </c>
      <c r="D426" s="6">
        <f>(Table2_1[[#This Row],[Constant Prices]]-C425)/C425</f>
        <v>-1.7247706422018307E-2</v>
      </c>
      <c r="E426" s="6">
        <f>(Table2_1[[#This Row],[Constant Prices]]-C422)/C422</f>
        <v>2.0190476190476234E-2</v>
      </c>
      <c r="F426" s="2">
        <v>461.1</v>
      </c>
      <c r="G426" s="7">
        <f>(Table2_1[[#This Row],[Current Prices]]-F425)/F425</f>
        <v>-0.12917847025495746</v>
      </c>
      <c r="H426" s="7">
        <f>(Table2_1[[#This Row],[Current Prices]]-F422)/F422</f>
        <v>-1.3478818998716207E-2</v>
      </c>
      <c r="I426" s="2"/>
    </row>
    <row r="427" spans="1:9" x14ac:dyDescent="0.3">
      <c r="A427" s="2" t="s">
        <v>77</v>
      </c>
      <c r="B427" s="2" t="s">
        <v>63</v>
      </c>
      <c r="C427" s="2">
        <v>273</v>
      </c>
      <c r="D427" s="6">
        <f>(Table2_1[[#This Row],[Constant Prices]]-C426)/C426</f>
        <v>1.9417475728155296E-2</v>
      </c>
      <c r="E427" s="6">
        <f>(Table2_1[[#This Row],[Constant Prices]]-C423)/C423</f>
        <v>6.7240031274433107E-2</v>
      </c>
      <c r="F427" s="2">
        <v>416.5</v>
      </c>
      <c r="G427" s="7">
        <f>(Table2_1[[#This Row],[Current Prices]]-F426)/F426</f>
        <v>-9.6725222294513163E-2</v>
      </c>
      <c r="H427" s="7">
        <f>(Table2_1[[#This Row],[Current Prices]]-F423)/F423</f>
        <v>-0.11982248520710057</v>
      </c>
      <c r="I427" s="2"/>
    </row>
    <row r="428" spans="1:9" x14ac:dyDescent="0.3">
      <c r="A428" s="2" t="s">
        <v>77</v>
      </c>
      <c r="B428" s="2" t="s">
        <v>64</v>
      </c>
      <c r="C428" s="2">
        <v>259</v>
      </c>
      <c r="D428" s="6">
        <f>(Table2_1[[#This Row],[Constant Prices]]-C427)/C427</f>
        <v>-5.128205128205128E-2</v>
      </c>
      <c r="E428" s="6">
        <f>(Table2_1[[#This Row],[Constant Prices]]-C424)/C424</f>
        <v>2.6148969889064955E-2</v>
      </c>
      <c r="F428" s="2">
        <v>399.3</v>
      </c>
      <c r="G428" s="7">
        <f>(Table2_1[[#This Row],[Current Prices]]-F427)/F427</f>
        <v>-4.1296518607442947E-2</v>
      </c>
      <c r="H428" s="7">
        <f>(Table2_1[[#This Row],[Current Prices]]-F424)/F424</f>
        <v>-0.21118135124456733</v>
      </c>
      <c r="I428" s="2"/>
    </row>
    <row r="429" spans="1:9" x14ac:dyDescent="0.3">
      <c r="A429" s="2" t="s">
        <v>77</v>
      </c>
      <c r="B429" s="2" t="s">
        <v>65</v>
      </c>
      <c r="C429" s="2">
        <v>256.3</v>
      </c>
      <c r="D429" s="6">
        <f>(Table2_1[[#This Row],[Constant Prices]]-C428)/C428</f>
        <v>-1.0424710424710382E-2</v>
      </c>
      <c r="E429" s="6">
        <f>(Table2_1[[#This Row],[Constant Prices]]-C425)/C425</f>
        <v>-5.9449541284403627E-2</v>
      </c>
      <c r="F429" s="2">
        <v>403.2</v>
      </c>
      <c r="G429" s="7">
        <f>(Table2_1[[#This Row],[Current Prices]]-F428)/F428</f>
        <v>9.7670924117204544E-3</v>
      </c>
      <c r="H429" s="7">
        <f>(Table2_1[[#This Row],[Current Prices]]-F425)/F425</f>
        <v>-0.23852691218130315</v>
      </c>
      <c r="I429" s="2">
        <v>13</v>
      </c>
    </row>
    <row r="430" spans="1:9" x14ac:dyDescent="0.3">
      <c r="A430" s="2" t="s">
        <v>77</v>
      </c>
      <c r="B430" s="2" t="s">
        <v>66</v>
      </c>
      <c r="C430" s="2">
        <v>261.39999999999998</v>
      </c>
      <c r="D430" s="6">
        <f>(Table2_1[[#This Row],[Constant Prices]]-C429)/C429</f>
        <v>1.989855637924294E-2</v>
      </c>
      <c r="E430" s="6">
        <f>(Table2_1[[#This Row],[Constant Prices]]-C426)/C426</f>
        <v>-2.3898431665422083E-2</v>
      </c>
      <c r="F430" s="2">
        <v>442.8</v>
      </c>
      <c r="G430" s="7">
        <f>(Table2_1[[#This Row],[Current Prices]]-F429)/F429</f>
        <v>9.8214285714285768E-2</v>
      </c>
      <c r="H430" s="7">
        <f>(Table2_1[[#This Row],[Current Prices]]-F426)/F426</f>
        <v>-3.9687703318152266E-2</v>
      </c>
      <c r="I430" s="2"/>
    </row>
    <row r="431" spans="1:9" x14ac:dyDescent="0.3">
      <c r="A431" s="2" t="s">
        <v>77</v>
      </c>
      <c r="B431" s="2" t="s">
        <v>67</v>
      </c>
      <c r="C431" s="2">
        <v>240.5</v>
      </c>
      <c r="D431" s="6">
        <f>(Table2_1[[#This Row],[Constant Prices]]-C430)/C430</f>
        <v>-7.9954093343534732E-2</v>
      </c>
      <c r="E431" s="6">
        <f>(Table2_1[[#This Row],[Constant Prices]]-C427)/C427</f>
        <v>-0.11904761904761904</v>
      </c>
      <c r="F431" s="2">
        <v>404</v>
      </c>
      <c r="G431" s="7">
        <f>(Table2_1[[#This Row],[Current Prices]]-F430)/F430</f>
        <v>-8.7624209575429116E-2</v>
      </c>
      <c r="H431" s="7">
        <f>(Table2_1[[#This Row],[Current Prices]]-F427)/F427</f>
        <v>-3.0012004801920768E-2</v>
      </c>
      <c r="I431" s="2"/>
    </row>
    <row r="432" spans="1:9" x14ac:dyDescent="0.3">
      <c r="A432" s="2" t="s">
        <v>77</v>
      </c>
      <c r="B432" s="2" t="s">
        <v>68</v>
      </c>
      <c r="C432" s="2">
        <v>270</v>
      </c>
      <c r="D432" s="6">
        <f>(Table2_1[[#This Row],[Constant Prices]]-C431)/C431</f>
        <v>0.12266112266112267</v>
      </c>
      <c r="E432" s="6">
        <f>(Table2_1[[#This Row],[Constant Prices]]-C428)/C428</f>
        <v>4.2471042471042469E-2</v>
      </c>
      <c r="F432" s="2">
        <v>430.7</v>
      </c>
      <c r="G432" s="7">
        <f>(Table2_1[[#This Row],[Current Prices]]-F431)/F431</f>
        <v>6.6089108910891065E-2</v>
      </c>
      <c r="H432" s="7">
        <f>(Table2_1[[#This Row],[Current Prices]]-F428)/F428</f>
        <v>7.8637615827698418E-2</v>
      </c>
      <c r="I432" s="2"/>
    </row>
    <row r="433" spans="1:9" x14ac:dyDescent="0.3">
      <c r="A433" s="2" t="s">
        <v>77</v>
      </c>
      <c r="B433" s="2" t="s">
        <v>69</v>
      </c>
      <c r="C433" s="2">
        <v>264.60000000000002</v>
      </c>
      <c r="D433" s="6">
        <f>(Table2_1[[#This Row],[Constant Prices]]-C432)/C432</f>
        <v>-1.9999999999999917E-2</v>
      </c>
      <c r="E433" s="6">
        <f>(Table2_1[[#This Row],[Constant Prices]]-C429)/C429</f>
        <v>3.2383925087787792E-2</v>
      </c>
      <c r="F433" s="5">
        <f>Table2_1[[#This Row],[Constant Prices]]*AVERAGE(Inflation!$C$72:$C$74)*0.01</f>
        <v>479.01420000000007</v>
      </c>
      <c r="G433" s="7">
        <f>(Table2_1[[#This Row],[Current Prices]]-F432)/F432</f>
        <v>0.11217599257023471</v>
      </c>
      <c r="H433" s="7">
        <f>(Table2_1[[#This Row],[Current Prices]]-F429)/F429</f>
        <v>0.18803125000000021</v>
      </c>
      <c r="I433" s="2">
        <v>14</v>
      </c>
    </row>
    <row r="434" spans="1:9" x14ac:dyDescent="0.3">
      <c r="A434" s="2" t="s">
        <v>77</v>
      </c>
      <c r="B434" s="2" t="s">
        <v>70</v>
      </c>
      <c r="C434" s="2">
        <v>251.2</v>
      </c>
      <c r="D434" s="6">
        <f>(Table2_1[[#This Row],[Constant Prices]]-C433)/C433</f>
        <v>-5.0642479213907909E-2</v>
      </c>
      <c r="E434" s="6">
        <f>(Table2_1[[#This Row],[Constant Prices]]-C430)/C430</f>
        <v>-3.9020657995409297E-2</v>
      </c>
      <c r="F434" s="5">
        <f>Table2_1[[#This Row],[Constant Prices]]*AVERAGE(Inflation!$C$75:$C$77)*0.01</f>
        <v>458.27253333333329</v>
      </c>
      <c r="G434" s="7">
        <f>(Table2_1[[#This Row],[Current Prices]]-F433)/F433</f>
        <v>-4.3300734438909715E-2</v>
      </c>
      <c r="H434" s="7">
        <f>(Table2_1[[#This Row],[Current Prices]]-F430)/F430</f>
        <v>3.4942487202649669E-2</v>
      </c>
      <c r="I434" s="2"/>
    </row>
    <row r="435" spans="1:9" x14ac:dyDescent="0.3">
      <c r="A435" s="2" t="s">
        <v>77</v>
      </c>
      <c r="B435" s="2" t="s">
        <v>71</v>
      </c>
      <c r="C435" s="2">
        <v>264.89999999999998</v>
      </c>
      <c r="D435" s="6">
        <f>(Table2_1[[#This Row],[Constant Prices]]-C434)/C434</f>
        <v>5.4538216560509514E-2</v>
      </c>
      <c r="E435" s="6">
        <f>(Table2_1[[#This Row],[Constant Prices]]-C431)/C431</f>
        <v>0.10145530145530136</v>
      </c>
      <c r="F435" s="5">
        <f>Table2_1[[#This Row],[Constant Prices]]*AVERAGE(Inflation!$C$78:$C$80)*0.01</f>
        <v>490.94799999999998</v>
      </c>
      <c r="G435" s="7">
        <f>(Table2_1[[#This Row],[Current Prices]]-F434)/F434</f>
        <v>7.1301385725641056E-2</v>
      </c>
      <c r="H435" s="7">
        <f>(Table2_1[[#This Row],[Current Prices]]-F431)/F431</f>
        <v>0.21521782178217816</v>
      </c>
      <c r="I435" s="2"/>
    </row>
    <row r="436" spans="1:9" x14ac:dyDescent="0.3">
      <c r="A436" s="2" t="s">
        <v>78</v>
      </c>
      <c r="B436" s="2" t="s">
        <v>10</v>
      </c>
      <c r="C436" s="2">
        <v>228.8</v>
      </c>
      <c r="D436" s="6"/>
      <c r="E436" s="6"/>
      <c r="F436" s="2">
        <v>175.1</v>
      </c>
      <c r="G436" s="7"/>
      <c r="H436" s="7"/>
      <c r="I436" s="2"/>
    </row>
    <row r="437" spans="1:9" x14ac:dyDescent="0.3">
      <c r="A437" s="2" t="s">
        <v>78</v>
      </c>
      <c r="B437" s="2" t="s">
        <v>11</v>
      </c>
      <c r="C437" s="2">
        <v>232.1</v>
      </c>
      <c r="D437" s="6">
        <f>(Table2_1[[#This Row],[Constant Prices]]-C436)/C436</f>
        <v>1.4423076923076848E-2</v>
      </c>
      <c r="E437" s="6"/>
      <c r="F437" s="2">
        <v>175.1</v>
      </c>
      <c r="G437" s="7">
        <f>(Table2_1[[#This Row],[Current Prices]]-F436)/F436</f>
        <v>0</v>
      </c>
      <c r="H437" s="7"/>
      <c r="I437" s="2"/>
    </row>
    <row r="438" spans="1:9" x14ac:dyDescent="0.3">
      <c r="A438" s="2" t="s">
        <v>78</v>
      </c>
      <c r="B438" s="2" t="s">
        <v>12</v>
      </c>
      <c r="C438" s="2">
        <v>233.7</v>
      </c>
      <c r="D438" s="6">
        <f>(Table2_1[[#This Row],[Constant Prices]]-C437)/C437</f>
        <v>6.8935803532959687E-3</v>
      </c>
      <c r="E438" s="6"/>
      <c r="F438" s="2">
        <v>177.2</v>
      </c>
      <c r="G438" s="7">
        <f>(Table2_1[[#This Row],[Current Prices]]-F437)/F437</f>
        <v>1.1993146773272383E-2</v>
      </c>
      <c r="H438" s="7"/>
      <c r="I438" s="2"/>
    </row>
    <row r="439" spans="1:9" x14ac:dyDescent="0.3">
      <c r="A439" s="2" t="s">
        <v>78</v>
      </c>
      <c r="B439" s="2" t="s">
        <v>13</v>
      </c>
      <c r="C439" s="2">
        <v>234.5</v>
      </c>
      <c r="D439" s="6">
        <f>(Table2_1[[#This Row],[Constant Prices]]-C438)/C438</f>
        <v>3.4231921266581573E-3</v>
      </c>
      <c r="E439" s="6"/>
      <c r="F439" s="2">
        <v>180.1</v>
      </c>
      <c r="G439" s="7">
        <f>(Table2_1[[#This Row],[Current Prices]]-F438)/F438</f>
        <v>1.6365688487584684E-2</v>
      </c>
      <c r="H439" s="7"/>
      <c r="I439" s="2"/>
    </row>
    <row r="440" spans="1:9" x14ac:dyDescent="0.3">
      <c r="A440" s="2" t="s">
        <v>78</v>
      </c>
      <c r="B440" s="2" t="s">
        <v>14</v>
      </c>
      <c r="C440" s="2">
        <v>228.6</v>
      </c>
      <c r="D440" s="6">
        <f>(Table2_1[[#This Row],[Constant Prices]]-C439)/C439</f>
        <v>-2.5159914712153543E-2</v>
      </c>
      <c r="E440" s="6">
        <f>(Table2_1[[#This Row],[Constant Prices]]-C436)/C436</f>
        <v>-8.7412587412594861E-4</v>
      </c>
      <c r="F440" s="2">
        <v>178.7</v>
      </c>
      <c r="G440" s="7">
        <f>(Table2_1[[#This Row],[Current Prices]]-F439)/F439</f>
        <v>-7.7734591893392881E-3</v>
      </c>
      <c r="H440" s="7">
        <f>(Table2_1[[#This Row],[Current Prices]]-F436)/F436</f>
        <v>2.0559680182752681E-2</v>
      </c>
      <c r="I440" s="2"/>
    </row>
    <row r="441" spans="1:9" x14ac:dyDescent="0.3">
      <c r="A441" s="2" t="s">
        <v>78</v>
      </c>
      <c r="B441" s="2" t="s">
        <v>15</v>
      </c>
      <c r="C441" s="2">
        <v>229.6</v>
      </c>
      <c r="D441" s="6">
        <f>(Table2_1[[#This Row],[Constant Prices]]-C440)/C440</f>
        <v>4.3744531933508314E-3</v>
      </c>
      <c r="E441" s="6">
        <f>(Table2_1[[#This Row],[Constant Prices]]-C437)/C437</f>
        <v>-1.0771219302024989E-2</v>
      </c>
      <c r="F441" s="2">
        <v>184.9</v>
      </c>
      <c r="G441" s="7">
        <f>(Table2_1[[#This Row],[Current Prices]]-F440)/F440</f>
        <v>3.4695019585898254E-2</v>
      </c>
      <c r="H441" s="7">
        <f>(Table2_1[[#This Row],[Current Prices]]-F437)/F437</f>
        <v>5.5968018275271342E-2</v>
      </c>
      <c r="I441" s="2"/>
    </row>
    <row r="442" spans="1:9" x14ac:dyDescent="0.3">
      <c r="A442" s="2" t="s">
        <v>78</v>
      </c>
      <c r="B442" s="2" t="s">
        <v>16</v>
      </c>
      <c r="C442" s="2">
        <v>229.6</v>
      </c>
      <c r="D442" s="6">
        <f>(Table2_1[[#This Row],[Constant Prices]]-C441)/C441</f>
        <v>0</v>
      </c>
      <c r="E442" s="6">
        <f>(Table2_1[[#This Row],[Constant Prices]]-C438)/C438</f>
        <v>-1.7543859649122785E-2</v>
      </c>
      <c r="F442" s="2">
        <v>189.4</v>
      </c>
      <c r="G442" s="7">
        <f>(Table2_1[[#This Row],[Current Prices]]-F441)/F441</f>
        <v>2.4337479718766899E-2</v>
      </c>
      <c r="H442" s="7">
        <f>(Table2_1[[#This Row],[Current Prices]]-F438)/F438</f>
        <v>6.8848758465011387E-2</v>
      </c>
      <c r="I442" s="2"/>
    </row>
    <row r="443" spans="1:9" x14ac:dyDescent="0.3">
      <c r="A443" s="2" t="s">
        <v>78</v>
      </c>
      <c r="B443" s="2" t="s">
        <v>17</v>
      </c>
      <c r="C443" s="2">
        <v>232.2</v>
      </c>
      <c r="D443" s="6">
        <f>(Table2_1[[#This Row],[Constant Prices]]-C442)/C442</f>
        <v>1.1324041811846666E-2</v>
      </c>
      <c r="E443" s="6">
        <f>(Table2_1[[#This Row],[Constant Prices]]-C439)/C439</f>
        <v>-9.808102345415827E-3</v>
      </c>
      <c r="F443" s="2">
        <v>194.1</v>
      </c>
      <c r="G443" s="7">
        <f>(Table2_1[[#This Row],[Current Prices]]-F442)/F442</f>
        <v>2.4815205913410712E-2</v>
      </c>
      <c r="H443" s="7">
        <f>(Table2_1[[#This Row],[Current Prices]]-F439)/F439</f>
        <v>7.773459189339256E-2</v>
      </c>
      <c r="I443" s="2">
        <v>1</v>
      </c>
    </row>
    <row r="444" spans="1:9" x14ac:dyDescent="0.3">
      <c r="A444" s="2" t="s">
        <v>78</v>
      </c>
      <c r="B444" s="2" t="s">
        <v>18</v>
      </c>
      <c r="C444" s="2">
        <v>238.4</v>
      </c>
      <c r="D444" s="6">
        <f>(Table2_1[[#This Row],[Constant Prices]]-C443)/C443</f>
        <v>2.6701119724375614E-2</v>
      </c>
      <c r="E444" s="6">
        <f>(Table2_1[[#This Row],[Constant Prices]]-C440)/C440</f>
        <v>4.2869641294838196E-2</v>
      </c>
      <c r="F444" s="2">
        <v>200.1</v>
      </c>
      <c r="G444" s="7">
        <f>(Table2_1[[#This Row],[Current Prices]]-F443)/F443</f>
        <v>3.0911901081916538E-2</v>
      </c>
      <c r="H444" s="7">
        <f>(Table2_1[[#This Row],[Current Prices]]-F440)/F440</f>
        <v>0.11975377728035819</v>
      </c>
      <c r="I444" s="2"/>
    </row>
    <row r="445" spans="1:9" x14ac:dyDescent="0.3">
      <c r="A445" s="2" t="s">
        <v>78</v>
      </c>
      <c r="B445" s="2" t="s">
        <v>19</v>
      </c>
      <c r="C445" s="2">
        <v>243.3</v>
      </c>
      <c r="D445" s="6">
        <f>(Table2_1[[#This Row],[Constant Prices]]-C444)/C444</f>
        <v>2.0553691275167808E-2</v>
      </c>
      <c r="E445" s="6">
        <f>(Table2_1[[#This Row],[Constant Prices]]-C441)/C441</f>
        <v>5.9668989547038406E-2</v>
      </c>
      <c r="F445" s="2">
        <v>205.2</v>
      </c>
      <c r="G445" s="7">
        <f>(Table2_1[[#This Row],[Current Prices]]-F444)/F444</f>
        <v>2.5487256371814065E-2</v>
      </c>
      <c r="H445" s="7">
        <f>(Table2_1[[#This Row],[Current Prices]]-F441)/F441</f>
        <v>0.10978907517577059</v>
      </c>
      <c r="I445" s="2"/>
    </row>
    <row r="446" spans="1:9" x14ac:dyDescent="0.3">
      <c r="A446" s="2" t="s">
        <v>78</v>
      </c>
      <c r="B446" s="2" t="s">
        <v>20</v>
      </c>
      <c r="C446" s="2">
        <v>243.4</v>
      </c>
      <c r="D446" s="6">
        <f>(Table2_1[[#This Row],[Constant Prices]]-C445)/C445</f>
        <v>4.1101520756265644E-4</v>
      </c>
      <c r="E446" s="6">
        <f>(Table2_1[[#This Row],[Constant Prices]]-C442)/C442</f>
        <v>6.0104529616724793E-2</v>
      </c>
      <c r="F446" s="2">
        <v>210.4</v>
      </c>
      <c r="G446" s="7">
        <f>(Table2_1[[#This Row],[Current Prices]]-F445)/F445</f>
        <v>2.5341130604288584E-2</v>
      </c>
      <c r="H446" s="7">
        <f>(Table2_1[[#This Row],[Current Prices]]-F442)/F442</f>
        <v>0.11087645195353749</v>
      </c>
      <c r="I446" s="2"/>
    </row>
    <row r="447" spans="1:9" x14ac:dyDescent="0.3">
      <c r="A447" s="2" t="s">
        <v>78</v>
      </c>
      <c r="B447" s="2" t="s">
        <v>21</v>
      </c>
      <c r="C447" s="2">
        <v>245.6</v>
      </c>
      <c r="D447" s="6">
        <f>(Table2_1[[#This Row],[Constant Prices]]-C446)/C446</f>
        <v>9.0386195562859022E-3</v>
      </c>
      <c r="E447" s="6">
        <f>(Table2_1[[#This Row],[Constant Prices]]-C443)/C443</f>
        <v>5.7708871662360064E-2</v>
      </c>
      <c r="F447" s="2">
        <v>216.7</v>
      </c>
      <c r="G447" s="7">
        <f>(Table2_1[[#This Row],[Current Prices]]-F446)/F446</f>
        <v>2.99429657794676E-2</v>
      </c>
      <c r="H447" s="7">
        <f>(Table2_1[[#This Row],[Current Prices]]-F443)/F443</f>
        <v>0.11643482740855227</v>
      </c>
      <c r="I447" s="2">
        <v>2</v>
      </c>
    </row>
    <row r="448" spans="1:9" x14ac:dyDescent="0.3">
      <c r="A448" s="2" t="s">
        <v>78</v>
      </c>
      <c r="B448" s="2" t="s">
        <v>22</v>
      </c>
      <c r="C448" s="2">
        <v>247.3</v>
      </c>
      <c r="D448" s="6">
        <f>(Table2_1[[#This Row],[Constant Prices]]-C447)/C447</f>
        <v>6.9218241042345975E-3</v>
      </c>
      <c r="E448" s="6">
        <f>(Table2_1[[#This Row],[Constant Prices]]-C444)/C444</f>
        <v>3.7332214765100694E-2</v>
      </c>
      <c r="F448" s="2">
        <v>219.4</v>
      </c>
      <c r="G448" s="7">
        <f>(Table2_1[[#This Row],[Current Prices]]-F447)/F447</f>
        <v>1.2459621596677514E-2</v>
      </c>
      <c r="H448" s="7">
        <f>(Table2_1[[#This Row],[Current Prices]]-F444)/F444</f>
        <v>9.6451774112943589E-2</v>
      </c>
      <c r="I448" s="2"/>
    </row>
    <row r="449" spans="1:9" x14ac:dyDescent="0.3">
      <c r="A449" s="2" t="s">
        <v>78</v>
      </c>
      <c r="B449" s="2" t="s">
        <v>23</v>
      </c>
      <c r="C449" s="2">
        <v>243.5</v>
      </c>
      <c r="D449" s="6">
        <f>(Table2_1[[#This Row],[Constant Prices]]-C448)/C448</f>
        <v>-1.5365952284674529E-2</v>
      </c>
      <c r="E449" s="6">
        <f>(Table2_1[[#This Row],[Constant Prices]]-C445)/C445</f>
        <v>8.2203041512531288E-4</v>
      </c>
      <c r="F449" s="2">
        <v>221.6</v>
      </c>
      <c r="G449" s="7">
        <f>(Table2_1[[#This Row],[Current Prices]]-F448)/F448</f>
        <v>1.0027347310847715E-2</v>
      </c>
      <c r="H449" s="7">
        <f>(Table2_1[[#This Row],[Current Prices]]-F445)/F445</f>
        <v>7.992202729044838E-2</v>
      </c>
      <c r="I449" s="2"/>
    </row>
    <row r="450" spans="1:9" x14ac:dyDescent="0.3">
      <c r="A450" s="2" t="s">
        <v>78</v>
      </c>
      <c r="B450" s="2" t="s">
        <v>24</v>
      </c>
      <c r="C450" s="2">
        <v>247</v>
      </c>
      <c r="D450" s="6">
        <f>(Table2_1[[#This Row],[Constant Prices]]-C449)/C449</f>
        <v>1.4373716632443531E-2</v>
      </c>
      <c r="E450" s="6">
        <f>(Table2_1[[#This Row],[Constant Prices]]-C446)/C446</f>
        <v>1.4790468364831529E-2</v>
      </c>
      <c r="F450" s="2">
        <v>225.7</v>
      </c>
      <c r="G450" s="7">
        <f>(Table2_1[[#This Row],[Current Prices]]-F449)/F449</f>
        <v>1.85018050541516E-2</v>
      </c>
      <c r="H450" s="7">
        <f>(Table2_1[[#This Row],[Current Prices]]-F446)/F446</f>
        <v>7.2718631178707138E-2</v>
      </c>
      <c r="I450" s="2"/>
    </row>
    <row r="451" spans="1:9" x14ac:dyDescent="0.3">
      <c r="A451" s="2" t="s">
        <v>78</v>
      </c>
      <c r="B451" s="2" t="s">
        <v>25</v>
      </c>
      <c r="C451" s="2">
        <v>247.3</v>
      </c>
      <c r="D451" s="6">
        <f>(Table2_1[[#This Row],[Constant Prices]]-C450)/C450</f>
        <v>1.2145748987854711E-3</v>
      </c>
      <c r="E451" s="6">
        <f>(Table2_1[[#This Row],[Constant Prices]]-C447)/C447</f>
        <v>6.9218241042345975E-3</v>
      </c>
      <c r="F451" s="2">
        <v>226.8</v>
      </c>
      <c r="G451" s="7">
        <f>(Table2_1[[#This Row],[Current Prices]]-F450)/F450</f>
        <v>4.8737261852016961E-3</v>
      </c>
      <c r="H451" s="7">
        <f>(Table2_1[[#This Row],[Current Prices]]-F447)/F447</f>
        <v>4.6608214120904587E-2</v>
      </c>
      <c r="I451" s="2">
        <v>3</v>
      </c>
    </row>
    <row r="452" spans="1:9" x14ac:dyDescent="0.3">
      <c r="A452" s="2" t="s">
        <v>78</v>
      </c>
      <c r="B452" s="2" t="s">
        <v>26</v>
      </c>
      <c r="C452" s="2">
        <v>255.7</v>
      </c>
      <c r="D452" s="6">
        <f>(Table2_1[[#This Row],[Constant Prices]]-C451)/C451</f>
        <v>3.3966841892438239E-2</v>
      </c>
      <c r="E452" s="6">
        <f>(Table2_1[[#This Row],[Constant Prices]]-C448)/C448</f>
        <v>3.3966841892438239E-2</v>
      </c>
      <c r="F452" s="2">
        <v>239.1</v>
      </c>
      <c r="G452" s="7">
        <f>(Table2_1[[#This Row],[Current Prices]]-F451)/F451</f>
        <v>5.4232804232804153E-2</v>
      </c>
      <c r="H452" s="7">
        <f>(Table2_1[[#This Row],[Current Prices]]-F448)/F448</f>
        <v>8.9790337283500402E-2</v>
      </c>
      <c r="I452" s="2"/>
    </row>
    <row r="453" spans="1:9" x14ac:dyDescent="0.3">
      <c r="A453" s="2" t="s">
        <v>78</v>
      </c>
      <c r="B453" s="2" t="s">
        <v>27</v>
      </c>
      <c r="C453" s="2">
        <v>255.9</v>
      </c>
      <c r="D453" s="6">
        <f>(Table2_1[[#This Row],[Constant Prices]]-C452)/C452</f>
        <v>7.8216660148618328E-4</v>
      </c>
      <c r="E453" s="6">
        <f>(Table2_1[[#This Row],[Constant Prices]]-C449)/C449</f>
        <v>5.0924024640657109E-2</v>
      </c>
      <c r="F453" s="2">
        <v>242</v>
      </c>
      <c r="G453" s="7">
        <f>(Table2_1[[#This Row],[Current Prices]]-F452)/F452</f>
        <v>1.212881639481391E-2</v>
      </c>
      <c r="H453" s="7">
        <f>(Table2_1[[#This Row],[Current Prices]]-F449)/F449</f>
        <v>9.2057761732852017E-2</v>
      </c>
      <c r="I453" s="2"/>
    </row>
    <row r="454" spans="1:9" x14ac:dyDescent="0.3">
      <c r="A454" s="2" t="s">
        <v>78</v>
      </c>
      <c r="B454" s="2" t="s">
        <v>28</v>
      </c>
      <c r="C454" s="2">
        <v>252.4</v>
      </c>
      <c r="D454" s="6">
        <f>(Table2_1[[#This Row],[Constant Prices]]-C453)/C453</f>
        <v>-1.3677217663149667E-2</v>
      </c>
      <c r="E454" s="6">
        <f>(Table2_1[[#This Row],[Constant Prices]]-C450)/C450</f>
        <v>2.1862348178137675E-2</v>
      </c>
      <c r="F454" s="2">
        <v>244.5</v>
      </c>
      <c r="G454" s="7">
        <f>(Table2_1[[#This Row],[Current Prices]]-F453)/F453</f>
        <v>1.0330578512396695E-2</v>
      </c>
      <c r="H454" s="7">
        <f>(Table2_1[[#This Row],[Current Prices]]-F450)/F450</f>
        <v>8.3296411165263678E-2</v>
      </c>
      <c r="I454" s="2"/>
    </row>
    <row r="455" spans="1:9" x14ac:dyDescent="0.3">
      <c r="A455" s="2" t="s">
        <v>78</v>
      </c>
      <c r="B455" s="2" t="s">
        <v>29</v>
      </c>
      <c r="C455" s="2">
        <v>249.5</v>
      </c>
      <c r="D455" s="6">
        <f>(Table2_1[[#This Row],[Constant Prices]]-C454)/C454</f>
        <v>-1.1489698890649784E-2</v>
      </c>
      <c r="E455" s="6">
        <f>(Table2_1[[#This Row],[Constant Prices]]-C451)/C451</f>
        <v>8.8960776384957082E-3</v>
      </c>
      <c r="F455" s="2">
        <v>245.2</v>
      </c>
      <c r="G455" s="7">
        <f>(Table2_1[[#This Row],[Current Prices]]-F454)/F454</f>
        <v>2.8629856850715283E-3</v>
      </c>
      <c r="H455" s="7">
        <f>(Table2_1[[#This Row],[Current Prices]]-F451)/F451</f>
        <v>8.112874779541436E-2</v>
      </c>
      <c r="I455" s="2">
        <v>4</v>
      </c>
    </row>
    <row r="456" spans="1:9" x14ac:dyDescent="0.3">
      <c r="A456" s="2" t="s">
        <v>78</v>
      </c>
      <c r="B456" s="2" t="s">
        <v>30</v>
      </c>
      <c r="C456" s="2">
        <v>245</v>
      </c>
      <c r="D456" s="6">
        <f>(Table2_1[[#This Row],[Constant Prices]]-C455)/C455</f>
        <v>-1.8036072144288578E-2</v>
      </c>
      <c r="E456" s="6">
        <f>(Table2_1[[#This Row],[Constant Prices]]-C452)/C452</f>
        <v>-4.1845913179507192E-2</v>
      </c>
      <c r="F456" s="2">
        <v>243.6</v>
      </c>
      <c r="G456" s="7">
        <f>(Table2_1[[#This Row],[Current Prices]]-F455)/F455</f>
        <v>-6.5252854812397811E-3</v>
      </c>
      <c r="H456" s="7">
        <f>(Table2_1[[#This Row],[Current Prices]]-F452)/F452</f>
        <v>1.8820577164366373E-2</v>
      </c>
      <c r="I456" s="2"/>
    </row>
    <row r="457" spans="1:9" x14ac:dyDescent="0.3">
      <c r="A457" s="2" t="s">
        <v>78</v>
      </c>
      <c r="B457" s="2" t="s">
        <v>31</v>
      </c>
      <c r="C457" s="2">
        <v>249</v>
      </c>
      <c r="D457" s="6">
        <f>(Table2_1[[#This Row],[Constant Prices]]-C456)/C456</f>
        <v>1.6326530612244899E-2</v>
      </c>
      <c r="E457" s="6">
        <f>(Table2_1[[#This Row],[Constant Prices]]-C453)/C453</f>
        <v>-2.6963657678780794E-2</v>
      </c>
      <c r="F457" s="2">
        <v>247</v>
      </c>
      <c r="G457" s="7">
        <f>(Table2_1[[#This Row],[Current Prices]]-F456)/F456</f>
        <v>1.3957307060755359E-2</v>
      </c>
      <c r="H457" s="7">
        <f>(Table2_1[[#This Row],[Current Prices]]-F453)/F453</f>
        <v>2.0661157024793389E-2</v>
      </c>
      <c r="I457" s="2"/>
    </row>
    <row r="458" spans="1:9" x14ac:dyDescent="0.3">
      <c r="A458" s="2" t="s">
        <v>78</v>
      </c>
      <c r="B458" s="2" t="s">
        <v>32</v>
      </c>
      <c r="C458" s="2">
        <v>244.9</v>
      </c>
      <c r="D458" s="6">
        <f>(Table2_1[[#This Row],[Constant Prices]]-C457)/C457</f>
        <v>-1.646586345381524E-2</v>
      </c>
      <c r="E458" s="6">
        <f>(Table2_1[[#This Row],[Constant Prices]]-C454)/C454</f>
        <v>-2.9714738510301108E-2</v>
      </c>
      <c r="F458" s="2">
        <v>248.5</v>
      </c>
      <c r="G458" s="7">
        <f>(Table2_1[[#This Row],[Current Prices]]-F457)/F457</f>
        <v>6.0728744939271256E-3</v>
      </c>
      <c r="H458" s="7">
        <f>(Table2_1[[#This Row],[Current Prices]]-F454)/F454</f>
        <v>1.6359918200408999E-2</v>
      </c>
      <c r="I458" s="2"/>
    </row>
    <row r="459" spans="1:9" x14ac:dyDescent="0.3">
      <c r="A459" s="2" t="s">
        <v>78</v>
      </c>
      <c r="B459" s="2" t="s">
        <v>33</v>
      </c>
      <c r="C459" s="2">
        <v>249.3</v>
      </c>
      <c r="D459" s="6">
        <f>(Table2_1[[#This Row],[Constant Prices]]-C458)/C458</f>
        <v>1.7966516945692141E-2</v>
      </c>
      <c r="E459" s="6">
        <f>(Table2_1[[#This Row],[Constant Prices]]-C455)/C455</f>
        <v>-8.0160320641278011E-4</v>
      </c>
      <c r="F459" s="2">
        <v>249.2</v>
      </c>
      <c r="G459" s="7">
        <f>(Table2_1[[#This Row],[Current Prices]]-F458)/F458</f>
        <v>2.8169014084506584E-3</v>
      </c>
      <c r="H459" s="7">
        <f>(Table2_1[[#This Row],[Current Prices]]-F455)/F455</f>
        <v>1.6313213703099513E-2</v>
      </c>
      <c r="I459" s="2">
        <v>5</v>
      </c>
    </row>
    <row r="460" spans="1:9" x14ac:dyDescent="0.3">
      <c r="A460" s="2" t="s">
        <v>78</v>
      </c>
      <c r="B460" s="2" t="s">
        <v>34</v>
      </c>
      <c r="C460" s="2">
        <v>253.9</v>
      </c>
      <c r="D460" s="6">
        <f>(Table2_1[[#This Row],[Constant Prices]]-C459)/C459</f>
        <v>1.8451664661050918E-2</v>
      </c>
      <c r="E460" s="6">
        <f>(Table2_1[[#This Row],[Constant Prices]]-C456)/C456</f>
        <v>3.6326530612244924E-2</v>
      </c>
      <c r="F460" s="2">
        <v>254.6</v>
      </c>
      <c r="G460" s="7">
        <f>(Table2_1[[#This Row],[Current Prices]]-F459)/F459</f>
        <v>2.1669341894061018E-2</v>
      </c>
      <c r="H460" s="7">
        <f>(Table2_1[[#This Row],[Current Prices]]-F456)/F456</f>
        <v>4.5155993431855501E-2</v>
      </c>
      <c r="I460" s="2"/>
    </row>
    <row r="461" spans="1:9" x14ac:dyDescent="0.3">
      <c r="A461" s="2" t="s">
        <v>78</v>
      </c>
      <c r="B461" s="2" t="s">
        <v>35</v>
      </c>
      <c r="C461" s="2">
        <v>248.9</v>
      </c>
      <c r="D461" s="6">
        <f>(Table2_1[[#This Row],[Constant Prices]]-C460)/C460</f>
        <v>-1.9692792437967704E-2</v>
      </c>
      <c r="E461" s="6">
        <f>(Table2_1[[#This Row],[Constant Prices]]-C457)/C457</f>
        <v>-4.0160642570278844E-4</v>
      </c>
      <c r="F461" s="2">
        <v>253.3</v>
      </c>
      <c r="G461" s="7">
        <f>(Table2_1[[#This Row],[Current Prices]]-F460)/F460</f>
        <v>-5.1060487038491085E-3</v>
      </c>
      <c r="H461" s="7">
        <f>(Table2_1[[#This Row],[Current Prices]]-F457)/F457</f>
        <v>2.5506072874493971E-2</v>
      </c>
      <c r="I461" s="2"/>
    </row>
    <row r="462" spans="1:9" x14ac:dyDescent="0.3">
      <c r="A462" s="2" t="s">
        <v>78</v>
      </c>
      <c r="B462" s="2" t="s">
        <v>36</v>
      </c>
      <c r="C462" s="2">
        <v>230</v>
      </c>
      <c r="D462" s="6">
        <f>(Table2_1[[#This Row],[Constant Prices]]-C461)/C461</f>
        <v>-7.5934110084371259E-2</v>
      </c>
      <c r="E462" s="6">
        <f>(Table2_1[[#This Row],[Constant Prices]]-C458)/C458</f>
        <v>-6.0841159657002881E-2</v>
      </c>
      <c r="F462" s="2">
        <v>245.8</v>
      </c>
      <c r="G462" s="7">
        <f>(Table2_1[[#This Row],[Current Prices]]-F461)/F461</f>
        <v>-2.9609159099881561E-2</v>
      </c>
      <c r="H462" s="7">
        <f>(Table2_1[[#This Row],[Current Prices]]-F458)/F458</f>
        <v>-1.0865191146881241E-2</v>
      </c>
      <c r="I462" s="2"/>
    </row>
    <row r="463" spans="1:9" x14ac:dyDescent="0.3">
      <c r="A463" s="2" t="s">
        <v>78</v>
      </c>
      <c r="B463" s="2" t="s">
        <v>37</v>
      </c>
      <c r="C463" s="2">
        <v>242.6</v>
      </c>
      <c r="D463" s="6">
        <f>(Table2_1[[#This Row],[Constant Prices]]-C462)/C462</f>
        <v>5.478260869565215E-2</v>
      </c>
      <c r="E463" s="6">
        <f>(Table2_1[[#This Row],[Constant Prices]]-C459)/C459</f>
        <v>-2.6875250701965572E-2</v>
      </c>
      <c r="F463" s="2">
        <v>251.2</v>
      </c>
      <c r="G463" s="7">
        <f>(Table2_1[[#This Row],[Current Prices]]-F462)/F462</f>
        <v>2.1969080553295269E-2</v>
      </c>
      <c r="H463" s="7">
        <f>(Table2_1[[#This Row],[Current Prices]]-F459)/F459</f>
        <v>8.0256821829855548E-3</v>
      </c>
      <c r="I463" s="2">
        <v>6</v>
      </c>
    </row>
    <row r="464" spans="1:9" x14ac:dyDescent="0.3">
      <c r="A464" s="2" t="s">
        <v>78</v>
      </c>
      <c r="B464" s="2" t="s">
        <v>38</v>
      </c>
      <c r="C464" s="2">
        <v>234.4</v>
      </c>
      <c r="D464" s="6">
        <f>(Table2_1[[#This Row],[Constant Prices]]-C463)/C463</f>
        <v>-3.3800494641384952E-2</v>
      </c>
      <c r="E464" s="6">
        <f>(Table2_1[[#This Row],[Constant Prices]]-C460)/C460</f>
        <v>-7.6801890508074039E-2</v>
      </c>
      <c r="F464" s="2">
        <v>245.9</v>
      </c>
      <c r="G464" s="7">
        <f>(Table2_1[[#This Row],[Current Prices]]-F463)/F463</f>
        <v>-2.1098726114649614E-2</v>
      </c>
      <c r="H464" s="7">
        <f>(Table2_1[[#This Row],[Current Prices]]-F460)/F460</f>
        <v>-3.4171249018067514E-2</v>
      </c>
      <c r="I464" s="2"/>
    </row>
    <row r="465" spans="1:9" x14ac:dyDescent="0.3">
      <c r="A465" s="2" t="s">
        <v>78</v>
      </c>
      <c r="B465" s="2" t="s">
        <v>39</v>
      </c>
      <c r="C465" s="2">
        <v>230.4</v>
      </c>
      <c r="D465" s="6">
        <f>(Table2_1[[#This Row],[Constant Prices]]-C464)/C464</f>
        <v>-1.7064846416382253E-2</v>
      </c>
      <c r="E465" s="6">
        <f>(Table2_1[[#This Row],[Constant Prices]]-C461)/C461</f>
        <v>-7.4327038971474482E-2</v>
      </c>
      <c r="F465" s="2">
        <v>245.4</v>
      </c>
      <c r="G465" s="7">
        <f>(Table2_1[[#This Row],[Current Prices]]-F464)/F464</f>
        <v>-2.0333468889792597E-3</v>
      </c>
      <c r="H465" s="7">
        <f>(Table2_1[[#This Row],[Current Prices]]-F461)/F461</f>
        <v>-3.1188314251875269E-2</v>
      </c>
      <c r="I465" s="2"/>
    </row>
    <row r="466" spans="1:9" x14ac:dyDescent="0.3">
      <c r="A466" s="2" t="s">
        <v>78</v>
      </c>
      <c r="B466" s="2" t="s">
        <v>40</v>
      </c>
      <c r="C466" s="2">
        <v>230</v>
      </c>
      <c r="D466" s="6">
        <f>(Table2_1[[#This Row],[Constant Prices]]-C465)/C465</f>
        <v>-1.7361111111111357E-3</v>
      </c>
      <c r="E466" s="6">
        <f>(Table2_1[[#This Row],[Constant Prices]]-C462)/C462</f>
        <v>0</v>
      </c>
      <c r="F466" s="2">
        <v>250.4</v>
      </c>
      <c r="G466" s="7">
        <f>(Table2_1[[#This Row],[Current Prices]]-F465)/F465</f>
        <v>2.0374898125509373E-2</v>
      </c>
      <c r="H466" s="7">
        <f>(Table2_1[[#This Row],[Current Prices]]-F462)/F462</f>
        <v>1.8714401952807137E-2</v>
      </c>
      <c r="I466" s="2"/>
    </row>
    <row r="467" spans="1:9" x14ac:dyDescent="0.3">
      <c r="A467" s="2" t="s">
        <v>78</v>
      </c>
      <c r="B467" s="2" t="s">
        <v>41</v>
      </c>
      <c r="C467" s="2">
        <v>223.9</v>
      </c>
      <c r="D467" s="6">
        <f>(Table2_1[[#This Row],[Constant Prices]]-C466)/C466</f>
        <v>-2.6521739130434759E-2</v>
      </c>
      <c r="E467" s="6">
        <f>(Table2_1[[#This Row],[Constant Prices]]-C463)/C463</f>
        <v>-7.7081615828524269E-2</v>
      </c>
      <c r="F467" s="2">
        <v>248.1</v>
      </c>
      <c r="G467" s="7">
        <f>(Table2_1[[#This Row],[Current Prices]]-F466)/F466</f>
        <v>-9.1853035143770415E-3</v>
      </c>
      <c r="H467" s="7">
        <f>(Table2_1[[#This Row],[Current Prices]]-F463)/F463</f>
        <v>-1.2340764331210169E-2</v>
      </c>
      <c r="I467" s="2">
        <v>7</v>
      </c>
    </row>
    <row r="468" spans="1:9" x14ac:dyDescent="0.3">
      <c r="A468" s="2" t="s">
        <v>78</v>
      </c>
      <c r="B468" s="2" t="s">
        <v>42</v>
      </c>
      <c r="C468" s="2">
        <v>221.5</v>
      </c>
      <c r="D468" s="6">
        <f>(Table2_1[[#This Row],[Constant Prices]]-C467)/C467</f>
        <v>-1.0719071013845493E-2</v>
      </c>
      <c r="E468" s="6">
        <f>(Table2_1[[#This Row],[Constant Prices]]-C464)/C464</f>
        <v>-5.5034129692832785E-2</v>
      </c>
      <c r="F468" s="2">
        <v>279.2</v>
      </c>
      <c r="G468" s="7">
        <f>(Table2_1[[#This Row],[Current Prices]]-F467)/F467</f>
        <v>0.1253526803708182</v>
      </c>
      <c r="H468" s="7">
        <f>(Table2_1[[#This Row],[Current Prices]]-F464)/F464</f>
        <v>0.13542090280601862</v>
      </c>
      <c r="I468" s="2"/>
    </row>
    <row r="469" spans="1:9" x14ac:dyDescent="0.3">
      <c r="A469" s="2" t="s">
        <v>78</v>
      </c>
      <c r="B469" s="2" t="s">
        <v>43</v>
      </c>
      <c r="C469" s="2">
        <v>223.7</v>
      </c>
      <c r="D469" s="6">
        <f>(Table2_1[[#This Row],[Constant Prices]]-C468)/C468</f>
        <v>9.9322799097064946E-3</v>
      </c>
      <c r="E469" s="6">
        <f>(Table2_1[[#This Row],[Constant Prices]]-C465)/C465</f>
        <v>-2.9079861111111185E-2</v>
      </c>
      <c r="F469" s="2">
        <v>283.7</v>
      </c>
      <c r="G469" s="7">
        <f>(Table2_1[[#This Row],[Current Prices]]-F468)/F468</f>
        <v>1.6117478510028652E-2</v>
      </c>
      <c r="H469" s="7">
        <f>(Table2_1[[#This Row],[Current Prices]]-F465)/F465</f>
        <v>0.15607171964140171</v>
      </c>
      <c r="I469" s="2"/>
    </row>
    <row r="470" spans="1:9" x14ac:dyDescent="0.3">
      <c r="A470" s="2" t="s">
        <v>78</v>
      </c>
      <c r="B470" s="2" t="s">
        <v>44</v>
      </c>
      <c r="C470" s="2">
        <v>228.9</v>
      </c>
      <c r="D470" s="6">
        <f>(Table2_1[[#This Row],[Constant Prices]]-C469)/C469</f>
        <v>2.3245417970496278E-2</v>
      </c>
      <c r="E470" s="6">
        <f>(Table2_1[[#This Row],[Constant Prices]]-C466)/C466</f>
        <v>-4.7826086956521494E-3</v>
      </c>
      <c r="F470" s="2">
        <v>290.3</v>
      </c>
      <c r="G470" s="7">
        <f>(Table2_1[[#This Row],[Current Prices]]-F469)/F469</f>
        <v>2.3264011279520703E-2</v>
      </c>
      <c r="H470" s="7">
        <f>(Table2_1[[#This Row],[Current Prices]]-F466)/F466</f>
        <v>0.15934504792332271</v>
      </c>
      <c r="I470" s="2"/>
    </row>
    <row r="471" spans="1:9" x14ac:dyDescent="0.3">
      <c r="A471" s="2" t="s">
        <v>78</v>
      </c>
      <c r="B471" s="2" t="s">
        <v>45</v>
      </c>
      <c r="C471" s="2">
        <v>227</v>
      </c>
      <c r="D471" s="6">
        <f>(Table2_1[[#This Row],[Constant Prices]]-C470)/C470</f>
        <v>-8.3005679335954805E-3</v>
      </c>
      <c r="E471" s="6">
        <f>(Table2_1[[#This Row],[Constant Prices]]-C467)/C467</f>
        <v>1.3845466726217035E-2</v>
      </c>
      <c r="F471" s="2">
        <v>289.7</v>
      </c>
      <c r="G471" s="7">
        <f>(Table2_1[[#This Row],[Current Prices]]-F470)/F470</f>
        <v>-2.0668274199105159E-3</v>
      </c>
      <c r="H471" s="7">
        <f>(Table2_1[[#This Row],[Current Prices]]-F467)/F467</f>
        <v>0.16767432486900441</v>
      </c>
      <c r="I471" s="2">
        <v>8</v>
      </c>
    </row>
    <row r="472" spans="1:9" x14ac:dyDescent="0.3">
      <c r="A472" s="2" t="s">
        <v>78</v>
      </c>
      <c r="B472" s="2" t="s">
        <v>46</v>
      </c>
      <c r="C472" s="2">
        <v>225.7</v>
      </c>
      <c r="D472" s="6">
        <f>(Table2_1[[#This Row],[Constant Prices]]-C471)/C471</f>
        <v>-5.7268722466960855E-3</v>
      </c>
      <c r="E472" s="6">
        <f>(Table2_1[[#This Row],[Constant Prices]]-C468)/C468</f>
        <v>1.896162528216699E-2</v>
      </c>
      <c r="F472" s="2">
        <v>299.60000000000002</v>
      </c>
      <c r="G472" s="7">
        <f>(Table2_1[[#This Row],[Current Prices]]-F471)/F471</f>
        <v>3.4173282706247962E-2</v>
      </c>
      <c r="H472" s="7">
        <f>(Table2_1[[#This Row],[Current Prices]]-F468)/F468</f>
        <v>7.3065902578796693E-2</v>
      </c>
      <c r="I472" s="2"/>
    </row>
    <row r="473" spans="1:9" x14ac:dyDescent="0.3">
      <c r="A473" s="2" t="s">
        <v>78</v>
      </c>
      <c r="B473" s="2" t="s">
        <v>47</v>
      </c>
      <c r="C473" s="2">
        <v>225.6</v>
      </c>
      <c r="D473" s="6">
        <f>(Table2_1[[#This Row],[Constant Prices]]-C472)/C472</f>
        <v>-4.4306601683648348E-4</v>
      </c>
      <c r="E473" s="6">
        <f>(Table2_1[[#This Row],[Constant Prices]]-C469)/C469</f>
        <v>8.493518104604407E-3</v>
      </c>
      <c r="F473" s="2">
        <v>298</v>
      </c>
      <c r="G473" s="7">
        <f>(Table2_1[[#This Row],[Current Prices]]-F472)/F472</f>
        <v>-5.340453938584855E-3</v>
      </c>
      <c r="H473" s="7">
        <f>(Table2_1[[#This Row],[Current Prices]]-F469)/F469</f>
        <v>5.0405357772294719E-2</v>
      </c>
      <c r="I473" s="2"/>
    </row>
    <row r="474" spans="1:9" x14ac:dyDescent="0.3">
      <c r="A474" s="2" t="s">
        <v>78</v>
      </c>
      <c r="B474" s="2" t="s">
        <v>48</v>
      </c>
      <c r="C474" s="2">
        <v>224.8</v>
      </c>
      <c r="D474" s="6">
        <f>(Table2_1[[#This Row],[Constant Prices]]-C473)/C473</f>
        <v>-3.5460992907800663E-3</v>
      </c>
      <c r="E474" s="6">
        <f>(Table2_1[[#This Row],[Constant Prices]]-C470)/C470</f>
        <v>-1.791175185670596E-2</v>
      </c>
      <c r="F474" s="2">
        <v>298.39999999999998</v>
      </c>
      <c r="G474" s="7">
        <f>(Table2_1[[#This Row],[Current Prices]]-F473)/F473</f>
        <v>1.3422818791945545E-3</v>
      </c>
      <c r="H474" s="7">
        <f>(Table2_1[[#This Row],[Current Prices]]-F470)/F470</f>
        <v>2.7902170168790787E-2</v>
      </c>
      <c r="I474" s="2"/>
    </row>
    <row r="475" spans="1:9" x14ac:dyDescent="0.3">
      <c r="A475" s="2" t="s">
        <v>78</v>
      </c>
      <c r="B475" s="2" t="s">
        <v>49</v>
      </c>
      <c r="C475" s="2">
        <v>230.7</v>
      </c>
      <c r="D475" s="6">
        <f>(Table2_1[[#This Row],[Constant Prices]]-C474)/C474</f>
        <v>2.6245551601423386E-2</v>
      </c>
      <c r="E475" s="6">
        <f>(Table2_1[[#This Row],[Constant Prices]]-C471)/C471</f>
        <v>1.6299559471365587E-2</v>
      </c>
      <c r="F475" s="2">
        <v>296.60000000000002</v>
      </c>
      <c r="G475" s="7">
        <f>(Table2_1[[#This Row],[Current Prices]]-F474)/F474</f>
        <v>-6.0321715817692849E-3</v>
      </c>
      <c r="H475" s="7">
        <f>(Table2_1[[#This Row],[Current Prices]]-F471)/F471</f>
        <v>2.3817742492233465E-2</v>
      </c>
      <c r="I475" s="2">
        <v>9</v>
      </c>
    </row>
    <row r="476" spans="1:9" x14ac:dyDescent="0.3">
      <c r="A476" s="2" t="s">
        <v>78</v>
      </c>
      <c r="B476" s="2" t="s">
        <v>50</v>
      </c>
      <c r="C476" s="2">
        <v>205.9</v>
      </c>
      <c r="D476" s="6">
        <f>(Table2_1[[#This Row],[Constant Prices]]-C475)/C475</f>
        <v>-0.10749891634156906</v>
      </c>
      <c r="E476" s="6">
        <f>(Table2_1[[#This Row],[Constant Prices]]-C472)/C472</f>
        <v>-8.7727071333628642E-2</v>
      </c>
      <c r="F476" s="2">
        <v>291</v>
      </c>
      <c r="G476" s="7">
        <f>(Table2_1[[#This Row],[Current Prices]]-F475)/F475</f>
        <v>-1.8880647336480184E-2</v>
      </c>
      <c r="H476" s="7">
        <f>(Table2_1[[#This Row],[Current Prices]]-F472)/F472</f>
        <v>-2.8704939919893264E-2</v>
      </c>
      <c r="I476" s="2"/>
    </row>
    <row r="477" spans="1:9" x14ac:dyDescent="0.3">
      <c r="A477" s="2" t="s">
        <v>78</v>
      </c>
      <c r="B477" s="2" t="s">
        <v>51</v>
      </c>
      <c r="C477" s="2">
        <v>144.69999999999999</v>
      </c>
      <c r="D477" s="6">
        <f>(Table2_1[[#This Row],[Constant Prices]]-C476)/C476</f>
        <v>-0.29723166585721233</v>
      </c>
      <c r="E477" s="6">
        <f>(Table2_1[[#This Row],[Constant Prices]]-C473)/C473</f>
        <v>-0.35859929078014185</v>
      </c>
      <c r="F477" s="2">
        <v>230.7</v>
      </c>
      <c r="G477" s="7">
        <f>(Table2_1[[#This Row],[Current Prices]]-F476)/F476</f>
        <v>-0.20721649484536087</v>
      </c>
      <c r="H477" s="7">
        <f>(Table2_1[[#This Row],[Current Prices]]-F473)/F473</f>
        <v>-0.22583892617449669</v>
      </c>
      <c r="I477" s="2"/>
    </row>
    <row r="478" spans="1:9" x14ac:dyDescent="0.3">
      <c r="A478" s="2" t="s">
        <v>78</v>
      </c>
      <c r="B478" s="2" t="s">
        <v>52</v>
      </c>
      <c r="C478" s="2">
        <v>219.9</v>
      </c>
      <c r="D478" s="6">
        <f>(Table2_1[[#This Row],[Constant Prices]]-C477)/C477</f>
        <v>0.51969592259847974</v>
      </c>
      <c r="E478" s="6">
        <f>(Table2_1[[#This Row],[Constant Prices]]-C474)/C474</f>
        <v>-2.1797153024911056E-2</v>
      </c>
      <c r="F478" s="2">
        <v>291.7</v>
      </c>
      <c r="G478" s="7">
        <f>(Table2_1[[#This Row],[Current Prices]]-F477)/F477</f>
        <v>0.26441265713047246</v>
      </c>
      <c r="H478" s="7">
        <f>(Table2_1[[#This Row],[Current Prices]]-F474)/F474</f>
        <v>-2.2453083109919534E-2</v>
      </c>
      <c r="I478" s="2"/>
    </row>
    <row r="479" spans="1:9" x14ac:dyDescent="0.3">
      <c r="A479" s="2" t="s">
        <v>78</v>
      </c>
      <c r="B479" s="2" t="s">
        <v>53</v>
      </c>
      <c r="C479" s="2">
        <v>233.5</v>
      </c>
      <c r="D479" s="6">
        <f>(Table2_1[[#This Row],[Constant Prices]]-C478)/C478</f>
        <v>6.184629376989538E-2</v>
      </c>
      <c r="E479" s="6">
        <f>(Table2_1[[#This Row],[Constant Prices]]-C475)/C475</f>
        <v>1.2136974425661081E-2</v>
      </c>
      <c r="F479" s="2">
        <v>296.2</v>
      </c>
      <c r="G479" s="7">
        <f>(Table2_1[[#This Row],[Current Prices]]-F478)/F478</f>
        <v>1.5426808364758314E-2</v>
      </c>
      <c r="H479" s="7">
        <f>(Table2_1[[#This Row],[Current Prices]]-F475)/F475</f>
        <v>-1.3486176668915512E-3</v>
      </c>
      <c r="I479" s="2">
        <v>10</v>
      </c>
    </row>
    <row r="480" spans="1:9" x14ac:dyDescent="0.3">
      <c r="A480" s="2" t="s">
        <v>78</v>
      </c>
      <c r="B480" s="2" t="s">
        <v>54</v>
      </c>
      <c r="C480" s="2">
        <v>233.7</v>
      </c>
      <c r="D480" s="6">
        <f>(Table2_1[[#This Row],[Constant Prices]]-C479)/C479</f>
        <v>8.5653104925048661E-4</v>
      </c>
      <c r="E480" s="6">
        <f>(Table2_1[[#This Row],[Constant Prices]]-C476)/C476</f>
        <v>0.13501699854298194</v>
      </c>
      <c r="F480" s="2">
        <v>330.9</v>
      </c>
      <c r="G480" s="7">
        <f>(Table2_1[[#This Row],[Current Prices]]-F479)/F479</f>
        <v>0.11715057393652933</v>
      </c>
      <c r="H480" s="7">
        <f>(Table2_1[[#This Row],[Current Prices]]-F476)/F476</f>
        <v>0.1371134020618556</v>
      </c>
      <c r="I480" s="2"/>
    </row>
    <row r="481" spans="1:9" x14ac:dyDescent="0.3">
      <c r="A481" s="2" t="s">
        <v>78</v>
      </c>
      <c r="B481" s="2" t="s">
        <v>55</v>
      </c>
      <c r="C481" s="2">
        <v>235.5</v>
      </c>
      <c r="D481" s="6">
        <f>(Table2_1[[#This Row],[Constant Prices]]-C480)/C480</f>
        <v>7.7021822849807934E-3</v>
      </c>
      <c r="E481" s="6">
        <f>(Table2_1[[#This Row],[Constant Prices]]-C477)/C477</f>
        <v>0.62750518313752601</v>
      </c>
      <c r="F481" s="2">
        <v>353.7</v>
      </c>
      <c r="G481" s="7">
        <f>(Table2_1[[#This Row],[Current Prices]]-F480)/F480</f>
        <v>6.8902991840435218E-2</v>
      </c>
      <c r="H481" s="7">
        <f>(Table2_1[[#This Row],[Current Prices]]-F477)/F477</f>
        <v>0.53315994798439537</v>
      </c>
      <c r="I481" s="2"/>
    </row>
    <row r="482" spans="1:9" x14ac:dyDescent="0.3">
      <c r="A482" s="2" t="s">
        <v>78</v>
      </c>
      <c r="B482" s="2" t="s">
        <v>56</v>
      </c>
      <c r="C482" s="2">
        <v>221</v>
      </c>
      <c r="D482" s="6">
        <f>(Table2_1[[#This Row],[Constant Prices]]-C481)/C481</f>
        <v>-6.1571125265392782E-2</v>
      </c>
      <c r="E482" s="6">
        <f>(Table2_1[[#This Row],[Constant Prices]]-C478)/C478</f>
        <v>5.0022737608003374E-3</v>
      </c>
      <c r="F482" s="2">
        <v>340.5</v>
      </c>
      <c r="G482" s="7">
        <f>(Table2_1[[#This Row],[Current Prices]]-F481)/F481</f>
        <v>-3.7319762510602171E-2</v>
      </c>
      <c r="H482" s="7">
        <f>(Table2_1[[#This Row],[Current Prices]]-F478)/F478</f>
        <v>0.16729516626671243</v>
      </c>
      <c r="I482" s="2"/>
    </row>
    <row r="483" spans="1:9" x14ac:dyDescent="0.3">
      <c r="A483" s="2" t="s">
        <v>78</v>
      </c>
      <c r="B483" s="2" t="s">
        <v>57</v>
      </c>
      <c r="C483" s="2">
        <v>228.7</v>
      </c>
      <c r="D483" s="6">
        <f>(Table2_1[[#This Row],[Constant Prices]]-C482)/C482</f>
        <v>3.4841628959275964E-2</v>
      </c>
      <c r="E483" s="6">
        <f>(Table2_1[[#This Row],[Constant Prices]]-C479)/C479</f>
        <v>-2.0556745182012896E-2</v>
      </c>
      <c r="F483" s="2">
        <v>332.6</v>
      </c>
      <c r="G483" s="7">
        <f>(Table2_1[[#This Row],[Current Prices]]-F482)/F482</f>
        <v>-2.3201174743024897E-2</v>
      </c>
      <c r="H483" s="7">
        <f>(Table2_1[[#This Row],[Current Prices]]-F479)/F479</f>
        <v>0.12288993923024995</v>
      </c>
      <c r="I483" s="2">
        <v>11</v>
      </c>
    </row>
    <row r="484" spans="1:9" x14ac:dyDescent="0.3">
      <c r="A484" s="2" t="s">
        <v>78</v>
      </c>
      <c r="B484" s="2" t="s">
        <v>58</v>
      </c>
      <c r="C484" s="2">
        <v>227</v>
      </c>
      <c r="D484" s="6">
        <f>(Table2_1[[#This Row],[Constant Prices]]-C483)/C483</f>
        <v>-7.4333187581984636E-3</v>
      </c>
      <c r="E484" s="6">
        <f>(Table2_1[[#This Row],[Constant Prices]]-C480)/C480</f>
        <v>-2.8669234060761613E-2</v>
      </c>
      <c r="F484" s="2">
        <v>355.9</v>
      </c>
      <c r="G484" s="7">
        <f>(Table2_1[[#This Row],[Current Prices]]-F483)/F483</f>
        <v>7.0054119061936121E-2</v>
      </c>
      <c r="H484" s="7">
        <f>(Table2_1[[#This Row],[Current Prices]]-F480)/F480</f>
        <v>7.5551526140828051E-2</v>
      </c>
      <c r="I484" s="2"/>
    </row>
    <row r="485" spans="1:9" x14ac:dyDescent="0.3">
      <c r="A485" s="2" t="s">
        <v>78</v>
      </c>
      <c r="B485" s="2" t="s">
        <v>59</v>
      </c>
      <c r="C485" s="2">
        <v>219.9</v>
      </c>
      <c r="D485" s="6">
        <f>(Table2_1[[#This Row],[Constant Prices]]-C484)/C484</f>
        <v>-3.1277533039647552E-2</v>
      </c>
      <c r="E485" s="6">
        <f>(Table2_1[[#This Row],[Constant Prices]]-C481)/C481</f>
        <v>-6.6242038216560481E-2</v>
      </c>
      <c r="F485" s="2">
        <v>349.9</v>
      </c>
      <c r="G485" s="7">
        <f>(Table2_1[[#This Row],[Current Prices]]-F484)/F484</f>
        <v>-1.685866816521495E-2</v>
      </c>
      <c r="H485" s="7">
        <f>(Table2_1[[#This Row],[Current Prices]]-F481)/F481</f>
        <v>-1.0743567995476424E-2</v>
      </c>
      <c r="I485" s="2"/>
    </row>
    <row r="486" spans="1:9" x14ac:dyDescent="0.3">
      <c r="A486" s="2" t="s">
        <v>78</v>
      </c>
      <c r="B486" s="2" t="s">
        <v>60</v>
      </c>
      <c r="C486" s="2">
        <v>225.7</v>
      </c>
      <c r="D486" s="6">
        <f>(Table2_1[[#This Row],[Constant Prices]]-C485)/C485</f>
        <v>2.6375625284220022E-2</v>
      </c>
      <c r="E486" s="6">
        <f>(Table2_1[[#This Row],[Constant Prices]]-C482)/C482</f>
        <v>2.1266968325791804E-2</v>
      </c>
      <c r="F486" s="2">
        <v>345.9</v>
      </c>
      <c r="G486" s="7">
        <f>(Table2_1[[#This Row],[Current Prices]]-F485)/F485</f>
        <v>-1.1431837667905117E-2</v>
      </c>
      <c r="H486" s="7">
        <f>(Table2_1[[#This Row],[Current Prices]]-F482)/F482</f>
        <v>1.5859030837004337E-2</v>
      </c>
      <c r="I486" s="2"/>
    </row>
    <row r="487" spans="1:9" x14ac:dyDescent="0.3">
      <c r="A487" s="2" t="s">
        <v>78</v>
      </c>
      <c r="B487" s="2" t="s">
        <v>61</v>
      </c>
      <c r="C487" s="2">
        <v>216.8</v>
      </c>
      <c r="D487" s="6">
        <f>(Table2_1[[#This Row],[Constant Prices]]-C486)/C486</f>
        <v>-3.943287549844917E-2</v>
      </c>
      <c r="E487" s="6">
        <f>(Table2_1[[#This Row],[Constant Prices]]-C483)/C483</f>
        <v>-5.2033231307389495E-2</v>
      </c>
      <c r="F487" s="2">
        <v>343</v>
      </c>
      <c r="G487" s="7">
        <f>(Table2_1[[#This Row],[Current Prices]]-F486)/F486</f>
        <v>-8.383925990170505E-3</v>
      </c>
      <c r="H487" s="7">
        <f>(Table2_1[[#This Row],[Current Prices]]-F483)/F483</f>
        <v>3.1268791340950022E-2</v>
      </c>
      <c r="I487" s="2">
        <v>12</v>
      </c>
    </row>
    <row r="488" spans="1:9" x14ac:dyDescent="0.3">
      <c r="A488" s="2" t="s">
        <v>78</v>
      </c>
      <c r="B488" s="2" t="s">
        <v>62</v>
      </c>
      <c r="C488" s="2">
        <v>221.1</v>
      </c>
      <c r="D488" s="6">
        <f>(Table2_1[[#This Row],[Constant Prices]]-C487)/C487</f>
        <v>1.9833948339483314E-2</v>
      </c>
      <c r="E488" s="6">
        <f>(Table2_1[[#This Row],[Constant Prices]]-C484)/C484</f>
        <v>-2.5991189427312801E-2</v>
      </c>
      <c r="F488" s="2">
        <v>353.1</v>
      </c>
      <c r="G488" s="7">
        <f>(Table2_1[[#This Row],[Current Prices]]-F487)/F487</f>
        <v>2.9446064139941757E-2</v>
      </c>
      <c r="H488" s="7">
        <f>(Table2_1[[#This Row],[Current Prices]]-F484)/F484</f>
        <v>-7.8673784771001818E-3</v>
      </c>
      <c r="I488" s="2"/>
    </row>
    <row r="489" spans="1:9" x14ac:dyDescent="0.3">
      <c r="A489" s="2" t="s">
        <v>78</v>
      </c>
      <c r="B489" s="2" t="s">
        <v>63</v>
      </c>
      <c r="C489" s="2">
        <v>217.8</v>
      </c>
      <c r="D489" s="6">
        <f>(Table2_1[[#This Row],[Constant Prices]]-C488)/C488</f>
        <v>-1.4925373134328282E-2</v>
      </c>
      <c r="E489" s="6">
        <f>(Table2_1[[#This Row],[Constant Prices]]-C485)/C485</f>
        <v>-9.5497953615279411E-3</v>
      </c>
      <c r="F489" s="2">
        <v>341.8</v>
      </c>
      <c r="G489" s="7">
        <f>(Table2_1[[#This Row],[Current Prices]]-F488)/F488</f>
        <v>-3.2002265647125487E-2</v>
      </c>
      <c r="H489" s="7">
        <f>(Table2_1[[#This Row],[Current Prices]]-F485)/F485</f>
        <v>-2.3149471277507765E-2</v>
      </c>
      <c r="I489" s="2"/>
    </row>
    <row r="490" spans="1:9" x14ac:dyDescent="0.3">
      <c r="A490" s="2" t="s">
        <v>78</v>
      </c>
      <c r="B490" s="2" t="s">
        <v>64</v>
      </c>
      <c r="C490" s="2">
        <v>226.7</v>
      </c>
      <c r="D490" s="6">
        <f>(Table2_1[[#This Row],[Constant Prices]]-C489)/C489</f>
        <v>4.0863177226813485E-2</v>
      </c>
      <c r="E490" s="6">
        <f>(Table2_1[[#This Row],[Constant Prices]]-C486)/C486</f>
        <v>4.430660168365087E-3</v>
      </c>
      <c r="F490" s="2">
        <v>339.4</v>
      </c>
      <c r="G490" s="7">
        <f>(Table2_1[[#This Row],[Current Prices]]-F489)/F489</f>
        <v>-7.0216500877707255E-3</v>
      </c>
      <c r="H490" s="7">
        <f>(Table2_1[[#This Row],[Current Prices]]-F486)/F486</f>
        <v>-1.8791558253830588E-2</v>
      </c>
      <c r="I490" s="2"/>
    </row>
    <row r="491" spans="1:9" x14ac:dyDescent="0.3">
      <c r="A491" s="2" t="s">
        <v>78</v>
      </c>
      <c r="B491" s="2" t="s">
        <v>65</v>
      </c>
      <c r="C491" s="2">
        <v>204.2</v>
      </c>
      <c r="D491" s="6">
        <f>(Table2_1[[#This Row],[Constant Prices]]-C490)/C490</f>
        <v>-9.9250110277900316E-2</v>
      </c>
      <c r="E491" s="6">
        <f>(Table2_1[[#This Row],[Constant Prices]]-C487)/C487</f>
        <v>-5.8118081180811909E-2</v>
      </c>
      <c r="F491" s="2">
        <v>306.8</v>
      </c>
      <c r="G491" s="7">
        <f>(Table2_1[[#This Row],[Current Prices]]-F490)/F490</f>
        <v>-9.6051856216853179E-2</v>
      </c>
      <c r="H491" s="7">
        <f>(Table2_1[[#This Row],[Current Prices]]-F487)/F487</f>
        <v>-0.10553935860058306</v>
      </c>
      <c r="I491" s="2">
        <v>13</v>
      </c>
    </row>
    <row r="492" spans="1:9" x14ac:dyDescent="0.3">
      <c r="A492" s="2" t="s">
        <v>78</v>
      </c>
      <c r="B492" s="2" t="s">
        <v>66</v>
      </c>
      <c r="C492" s="2">
        <v>208.7</v>
      </c>
      <c r="D492" s="6">
        <f>(Table2_1[[#This Row],[Constant Prices]]-C491)/C491</f>
        <v>2.2037218413320275E-2</v>
      </c>
      <c r="E492" s="6">
        <f>(Table2_1[[#This Row],[Constant Prices]]-C488)/C488</f>
        <v>-5.6083220262324769E-2</v>
      </c>
      <c r="F492" s="2">
        <v>327</v>
      </c>
      <c r="G492" s="7">
        <f>(Table2_1[[#This Row],[Current Prices]]-F491)/F491</f>
        <v>6.5840938722294615E-2</v>
      </c>
      <c r="H492" s="7">
        <f>(Table2_1[[#This Row],[Current Prices]]-F488)/F488</f>
        <v>-7.3916737468139398E-2</v>
      </c>
      <c r="I492" s="2"/>
    </row>
    <row r="493" spans="1:9" x14ac:dyDescent="0.3">
      <c r="A493" s="2" t="s">
        <v>78</v>
      </c>
      <c r="B493" s="2" t="s">
        <v>67</v>
      </c>
      <c r="C493" s="2">
        <v>203.1</v>
      </c>
      <c r="D493" s="6">
        <f>(Table2_1[[#This Row],[Constant Prices]]-C492)/C492</f>
        <v>-2.6832774317201699E-2</v>
      </c>
      <c r="E493" s="6">
        <f>(Table2_1[[#This Row],[Constant Prices]]-C489)/C489</f>
        <v>-6.7493112947658473E-2</v>
      </c>
      <c r="F493" s="2">
        <v>319.2</v>
      </c>
      <c r="G493" s="7">
        <f>(Table2_1[[#This Row],[Current Prices]]-F492)/F492</f>
        <v>-2.3853211009174348E-2</v>
      </c>
      <c r="H493" s="7">
        <f>(Table2_1[[#This Row],[Current Prices]]-F489)/F489</f>
        <v>-6.61205383265068E-2</v>
      </c>
      <c r="I493" s="2"/>
    </row>
    <row r="494" spans="1:9" x14ac:dyDescent="0.3">
      <c r="A494" s="2" t="s">
        <v>78</v>
      </c>
      <c r="B494" s="2" t="s">
        <v>68</v>
      </c>
      <c r="C494" s="2">
        <v>218.1</v>
      </c>
      <c r="D494" s="6">
        <f>(Table2_1[[#This Row],[Constant Prices]]-C493)/C493</f>
        <v>7.3855243722304287E-2</v>
      </c>
      <c r="E494" s="6">
        <f>(Table2_1[[#This Row],[Constant Prices]]-C490)/C490</f>
        <v>-3.7935597706219654E-2</v>
      </c>
      <c r="F494" s="2">
        <v>331.1</v>
      </c>
      <c r="G494" s="7">
        <f>(Table2_1[[#This Row],[Current Prices]]-F493)/F493</f>
        <v>3.7280701754386074E-2</v>
      </c>
      <c r="H494" s="7">
        <f>(Table2_1[[#This Row],[Current Prices]]-F490)/F490</f>
        <v>-2.4454920447849013E-2</v>
      </c>
      <c r="I494" s="2"/>
    </row>
    <row r="495" spans="1:9" x14ac:dyDescent="0.3">
      <c r="A495" s="2" t="s">
        <v>78</v>
      </c>
      <c r="B495" s="2" t="s">
        <v>69</v>
      </c>
      <c r="C495" s="2">
        <v>204.9</v>
      </c>
      <c r="D495" s="6">
        <f>(Table2_1[[#This Row],[Constant Prices]]-C494)/C494</f>
        <v>-6.0522696011004073E-2</v>
      </c>
      <c r="E495" s="6">
        <f>(Table2_1[[#This Row],[Constant Prices]]-C491)/C491</f>
        <v>3.4280117531832375E-3</v>
      </c>
      <c r="F495" s="5">
        <f>Table2_1[[#This Row],[Constant Prices]]*AVERAGE(Inflation!$C$72:$C$74)*0.01</f>
        <v>370.93730000000005</v>
      </c>
      <c r="G495" s="7">
        <f>(Table2_1[[#This Row],[Current Prices]]-F494)/F494</f>
        <v>0.12031803080640298</v>
      </c>
      <c r="H495" s="7">
        <f>(Table2_1[[#This Row],[Current Prices]]-F491)/F491</f>
        <v>0.20905247718383324</v>
      </c>
      <c r="I495" s="2">
        <v>14</v>
      </c>
    </row>
    <row r="496" spans="1:9" x14ac:dyDescent="0.3">
      <c r="A496" s="2" t="s">
        <v>78</v>
      </c>
      <c r="B496" s="2" t="s">
        <v>70</v>
      </c>
      <c r="C496" s="2">
        <v>207.3</v>
      </c>
      <c r="D496" s="6">
        <f>(Table2_1[[#This Row],[Constant Prices]]-C495)/C495</f>
        <v>1.1713030746705738E-2</v>
      </c>
      <c r="E496" s="6">
        <f>(Table2_1[[#This Row],[Constant Prices]]-C492)/C492</f>
        <v>-6.7081935793003224E-3</v>
      </c>
      <c r="F496" s="5">
        <f>Table2_1[[#This Row],[Constant Prices]]*AVERAGE(Inflation!$C$75:$C$77)*0.01</f>
        <v>378.18430000000001</v>
      </c>
      <c r="G496" s="7">
        <f>(Table2_1[[#This Row],[Current Prices]]-F495)/F495</f>
        <v>1.9536994527107294E-2</v>
      </c>
      <c r="H496" s="7">
        <f>(Table2_1[[#This Row],[Current Prices]]-F492)/F492</f>
        <v>0.15652691131498472</v>
      </c>
      <c r="I496" s="2"/>
    </row>
    <row r="497" spans="1:9" x14ac:dyDescent="0.3">
      <c r="A497" s="2" t="s">
        <v>78</v>
      </c>
      <c r="B497" s="2" t="s">
        <v>71</v>
      </c>
      <c r="C497" s="2">
        <v>218.8</v>
      </c>
      <c r="D497" s="6">
        <f>(Table2_1[[#This Row],[Constant Prices]]-C496)/C496</f>
        <v>5.5475156777616975E-2</v>
      </c>
      <c r="E497" s="6">
        <f>(Table2_1[[#This Row],[Constant Prices]]-C493)/C493</f>
        <v>7.7301821762678566E-2</v>
      </c>
      <c r="F497" s="5">
        <f>Table2_1[[#This Row],[Constant Prices]]*AVERAGE(Inflation!$C$78:$C$80)*0.01</f>
        <v>405.50933333333336</v>
      </c>
      <c r="G497" s="7">
        <f>(Table2_1[[#This Row],[Current Prices]]-F496)/F496</f>
        <v>7.2253219748501851E-2</v>
      </c>
      <c r="H497" s="7">
        <f>(Table2_1[[#This Row],[Current Prices]]-F493)/F493</f>
        <v>0.27039264828738524</v>
      </c>
      <c r="I497" s="2"/>
    </row>
    <row r="498" spans="1:9" x14ac:dyDescent="0.3">
      <c r="A498" s="2" t="s">
        <v>79</v>
      </c>
      <c r="B498" s="2" t="s">
        <v>10</v>
      </c>
      <c r="C498" s="2">
        <v>799.3</v>
      </c>
      <c r="D498" s="6"/>
      <c r="E498" s="6"/>
      <c r="F498" s="2">
        <v>678.5</v>
      </c>
      <c r="G498" s="7"/>
      <c r="H498" s="7"/>
      <c r="I498" s="2"/>
    </row>
    <row r="499" spans="1:9" x14ac:dyDescent="0.3">
      <c r="A499" s="2" t="s">
        <v>79</v>
      </c>
      <c r="B499" s="2" t="s">
        <v>11</v>
      </c>
      <c r="C499" s="2">
        <v>845.7</v>
      </c>
      <c r="D499" s="6">
        <f>(Table2_1[[#This Row],[Constant Prices]]-C498)/C498</f>
        <v>5.8050794445139615E-2</v>
      </c>
      <c r="E499" s="6"/>
      <c r="F499" s="2">
        <v>704.8</v>
      </c>
      <c r="G499" s="7">
        <f>(Table2_1[[#This Row],[Current Prices]]-F498)/F498</f>
        <v>3.8761974944730958E-2</v>
      </c>
      <c r="H499" s="7"/>
      <c r="I499" s="2"/>
    </row>
    <row r="500" spans="1:9" x14ac:dyDescent="0.3">
      <c r="A500" s="2" t="s">
        <v>79</v>
      </c>
      <c r="B500" s="2" t="s">
        <v>12</v>
      </c>
      <c r="C500" s="2">
        <v>822.2</v>
      </c>
      <c r="D500" s="6">
        <f>(Table2_1[[#This Row],[Constant Prices]]-C499)/C499</f>
        <v>-2.7787631547830198E-2</v>
      </c>
      <c r="E500" s="6"/>
      <c r="F500" s="2">
        <v>709.3</v>
      </c>
      <c r="G500" s="7">
        <f>(Table2_1[[#This Row],[Current Prices]]-F499)/F499</f>
        <v>6.3847900113507385E-3</v>
      </c>
      <c r="H500" s="7"/>
      <c r="I500" s="2"/>
    </row>
    <row r="501" spans="1:9" x14ac:dyDescent="0.3">
      <c r="A501" s="2" t="s">
        <v>79</v>
      </c>
      <c r="B501" s="2" t="s">
        <v>13</v>
      </c>
      <c r="C501" s="2">
        <v>840.2</v>
      </c>
      <c r="D501" s="6">
        <f>(Table2_1[[#This Row],[Constant Prices]]-C500)/C500</f>
        <v>2.1892483580637313E-2</v>
      </c>
      <c r="E501" s="6"/>
      <c r="F501" s="2">
        <v>722.4</v>
      </c>
      <c r="G501" s="7">
        <f>(Table2_1[[#This Row],[Current Prices]]-F500)/F500</f>
        <v>1.8468913012829585E-2</v>
      </c>
      <c r="H501" s="7"/>
      <c r="I501" s="2"/>
    </row>
    <row r="502" spans="1:9" x14ac:dyDescent="0.3">
      <c r="A502" s="2" t="s">
        <v>79</v>
      </c>
      <c r="B502" s="2" t="s">
        <v>14</v>
      </c>
      <c r="C502" s="2">
        <v>828.3</v>
      </c>
      <c r="D502" s="6">
        <f>(Table2_1[[#This Row],[Constant Prices]]-C501)/C501</f>
        <v>-1.4163294453701607E-2</v>
      </c>
      <c r="E502" s="6">
        <f>(Table2_1[[#This Row],[Constant Prices]]-C498)/C498</f>
        <v>3.6281746528212186E-2</v>
      </c>
      <c r="F502" s="2">
        <v>727.9</v>
      </c>
      <c r="G502" s="7">
        <f>(Table2_1[[#This Row],[Current Prices]]-F501)/F501</f>
        <v>7.6135105204872648E-3</v>
      </c>
      <c r="H502" s="7">
        <f>(Table2_1[[#This Row],[Current Prices]]-F498)/F498</f>
        <v>7.2807663964627817E-2</v>
      </c>
      <c r="I502" s="2"/>
    </row>
    <row r="503" spans="1:9" x14ac:dyDescent="0.3">
      <c r="A503" s="2" t="s">
        <v>79</v>
      </c>
      <c r="B503" s="2" t="s">
        <v>15</v>
      </c>
      <c r="C503" s="2">
        <v>853.1</v>
      </c>
      <c r="D503" s="6">
        <f>(Table2_1[[#This Row],[Constant Prices]]-C502)/C502</f>
        <v>2.9940842689846758E-2</v>
      </c>
      <c r="E503" s="6">
        <f>(Table2_1[[#This Row],[Constant Prices]]-C499)/C499</f>
        <v>8.7501478065507583E-3</v>
      </c>
      <c r="F503" s="2">
        <v>742.9</v>
      </c>
      <c r="G503" s="7">
        <f>(Table2_1[[#This Row],[Current Prices]]-F502)/F502</f>
        <v>2.0607226267344417E-2</v>
      </c>
      <c r="H503" s="7">
        <f>(Table2_1[[#This Row],[Current Prices]]-F499)/F499</f>
        <v>5.4057888762769617E-2</v>
      </c>
      <c r="I503" s="2"/>
    </row>
    <row r="504" spans="1:9" x14ac:dyDescent="0.3">
      <c r="A504" s="2" t="s">
        <v>79</v>
      </c>
      <c r="B504" s="2" t="s">
        <v>16</v>
      </c>
      <c r="C504" s="2">
        <v>885.2</v>
      </c>
      <c r="D504" s="6">
        <f>(Table2_1[[#This Row],[Constant Prices]]-C503)/C503</f>
        <v>3.76274762630407E-2</v>
      </c>
      <c r="E504" s="6">
        <f>(Table2_1[[#This Row],[Constant Prices]]-C500)/C500</f>
        <v>7.66236925322306E-2</v>
      </c>
      <c r="F504" s="2">
        <v>746.5</v>
      </c>
      <c r="G504" s="7">
        <f>(Table2_1[[#This Row],[Current Prices]]-F503)/F503</f>
        <v>4.8458742764840796E-3</v>
      </c>
      <c r="H504" s="7">
        <f>(Table2_1[[#This Row],[Current Prices]]-F500)/F500</f>
        <v>5.244607359368398E-2</v>
      </c>
      <c r="I504" s="2"/>
    </row>
    <row r="505" spans="1:9" x14ac:dyDescent="0.3">
      <c r="A505" s="2" t="s">
        <v>79</v>
      </c>
      <c r="B505" s="2" t="s">
        <v>17</v>
      </c>
      <c r="C505" s="2">
        <v>875.2</v>
      </c>
      <c r="D505" s="6">
        <f>(Table2_1[[#This Row],[Constant Prices]]-C504)/C504</f>
        <v>-1.1296882060551287E-2</v>
      </c>
      <c r="E505" s="6">
        <f>(Table2_1[[#This Row],[Constant Prices]]-C501)/C501</f>
        <v>4.1656748393239705E-2</v>
      </c>
      <c r="F505" s="2">
        <v>764.7</v>
      </c>
      <c r="G505" s="7">
        <f>(Table2_1[[#This Row],[Current Prices]]-F504)/F504</f>
        <v>2.4380442062960542E-2</v>
      </c>
      <c r="H505" s="7">
        <f>(Table2_1[[#This Row],[Current Prices]]-F501)/F501</f>
        <v>5.8554817275747607E-2</v>
      </c>
      <c r="I505" s="2">
        <v>1</v>
      </c>
    </row>
    <row r="506" spans="1:9" x14ac:dyDescent="0.3">
      <c r="A506" s="2" t="s">
        <v>79</v>
      </c>
      <c r="B506" s="2" t="s">
        <v>18</v>
      </c>
      <c r="C506" s="2">
        <v>852.4</v>
      </c>
      <c r="D506" s="6">
        <f>(Table2_1[[#This Row],[Constant Prices]]-C505)/C505</f>
        <v>-2.6051188299817261E-2</v>
      </c>
      <c r="E506" s="6">
        <f>(Table2_1[[#This Row],[Constant Prices]]-C502)/C502</f>
        <v>2.9095738259084902E-2</v>
      </c>
      <c r="F506" s="2">
        <v>777.5</v>
      </c>
      <c r="G506" s="7">
        <f>(Table2_1[[#This Row],[Current Prices]]-F505)/F505</f>
        <v>1.6738590296848377E-2</v>
      </c>
      <c r="H506" s="7">
        <f>(Table2_1[[#This Row],[Current Prices]]-F502)/F502</f>
        <v>6.8141228190685563E-2</v>
      </c>
      <c r="I506" s="2"/>
    </row>
    <row r="507" spans="1:9" x14ac:dyDescent="0.3">
      <c r="A507" s="2" t="s">
        <v>79</v>
      </c>
      <c r="B507" s="2" t="s">
        <v>19</v>
      </c>
      <c r="C507" s="2">
        <v>861.9</v>
      </c>
      <c r="D507" s="6">
        <f>(Table2_1[[#This Row],[Constant Prices]]-C506)/C506</f>
        <v>1.1145002346316284E-2</v>
      </c>
      <c r="E507" s="6">
        <f>(Table2_1[[#This Row],[Constant Prices]]-C503)/C503</f>
        <v>1.0315320595475271E-2</v>
      </c>
      <c r="F507" s="2">
        <v>768.2</v>
      </c>
      <c r="G507" s="7">
        <f>(Table2_1[[#This Row],[Current Prices]]-F506)/F506</f>
        <v>-1.1961414790996727E-2</v>
      </c>
      <c r="H507" s="7">
        <f>(Table2_1[[#This Row],[Current Prices]]-F503)/F503</f>
        <v>3.4055727554179661E-2</v>
      </c>
      <c r="I507" s="2"/>
    </row>
    <row r="508" spans="1:9" x14ac:dyDescent="0.3">
      <c r="A508" s="2" t="s">
        <v>79</v>
      </c>
      <c r="B508" s="2" t="s">
        <v>20</v>
      </c>
      <c r="C508" s="2">
        <v>885</v>
      </c>
      <c r="D508" s="6">
        <f>(Table2_1[[#This Row],[Constant Prices]]-C507)/C507</f>
        <v>2.6801253045596964E-2</v>
      </c>
      <c r="E508" s="6">
        <f>(Table2_1[[#This Row],[Constant Prices]]-C504)/C504</f>
        <v>-2.2593764121107713E-4</v>
      </c>
      <c r="F508" s="2">
        <v>802.7</v>
      </c>
      <c r="G508" s="7">
        <f>(Table2_1[[#This Row],[Current Prices]]-F507)/F507</f>
        <v>4.4910179640718563E-2</v>
      </c>
      <c r="H508" s="7">
        <f>(Table2_1[[#This Row],[Current Prices]]-F504)/F504</f>
        <v>7.5284661754856055E-2</v>
      </c>
      <c r="I508" s="2"/>
    </row>
    <row r="509" spans="1:9" x14ac:dyDescent="0.3">
      <c r="A509" s="2" t="s">
        <v>79</v>
      </c>
      <c r="B509" s="2" t="s">
        <v>21</v>
      </c>
      <c r="C509" s="2">
        <v>871.8</v>
      </c>
      <c r="D509" s="6">
        <f>(Table2_1[[#This Row],[Constant Prices]]-C508)/C508</f>
        <v>-1.4915254237288187E-2</v>
      </c>
      <c r="E509" s="6">
        <f>(Table2_1[[#This Row],[Constant Prices]]-C505)/C505</f>
        <v>-3.8848263254114383E-3</v>
      </c>
      <c r="F509" s="2">
        <v>808.8</v>
      </c>
      <c r="G509" s="7">
        <f>(Table2_1[[#This Row],[Current Prices]]-F508)/F508</f>
        <v>7.5993521863708842E-3</v>
      </c>
      <c r="H509" s="7">
        <f>(Table2_1[[#This Row],[Current Prices]]-F505)/F505</f>
        <v>5.7669674382110507E-2</v>
      </c>
      <c r="I509" s="2">
        <v>2</v>
      </c>
    </row>
    <row r="510" spans="1:9" x14ac:dyDescent="0.3">
      <c r="A510" s="2" t="s">
        <v>79</v>
      </c>
      <c r="B510" s="2" t="s">
        <v>22</v>
      </c>
      <c r="C510" s="2">
        <v>874.4</v>
      </c>
      <c r="D510" s="6">
        <f>(Table2_1[[#This Row],[Constant Prices]]-C509)/C509</f>
        <v>2.9823353980270965E-3</v>
      </c>
      <c r="E510" s="6">
        <f>(Table2_1[[#This Row],[Constant Prices]]-C506)/C506</f>
        <v>2.5809479117785077E-2</v>
      </c>
      <c r="F510" s="2">
        <v>818.4</v>
      </c>
      <c r="G510" s="7">
        <f>(Table2_1[[#This Row],[Current Prices]]-F509)/F509</f>
        <v>1.1869436201780444E-2</v>
      </c>
      <c r="H510" s="7">
        <f>(Table2_1[[#This Row],[Current Prices]]-F506)/F506</f>
        <v>5.2604501607717014E-2</v>
      </c>
      <c r="I510" s="2"/>
    </row>
    <row r="511" spans="1:9" x14ac:dyDescent="0.3">
      <c r="A511" s="2" t="s">
        <v>79</v>
      </c>
      <c r="B511" s="2" t="s">
        <v>23</v>
      </c>
      <c r="C511" s="2">
        <v>871.3</v>
      </c>
      <c r="D511" s="6">
        <f>(Table2_1[[#This Row],[Constant Prices]]-C510)/C510</f>
        <v>-3.545288197621252E-3</v>
      </c>
      <c r="E511" s="6">
        <f>(Table2_1[[#This Row],[Constant Prices]]-C507)/C507</f>
        <v>1.0906137602970156E-2</v>
      </c>
      <c r="F511" s="2">
        <v>827.5</v>
      </c>
      <c r="G511" s="7">
        <f>(Table2_1[[#This Row],[Current Prices]]-F510)/F510</f>
        <v>1.1119257086999051E-2</v>
      </c>
      <c r="H511" s="7">
        <f>(Table2_1[[#This Row],[Current Prices]]-F507)/F507</f>
        <v>7.7193439208539383E-2</v>
      </c>
      <c r="I511" s="2"/>
    </row>
    <row r="512" spans="1:9" x14ac:dyDescent="0.3">
      <c r="A512" s="2" t="s">
        <v>79</v>
      </c>
      <c r="B512" s="2" t="s">
        <v>24</v>
      </c>
      <c r="C512" s="2">
        <v>871.7</v>
      </c>
      <c r="D512" s="6">
        <f>(Table2_1[[#This Row],[Constant Prices]]-C511)/C511</f>
        <v>4.5908412716640762E-4</v>
      </c>
      <c r="E512" s="6">
        <f>(Table2_1[[#This Row],[Constant Prices]]-C508)/C508</f>
        <v>-1.502824858757057E-2</v>
      </c>
      <c r="F512" s="2">
        <v>837.3</v>
      </c>
      <c r="G512" s="7">
        <f>(Table2_1[[#This Row],[Current Prices]]-F511)/F511</f>
        <v>1.1842900302114748E-2</v>
      </c>
      <c r="H512" s="7">
        <f>(Table2_1[[#This Row],[Current Prices]]-F508)/F508</f>
        <v>4.3104522237448498E-2</v>
      </c>
      <c r="I512" s="2"/>
    </row>
    <row r="513" spans="1:9" x14ac:dyDescent="0.3">
      <c r="A513" s="2" t="s">
        <v>79</v>
      </c>
      <c r="B513" s="2" t="s">
        <v>25</v>
      </c>
      <c r="C513" s="2">
        <v>858.5</v>
      </c>
      <c r="D513" s="6">
        <f>(Table2_1[[#This Row],[Constant Prices]]-C512)/C512</f>
        <v>-1.5142824366181078E-2</v>
      </c>
      <c r="E513" s="6">
        <f>(Table2_1[[#This Row],[Constant Prices]]-C509)/C509</f>
        <v>-1.5255792612984579E-2</v>
      </c>
      <c r="F513" s="2">
        <v>855.2</v>
      </c>
      <c r="G513" s="7">
        <f>(Table2_1[[#This Row],[Current Prices]]-F512)/F512</f>
        <v>2.1378239579601208E-2</v>
      </c>
      <c r="H513" s="7">
        <f>(Table2_1[[#This Row],[Current Prices]]-F509)/F509</f>
        <v>5.7368941641938793E-2</v>
      </c>
      <c r="I513" s="2">
        <v>3</v>
      </c>
    </row>
    <row r="514" spans="1:9" x14ac:dyDescent="0.3">
      <c r="A514" s="2" t="s">
        <v>79</v>
      </c>
      <c r="B514" s="2" t="s">
        <v>26</v>
      </c>
      <c r="C514" s="2">
        <v>898.2</v>
      </c>
      <c r="D514" s="6">
        <f>(Table2_1[[#This Row],[Constant Prices]]-C513)/C513</f>
        <v>4.6243447874199241E-2</v>
      </c>
      <c r="E514" s="6">
        <f>(Table2_1[[#This Row],[Constant Prices]]-C510)/C510</f>
        <v>2.7218664226898524E-2</v>
      </c>
      <c r="F514" s="2">
        <v>876.9</v>
      </c>
      <c r="G514" s="7">
        <f>(Table2_1[[#This Row],[Current Prices]]-F513)/F513</f>
        <v>2.5374181478016757E-2</v>
      </c>
      <c r="H514" s="7">
        <f>(Table2_1[[#This Row],[Current Prices]]-F510)/F510</f>
        <v>7.1480938416422293E-2</v>
      </c>
      <c r="I514" s="2"/>
    </row>
    <row r="515" spans="1:9" x14ac:dyDescent="0.3">
      <c r="A515" s="2" t="s">
        <v>79</v>
      </c>
      <c r="B515" s="2" t="s">
        <v>27</v>
      </c>
      <c r="C515" s="2">
        <v>860.7</v>
      </c>
      <c r="D515" s="6">
        <f>(Table2_1[[#This Row],[Constant Prices]]-C514)/C514</f>
        <v>-4.1750167000667998E-2</v>
      </c>
      <c r="E515" s="6">
        <f>(Table2_1[[#This Row],[Constant Prices]]-C511)/C511</f>
        <v>-1.2165729369906932E-2</v>
      </c>
      <c r="F515" s="2">
        <v>889.4</v>
      </c>
      <c r="G515" s="7">
        <f>(Table2_1[[#This Row],[Current Prices]]-F514)/F514</f>
        <v>1.4254761090204128E-2</v>
      </c>
      <c r="H515" s="7">
        <f>(Table2_1[[#This Row],[Current Prices]]-F511)/F511</f>
        <v>7.4803625377643471E-2</v>
      </c>
      <c r="I515" s="2"/>
    </row>
    <row r="516" spans="1:9" x14ac:dyDescent="0.3">
      <c r="A516" s="2" t="s">
        <v>79</v>
      </c>
      <c r="B516" s="2" t="s">
        <v>28</v>
      </c>
      <c r="C516" s="2">
        <v>882</v>
      </c>
      <c r="D516" s="6">
        <f>(Table2_1[[#This Row],[Constant Prices]]-C515)/C515</f>
        <v>2.4747298710351986E-2</v>
      </c>
      <c r="E516" s="6">
        <f>(Table2_1[[#This Row],[Constant Prices]]-C512)/C512</f>
        <v>1.1815991740277566E-2</v>
      </c>
      <c r="F516" s="2">
        <v>904.4</v>
      </c>
      <c r="G516" s="7">
        <f>(Table2_1[[#This Row],[Current Prices]]-F515)/F515</f>
        <v>1.6865302451090622E-2</v>
      </c>
      <c r="H516" s="7">
        <f>(Table2_1[[#This Row],[Current Prices]]-F512)/F512</f>
        <v>8.0138540546996331E-2</v>
      </c>
      <c r="I516" s="2"/>
    </row>
    <row r="517" spans="1:9" x14ac:dyDescent="0.3">
      <c r="A517" s="2" t="s">
        <v>79</v>
      </c>
      <c r="B517" s="2" t="s">
        <v>29</v>
      </c>
      <c r="C517" s="2">
        <v>901.9</v>
      </c>
      <c r="D517" s="6">
        <f>(Table2_1[[#This Row],[Constant Prices]]-C516)/C516</f>
        <v>2.2562358276643966E-2</v>
      </c>
      <c r="E517" s="6">
        <f>(Table2_1[[#This Row],[Constant Prices]]-C513)/C513</f>
        <v>5.0553290623179939E-2</v>
      </c>
      <c r="F517" s="2">
        <v>903.9</v>
      </c>
      <c r="G517" s="7">
        <f>(Table2_1[[#This Row],[Current Prices]]-F516)/F516</f>
        <v>-5.5285272003538261E-4</v>
      </c>
      <c r="H517" s="7">
        <f>(Table2_1[[#This Row],[Current Prices]]-F513)/F513</f>
        <v>5.6945743685687479E-2</v>
      </c>
      <c r="I517" s="2">
        <v>4</v>
      </c>
    </row>
    <row r="518" spans="1:9" x14ac:dyDescent="0.3">
      <c r="A518" s="2" t="s">
        <v>79</v>
      </c>
      <c r="B518" s="2" t="s">
        <v>30</v>
      </c>
      <c r="C518" s="2">
        <v>888.5</v>
      </c>
      <c r="D518" s="6">
        <f>(Table2_1[[#This Row],[Constant Prices]]-C517)/C517</f>
        <v>-1.4857523006985229E-2</v>
      </c>
      <c r="E518" s="6">
        <f>(Table2_1[[#This Row],[Constant Prices]]-C514)/C514</f>
        <v>-1.0799376530839507E-2</v>
      </c>
      <c r="F518" s="2">
        <v>888</v>
      </c>
      <c r="G518" s="7">
        <f>(Table2_1[[#This Row],[Current Prices]]-F517)/F517</f>
        <v>-1.7590441420511093E-2</v>
      </c>
      <c r="H518" s="7">
        <f>(Table2_1[[#This Row],[Current Prices]]-F514)/F514</f>
        <v>1.2658227848101292E-2</v>
      </c>
      <c r="I518" s="2"/>
    </row>
    <row r="519" spans="1:9" x14ac:dyDescent="0.3">
      <c r="A519" s="2" t="s">
        <v>79</v>
      </c>
      <c r="B519" s="2" t="s">
        <v>31</v>
      </c>
      <c r="C519" s="2">
        <v>875.3</v>
      </c>
      <c r="D519" s="6">
        <f>(Table2_1[[#This Row],[Constant Prices]]-C518)/C518</f>
        <v>-1.485649971862695E-2</v>
      </c>
      <c r="E519" s="6">
        <f>(Table2_1[[#This Row],[Constant Prices]]-C515)/C515</f>
        <v>1.6962937144184859E-2</v>
      </c>
      <c r="F519" s="2">
        <v>882.5</v>
      </c>
      <c r="G519" s="7">
        <f>(Table2_1[[#This Row],[Current Prices]]-F518)/F518</f>
        <v>-6.1936936936936937E-3</v>
      </c>
      <c r="H519" s="7">
        <f>(Table2_1[[#This Row],[Current Prices]]-F515)/F515</f>
        <v>-7.7580391275016616E-3</v>
      </c>
      <c r="I519" s="2"/>
    </row>
    <row r="520" spans="1:9" x14ac:dyDescent="0.3">
      <c r="A520" s="2" t="s">
        <v>79</v>
      </c>
      <c r="B520" s="2" t="s">
        <v>32</v>
      </c>
      <c r="C520" s="2">
        <v>876.3</v>
      </c>
      <c r="D520" s="6">
        <f>(Table2_1[[#This Row],[Constant Prices]]-C519)/C519</f>
        <v>1.1424654404204274E-3</v>
      </c>
      <c r="E520" s="6">
        <f>(Table2_1[[#This Row],[Constant Prices]]-C516)/C516</f>
        <v>-6.4625850340136572E-3</v>
      </c>
      <c r="F520" s="2">
        <v>881</v>
      </c>
      <c r="G520" s="7">
        <f>(Table2_1[[#This Row],[Current Prices]]-F519)/F519</f>
        <v>-1.6997167138810198E-3</v>
      </c>
      <c r="H520" s="7">
        <f>(Table2_1[[#This Row],[Current Prices]]-F516)/F516</f>
        <v>-2.587350729765588E-2</v>
      </c>
      <c r="I520" s="2"/>
    </row>
    <row r="521" spans="1:9" x14ac:dyDescent="0.3">
      <c r="A521" s="2" t="s">
        <v>79</v>
      </c>
      <c r="B521" s="2" t="s">
        <v>33</v>
      </c>
      <c r="C521" s="2">
        <v>896.2</v>
      </c>
      <c r="D521" s="6">
        <f>(Table2_1[[#This Row],[Constant Prices]]-C520)/C520</f>
        <v>2.2709117882003985E-2</v>
      </c>
      <c r="E521" s="6">
        <f>(Table2_1[[#This Row],[Constant Prices]]-C517)/C517</f>
        <v>-6.3199911298369351E-3</v>
      </c>
      <c r="F521" s="2">
        <v>884.9</v>
      </c>
      <c r="G521" s="7">
        <f>(Table2_1[[#This Row],[Current Prices]]-F520)/F520</f>
        <v>4.4267877412031524E-3</v>
      </c>
      <c r="H521" s="7">
        <f>(Table2_1[[#This Row],[Current Prices]]-F517)/F517</f>
        <v>-2.1020024338975551E-2</v>
      </c>
      <c r="I521" s="2">
        <v>5</v>
      </c>
    </row>
    <row r="522" spans="1:9" x14ac:dyDescent="0.3">
      <c r="A522" s="2" t="s">
        <v>79</v>
      </c>
      <c r="B522" s="2" t="s">
        <v>34</v>
      </c>
      <c r="C522" s="2">
        <v>898.4</v>
      </c>
      <c r="D522" s="6">
        <f>(Table2_1[[#This Row],[Constant Prices]]-C521)/C521</f>
        <v>2.4548091943761789E-3</v>
      </c>
      <c r="E522" s="6">
        <f>(Table2_1[[#This Row],[Constant Prices]]-C518)/C518</f>
        <v>1.114237478897015E-2</v>
      </c>
      <c r="F522" s="2">
        <v>911.6</v>
      </c>
      <c r="G522" s="7">
        <f>(Table2_1[[#This Row],[Current Prices]]-F521)/F521</f>
        <v>3.0172900892756295E-2</v>
      </c>
      <c r="H522" s="7">
        <f>(Table2_1[[#This Row],[Current Prices]]-F518)/F518</f>
        <v>2.6576576576576603E-2</v>
      </c>
      <c r="I522" s="2"/>
    </row>
    <row r="523" spans="1:9" x14ac:dyDescent="0.3">
      <c r="A523" s="2" t="s">
        <v>79</v>
      </c>
      <c r="B523" s="2" t="s">
        <v>35</v>
      </c>
      <c r="C523" s="2">
        <v>887.9</v>
      </c>
      <c r="D523" s="6">
        <f>(Table2_1[[#This Row],[Constant Prices]]-C522)/C522</f>
        <v>-1.1687444345503117E-2</v>
      </c>
      <c r="E523" s="6">
        <f>(Table2_1[[#This Row],[Constant Prices]]-C519)/C519</f>
        <v>1.439506454929741E-2</v>
      </c>
      <c r="F523" s="2">
        <v>936.4</v>
      </c>
      <c r="G523" s="7">
        <f>(Table2_1[[#This Row],[Current Prices]]-F522)/F522</f>
        <v>2.720491443615616E-2</v>
      </c>
      <c r="H523" s="7">
        <f>(Table2_1[[#This Row],[Current Prices]]-F519)/F519</f>
        <v>6.1076487252124619E-2</v>
      </c>
      <c r="I523" s="2"/>
    </row>
    <row r="524" spans="1:9" x14ac:dyDescent="0.3">
      <c r="A524" s="2" t="s">
        <v>79</v>
      </c>
      <c r="B524" s="2" t="s">
        <v>36</v>
      </c>
      <c r="C524" s="2">
        <v>899.3</v>
      </c>
      <c r="D524" s="6">
        <f>(Table2_1[[#This Row],[Constant Prices]]-C523)/C523</f>
        <v>1.2839283703119696E-2</v>
      </c>
      <c r="E524" s="6">
        <f>(Table2_1[[#This Row],[Constant Prices]]-C520)/C520</f>
        <v>2.6246719160104987E-2</v>
      </c>
      <c r="F524" s="2">
        <v>951.3</v>
      </c>
      <c r="G524" s="7">
        <f>(Table2_1[[#This Row],[Current Prices]]-F523)/F523</f>
        <v>1.5912003417342991E-2</v>
      </c>
      <c r="H524" s="7">
        <f>(Table2_1[[#This Row],[Current Prices]]-F520)/F520</f>
        <v>7.979568671963673E-2</v>
      </c>
      <c r="I524" s="2"/>
    </row>
    <row r="525" spans="1:9" x14ac:dyDescent="0.3">
      <c r="A525" s="2" t="s">
        <v>79</v>
      </c>
      <c r="B525" s="2" t="s">
        <v>37</v>
      </c>
      <c r="C525" s="2">
        <v>919.7</v>
      </c>
      <c r="D525" s="6">
        <f>(Table2_1[[#This Row],[Constant Prices]]-C524)/C524</f>
        <v>2.2684310018903694E-2</v>
      </c>
      <c r="E525" s="6">
        <f>(Table2_1[[#This Row],[Constant Prices]]-C521)/C521</f>
        <v>2.6221825485382724E-2</v>
      </c>
      <c r="F525" s="2">
        <v>959</v>
      </c>
      <c r="G525" s="7">
        <f>(Table2_1[[#This Row],[Current Prices]]-F524)/F524</f>
        <v>8.0941869021339697E-3</v>
      </c>
      <c r="H525" s="7">
        <f>(Table2_1[[#This Row],[Current Prices]]-F521)/F521</f>
        <v>8.3738275511357249E-2</v>
      </c>
      <c r="I525" s="2">
        <v>6</v>
      </c>
    </row>
    <row r="526" spans="1:9" x14ac:dyDescent="0.3">
      <c r="A526" s="2" t="s">
        <v>79</v>
      </c>
      <c r="B526" s="2" t="s">
        <v>38</v>
      </c>
      <c r="C526" s="2">
        <v>927.7</v>
      </c>
      <c r="D526" s="6">
        <f>(Table2_1[[#This Row],[Constant Prices]]-C525)/C525</f>
        <v>8.6984886375992172E-3</v>
      </c>
      <c r="E526" s="6">
        <f>(Table2_1[[#This Row],[Constant Prices]]-C522)/C522</f>
        <v>3.2613535173642107E-2</v>
      </c>
      <c r="F526" s="2">
        <v>1000.4</v>
      </c>
      <c r="G526" s="7">
        <f>(Table2_1[[#This Row],[Current Prices]]-F525)/F525</f>
        <v>4.3169968717413951E-2</v>
      </c>
      <c r="H526" s="7">
        <f>(Table2_1[[#This Row],[Current Prices]]-F522)/F522</f>
        <v>9.7411145239139921E-2</v>
      </c>
      <c r="I526" s="2"/>
    </row>
    <row r="527" spans="1:9" x14ac:dyDescent="0.3">
      <c r="A527" s="2" t="s">
        <v>79</v>
      </c>
      <c r="B527" s="2" t="s">
        <v>39</v>
      </c>
      <c r="C527" s="2">
        <v>932.8</v>
      </c>
      <c r="D527" s="6">
        <f>(Table2_1[[#This Row],[Constant Prices]]-C526)/C526</f>
        <v>5.4974668535085792E-3</v>
      </c>
      <c r="E527" s="6">
        <f>(Table2_1[[#This Row],[Constant Prices]]-C523)/C523</f>
        <v>5.0568757742989051E-2</v>
      </c>
      <c r="F527" s="2">
        <v>1060.3</v>
      </c>
      <c r="G527" s="7">
        <f>(Table2_1[[#This Row],[Current Prices]]-F526)/F526</f>
        <v>5.9876049580167914E-2</v>
      </c>
      <c r="H527" s="7">
        <f>(Table2_1[[#This Row],[Current Prices]]-F523)/F523</f>
        <v>0.132315249893208</v>
      </c>
      <c r="I527" s="2"/>
    </row>
    <row r="528" spans="1:9" x14ac:dyDescent="0.3">
      <c r="A528" s="2" t="s">
        <v>79</v>
      </c>
      <c r="B528" s="2" t="s">
        <v>40</v>
      </c>
      <c r="C528" s="2">
        <v>933</v>
      </c>
      <c r="D528" s="6">
        <f>(Table2_1[[#This Row],[Constant Prices]]-C527)/C527</f>
        <v>2.1440823327620656E-4</v>
      </c>
      <c r="E528" s="6">
        <f>(Table2_1[[#This Row],[Constant Prices]]-C524)/C524</f>
        <v>3.7473590570443728E-2</v>
      </c>
      <c r="F528" s="2">
        <v>1113.2</v>
      </c>
      <c r="G528" s="7">
        <f>(Table2_1[[#This Row],[Current Prices]]-F527)/F527</f>
        <v>4.9891540130151929E-2</v>
      </c>
      <c r="H528" s="7">
        <f>(Table2_1[[#This Row],[Current Prices]]-F524)/F524</f>
        <v>0.17018816356564712</v>
      </c>
      <c r="I528" s="2"/>
    </row>
    <row r="529" spans="1:9" x14ac:dyDescent="0.3">
      <c r="A529" s="2" t="s">
        <v>79</v>
      </c>
      <c r="B529" s="2" t="s">
        <v>41</v>
      </c>
      <c r="C529" s="2">
        <v>967.5</v>
      </c>
      <c r="D529" s="6">
        <f>(Table2_1[[#This Row],[Constant Prices]]-C528)/C528</f>
        <v>3.6977491961414789E-2</v>
      </c>
      <c r="E529" s="6">
        <f>(Table2_1[[#This Row],[Constant Prices]]-C525)/C525</f>
        <v>5.1973469609655272E-2</v>
      </c>
      <c r="F529" s="2">
        <v>1156.4000000000001</v>
      </c>
      <c r="G529" s="7">
        <f>(Table2_1[[#This Row],[Current Prices]]-F528)/F528</f>
        <v>3.880704275961197E-2</v>
      </c>
      <c r="H529" s="7">
        <f>(Table2_1[[#This Row],[Current Prices]]-F525)/F525</f>
        <v>0.20583941605839426</v>
      </c>
      <c r="I529" s="2">
        <v>7</v>
      </c>
    </row>
    <row r="530" spans="1:9" x14ac:dyDescent="0.3">
      <c r="A530" s="2" t="s">
        <v>79</v>
      </c>
      <c r="B530" s="2" t="s">
        <v>42</v>
      </c>
      <c r="C530" s="2">
        <v>975.5</v>
      </c>
      <c r="D530" s="6">
        <f>(Table2_1[[#This Row],[Constant Prices]]-C529)/C529</f>
        <v>8.2687338501291983E-3</v>
      </c>
      <c r="E530" s="6">
        <f>(Table2_1[[#This Row],[Constant Prices]]-C526)/C526</f>
        <v>5.1525277568179317E-2</v>
      </c>
      <c r="F530" s="2">
        <v>1202.9000000000001</v>
      </c>
      <c r="G530" s="7">
        <f>(Table2_1[[#This Row],[Current Prices]]-F529)/F529</f>
        <v>4.0210999654098925E-2</v>
      </c>
      <c r="H530" s="7">
        <f>(Table2_1[[#This Row],[Current Prices]]-F526)/F526</f>
        <v>0.20241903238704531</v>
      </c>
      <c r="I530" s="2"/>
    </row>
    <row r="531" spans="1:9" x14ac:dyDescent="0.3">
      <c r="A531" s="2" t="s">
        <v>79</v>
      </c>
      <c r="B531" s="2" t="s">
        <v>43</v>
      </c>
      <c r="C531" s="2">
        <v>936</v>
      </c>
      <c r="D531" s="6">
        <f>(Table2_1[[#This Row],[Constant Prices]]-C530)/C530</f>
        <v>-4.0492055356227574E-2</v>
      </c>
      <c r="E531" s="6">
        <f>(Table2_1[[#This Row],[Constant Prices]]-C527)/C527</f>
        <v>3.4305317324185738E-3</v>
      </c>
      <c r="F531" s="2">
        <v>1185.0999999999999</v>
      </c>
      <c r="G531" s="7">
        <f>(Table2_1[[#This Row],[Current Prices]]-F530)/F530</f>
        <v>-1.479757253304529E-2</v>
      </c>
      <c r="H531" s="7">
        <f>(Table2_1[[#This Row],[Current Prices]]-F527)/F527</f>
        <v>0.11770253701782511</v>
      </c>
      <c r="I531" s="2"/>
    </row>
    <row r="532" spans="1:9" x14ac:dyDescent="0.3">
      <c r="A532" s="2" t="s">
        <v>79</v>
      </c>
      <c r="B532" s="2" t="s">
        <v>44</v>
      </c>
      <c r="C532" s="2">
        <v>955.8</v>
      </c>
      <c r="D532" s="6">
        <f>(Table2_1[[#This Row],[Constant Prices]]-C531)/C531</f>
        <v>2.1153846153846106E-2</v>
      </c>
      <c r="E532" s="6">
        <f>(Table2_1[[#This Row],[Constant Prices]]-C528)/C528</f>
        <v>2.4437299035369727E-2</v>
      </c>
      <c r="F532" s="2">
        <v>1234.5</v>
      </c>
      <c r="G532" s="7">
        <f>(Table2_1[[#This Row],[Current Prices]]-F531)/F531</f>
        <v>4.1684246055185295E-2</v>
      </c>
      <c r="H532" s="7">
        <f>(Table2_1[[#This Row],[Current Prices]]-F528)/F528</f>
        <v>0.1089651455264103</v>
      </c>
      <c r="I532" s="2"/>
    </row>
    <row r="533" spans="1:9" x14ac:dyDescent="0.3">
      <c r="A533" s="2" t="s">
        <v>79</v>
      </c>
      <c r="B533" s="2" t="s">
        <v>45</v>
      </c>
      <c r="C533" s="2">
        <v>963.6</v>
      </c>
      <c r="D533" s="6">
        <f>(Table2_1[[#This Row],[Constant Prices]]-C532)/C532</f>
        <v>8.1607030759573845E-3</v>
      </c>
      <c r="E533" s="6">
        <f>(Table2_1[[#This Row],[Constant Prices]]-C529)/C529</f>
        <v>-4.0310077519379612E-3</v>
      </c>
      <c r="F533" s="2">
        <v>1270.4000000000001</v>
      </c>
      <c r="G533" s="7">
        <f>(Table2_1[[#This Row],[Current Prices]]-F532)/F532</f>
        <v>2.9080599432968889E-2</v>
      </c>
      <c r="H533" s="7">
        <f>(Table2_1[[#This Row],[Current Prices]]-F529)/F529</f>
        <v>9.8581805603597361E-2</v>
      </c>
      <c r="I533" s="2">
        <v>8</v>
      </c>
    </row>
    <row r="534" spans="1:9" x14ac:dyDescent="0.3">
      <c r="A534" s="2" t="s">
        <v>79</v>
      </c>
      <c r="B534" s="2" t="s">
        <v>46</v>
      </c>
      <c r="C534" s="2">
        <v>967.7</v>
      </c>
      <c r="D534" s="6">
        <f>(Table2_1[[#This Row],[Constant Prices]]-C533)/C533</f>
        <v>4.2548775425487991E-3</v>
      </c>
      <c r="E534" s="6">
        <f>(Table2_1[[#This Row],[Constant Prices]]-C530)/C530</f>
        <v>-7.9958995386980574E-3</v>
      </c>
      <c r="F534" s="2">
        <v>1298.8</v>
      </c>
      <c r="G534" s="7">
        <f>(Table2_1[[#This Row],[Current Prices]]-F533)/F533</f>
        <v>2.2355163727959589E-2</v>
      </c>
      <c r="H534" s="7">
        <f>(Table2_1[[#This Row],[Current Prices]]-F530)/F530</f>
        <v>7.9724000332529604E-2</v>
      </c>
      <c r="I534" s="2"/>
    </row>
    <row r="535" spans="1:9" x14ac:dyDescent="0.3">
      <c r="A535" s="2" t="s">
        <v>79</v>
      </c>
      <c r="B535" s="2" t="s">
        <v>47</v>
      </c>
      <c r="C535" s="2">
        <v>944.9</v>
      </c>
      <c r="D535" s="6">
        <f>(Table2_1[[#This Row],[Constant Prices]]-C534)/C534</f>
        <v>-2.3561020977575765E-2</v>
      </c>
      <c r="E535" s="6">
        <f>(Table2_1[[#This Row],[Constant Prices]]-C531)/C531</f>
        <v>9.5085470085469834E-3</v>
      </c>
      <c r="F535" s="2">
        <v>1337.1</v>
      </c>
      <c r="G535" s="7">
        <f>(Table2_1[[#This Row],[Current Prices]]-F534)/F534</f>
        <v>2.9488758854327037E-2</v>
      </c>
      <c r="H535" s="7">
        <f>(Table2_1[[#This Row],[Current Prices]]-F531)/F531</f>
        <v>0.12825921863133913</v>
      </c>
      <c r="I535" s="2"/>
    </row>
    <row r="536" spans="1:9" x14ac:dyDescent="0.3">
      <c r="A536" s="2" t="s">
        <v>79</v>
      </c>
      <c r="B536" s="2" t="s">
        <v>48</v>
      </c>
      <c r="C536" s="2">
        <v>933.5</v>
      </c>
      <c r="D536" s="6">
        <f>(Table2_1[[#This Row],[Constant Prices]]-C535)/C535</f>
        <v>-1.2064768758598769E-2</v>
      </c>
      <c r="E536" s="6">
        <f>(Table2_1[[#This Row],[Constant Prices]]-C532)/C532</f>
        <v>-2.3331240845365094E-2</v>
      </c>
      <c r="F536" s="2">
        <v>1306.0999999999999</v>
      </c>
      <c r="G536" s="7">
        <f>(Table2_1[[#This Row],[Current Prices]]-F535)/F535</f>
        <v>-2.3184503776830456E-2</v>
      </c>
      <c r="H536" s="7">
        <f>(Table2_1[[#This Row],[Current Prices]]-F532)/F532</f>
        <v>5.7999189955447478E-2</v>
      </c>
      <c r="I536" s="2"/>
    </row>
    <row r="537" spans="1:9" x14ac:dyDescent="0.3">
      <c r="A537" s="2" t="s">
        <v>79</v>
      </c>
      <c r="B537" s="2" t="s">
        <v>49</v>
      </c>
      <c r="C537" s="2">
        <v>935.4</v>
      </c>
      <c r="D537" s="6">
        <f>(Table2_1[[#This Row],[Constant Prices]]-C536)/C536</f>
        <v>2.0353508302088669E-3</v>
      </c>
      <c r="E537" s="6">
        <f>(Table2_1[[#This Row],[Constant Prices]]-C533)/C533</f>
        <v>-2.9265255292652601E-2</v>
      </c>
      <c r="F537" s="2">
        <v>1283.5</v>
      </c>
      <c r="G537" s="7">
        <f>(Table2_1[[#This Row],[Current Prices]]-F536)/F536</f>
        <v>-1.7303422402572474E-2</v>
      </c>
      <c r="H537" s="7">
        <f>(Table2_1[[#This Row],[Current Prices]]-F533)/F533</f>
        <v>1.0311712846347534E-2</v>
      </c>
      <c r="I537" s="2">
        <v>9</v>
      </c>
    </row>
    <row r="538" spans="1:9" x14ac:dyDescent="0.3">
      <c r="A538" s="2" t="s">
        <v>79</v>
      </c>
      <c r="B538" s="2" t="s">
        <v>50</v>
      </c>
      <c r="C538" s="2">
        <v>814.9</v>
      </c>
      <c r="D538" s="6">
        <f>(Table2_1[[#This Row],[Constant Prices]]-C537)/C537</f>
        <v>-0.12882189437673722</v>
      </c>
      <c r="E538" s="6">
        <f>(Table2_1[[#This Row],[Constant Prices]]-C534)/C534</f>
        <v>-0.15790017567427928</v>
      </c>
      <c r="F538" s="2">
        <v>1246.2</v>
      </c>
      <c r="G538" s="7">
        <f>(Table2_1[[#This Row],[Current Prices]]-F537)/F537</f>
        <v>-2.9061160888196304E-2</v>
      </c>
      <c r="H538" s="7">
        <f>(Table2_1[[#This Row],[Current Prices]]-F534)/F534</f>
        <v>-4.0498922081921705E-2</v>
      </c>
      <c r="I538" s="2"/>
    </row>
    <row r="539" spans="1:9" x14ac:dyDescent="0.3">
      <c r="A539" s="2" t="s">
        <v>79</v>
      </c>
      <c r="B539" s="2" t="s">
        <v>51</v>
      </c>
      <c r="C539" s="2">
        <v>639.20000000000005</v>
      </c>
      <c r="D539" s="6">
        <f>(Table2_1[[#This Row],[Constant Prices]]-C538)/C538</f>
        <v>-0.21560927721192777</v>
      </c>
      <c r="E539" s="6">
        <f>(Table2_1[[#This Row],[Constant Prices]]-C535)/C535</f>
        <v>-0.32352629907926761</v>
      </c>
      <c r="F539" s="2">
        <v>867.1</v>
      </c>
      <c r="G539" s="7">
        <f>(Table2_1[[#This Row],[Current Prices]]-F538)/F538</f>
        <v>-0.30420478253891831</v>
      </c>
      <c r="H539" s="7">
        <f>(Table2_1[[#This Row],[Current Prices]]-F535)/F535</f>
        <v>-0.35150699274549391</v>
      </c>
      <c r="I539" s="2"/>
    </row>
    <row r="540" spans="1:9" x14ac:dyDescent="0.3">
      <c r="A540" s="2" t="s">
        <v>79</v>
      </c>
      <c r="B540" s="2" t="s">
        <v>52</v>
      </c>
      <c r="C540" s="2">
        <v>828.1</v>
      </c>
      <c r="D540" s="6">
        <f>(Table2_1[[#This Row],[Constant Prices]]-C539)/C539</f>
        <v>0.2955256570713391</v>
      </c>
      <c r="E540" s="6">
        <f>(Table2_1[[#This Row],[Constant Prices]]-C536)/C536</f>
        <v>-0.11290840921264057</v>
      </c>
      <c r="F540" s="2">
        <v>1258</v>
      </c>
      <c r="G540" s="7">
        <f>(Table2_1[[#This Row],[Current Prices]]-F539)/F539</f>
        <v>0.45081305501095603</v>
      </c>
      <c r="H540" s="7">
        <f>(Table2_1[[#This Row],[Current Prices]]-F536)/F536</f>
        <v>-3.6827195467422032E-2</v>
      </c>
      <c r="I540" s="2"/>
    </row>
    <row r="541" spans="1:9" x14ac:dyDescent="0.3">
      <c r="A541" s="2" t="s">
        <v>79</v>
      </c>
      <c r="B541" s="2" t="s">
        <v>53</v>
      </c>
      <c r="C541" s="2">
        <v>872.6</v>
      </c>
      <c r="D541" s="6">
        <f>(Table2_1[[#This Row],[Constant Prices]]-C540)/C540</f>
        <v>5.3737471319888902E-2</v>
      </c>
      <c r="E541" s="6">
        <f>(Table2_1[[#This Row],[Constant Prices]]-C537)/C537</f>
        <v>-6.7137053666880428E-2</v>
      </c>
      <c r="F541" s="2">
        <v>1295.8</v>
      </c>
      <c r="G541" s="7">
        <f>(Table2_1[[#This Row],[Current Prices]]-F540)/F540</f>
        <v>3.0047694753577072E-2</v>
      </c>
      <c r="H541" s="7">
        <f>(Table2_1[[#This Row],[Current Prices]]-F537)/F537</f>
        <v>9.583171016751036E-3</v>
      </c>
      <c r="I541" s="2">
        <v>10</v>
      </c>
    </row>
    <row r="542" spans="1:9" x14ac:dyDescent="0.3">
      <c r="A542" s="2" t="s">
        <v>79</v>
      </c>
      <c r="B542" s="2" t="s">
        <v>54</v>
      </c>
      <c r="C542" s="2">
        <v>876.5</v>
      </c>
      <c r="D542" s="6">
        <f>(Table2_1[[#This Row],[Constant Prices]]-C541)/C541</f>
        <v>4.4694017877606887E-3</v>
      </c>
      <c r="E542" s="6">
        <f>(Table2_1[[#This Row],[Constant Prices]]-C538)/C538</f>
        <v>7.559209718983928E-2</v>
      </c>
      <c r="F542" s="2">
        <v>1397</v>
      </c>
      <c r="G542" s="7">
        <f>(Table2_1[[#This Row],[Current Prices]]-F541)/F541</f>
        <v>7.80984719864177E-2</v>
      </c>
      <c r="H542" s="7">
        <f>(Table2_1[[#This Row],[Current Prices]]-F538)/F538</f>
        <v>0.12100786390627503</v>
      </c>
      <c r="I542" s="2"/>
    </row>
    <row r="543" spans="1:9" x14ac:dyDescent="0.3">
      <c r="A543" s="2" t="s">
        <v>79</v>
      </c>
      <c r="B543" s="2" t="s">
        <v>55</v>
      </c>
      <c r="C543" s="2">
        <v>922.9</v>
      </c>
      <c r="D543" s="6">
        <f>(Table2_1[[#This Row],[Constant Prices]]-C542)/C542</f>
        <v>5.2937820878493982E-2</v>
      </c>
      <c r="E543" s="6">
        <f>(Table2_1[[#This Row],[Constant Prices]]-C539)/C539</f>
        <v>0.44383604505632024</v>
      </c>
      <c r="F543" s="2">
        <v>1462.7</v>
      </c>
      <c r="G543" s="7">
        <f>(Table2_1[[#This Row],[Current Prices]]-F542)/F542</f>
        <v>4.702934860415179E-2</v>
      </c>
      <c r="H543" s="7">
        <f>(Table2_1[[#This Row],[Current Prices]]-F539)/F539</f>
        <v>0.68688732556798526</v>
      </c>
      <c r="I543" s="2"/>
    </row>
    <row r="544" spans="1:9" x14ac:dyDescent="0.3">
      <c r="A544" s="2" t="s">
        <v>79</v>
      </c>
      <c r="B544" s="2" t="s">
        <v>56</v>
      </c>
      <c r="C544" s="2">
        <v>863.8</v>
      </c>
      <c r="D544" s="6">
        <f>(Table2_1[[#This Row],[Constant Prices]]-C543)/C543</f>
        <v>-6.4037273810813769E-2</v>
      </c>
      <c r="E544" s="6">
        <f>(Table2_1[[#This Row],[Constant Prices]]-C540)/C540</f>
        <v>4.3110735418427644E-2</v>
      </c>
      <c r="F544" s="2">
        <v>1437.4</v>
      </c>
      <c r="G544" s="7">
        <f>(Table2_1[[#This Row],[Current Prices]]-F543)/F543</f>
        <v>-1.7296779927531244E-2</v>
      </c>
      <c r="H544" s="7">
        <f>(Table2_1[[#This Row],[Current Prices]]-F540)/F540</f>
        <v>0.14260731319554856</v>
      </c>
      <c r="I544" s="2"/>
    </row>
    <row r="545" spans="1:9" x14ac:dyDescent="0.3">
      <c r="A545" s="2" t="s">
        <v>79</v>
      </c>
      <c r="B545" s="2" t="s">
        <v>57</v>
      </c>
      <c r="C545" s="2">
        <v>870.1</v>
      </c>
      <c r="D545" s="6">
        <f>(Table2_1[[#This Row],[Constant Prices]]-C544)/C544</f>
        <v>7.2933549432739851E-3</v>
      </c>
      <c r="E545" s="6">
        <f>(Table2_1[[#This Row],[Constant Prices]]-C541)/C541</f>
        <v>-2.8650011460004585E-3</v>
      </c>
      <c r="F545" s="2">
        <v>1443.1</v>
      </c>
      <c r="G545" s="7">
        <f>(Table2_1[[#This Row],[Current Prices]]-F544)/F544</f>
        <v>3.9654932517043393E-3</v>
      </c>
      <c r="H545" s="7">
        <f>(Table2_1[[#This Row],[Current Prices]]-F541)/F541</f>
        <v>0.11367494983793792</v>
      </c>
      <c r="I545" s="2">
        <v>11</v>
      </c>
    </row>
    <row r="546" spans="1:9" x14ac:dyDescent="0.3">
      <c r="A546" s="2" t="s">
        <v>79</v>
      </c>
      <c r="B546" s="2" t="s">
        <v>58</v>
      </c>
      <c r="C546" s="2">
        <v>910.5</v>
      </c>
      <c r="D546" s="6">
        <f>(Table2_1[[#This Row],[Constant Prices]]-C545)/C545</f>
        <v>4.6431444661533129E-2</v>
      </c>
      <c r="E546" s="6">
        <f>(Table2_1[[#This Row],[Constant Prices]]-C542)/C542</f>
        <v>3.8790644609241302E-2</v>
      </c>
      <c r="F546" s="2">
        <v>1615.6</v>
      </c>
      <c r="G546" s="7">
        <f>(Table2_1[[#This Row],[Current Prices]]-F545)/F545</f>
        <v>0.11953433580486454</v>
      </c>
      <c r="H546" s="7">
        <f>(Table2_1[[#This Row],[Current Prices]]-F542)/F542</f>
        <v>0.15647816750178947</v>
      </c>
      <c r="I546" s="2"/>
    </row>
    <row r="547" spans="1:9" x14ac:dyDescent="0.3">
      <c r="A547" s="2" t="s">
        <v>79</v>
      </c>
      <c r="B547" s="2" t="s">
        <v>59</v>
      </c>
      <c r="C547" s="2">
        <v>961.9</v>
      </c>
      <c r="D547" s="6">
        <f>(Table2_1[[#This Row],[Constant Prices]]-C546)/C546</f>
        <v>5.645249862712793E-2</v>
      </c>
      <c r="E547" s="6">
        <f>(Table2_1[[#This Row],[Constant Prices]]-C543)/C543</f>
        <v>4.2258099469064905E-2</v>
      </c>
      <c r="F547" s="2">
        <v>1686.8</v>
      </c>
      <c r="G547" s="7">
        <f>(Table2_1[[#This Row],[Current Prices]]-F546)/F546</f>
        <v>4.4070314434265935E-2</v>
      </c>
      <c r="H547" s="7">
        <f>(Table2_1[[#This Row],[Current Prices]]-F543)/F543</f>
        <v>0.15320981746085999</v>
      </c>
      <c r="I547" s="2"/>
    </row>
    <row r="548" spans="1:9" x14ac:dyDescent="0.3">
      <c r="A548" s="2" t="s">
        <v>79</v>
      </c>
      <c r="B548" s="2" t="s">
        <v>60</v>
      </c>
      <c r="C548" s="2">
        <v>948.4</v>
      </c>
      <c r="D548" s="6">
        <f>(Table2_1[[#This Row],[Constant Prices]]-C547)/C547</f>
        <v>-1.4034722944172991E-2</v>
      </c>
      <c r="E548" s="6">
        <f>(Table2_1[[#This Row],[Constant Prices]]-C544)/C544</f>
        <v>9.7939337809678201E-2</v>
      </c>
      <c r="F548" s="2">
        <v>1704.7</v>
      </c>
      <c r="G548" s="7">
        <f>(Table2_1[[#This Row],[Current Prices]]-F547)/F547</f>
        <v>1.0611809343134984E-2</v>
      </c>
      <c r="H548" s="7">
        <f>(Table2_1[[#This Row],[Current Prices]]-F544)/F544</f>
        <v>0.1859607624878252</v>
      </c>
      <c r="I548" s="2"/>
    </row>
    <row r="549" spans="1:9" x14ac:dyDescent="0.3">
      <c r="A549" s="2" t="s">
        <v>79</v>
      </c>
      <c r="B549" s="2" t="s">
        <v>61</v>
      </c>
      <c r="C549" s="2">
        <v>973.3</v>
      </c>
      <c r="D549" s="6">
        <f>(Table2_1[[#This Row],[Constant Prices]]-C548)/C548</f>
        <v>2.6254744833403603E-2</v>
      </c>
      <c r="E549" s="6">
        <f>(Table2_1[[#This Row],[Constant Prices]]-C545)/C545</f>
        <v>0.11860705666015392</v>
      </c>
      <c r="F549" s="2">
        <v>1756.3</v>
      </c>
      <c r="G549" s="7">
        <f>(Table2_1[[#This Row],[Current Prices]]-F548)/F548</f>
        <v>3.0269255587493347E-2</v>
      </c>
      <c r="H549" s="7">
        <f>(Table2_1[[#This Row],[Current Prices]]-F545)/F545</f>
        <v>0.21703277666135407</v>
      </c>
      <c r="I549" s="2">
        <v>12</v>
      </c>
    </row>
    <row r="550" spans="1:9" x14ac:dyDescent="0.3">
      <c r="A550" s="2" t="s">
        <v>79</v>
      </c>
      <c r="B550" s="2" t="s">
        <v>62</v>
      </c>
      <c r="C550" s="2">
        <v>968.9</v>
      </c>
      <c r="D550" s="6">
        <f>(Table2_1[[#This Row],[Constant Prices]]-C549)/C549</f>
        <v>-4.5207027637932575E-3</v>
      </c>
      <c r="E550" s="6">
        <f>(Table2_1[[#This Row],[Constant Prices]]-C546)/C546</f>
        <v>6.4140582097748464E-2</v>
      </c>
      <c r="F550" s="2">
        <v>1872.3</v>
      </c>
      <c r="G550" s="7">
        <f>(Table2_1[[#This Row],[Current Prices]]-F549)/F549</f>
        <v>6.6047941695610096E-2</v>
      </c>
      <c r="H550" s="7">
        <f>(Table2_1[[#This Row],[Current Prices]]-F546)/F546</f>
        <v>0.15888833869769747</v>
      </c>
      <c r="I550" s="2"/>
    </row>
    <row r="551" spans="1:9" x14ac:dyDescent="0.3">
      <c r="A551" s="2" t="s">
        <v>79</v>
      </c>
      <c r="B551" s="2" t="s">
        <v>63</v>
      </c>
      <c r="C551" s="2">
        <v>968.5</v>
      </c>
      <c r="D551" s="6">
        <f>(Table2_1[[#This Row],[Constant Prices]]-C550)/C550</f>
        <v>-4.1283930230155566E-4</v>
      </c>
      <c r="E551" s="6">
        <f>(Table2_1[[#This Row],[Constant Prices]]-C547)/C547</f>
        <v>6.8614201060401524E-3</v>
      </c>
      <c r="F551" s="2">
        <v>1855.7</v>
      </c>
      <c r="G551" s="7">
        <f>(Table2_1[[#This Row],[Current Prices]]-F550)/F550</f>
        <v>-8.8661005180793191E-3</v>
      </c>
      <c r="H551" s="7">
        <f>(Table2_1[[#This Row],[Current Prices]]-F547)/F547</f>
        <v>0.10013042447237379</v>
      </c>
      <c r="I551" s="2"/>
    </row>
    <row r="552" spans="1:9" x14ac:dyDescent="0.3">
      <c r="A552" s="2" t="s">
        <v>79</v>
      </c>
      <c r="B552" s="2" t="s">
        <v>64</v>
      </c>
      <c r="C552" s="2">
        <v>965.8</v>
      </c>
      <c r="D552" s="6">
        <f>(Table2_1[[#This Row],[Constant Prices]]-C551)/C551</f>
        <v>-2.7878162106350496E-3</v>
      </c>
      <c r="E552" s="6">
        <f>(Table2_1[[#This Row],[Constant Prices]]-C548)/C548</f>
        <v>1.8346689160691668E-2</v>
      </c>
      <c r="F552" s="2">
        <v>1932.7</v>
      </c>
      <c r="G552" s="7">
        <f>(Table2_1[[#This Row],[Current Prices]]-F551)/F551</f>
        <v>4.1493775933609957E-2</v>
      </c>
      <c r="H552" s="7">
        <f>(Table2_1[[#This Row],[Current Prices]]-F548)/F548</f>
        <v>0.13374787352613363</v>
      </c>
      <c r="I552" s="2"/>
    </row>
    <row r="553" spans="1:9" x14ac:dyDescent="0.3">
      <c r="A553" s="2" t="s">
        <v>79</v>
      </c>
      <c r="B553" s="2" t="s">
        <v>65</v>
      </c>
      <c r="C553" s="2">
        <v>996.4</v>
      </c>
      <c r="D553" s="6">
        <f>(Table2_1[[#This Row],[Constant Prices]]-C552)/C552</f>
        <v>3.1683578380617132E-2</v>
      </c>
      <c r="E553" s="6">
        <f>(Table2_1[[#This Row],[Constant Prices]]-C549)/C549</f>
        <v>2.3733689509914748E-2</v>
      </c>
      <c r="F553" s="2">
        <v>2005.1</v>
      </c>
      <c r="G553" s="7">
        <f>(Table2_1[[#This Row],[Current Prices]]-F552)/F552</f>
        <v>3.7460547420706709E-2</v>
      </c>
      <c r="H553" s="7">
        <f>(Table2_1[[#This Row],[Current Prices]]-F549)/F549</f>
        <v>0.1416614473609292</v>
      </c>
      <c r="I553" s="2">
        <v>13</v>
      </c>
    </row>
    <row r="554" spans="1:9" x14ac:dyDescent="0.3">
      <c r="A554" s="2" t="s">
        <v>79</v>
      </c>
      <c r="B554" s="2" t="s">
        <v>66</v>
      </c>
      <c r="C554" s="2">
        <v>958.1</v>
      </c>
      <c r="D554" s="6">
        <f>(Table2_1[[#This Row],[Constant Prices]]-C553)/C553</f>
        <v>-3.8438378161380925E-2</v>
      </c>
      <c r="E554" s="6">
        <f>(Table2_1[[#This Row],[Constant Prices]]-C550)/C550</f>
        <v>-1.114666116214259E-2</v>
      </c>
      <c r="F554" s="2">
        <v>2020.1</v>
      </c>
      <c r="G554" s="7">
        <f>(Table2_1[[#This Row],[Current Prices]]-F553)/F553</f>
        <v>7.480923644706E-3</v>
      </c>
      <c r="H554" s="7">
        <f>(Table2_1[[#This Row],[Current Prices]]-F550)/F550</f>
        <v>7.8940340757357244E-2</v>
      </c>
      <c r="I554" s="2"/>
    </row>
    <row r="555" spans="1:9" x14ac:dyDescent="0.3">
      <c r="A555" s="2" t="s">
        <v>79</v>
      </c>
      <c r="B555" s="2" t="s">
        <v>67</v>
      </c>
      <c r="C555" s="2">
        <v>969.5</v>
      </c>
      <c r="D555" s="6">
        <f>(Table2_1[[#This Row],[Constant Prices]]-C554)/C554</f>
        <v>1.1898549211982024E-2</v>
      </c>
      <c r="E555" s="6">
        <f>(Table2_1[[#This Row],[Constant Prices]]-C551)/C551</f>
        <v>1.0325245224574084E-3</v>
      </c>
      <c r="F555" s="2">
        <v>2023.1</v>
      </c>
      <c r="G555" s="7">
        <f>(Table2_1[[#This Row],[Current Prices]]-F554)/F554</f>
        <v>1.4850749962873125E-3</v>
      </c>
      <c r="H555" s="7">
        <f>(Table2_1[[#This Row],[Current Prices]]-F551)/F551</f>
        <v>9.0208546640081835E-2</v>
      </c>
      <c r="I555" s="2"/>
    </row>
    <row r="556" spans="1:9" x14ac:dyDescent="0.3">
      <c r="A556" s="2" t="s">
        <v>79</v>
      </c>
      <c r="B556" s="2" t="s">
        <v>68</v>
      </c>
      <c r="C556" s="2">
        <v>1004.7</v>
      </c>
      <c r="D556" s="6">
        <f>(Table2_1[[#This Row],[Constant Prices]]-C555)/C555</f>
        <v>3.6307374935533827E-2</v>
      </c>
      <c r="E556" s="6">
        <f>(Table2_1[[#This Row],[Constant Prices]]-C552)/C552</f>
        <v>4.0277490163595046E-2</v>
      </c>
      <c r="F556" s="2">
        <v>2168.6999999999998</v>
      </c>
      <c r="G556" s="7">
        <f>(Table2_1[[#This Row],[Current Prices]]-F555)/F555</f>
        <v>7.196876081261426E-2</v>
      </c>
      <c r="H556" s="7">
        <f>(Table2_1[[#This Row],[Current Prices]]-F552)/F552</f>
        <v>0.12210896673048055</v>
      </c>
      <c r="I556" s="2"/>
    </row>
    <row r="557" spans="1:9" x14ac:dyDescent="0.3">
      <c r="A557" s="2" t="s">
        <v>79</v>
      </c>
      <c r="B557" s="2" t="s">
        <v>69</v>
      </c>
      <c r="C557" s="2">
        <v>1025.2</v>
      </c>
      <c r="D557" s="6">
        <f>(Table2_1[[#This Row],[Constant Prices]]-C556)/C556</f>
        <v>2.040410072658505E-2</v>
      </c>
      <c r="E557" s="6">
        <f>(Table2_1[[#This Row],[Constant Prices]]-C553)/C553</f>
        <v>2.890405459654764E-2</v>
      </c>
      <c r="F557" s="5">
        <f>Table2_1[[#This Row],[Constant Prices]]*AVERAGE(Inflation!$C$72:$C$74)*0.01</f>
        <v>1855.9537333333335</v>
      </c>
      <c r="G557" s="7">
        <f>(Table2_1[[#This Row],[Current Prices]]-F556)/F556</f>
        <v>-0.14420909607906413</v>
      </c>
      <c r="H557" s="7">
        <f>(Table2_1[[#This Row],[Current Prices]]-F553)/F553</f>
        <v>-7.4383455521752739E-2</v>
      </c>
      <c r="I557" s="2">
        <v>14</v>
      </c>
    </row>
    <row r="558" spans="1:9" x14ac:dyDescent="0.3">
      <c r="A558" s="2" t="s">
        <v>79</v>
      </c>
      <c r="B558" s="2" t="s">
        <v>70</v>
      </c>
      <c r="C558" s="2">
        <v>968.3</v>
      </c>
      <c r="D558" s="6">
        <f>(Table2_1[[#This Row],[Constant Prices]]-C557)/C557</f>
        <v>-5.5501365587202582E-2</v>
      </c>
      <c r="E558" s="6">
        <f>(Table2_1[[#This Row],[Constant Prices]]-C554)/C554</f>
        <v>1.0646070347562814E-2</v>
      </c>
      <c r="F558" s="5">
        <f>Table2_1[[#This Row],[Constant Prices]]*AVERAGE(Inflation!$C$75:$C$77)*0.01</f>
        <v>1766.5019666666662</v>
      </c>
      <c r="G558" s="7">
        <f>(Table2_1[[#This Row],[Current Prices]]-F557)/F557</f>
        <v>-4.8197196438733374E-2</v>
      </c>
      <c r="H558" s="7">
        <f>(Table2_1[[#This Row],[Current Prices]]-F554)/F554</f>
        <v>-0.1255373661369901</v>
      </c>
      <c r="I558" s="2"/>
    </row>
    <row r="559" spans="1:9" x14ac:dyDescent="0.3">
      <c r="A559" s="2" t="s">
        <v>79</v>
      </c>
      <c r="B559" s="2" t="s">
        <v>71</v>
      </c>
      <c r="C559" s="2">
        <v>1063</v>
      </c>
      <c r="D559" s="6">
        <f>(Table2_1[[#This Row],[Constant Prices]]-C558)/C558</f>
        <v>9.7800268511824898E-2</v>
      </c>
      <c r="E559" s="6">
        <f>(Table2_1[[#This Row],[Constant Prices]]-C555)/C555</f>
        <v>9.6441464672511606E-2</v>
      </c>
      <c r="F559" s="5">
        <f>Table2_1[[#This Row],[Constant Prices]]*AVERAGE(Inflation!$C$78:$C$80)*0.01</f>
        <v>1970.0933333333335</v>
      </c>
      <c r="G559" s="7">
        <f>(Table2_1[[#This Row],[Current Prices]]-F558)/F558</f>
        <v>0.1152511406770963</v>
      </c>
      <c r="H559" s="7">
        <f>(Table2_1[[#This Row],[Current Prices]]-F555)/F555</f>
        <v>-2.620071507422591E-2</v>
      </c>
      <c r="I559" s="2"/>
    </row>
    <row r="560" spans="1:9" x14ac:dyDescent="0.3">
      <c r="A560" s="2" t="s">
        <v>80</v>
      </c>
      <c r="B560" s="2" t="s">
        <v>10</v>
      </c>
      <c r="C560" s="2">
        <v>403.9</v>
      </c>
      <c r="D560" s="6"/>
      <c r="E560" s="6"/>
      <c r="F560" s="2">
        <v>308.3</v>
      </c>
      <c r="G560" s="7"/>
      <c r="H560" s="7"/>
      <c r="I560" s="2"/>
    </row>
    <row r="561" spans="1:9" x14ac:dyDescent="0.3">
      <c r="A561" s="2" t="s">
        <v>80</v>
      </c>
      <c r="B561" s="2" t="s">
        <v>11</v>
      </c>
      <c r="C561" s="2">
        <v>410.6</v>
      </c>
      <c r="D561" s="6">
        <f>(Table2_1[[#This Row],[Constant Prices]]-C560)/C560</f>
        <v>1.6588264421886718E-2</v>
      </c>
      <c r="E561" s="6"/>
      <c r="F561" s="2">
        <v>315</v>
      </c>
      <c r="G561" s="7">
        <f>(Table2_1[[#This Row],[Current Prices]]-F560)/F560</f>
        <v>2.1732079143691171E-2</v>
      </c>
      <c r="H561" s="7"/>
      <c r="I561" s="2"/>
    </row>
    <row r="562" spans="1:9" x14ac:dyDescent="0.3">
      <c r="A562" s="2" t="s">
        <v>80</v>
      </c>
      <c r="B562" s="2" t="s">
        <v>12</v>
      </c>
      <c r="C562" s="2">
        <v>406.9</v>
      </c>
      <c r="D562" s="6">
        <f>(Table2_1[[#This Row],[Constant Prices]]-C561)/C561</f>
        <v>-9.0112031173892968E-3</v>
      </c>
      <c r="E562" s="6"/>
      <c r="F562" s="2">
        <v>318.3</v>
      </c>
      <c r="G562" s="7">
        <f>(Table2_1[[#This Row],[Current Prices]]-F561)/F561</f>
        <v>1.0476190476190512E-2</v>
      </c>
      <c r="H562" s="7"/>
      <c r="I562" s="2"/>
    </row>
    <row r="563" spans="1:9" x14ac:dyDescent="0.3">
      <c r="A563" s="2" t="s">
        <v>80</v>
      </c>
      <c r="B563" s="2" t="s">
        <v>13</v>
      </c>
      <c r="C563" s="2">
        <v>411.8</v>
      </c>
      <c r="D563" s="6">
        <f>(Table2_1[[#This Row],[Constant Prices]]-C562)/C562</f>
        <v>1.2042270828213405E-2</v>
      </c>
      <c r="E563" s="6"/>
      <c r="F563" s="2">
        <v>323.5</v>
      </c>
      <c r="G563" s="7">
        <f>(Table2_1[[#This Row],[Current Prices]]-F562)/F562</f>
        <v>1.6336789192585573E-2</v>
      </c>
      <c r="H563" s="7"/>
      <c r="I563" s="2"/>
    </row>
    <row r="564" spans="1:9" x14ac:dyDescent="0.3">
      <c r="A564" s="2" t="s">
        <v>80</v>
      </c>
      <c r="B564" s="2" t="s">
        <v>14</v>
      </c>
      <c r="C564" s="2">
        <v>414.5</v>
      </c>
      <c r="D564" s="6">
        <f>(Table2_1[[#This Row],[Constant Prices]]-C563)/C563</f>
        <v>6.5565808644973012E-3</v>
      </c>
      <c r="E564" s="6">
        <f>(Table2_1[[#This Row],[Constant Prices]]-C560)/C560</f>
        <v>2.6244119831641554E-2</v>
      </c>
      <c r="F564" s="2">
        <v>332.1</v>
      </c>
      <c r="G564" s="7">
        <f>(Table2_1[[#This Row],[Current Prices]]-F563)/F563</f>
        <v>2.6584234930448293E-2</v>
      </c>
      <c r="H564" s="7">
        <f>(Table2_1[[#This Row],[Current Prices]]-F560)/F560</f>
        <v>7.7197534868634482E-2</v>
      </c>
      <c r="I564" s="2"/>
    </row>
    <row r="565" spans="1:9" x14ac:dyDescent="0.3">
      <c r="A565" s="2" t="s">
        <v>80</v>
      </c>
      <c r="B565" s="2" t="s">
        <v>15</v>
      </c>
      <c r="C565" s="2">
        <v>420.5</v>
      </c>
      <c r="D565" s="6">
        <f>(Table2_1[[#This Row],[Constant Prices]]-C564)/C564</f>
        <v>1.4475271411338963E-2</v>
      </c>
      <c r="E565" s="6">
        <f>(Table2_1[[#This Row],[Constant Prices]]-C561)/C561</f>
        <v>2.411105698977101E-2</v>
      </c>
      <c r="F565" s="2">
        <v>349.7</v>
      </c>
      <c r="G565" s="7">
        <f>(Table2_1[[#This Row],[Current Prices]]-F564)/F564</f>
        <v>5.2996085516410614E-2</v>
      </c>
      <c r="H565" s="7">
        <f>(Table2_1[[#This Row],[Current Prices]]-F561)/F561</f>
        <v>0.11015873015873012</v>
      </c>
      <c r="I565" s="2"/>
    </row>
    <row r="566" spans="1:9" x14ac:dyDescent="0.3">
      <c r="A566" s="2" t="s">
        <v>80</v>
      </c>
      <c r="B566" s="2" t="s">
        <v>16</v>
      </c>
      <c r="C566" s="2">
        <v>417.8</v>
      </c>
      <c r="D566" s="6">
        <f>(Table2_1[[#This Row],[Constant Prices]]-C565)/C565</f>
        <v>-6.4209274673008056E-3</v>
      </c>
      <c r="E566" s="6">
        <f>(Table2_1[[#This Row],[Constant Prices]]-C562)/C562</f>
        <v>2.6787908577046042E-2</v>
      </c>
      <c r="F566" s="2">
        <v>356.6</v>
      </c>
      <c r="G566" s="7">
        <f>(Table2_1[[#This Row],[Current Prices]]-F565)/F565</f>
        <v>1.9731198169859979E-2</v>
      </c>
      <c r="H566" s="7">
        <f>(Table2_1[[#This Row],[Current Prices]]-F562)/F562</f>
        <v>0.12032673578385174</v>
      </c>
      <c r="I566" s="2"/>
    </row>
    <row r="567" spans="1:9" x14ac:dyDescent="0.3">
      <c r="A567" s="2" t="s">
        <v>80</v>
      </c>
      <c r="B567" s="2" t="s">
        <v>17</v>
      </c>
      <c r="C567" s="2">
        <v>413.1</v>
      </c>
      <c r="D567" s="6">
        <f>(Table2_1[[#This Row],[Constant Prices]]-C566)/C566</f>
        <v>-1.1249401627572974E-2</v>
      </c>
      <c r="E567" s="6">
        <f>(Table2_1[[#This Row],[Constant Prices]]-C563)/C563</f>
        <v>3.1568722680913341E-3</v>
      </c>
      <c r="F567" s="2">
        <v>352.4</v>
      </c>
      <c r="G567" s="7">
        <f>(Table2_1[[#This Row],[Current Prices]]-F566)/F566</f>
        <v>-1.1777902411665859E-2</v>
      </c>
      <c r="H567" s="7">
        <f>(Table2_1[[#This Row],[Current Prices]]-F563)/F563</f>
        <v>8.9335394126738729E-2</v>
      </c>
      <c r="I567" s="2">
        <v>1</v>
      </c>
    </row>
    <row r="568" spans="1:9" x14ac:dyDescent="0.3">
      <c r="A568" s="2" t="s">
        <v>80</v>
      </c>
      <c r="B568" s="2" t="s">
        <v>18</v>
      </c>
      <c r="C568" s="2">
        <v>411.8</v>
      </c>
      <c r="D568" s="6">
        <f>(Table2_1[[#This Row],[Constant Prices]]-C567)/C567</f>
        <v>-3.1469377874606907E-3</v>
      </c>
      <c r="E568" s="6">
        <f>(Table2_1[[#This Row],[Constant Prices]]-C564)/C564</f>
        <v>-6.513872135102506E-3</v>
      </c>
      <c r="F568" s="2">
        <v>363.4</v>
      </c>
      <c r="G568" s="7">
        <f>(Table2_1[[#This Row],[Current Prices]]-F567)/F567</f>
        <v>3.1214528944381387E-2</v>
      </c>
      <c r="H568" s="7">
        <f>(Table2_1[[#This Row],[Current Prices]]-F564)/F564</f>
        <v>9.4248720264980282E-2</v>
      </c>
      <c r="I568" s="2"/>
    </row>
    <row r="569" spans="1:9" x14ac:dyDescent="0.3">
      <c r="A569" s="2" t="s">
        <v>80</v>
      </c>
      <c r="B569" s="2" t="s">
        <v>19</v>
      </c>
      <c r="C569" s="2">
        <v>406.2</v>
      </c>
      <c r="D569" s="6">
        <f>(Table2_1[[#This Row],[Constant Prices]]-C568)/C568</f>
        <v>-1.3598834385624144E-2</v>
      </c>
      <c r="E569" s="6">
        <f>(Table2_1[[#This Row],[Constant Prices]]-C565)/C565</f>
        <v>-3.4007134363852581E-2</v>
      </c>
      <c r="F569" s="2">
        <v>364.1</v>
      </c>
      <c r="G569" s="7">
        <f>(Table2_1[[#This Row],[Current Prices]]-F568)/F568</f>
        <v>1.9262520638416221E-3</v>
      </c>
      <c r="H569" s="7">
        <f>(Table2_1[[#This Row],[Current Prices]]-F565)/F565</f>
        <v>4.1178152702316367E-2</v>
      </c>
      <c r="I569" s="2"/>
    </row>
    <row r="570" spans="1:9" x14ac:dyDescent="0.3">
      <c r="A570" s="2" t="s">
        <v>80</v>
      </c>
      <c r="B570" s="2" t="s">
        <v>20</v>
      </c>
      <c r="C570" s="2">
        <v>406.9</v>
      </c>
      <c r="D570" s="6">
        <f>(Table2_1[[#This Row],[Constant Prices]]-C569)/C569</f>
        <v>1.7232890201870721E-3</v>
      </c>
      <c r="E570" s="6">
        <f>(Table2_1[[#This Row],[Constant Prices]]-C566)/C566</f>
        <v>-2.6089037817137468E-2</v>
      </c>
      <c r="F570" s="2">
        <v>366.3</v>
      </c>
      <c r="G570" s="7">
        <f>(Table2_1[[#This Row],[Current Prices]]-F569)/F569</f>
        <v>6.0422960725075216E-3</v>
      </c>
      <c r="H570" s="7">
        <f>(Table2_1[[#This Row],[Current Prices]]-F566)/F566</f>
        <v>2.7201346045989869E-2</v>
      </c>
      <c r="I570" s="2"/>
    </row>
    <row r="571" spans="1:9" x14ac:dyDescent="0.3">
      <c r="A571" s="2" t="s">
        <v>80</v>
      </c>
      <c r="B571" s="2" t="s">
        <v>21</v>
      </c>
      <c r="C571" s="2">
        <v>402.7</v>
      </c>
      <c r="D571" s="6">
        <f>(Table2_1[[#This Row],[Constant Prices]]-C570)/C570</f>
        <v>-1.0321946424182819E-2</v>
      </c>
      <c r="E571" s="6">
        <f>(Table2_1[[#This Row],[Constant Prices]]-C567)/C567</f>
        <v>-2.5175502299685387E-2</v>
      </c>
      <c r="F571" s="2">
        <v>374.2</v>
      </c>
      <c r="G571" s="7">
        <f>(Table2_1[[#This Row],[Current Prices]]-F570)/F570</f>
        <v>2.1567021567021505E-2</v>
      </c>
      <c r="H571" s="7">
        <f>(Table2_1[[#This Row],[Current Prices]]-F567)/F567</f>
        <v>6.1861520998864959E-2</v>
      </c>
      <c r="I571" s="2">
        <v>2</v>
      </c>
    </row>
    <row r="572" spans="1:9" x14ac:dyDescent="0.3">
      <c r="A572" s="2" t="s">
        <v>80</v>
      </c>
      <c r="B572" s="2" t="s">
        <v>22</v>
      </c>
      <c r="C572" s="2">
        <v>398.8</v>
      </c>
      <c r="D572" s="6">
        <f>(Table2_1[[#This Row],[Constant Prices]]-C571)/C571</f>
        <v>-9.6846287558976351E-3</v>
      </c>
      <c r="E572" s="6">
        <f>(Table2_1[[#This Row],[Constant Prices]]-C568)/C568</f>
        <v>-3.1568722680913062E-2</v>
      </c>
      <c r="F572" s="2">
        <v>393.8</v>
      </c>
      <c r="G572" s="7">
        <f>(Table2_1[[#This Row],[Current Prices]]-F571)/F571</f>
        <v>5.2378407268840257E-2</v>
      </c>
      <c r="H572" s="7">
        <f>(Table2_1[[#This Row],[Current Prices]]-F568)/F568</f>
        <v>8.3654375343973686E-2</v>
      </c>
      <c r="I572" s="2"/>
    </row>
    <row r="573" spans="1:9" x14ac:dyDescent="0.3">
      <c r="A573" s="2" t="s">
        <v>80</v>
      </c>
      <c r="B573" s="2" t="s">
        <v>23</v>
      </c>
      <c r="C573" s="2">
        <v>401.9</v>
      </c>
      <c r="D573" s="6">
        <f>(Table2_1[[#This Row],[Constant Prices]]-C572)/C572</f>
        <v>7.7733199598795533E-3</v>
      </c>
      <c r="E573" s="6">
        <f>(Table2_1[[#This Row],[Constant Prices]]-C569)/C569</f>
        <v>-1.0585918266863642E-2</v>
      </c>
      <c r="F573" s="2">
        <v>400.4</v>
      </c>
      <c r="G573" s="7">
        <f>(Table2_1[[#This Row],[Current Prices]]-F572)/F572</f>
        <v>1.6759776536312762E-2</v>
      </c>
      <c r="H573" s="7">
        <f>(Table2_1[[#This Row],[Current Prices]]-F569)/F569</f>
        <v>9.9697885196374486E-2</v>
      </c>
      <c r="I573" s="2"/>
    </row>
    <row r="574" spans="1:9" x14ac:dyDescent="0.3">
      <c r="A574" s="2" t="s">
        <v>80</v>
      </c>
      <c r="B574" s="2" t="s">
        <v>24</v>
      </c>
      <c r="C574" s="2">
        <v>401.6</v>
      </c>
      <c r="D574" s="6">
        <f>(Table2_1[[#This Row],[Constant Prices]]-C573)/C573</f>
        <v>-7.4645434187597547E-4</v>
      </c>
      <c r="E574" s="6">
        <f>(Table2_1[[#This Row],[Constant Prices]]-C570)/C570</f>
        <v>-1.3025313344802052E-2</v>
      </c>
      <c r="F574" s="2">
        <v>328.6</v>
      </c>
      <c r="G574" s="7">
        <f>(Table2_1[[#This Row],[Current Prices]]-F573)/F573</f>
        <v>-0.17932067932067922</v>
      </c>
      <c r="H574" s="7">
        <f>(Table2_1[[#This Row],[Current Prices]]-F570)/F570</f>
        <v>-0.10292110292110289</v>
      </c>
      <c r="I574" s="2"/>
    </row>
    <row r="575" spans="1:9" x14ac:dyDescent="0.3">
      <c r="A575" s="2" t="s">
        <v>80</v>
      </c>
      <c r="B575" s="2" t="s">
        <v>25</v>
      </c>
      <c r="C575" s="2">
        <v>410</v>
      </c>
      <c r="D575" s="6">
        <f>(Table2_1[[#This Row],[Constant Prices]]-C574)/C574</f>
        <v>2.0916334661354525E-2</v>
      </c>
      <c r="E575" s="6">
        <f>(Table2_1[[#This Row],[Constant Prices]]-C571)/C571</f>
        <v>1.8127638440526474E-2</v>
      </c>
      <c r="F575" s="2">
        <v>403.4</v>
      </c>
      <c r="G575" s="7">
        <f>(Table2_1[[#This Row],[Current Prices]]-F574)/F574</f>
        <v>0.22763237979306131</v>
      </c>
      <c r="H575" s="7">
        <f>(Table2_1[[#This Row],[Current Prices]]-F571)/F571</f>
        <v>7.8033137359700661E-2</v>
      </c>
      <c r="I575" s="2">
        <v>3</v>
      </c>
    </row>
    <row r="576" spans="1:9" x14ac:dyDescent="0.3">
      <c r="A576" s="2" t="s">
        <v>80</v>
      </c>
      <c r="B576" s="2" t="s">
        <v>26</v>
      </c>
      <c r="C576" s="2">
        <v>417</v>
      </c>
      <c r="D576" s="6">
        <f>(Table2_1[[#This Row],[Constant Prices]]-C575)/C575</f>
        <v>1.7073170731707318E-2</v>
      </c>
      <c r="E576" s="6">
        <f>(Table2_1[[#This Row],[Constant Prices]]-C572)/C572</f>
        <v>4.5636910732196563E-2</v>
      </c>
      <c r="F576" s="2">
        <v>398.3</v>
      </c>
      <c r="G576" s="7">
        <f>(Table2_1[[#This Row],[Current Prices]]-F575)/F575</f>
        <v>-1.2642538423401007E-2</v>
      </c>
      <c r="H576" s="7">
        <f>(Table2_1[[#This Row],[Current Prices]]-F572)/F572</f>
        <v>1.1427120365667851E-2</v>
      </c>
      <c r="I576" s="2"/>
    </row>
    <row r="577" spans="1:9" x14ac:dyDescent="0.3">
      <c r="A577" s="2" t="s">
        <v>80</v>
      </c>
      <c r="B577" s="2" t="s">
        <v>27</v>
      </c>
      <c r="C577" s="2">
        <v>411.4</v>
      </c>
      <c r="D577" s="6">
        <f>(Table2_1[[#This Row],[Constant Prices]]-C576)/C576</f>
        <v>-1.3429256594724276E-2</v>
      </c>
      <c r="E577" s="6">
        <f>(Table2_1[[#This Row],[Constant Prices]]-C573)/C573</f>
        <v>2.3637720826076139E-2</v>
      </c>
      <c r="F577" s="2">
        <v>396.3</v>
      </c>
      <c r="G577" s="7">
        <f>(Table2_1[[#This Row],[Current Prices]]-F576)/F576</f>
        <v>-5.0213406979663566E-3</v>
      </c>
      <c r="H577" s="7">
        <f>(Table2_1[[#This Row],[Current Prices]]-F573)/F573</f>
        <v>-1.0239760239760155E-2</v>
      </c>
      <c r="I577" s="2"/>
    </row>
    <row r="578" spans="1:9" x14ac:dyDescent="0.3">
      <c r="A578" s="2" t="s">
        <v>80</v>
      </c>
      <c r="B578" s="2" t="s">
        <v>28</v>
      </c>
      <c r="C578" s="2">
        <v>411.3</v>
      </c>
      <c r="D578" s="6">
        <f>(Table2_1[[#This Row],[Constant Prices]]-C577)/C577</f>
        <v>-2.4307243558572167E-4</v>
      </c>
      <c r="E578" s="6">
        <f>(Table2_1[[#This Row],[Constant Prices]]-C574)/C574</f>
        <v>2.4153386454183239E-2</v>
      </c>
      <c r="F578" s="2">
        <v>390.7</v>
      </c>
      <c r="G578" s="7">
        <f>(Table2_1[[#This Row],[Current Prices]]-F577)/F577</f>
        <v>-1.41307090587939E-2</v>
      </c>
      <c r="H578" s="7">
        <f>(Table2_1[[#This Row],[Current Prices]]-F574)/F574</f>
        <v>0.18898356664637847</v>
      </c>
      <c r="I578" s="2"/>
    </row>
    <row r="579" spans="1:9" x14ac:dyDescent="0.3">
      <c r="A579" s="2" t="s">
        <v>80</v>
      </c>
      <c r="B579" s="2" t="s">
        <v>29</v>
      </c>
      <c r="C579" s="2">
        <v>409.4</v>
      </c>
      <c r="D579" s="6">
        <f>(Table2_1[[#This Row],[Constant Prices]]-C578)/C578</f>
        <v>-4.6194991490397129E-3</v>
      </c>
      <c r="E579" s="6">
        <f>(Table2_1[[#This Row],[Constant Prices]]-C575)/C575</f>
        <v>-1.463414634146397E-3</v>
      </c>
      <c r="F579" s="2">
        <v>392.2</v>
      </c>
      <c r="G579" s="7">
        <f>(Table2_1[[#This Row],[Current Prices]]-F578)/F578</f>
        <v>3.8392628615305864E-3</v>
      </c>
      <c r="H579" s="7">
        <f>(Table2_1[[#This Row],[Current Prices]]-F575)/F575</f>
        <v>-2.7764005949429821E-2</v>
      </c>
      <c r="I579" s="2">
        <v>4</v>
      </c>
    </row>
    <row r="580" spans="1:9" x14ac:dyDescent="0.3">
      <c r="A580" s="2" t="s">
        <v>80</v>
      </c>
      <c r="B580" s="2" t="s">
        <v>30</v>
      </c>
      <c r="C580" s="2">
        <v>405</v>
      </c>
      <c r="D580" s="6">
        <f>(Table2_1[[#This Row],[Constant Prices]]-C579)/C579</f>
        <v>-1.0747435271128427E-2</v>
      </c>
      <c r="E580" s="6">
        <f>(Table2_1[[#This Row],[Constant Prices]]-C576)/C576</f>
        <v>-2.8776978417266189E-2</v>
      </c>
      <c r="F580" s="2">
        <v>396.6</v>
      </c>
      <c r="G580" s="7">
        <f>(Table2_1[[#This Row],[Current Prices]]-F579)/F579</f>
        <v>1.1218765935747155E-2</v>
      </c>
      <c r="H580" s="7">
        <f>(Table2_1[[#This Row],[Current Prices]]-F576)/F576</f>
        <v>-4.2681395932713745E-3</v>
      </c>
      <c r="I580" s="2"/>
    </row>
    <row r="581" spans="1:9" x14ac:dyDescent="0.3">
      <c r="A581" s="2" t="s">
        <v>80</v>
      </c>
      <c r="B581" s="2" t="s">
        <v>31</v>
      </c>
      <c r="C581" s="2">
        <v>398.8</v>
      </c>
      <c r="D581" s="6">
        <f>(Table2_1[[#This Row],[Constant Prices]]-C580)/C580</f>
        <v>-1.5308641975308615E-2</v>
      </c>
      <c r="E581" s="6">
        <f>(Table2_1[[#This Row],[Constant Prices]]-C577)/C577</f>
        <v>-3.0627126883811296E-2</v>
      </c>
      <c r="F581" s="2">
        <v>402.5</v>
      </c>
      <c r="G581" s="7">
        <f>(Table2_1[[#This Row],[Current Prices]]-F580)/F580</f>
        <v>1.487644982349969E-2</v>
      </c>
      <c r="H581" s="7">
        <f>(Table2_1[[#This Row],[Current Prices]]-F577)/F577</f>
        <v>1.564471360080744E-2</v>
      </c>
      <c r="I581" s="2"/>
    </row>
    <row r="582" spans="1:9" x14ac:dyDescent="0.3">
      <c r="A582" s="2" t="s">
        <v>80</v>
      </c>
      <c r="B582" s="2" t="s">
        <v>32</v>
      </c>
      <c r="C582" s="2">
        <v>398.6</v>
      </c>
      <c r="D582" s="6">
        <f>(Table2_1[[#This Row],[Constant Prices]]-C581)/C581</f>
        <v>-5.0150451354059335E-4</v>
      </c>
      <c r="E582" s="6">
        <f>(Table2_1[[#This Row],[Constant Prices]]-C578)/C578</f>
        <v>-3.0877704838317501E-2</v>
      </c>
      <c r="F582" s="2">
        <v>397.5</v>
      </c>
      <c r="G582" s="7">
        <f>(Table2_1[[#This Row],[Current Prices]]-F581)/F581</f>
        <v>-1.2422360248447204E-2</v>
      </c>
      <c r="H582" s="7">
        <f>(Table2_1[[#This Row],[Current Prices]]-F578)/F578</f>
        <v>1.7404658305605353E-2</v>
      </c>
      <c r="I582" s="2"/>
    </row>
    <row r="583" spans="1:9" x14ac:dyDescent="0.3">
      <c r="A583" s="2" t="s">
        <v>80</v>
      </c>
      <c r="B583" s="2" t="s">
        <v>33</v>
      </c>
      <c r="C583" s="2">
        <v>401.5</v>
      </c>
      <c r="D583" s="6">
        <f>(Table2_1[[#This Row],[Constant Prices]]-C582)/C582</f>
        <v>7.2754641244354669E-3</v>
      </c>
      <c r="E583" s="6">
        <f>(Table2_1[[#This Row],[Constant Prices]]-C579)/C579</f>
        <v>-1.929653150952608E-2</v>
      </c>
      <c r="F583" s="2">
        <v>407.2</v>
      </c>
      <c r="G583" s="7">
        <f>(Table2_1[[#This Row],[Current Prices]]-F582)/F582</f>
        <v>2.4402515723270412E-2</v>
      </c>
      <c r="H583" s="7">
        <f>(Table2_1[[#This Row],[Current Prices]]-F579)/F579</f>
        <v>3.8245792962774097E-2</v>
      </c>
      <c r="I583" s="2">
        <v>5</v>
      </c>
    </row>
    <row r="584" spans="1:9" x14ac:dyDescent="0.3">
      <c r="A584" s="2" t="s">
        <v>80</v>
      </c>
      <c r="B584" s="2" t="s">
        <v>34</v>
      </c>
      <c r="C584" s="2">
        <v>406.3</v>
      </c>
      <c r="D584" s="6">
        <f>(Table2_1[[#This Row],[Constant Prices]]-C583)/C583</f>
        <v>1.1955168119551709E-2</v>
      </c>
      <c r="E584" s="6">
        <f>(Table2_1[[#This Row],[Constant Prices]]-C580)/C580</f>
        <v>3.2098765432099045E-3</v>
      </c>
      <c r="F584" s="2">
        <v>411.7</v>
      </c>
      <c r="G584" s="7">
        <f>(Table2_1[[#This Row],[Current Prices]]-F583)/F583</f>
        <v>1.1051080550098232E-2</v>
      </c>
      <c r="H584" s="7">
        <f>(Table2_1[[#This Row],[Current Prices]]-F580)/F580</f>
        <v>3.807362581946537E-2</v>
      </c>
      <c r="I584" s="2"/>
    </row>
    <row r="585" spans="1:9" x14ac:dyDescent="0.3">
      <c r="A585" s="2" t="s">
        <v>80</v>
      </c>
      <c r="B585" s="2" t="s">
        <v>35</v>
      </c>
      <c r="C585" s="2">
        <v>402.8</v>
      </c>
      <c r="D585" s="6">
        <f>(Table2_1[[#This Row],[Constant Prices]]-C584)/C584</f>
        <v>-8.6143243908442038E-3</v>
      </c>
      <c r="E585" s="6">
        <f>(Table2_1[[#This Row],[Constant Prices]]-C581)/C581</f>
        <v>1.0030090270812437E-2</v>
      </c>
      <c r="F585" s="2">
        <v>420.8</v>
      </c>
      <c r="G585" s="7">
        <f>(Table2_1[[#This Row],[Current Prices]]-F584)/F584</f>
        <v>2.210347340296338E-2</v>
      </c>
      <c r="H585" s="7">
        <f>(Table2_1[[#This Row],[Current Prices]]-F581)/F581</f>
        <v>4.5465838509316799E-2</v>
      </c>
      <c r="I585" s="2"/>
    </row>
    <row r="586" spans="1:9" x14ac:dyDescent="0.3">
      <c r="A586" s="2" t="s">
        <v>80</v>
      </c>
      <c r="B586" s="2" t="s">
        <v>36</v>
      </c>
      <c r="C586" s="2">
        <v>402.1</v>
      </c>
      <c r="D586" s="6">
        <f>(Table2_1[[#This Row],[Constant Prices]]-C585)/C585</f>
        <v>-1.7378351539225139E-3</v>
      </c>
      <c r="E586" s="6">
        <f>(Table2_1[[#This Row],[Constant Prices]]-C582)/C582</f>
        <v>8.7807325639739087E-3</v>
      </c>
      <c r="F586" s="2">
        <v>420.6</v>
      </c>
      <c r="G586" s="7">
        <f>(Table2_1[[#This Row],[Current Prices]]-F585)/F585</f>
        <v>-4.7528517110263454E-4</v>
      </c>
      <c r="H586" s="7">
        <f>(Table2_1[[#This Row],[Current Prices]]-F582)/F582</f>
        <v>5.8113207547169872E-2</v>
      </c>
      <c r="I586" s="2"/>
    </row>
    <row r="587" spans="1:9" x14ac:dyDescent="0.3">
      <c r="A587" s="2" t="s">
        <v>80</v>
      </c>
      <c r="B587" s="2" t="s">
        <v>37</v>
      </c>
      <c r="C587" s="2">
        <v>402.9</v>
      </c>
      <c r="D587" s="6">
        <f>(Table2_1[[#This Row],[Constant Prices]]-C586)/C586</f>
        <v>1.9895548371050846E-3</v>
      </c>
      <c r="E587" s="6">
        <f>(Table2_1[[#This Row],[Constant Prices]]-C583)/C583</f>
        <v>3.4869240348691837E-3</v>
      </c>
      <c r="F587" s="2">
        <v>424.6</v>
      </c>
      <c r="G587" s="7">
        <f>(Table2_1[[#This Row],[Current Prices]]-F586)/F586</f>
        <v>9.5102234902520212E-3</v>
      </c>
      <c r="H587" s="7">
        <f>(Table2_1[[#This Row],[Current Prices]]-F583)/F583</f>
        <v>4.2730844793713245E-2</v>
      </c>
      <c r="I587" s="2">
        <v>6</v>
      </c>
    </row>
    <row r="588" spans="1:9" x14ac:dyDescent="0.3">
      <c r="A588" s="2" t="s">
        <v>80</v>
      </c>
      <c r="B588" s="2" t="s">
        <v>38</v>
      </c>
      <c r="C588" s="2">
        <v>403.6</v>
      </c>
      <c r="D588" s="6">
        <f>(Table2_1[[#This Row],[Constant Prices]]-C587)/C587</f>
        <v>1.737403822288522E-3</v>
      </c>
      <c r="E588" s="6">
        <f>(Table2_1[[#This Row],[Constant Prices]]-C584)/C584</f>
        <v>-6.6453359586512144E-3</v>
      </c>
      <c r="F588" s="2">
        <v>435.6</v>
      </c>
      <c r="G588" s="7">
        <f>(Table2_1[[#This Row],[Current Prices]]-F587)/F587</f>
        <v>2.5906735751295335E-2</v>
      </c>
      <c r="H588" s="7">
        <f>(Table2_1[[#This Row],[Current Prices]]-F584)/F584</f>
        <v>5.8051979596793868E-2</v>
      </c>
      <c r="I588" s="2"/>
    </row>
    <row r="589" spans="1:9" x14ac:dyDescent="0.3">
      <c r="A589" s="2" t="s">
        <v>80</v>
      </c>
      <c r="B589" s="2" t="s">
        <v>39</v>
      </c>
      <c r="C589" s="2">
        <v>399.6</v>
      </c>
      <c r="D589" s="6">
        <f>(Table2_1[[#This Row],[Constant Prices]]-C588)/C588</f>
        <v>-9.9108027750247768E-3</v>
      </c>
      <c r="E589" s="6">
        <f>(Table2_1[[#This Row],[Constant Prices]]-C585)/C585</f>
        <v>-7.9443892750744507E-3</v>
      </c>
      <c r="F589" s="2">
        <v>453.2</v>
      </c>
      <c r="G589" s="7">
        <f>(Table2_1[[#This Row],[Current Prices]]-F588)/F588</f>
        <v>4.0404040404040324E-2</v>
      </c>
      <c r="H589" s="7">
        <f>(Table2_1[[#This Row],[Current Prices]]-F585)/F585</f>
        <v>7.6996197718631129E-2</v>
      </c>
      <c r="I589" s="2"/>
    </row>
    <row r="590" spans="1:9" x14ac:dyDescent="0.3">
      <c r="A590" s="2" t="s">
        <v>80</v>
      </c>
      <c r="B590" s="2" t="s">
        <v>40</v>
      </c>
      <c r="C590" s="2">
        <v>403.7</v>
      </c>
      <c r="D590" s="6">
        <f>(Table2_1[[#This Row],[Constant Prices]]-C589)/C589</f>
        <v>1.0260260260260175E-2</v>
      </c>
      <c r="E590" s="6">
        <f>(Table2_1[[#This Row],[Constant Prices]]-C586)/C586</f>
        <v>3.9791096742103106E-3</v>
      </c>
      <c r="F590" s="2">
        <v>470.2</v>
      </c>
      <c r="G590" s="7">
        <f>(Table2_1[[#This Row],[Current Prices]]-F589)/F589</f>
        <v>3.7511032656663723E-2</v>
      </c>
      <c r="H590" s="7">
        <f>(Table2_1[[#This Row],[Current Prices]]-F586)/F586</f>
        <v>0.11792677127912497</v>
      </c>
      <c r="I590" s="2"/>
    </row>
    <row r="591" spans="1:9" x14ac:dyDescent="0.3">
      <c r="A591" s="2" t="s">
        <v>80</v>
      </c>
      <c r="B591" s="2" t="s">
        <v>41</v>
      </c>
      <c r="C591" s="2">
        <v>399.3</v>
      </c>
      <c r="D591" s="6">
        <f>(Table2_1[[#This Row],[Constant Prices]]-C590)/C590</f>
        <v>-1.0899182561307846E-2</v>
      </c>
      <c r="E591" s="6">
        <f>(Table2_1[[#This Row],[Constant Prices]]-C587)/C587</f>
        <v>-8.9352196574831629E-3</v>
      </c>
      <c r="F591" s="2">
        <v>465.6</v>
      </c>
      <c r="G591" s="7">
        <f>(Table2_1[[#This Row],[Current Prices]]-F590)/F590</f>
        <v>-9.7830710336026493E-3</v>
      </c>
      <c r="H591" s="7">
        <f>(Table2_1[[#This Row],[Current Prices]]-F587)/F587</f>
        <v>9.6561469618464429E-2</v>
      </c>
      <c r="I591" s="2">
        <v>7</v>
      </c>
    </row>
    <row r="592" spans="1:9" x14ac:dyDescent="0.3">
      <c r="A592" s="2" t="s">
        <v>80</v>
      </c>
      <c r="B592" s="2" t="s">
        <v>42</v>
      </c>
      <c r="C592" s="2">
        <v>403.3</v>
      </c>
      <c r="D592" s="6">
        <f>(Table2_1[[#This Row],[Constant Prices]]-C591)/C591</f>
        <v>1.0017530678687703E-2</v>
      </c>
      <c r="E592" s="6">
        <f>(Table2_1[[#This Row],[Constant Prices]]-C588)/C588</f>
        <v>-7.4331020812688645E-4</v>
      </c>
      <c r="F592" s="2">
        <v>502.2</v>
      </c>
      <c r="G592" s="7">
        <f>(Table2_1[[#This Row],[Current Prices]]-F591)/F591</f>
        <v>7.8608247422680341E-2</v>
      </c>
      <c r="H592" s="7">
        <f>(Table2_1[[#This Row],[Current Prices]]-F588)/F588</f>
        <v>0.15289256198347098</v>
      </c>
      <c r="I592" s="2"/>
    </row>
    <row r="593" spans="1:9" x14ac:dyDescent="0.3">
      <c r="A593" s="2" t="s">
        <v>80</v>
      </c>
      <c r="B593" s="2" t="s">
        <v>43</v>
      </c>
      <c r="C593" s="2">
        <v>397.8</v>
      </c>
      <c r="D593" s="6">
        <f>(Table2_1[[#This Row],[Constant Prices]]-C592)/C592</f>
        <v>-1.3637490701710884E-2</v>
      </c>
      <c r="E593" s="6">
        <f>(Table2_1[[#This Row],[Constant Prices]]-C589)/C589</f>
        <v>-4.5045045045045331E-3</v>
      </c>
      <c r="F593" s="2">
        <v>517</v>
      </c>
      <c r="G593" s="7">
        <f>(Table2_1[[#This Row],[Current Prices]]-F592)/F592</f>
        <v>2.9470330545599385E-2</v>
      </c>
      <c r="H593" s="7">
        <f>(Table2_1[[#This Row],[Current Prices]]-F589)/F589</f>
        <v>0.14077669902912623</v>
      </c>
      <c r="I593" s="2"/>
    </row>
    <row r="594" spans="1:9" x14ac:dyDescent="0.3">
      <c r="A594" s="2" t="s">
        <v>80</v>
      </c>
      <c r="B594" s="2" t="s">
        <v>44</v>
      </c>
      <c r="C594" s="2">
        <v>401.9</v>
      </c>
      <c r="D594" s="6">
        <f>(Table2_1[[#This Row],[Constant Prices]]-C593)/C593</f>
        <v>1.0306686777274927E-2</v>
      </c>
      <c r="E594" s="6">
        <f>(Table2_1[[#This Row],[Constant Prices]]-C590)/C590</f>
        <v>-4.4587565023532609E-3</v>
      </c>
      <c r="F594" s="2">
        <v>537.6</v>
      </c>
      <c r="G594" s="7">
        <f>(Table2_1[[#This Row],[Current Prices]]-F593)/F593</f>
        <v>3.9845261121856913E-2</v>
      </c>
      <c r="H594" s="7">
        <f>(Table2_1[[#This Row],[Current Prices]]-F590)/F590</f>
        <v>0.14334325818800517</v>
      </c>
      <c r="I594" s="2"/>
    </row>
    <row r="595" spans="1:9" x14ac:dyDescent="0.3">
      <c r="A595" s="2" t="s">
        <v>80</v>
      </c>
      <c r="B595" s="2" t="s">
        <v>45</v>
      </c>
      <c r="C595" s="2">
        <v>399.2</v>
      </c>
      <c r="D595" s="6">
        <f>(Table2_1[[#This Row],[Constant Prices]]-C594)/C594</f>
        <v>-6.7180890768847694E-3</v>
      </c>
      <c r="E595" s="6">
        <f>(Table2_1[[#This Row],[Constant Prices]]-C591)/C591</f>
        <v>-2.5043826696724954E-4</v>
      </c>
      <c r="F595" s="2">
        <v>534.70000000000005</v>
      </c>
      <c r="G595" s="7">
        <f>(Table2_1[[#This Row],[Current Prices]]-F594)/F594</f>
        <v>-5.3943452380951955E-3</v>
      </c>
      <c r="H595" s="7">
        <f>(Table2_1[[#This Row],[Current Prices]]-F591)/F591</f>
        <v>0.14841065292096223</v>
      </c>
      <c r="I595" s="2">
        <v>8</v>
      </c>
    </row>
    <row r="596" spans="1:9" x14ac:dyDescent="0.3">
      <c r="A596" s="2" t="s">
        <v>80</v>
      </c>
      <c r="B596" s="2" t="s">
        <v>46</v>
      </c>
      <c r="C596" s="2">
        <v>398.2</v>
      </c>
      <c r="D596" s="6">
        <f>(Table2_1[[#This Row],[Constant Prices]]-C595)/C595</f>
        <v>-2.5050100200400801E-3</v>
      </c>
      <c r="E596" s="6">
        <f>(Table2_1[[#This Row],[Constant Prices]]-C592)/C592</f>
        <v>-1.2645673196131968E-2</v>
      </c>
      <c r="F596" s="2">
        <v>533.29999999999995</v>
      </c>
      <c r="G596" s="7">
        <f>(Table2_1[[#This Row],[Current Prices]]-F595)/F595</f>
        <v>-2.6182906302601289E-3</v>
      </c>
      <c r="H596" s="7">
        <f>(Table2_1[[#This Row],[Current Prices]]-F592)/F592</f>
        <v>6.1927518916766164E-2</v>
      </c>
      <c r="I596" s="2"/>
    </row>
    <row r="597" spans="1:9" x14ac:dyDescent="0.3">
      <c r="A597" s="2" t="s">
        <v>80</v>
      </c>
      <c r="B597" s="2" t="s">
        <v>47</v>
      </c>
      <c r="C597" s="2">
        <v>395.3</v>
      </c>
      <c r="D597" s="6">
        <f>(Table2_1[[#This Row],[Constant Prices]]-C596)/C596</f>
        <v>-7.2827724761425853E-3</v>
      </c>
      <c r="E597" s="6">
        <f>(Table2_1[[#This Row],[Constant Prices]]-C593)/C593</f>
        <v>-6.2845651080945201E-3</v>
      </c>
      <c r="F597" s="2">
        <v>541.70000000000005</v>
      </c>
      <c r="G597" s="7">
        <f>(Table2_1[[#This Row],[Current Prices]]-F596)/F596</f>
        <v>1.5750984436527456E-2</v>
      </c>
      <c r="H597" s="7">
        <f>(Table2_1[[#This Row],[Current Prices]]-F593)/F593</f>
        <v>4.7775628626692546E-2</v>
      </c>
      <c r="I597" s="2"/>
    </row>
    <row r="598" spans="1:9" x14ac:dyDescent="0.3">
      <c r="A598" s="2" t="s">
        <v>80</v>
      </c>
      <c r="B598" s="2" t="s">
        <v>48</v>
      </c>
      <c r="C598" s="2">
        <v>391.6</v>
      </c>
      <c r="D598" s="6">
        <f>(Table2_1[[#This Row],[Constant Prices]]-C597)/C597</f>
        <v>-9.3599797622058913E-3</v>
      </c>
      <c r="E598" s="6">
        <f>(Table2_1[[#This Row],[Constant Prices]]-C594)/C594</f>
        <v>-2.5628265737745595E-2</v>
      </c>
      <c r="F598" s="2">
        <v>581.79999999999995</v>
      </c>
      <c r="G598" s="7">
        <f>(Table2_1[[#This Row],[Current Prices]]-F597)/F597</f>
        <v>7.4026213771460042E-2</v>
      </c>
      <c r="H598" s="7">
        <f>(Table2_1[[#This Row],[Current Prices]]-F594)/F594</f>
        <v>8.2217261904761779E-2</v>
      </c>
      <c r="I598" s="2"/>
    </row>
    <row r="599" spans="1:9" x14ac:dyDescent="0.3">
      <c r="A599" s="2" t="s">
        <v>80</v>
      </c>
      <c r="B599" s="2" t="s">
        <v>49</v>
      </c>
      <c r="C599" s="2">
        <v>393.7</v>
      </c>
      <c r="D599" s="6">
        <f>(Table2_1[[#This Row],[Constant Prices]]-C598)/C598</f>
        <v>5.3626149131766237E-3</v>
      </c>
      <c r="E599" s="6">
        <f>(Table2_1[[#This Row],[Constant Prices]]-C595)/C595</f>
        <v>-1.3777555110220441E-2</v>
      </c>
      <c r="F599" s="2">
        <v>575.9</v>
      </c>
      <c r="G599" s="7">
        <f>(Table2_1[[#This Row],[Current Prices]]-F598)/F598</f>
        <v>-1.0140941904434476E-2</v>
      </c>
      <c r="H599" s="7">
        <f>(Table2_1[[#This Row],[Current Prices]]-F595)/F595</f>
        <v>7.7052552833364374E-2</v>
      </c>
      <c r="I599" s="2">
        <v>9</v>
      </c>
    </row>
    <row r="600" spans="1:9" x14ac:dyDescent="0.3">
      <c r="A600" s="2" t="s">
        <v>80</v>
      </c>
      <c r="B600" s="2" t="s">
        <v>50</v>
      </c>
      <c r="C600" s="2">
        <v>365.1</v>
      </c>
      <c r="D600" s="6">
        <f>(Table2_1[[#This Row],[Constant Prices]]-C599)/C599</f>
        <v>-7.2644145288290496E-2</v>
      </c>
      <c r="E600" s="6">
        <f>(Table2_1[[#This Row],[Constant Prices]]-C596)/C596</f>
        <v>-8.3124058262179723E-2</v>
      </c>
      <c r="F600" s="2">
        <v>512.79999999999995</v>
      </c>
      <c r="G600" s="7">
        <f>(Table2_1[[#This Row],[Current Prices]]-F599)/F599</f>
        <v>-0.10956763326966491</v>
      </c>
      <c r="H600" s="7">
        <f>(Table2_1[[#This Row],[Current Prices]]-F596)/F596</f>
        <v>-3.8439902493905873E-2</v>
      </c>
      <c r="I600" s="2"/>
    </row>
    <row r="601" spans="1:9" x14ac:dyDescent="0.3">
      <c r="A601" s="2" t="s">
        <v>80</v>
      </c>
      <c r="B601" s="2" t="s">
        <v>51</v>
      </c>
      <c r="C601" s="2">
        <v>298.60000000000002</v>
      </c>
      <c r="D601" s="6">
        <f>(Table2_1[[#This Row],[Constant Prices]]-C600)/C600</f>
        <v>-0.18214187893727746</v>
      </c>
      <c r="E601" s="6">
        <f>(Table2_1[[#This Row],[Constant Prices]]-C597)/C597</f>
        <v>-0.2446243359473817</v>
      </c>
      <c r="F601" s="2">
        <v>398.8</v>
      </c>
      <c r="G601" s="7">
        <f>(Table2_1[[#This Row],[Current Prices]]-F600)/F600</f>
        <v>-0.22230889235569415</v>
      </c>
      <c r="H601" s="7">
        <f>(Table2_1[[#This Row],[Current Prices]]-F597)/F597</f>
        <v>-0.26379915082148797</v>
      </c>
      <c r="I601" s="2"/>
    </row>
    <row r="602" spans="1:9" x14ac:dyDescent="0.3">
      <c r="A602" s="2" t="s">
        <v>80</v>
      </c>
      <c r="B602" s="2" t="s">
        <v>52</v>
      </c>
      <c r="C602" s="2">
        <v>373.1</v>
      </c>
      <c r="D602" s="6">
        <f>(Table2_1[[#This Row],[Constant Prices]]-C601)/C601</f>
        <v>0.24949765572672469</v>
      </c>
      <c r="E602" s="6">
        <f>(Table2_1[[#This Row],[Constant Prices]]-C598)/C598</f>
        <v>-4.7242083758937688E-2</v>
      </c>
      <c r="F602" s="2">
        <v>572.29999999999995</v>
      </c>
      <c r="G602" s="7">
        <f>(Table2_1[[#This Row],[Current Prices]]-F601)/F601</f>
        <v>0.43505516549648932</v>
      </c>
      <c r="H602" s="7">
        <f>(Table2_1[[#This Row],[Current Prices]]-F598)/F598</f>
        <v>-1.6328635269852183E-2</v>
      </c>
      <c r="I602" s="2"/>
    </row>
    <row r="603" spans="1:9" x14ac:dyDescent="0.3">
      <c r="A603" s="2" t="s">
        <v>80</v>
      </c>
      <c r="B603" s="2" t="s">
        <v>53</v>
      </c>
      <c r="C603" s="2">
        <v>369.6</v>
      </c>
      <c r="D603" s="6">
        <f>(Table2_1[[#This Row],[Constant Prices]]-C602)/C602</f>
        <v>-9.3808630393996239E-3</v>
      </c>
      <c r="E603" s="6">
        <f>(Table2_1[[#This Row],[Constant Prices]]-C599)/C599</f>
        <v>-6.1214122428244769E-2</v>
      </c>
      <c r="F603" s="2">
        <v>558.9</v>
      </c>
      <c r="G603" s="7">
        <f>(Table2_1[[#This Row],[Current Prices]]-F602)/F602</f>
        <v>-2.3414293202865592E-2</v>
      </c>
      <c r="H603" s="7">
        <f>(Table2_1[[#This Row],[Current Prices]]-F599)/F599</f>
        <v>-2.9519013717659318E-2</v>
      </c>
      <c r="I603" s="2">
        <v>10</v>
      </c>
    </row>
    <row r="604" spans="1:9" x14ac:dyDescent="0.3">
      <c r="A604" s="2" t="s">
        <v>80</v>
      </c>
      <c r="B604" s="2" t="s">
        <v>54</v>
      </c>
      <c r="C604" s="2">
        <v>384.4</v>
      </c>
      <c r="D604" s="6">
        <f>(Table2_1[[#This Row],[Constant Prices]]-C603)/C603</f>
        <v>4.0043290043289916E-2</v>
      </c>
      <c r="E604" s="6">
        <f>(Table2_1[[#This Row],[Constant Prices]]-C600)/C600</f>
        <v>5.2862229526157087E-2</v>
      </c>
      <c r="F604" s="2">
        <v>564.70000000000005</v>
      </c>
      <c r="G604" s="7">
        <f>(Table2_1[[#This Row],[Current Prices]]-F603)/F603</f>
        <v>1.0377527285739969E-2</v>
      </c>
      <c r="H604" s="7">
        <f>(Table2_1[[#This Row],[Current Prices]]-F600)/F600</f>
        <v>0.10120904836193466</v>
      </c>
      <c r="I604" s="2"/>
    </row>
    <row r="605" spans="1:9" x14ac:dyDescent="0.3">
      <c r="A605" s="2" t="s">
        <v>80</v>
      </c>
      <c r="B605" s="2" t="s">
        <v>55</v>
      </c>
      <c r="C605" s="2">
        <v>390.5</v>
      </c>
      <c r="D605" s="6">
        <f>(Table2_1[[#This Row],[Constant Prices]]-C604)/C604</f>
        <v>1.5868886576482891E-2</v>
      </c>
      <c r="E605" s="6">
        <f>(Table2_1[[#This Row],[Constant Prices]]-C601)/C601</f>
        <v>0.30776959142665766</v>
      </c>
      <c r="F605" s="2">
        <v>588.29999999999995</v>
      </c>
      <c r="G605" s="7">
        <f>(Table2_1[[#This Row],[Current Prices]]-F604)/F604</f>
        <v>4.1792102001062349E-2</v>
      </c>
      <c r="H605" s="7">
        <f>(Table2_1[[#This Row],[Current Prices]]-F601)/F601</f>
        <v>0.47517552657973905</v>
      </c>
      <c r="I605" s="2"/>
    </row>
    <row r="606" spans="1:9" x14ac:dyDescent="0.3">
      <c r="A606" s="2" t="s">
        <v>80</v>
      </c>
      <c r="B606" s="2" t="s">
        <v>56</v>
      </c>
      <c r="C606" s="2">
        <v>387.5</v>
      </c>
      <c r="D606" s="6">
        <f>(Table2_1[[#This Row],[Constant Prices]]-C605)/C605</f>
        <v>-7.6824583866837385E-3</v>
      </c>
      <c r="E606" s="6">
        <f>(Table2_1[[#This Row],[Constant Prices]]-C602)/C602</f>
        <v>3.8595550790672679E-2</v>
      </c>
      <c r="F606" s="2">
        <v>610.9</v>
      </c>
      <c r="G606" s="7">
        <f>(Table2_1[[#This Row],[Current Prices]]-F605)/F605</f>
        <v>3.8415774264830907E-2</v>
      </c>
      <c r="H606" s="7">
        <f>(Table2_1[[#This Row],[Current Prices]]-F602)/F602</f>
        <v>6.7447143106762239E-2</v>
      </c>
      <c r="I606" s="2"/>
    </row>
    <row r="607" spans="1:9" x14ac:dyDescent="0.3">
      <c r="A607" s="2" t="s">
        <v>80</v>
      </c>
      <c r="B607" s="2" t="s">
        <v>57</v>
      </c>
      <c r="C607" s="2">
        <v>383.9</v>
      </c>
      <c r="D607" s="6">
        <f>(Table2_1[[#This Row],[Constant Prices]]-C606)/C606</f>
        <v>-9.2903225806452196E-3</v>
      </c>
      <c r="E607" s="6">
        <f>(Table2_1[[#This Row],[Constant Prices]]-C603)/C603</f>
        <v>3.8690476190476067E-2</v>
      </c>
      <c r="F607" s="2">
        <v>606.79999999999995</v>
      </c>
      <c r="G607" s="7">
        <f>(Table2_1[[#This Row],[Current Prices]]-F606)/F606</f>
        <v>-6.7114093959731915E-3</v>
      </c>
      <c r="H607" s="7">
        <f>(Table2_1[[#This Row],[Current Prices]]-F603)/F603</f>
        <v>8.5704061549472146E-2</v>
      </c>
      <c r="I607" s="2">
        <v>11</v>
      </c>
    </row>
    <row r="608" spans="1:9" x14ac:dyDescent="0.3">
      <c r="A608" s="2" t="s">
        <v>80</v>
      </c>
      <c r="B608" s="2" t="s">
        <v>58</v>
      </c>
      <c r="C608" s="2">
        <v>385.6</v>
      </c>
      <c r="D608" s="6">
        <f>(Table2_1[[#This Row],[Constant Prices]]-C607)/C607</f>
        <v>4.4282365199271832E-3</v>
      </c>
      <c r="E608" s="6">
        <f>(Table2_1[[#This Row],[Constant Prices]]-C604)/C604</f>
        <v>3.1217481789803476E-3</v>
      </c>
      <c r="F608" s="2">
        <v>668</v>
      </c>
      <c r="G608" s="7">
        <f>(Table2_1[[#This Row],[Current Prices]]-F607)/F607</f>
        <v>0.10085695451549119</v>
      </c>
      <c r="H608" s="7">
        <f>(Table2_1[[#This Row],[Current Prices]]-F604)/F604</f>
        <v>0.18292898884363371</v>
      </c>
      <c r="I608" s="2"/>
    </row>
    <row r="609" spans="1:9" x14ac:dyDescent="0.3">
      <c r="A609" s="2" t="s">
        <v>80</v>
      </c>
      <c r="B609" s="2" t="s">
        <v>59</v>
      </c>
      <c r="C609" s="2">
        <v>390.8</v>
      </c>
      <c r="D609" s="6">
        <f>(Table2_1[[#This Row],[Constant Prices]]-C608)/C608</f>
        <v>1.3485477178423206E-2</v>
      </c>
      <c r="E609" s="6">
        <f>(Table2_1[[#This Row],[Constant Prices]]-C605)/C605</f>
        <v>7.6824583866840304E-4</v>
      </c>
      <c r="F609" s="2">
        <v>679</v>
      </c>
      <c r="G609" s="7">
        <f>(Table2_1[[#This Row],[Current Prices]]-F608)/F608</f>
        <v>1.6467065868263474E-2</v>
      </c>
      <c r="H609" s="7">
        <f>(Table2_1[[#This Row],[Current Prices]]-F605)/F605</f>
        <v>0.15417304096549389</v>
      </c>
      <c r="I609" s="2"/>
    </row>
    <row r="610" spans="1:9" x14ac:dyDescent="0.3">
      <c r="A610" s="2" t="s">
        <v>80</v>
      </c>
      <c r="B610" s="2" t="s">
        <v>60</v>
      </c>
      <c r="C610" s="2">
        <v>396.2</v>
      </c>
      <c r="D610" s="6">
        <f>(Table2_1[[#This Row],[Constant Prices]]-C609)/C609</f>
        <v>1.3817809621289603E-2</v>
      </c>
      <c r="E610" s="6">
        <f>(Table2_1[[#This Row],[Constant Prices]]-C606)/C606</f>
        <v>2.2451612903225778E-2</v>
      </c>
      <c r="F610" s="2">
        <v>685.2</v>
      </c>
      <c r="G610" s="7">
        <f>(Table2_1[[#This Row],[Current Prices]]-F609)/F609</f>
        <v>9.1310751104566202E-3</v>
      </c>
      <c r="H610" s="7">
        <f>(Table2_1[[#This Row],[Current Prices]]-F606)/F606</f>
        <v>0.12162383368800142</v>
      </c>
      <c r="I610" s="2"/>
    </row>
    <row r="611" spans="1:9" x14ac:dyDescent="0.3">
      <c r="A611" s="2" t="s">
        <v>80</v>
      </c>
      <c r="B611" s="2" t="s">
        <v>61</v>
      </c>
      <c r="C611" s="2">
        <v>391.1</v>
      </c>
      <c r="D611" s="6">
        <f>(Table2_1[[#This Row],[Constant Prices]]-C610)/C610</f>
        <v>-1.2872286723876743E-2</v>
      </c>
      <c r="E611" s="6">
        <f>(Table2_1[[#This Row],[Constant Prices]]-C607)/C607</f>
        <v>1.8754884084397096E-2</v>
      </c>
      <c r="F611" s="2">
        <v>701.5</v>
      </c>
      <c r="G611" s="7">
        <f>(Table2_1[[#This Row],[Current Prices]]-F610)/F610</f>
        <v>2.3788674839462863E-2</v>
      </c>
      <c r="H611" s="7">
        <f>(Table2_1[[#This Row],[Current Prices]]-F607)/F607</f>
        <v>0.15606460118655249</v>
      </c>
      <c r="I611" s="2">
        <v>12</v>
      </c>
    </row>
    <row r="612" spans="1:9" x14ac:dyDescent="0.3">
      <c r="A612" s="2" t="s">
        <v>80</v>
      </c>
      <c r="B612" s="2" t="s">
        <v>62</v>
      </c>
      <c r="C612" s="2">
        <v>390.5</v>
      </c>
      <c r="D612" s="6">
        <f>(Table2_1[[#This Row],[Constant Prices]]-C611)/C611</f>
        <v>-1.5341344924572301E-3</v>
      </c>
      <c r="E612" s="6">
        <f>(Table2_1[[#This Row],[Constant Prices]]-C608)/C608</f>
        <v>1.2707468879667991E-2</v>
      </c>
      <c r="F612" s="2">
        <v>686.9</v>
      </c>
      <c r="G612" s="7">
        <f>(Table2_1[[#This Row],[Current Prices]]-F611)/F611</f>
        <v>-2.0812544547398466E-2</v>
      </c>
      <c r="H612" s="7">
        <f>(Table2_1[[#This Row],[Current Prices]]-F608)/F608</f>
        <v>2.8293413173652662E-2</v>
      </c>
      <c r="I612" s="2"/>
    </row>
    <row r="613" spans="1:9" x14ac:dyDescent="0.3">
      <c r="A613" s="2" t="s">
        <v>80</v>
      </c>
      <c r="B613" s="2" t="s">
        <v>63</v>
      </c>
      <c r="C613" s="2">
        <v>396.1</v>
      </c>
      <c r="D613" s="6">
        <f>(Table2_1[[#This Row],[Constant Prices]]-C612)/C612</f>
        <v>1.434058898847637E-2</v>
      </c>
      <c r="E613" s="6">
        <f>(Table2_1[[#This Row],[Constant Prices]]-C609)/C609</f>
        <v>1.3561924257932475E-2</v>
      </c>
      <c r="F613" s="2">
        <v>687.9</v>
      </c>
      <c r="G613" s="7">
        <f>(Table2_1[[#This Row],[Current Prices]]-F612)/F612</f>
        <v>1.4558159848595139E-3</v>
      </c>
      <c r="H613" s="7">
        <f>(Table2_1[[#This Row],[Current Prices]]-F609)/F609</f>
        <v>1.3107511045655343E-2</v>
      </c>
      <c r="I613" s="2"/>
    </row>
    <row r="614" spans="1:9" x14ac:dyDescent="0.3">
      <c r="A614" s="2" t="s">
        <v>80</v>
      </c>
      <c r="B614" s="2" t="s">
        <v>64</v>
      </c>
      <c r="C614" s="2">
        <v>412</v>
      </c>
      <c r="D614" s="6">
        <f>(Table2_1[[#This Row],[Constant Prices]]-C613)/C613</f>
        <v>4.0141378439787871E-2</v>
      </c>
      <c r="E614" s="6">
        <f>(Table2_1[[#This Row],[Constant Prices]]-C610)/C610</f>
        <v>3.987884906612825E-2</v>
      </c>
      <c r="F614" s="2">
        <v>690.3</v>
      </c>
      <c r="G614" s="7">
        <f>(Table2_1[[#This Row],[Current Prices]]-F613)/F613</f>
        <v>3.4888791975577517E-3</v>
      </c>
      <c r="H614" s="7">
        <f>(Table2_1[[#This Row],[Current Prices]]-F610)/F610</f>
        <v>7.4430823117336668E-3</v>
      </c>
      <c r="I614" s="2"/>
    </row>
    <row r="615" spans="1:9" x14ac:dyDescent="0.3">
      <c r="A615" s="2" t="s">
        <v>80</v>
      </c>
      <c r="B615" s="2" t="s">
        <v>65</v>
      </c>
      <c r="C615" s="2">
        <v>403.6</v>
      </c>
      <c r="D615" s="6">
        <f>(Table2_1[[#This Row],[Constant Prices]]-C614)/C614</f>
        <v>-2.0388349514563052E-2</v>
      </c>
      <c r="E615" s="6">
        <f>(Table2_1[[#This Row],[Constant Prices]]-C611)/C611</f>
        <v>3.1961135259524417E-2</v>
      </c>
      <c r="F615" s="2">
        <v>695.8</v>
      </c>
      <c r="G615" s="7">
        <f>(Table2_1[[#This Row],[Current Prices]]-F614)/F614</f>
        <v>7.967550340431697E-3</v>
      </c>
      <c r="H615" s="7">
        <f>(Table2_1[[#This Row],[Current Prices]]-F611)/F611</f>
        <v>-8.125445473984385E-3</v>
      </c>
      <c r="I615" s="2">
        <v>13</v>
      </c>
    </row>
    <row r="616" spans="1:9" x14ac:dyDescent="0.3">
      <c r="A616" s="2" t="s">
        <v>80</v>
      </c>
      <c r="B616" s="2" t="s">
        <v>66</v>
      </c>
      <c r="C616" s="2">
        <v>386</v>
      </c>
      <c r="D616" s="6">
        <f>(Table2_1[[#This Row],[Constant Prices]]-C615)/C615</f>
        <v>-4.3607532210109073E-2</v>
      </c>
      <c r="E616" s="6">
        <f>(Table2_1[[#This Row],[Constant Prices]]-C612)/C612</f>
        <v>-1.1523687580025609E-2</v>
      </c>
      <c r="F616" s="2">
        <v>668.6</v>
      </c>
      <c r="G616" s="7">
        <f>(Table2_1[[#This Row],[Current Prices]]-F615)/F615</f>
        <v>-3.9091693015234165E-2</v>
      </c>
      <c r="H616" s="7">
        <f>(Table2_1[[#This Row],[Current Prices]]-F612)/F612</f>
        <v>-2.6641432522929036E-2</v>
      </c>
      <c r="I616" s="2"/>
    </row>
    <row r="617" spans="1:9" x14ac:dyDescent="0.3">
      <c r="A617" s="2" t="s">
        <v>80</v>
      </c>
      <c r="B617" s="2" t="s">
        <v>67</v>
      </c>
      <c r="C617" s="2">
        <v>384</v>
      </c>
      <c r="D617" s="6">
        <f>(Table2_1[[#This Row],[Constant Prices]]-C616)/C616</f>
        <v>-5.1813471502590676E-3</v>
      </c>
      <c r="E617" s="6">
        <f>(Table2_1[[#This Row],[Constant Prices]]-C613)/C613</f>
        <v>-3.0547841454178295E-2</v>
      </c>
      <c r="F617" s="2">
        <v>675.3</v>
      </c>
      <c r="G617" s="7">
        <f>(Table2_1[[#This Row],[Current Prices]]-F616)/F616</f>
        <v>1.0020939276099209E-2</v>
      </c>
      <c r="H617" s="7">
        <f>(Table2_1[[#This Row],[Current Prices]]-F613)/F613</f>
        <v>-1.8316615787178404E-2</v>
      </c>
      <c r="I617" s="2"/>
    </row>
    <row r="618" spans="1:9" x14ac:dyDescent="0.3">
      <c r="A618" s="2" t="s">
        <v>80</v>
      </c>
      <c r="B618" s="2" t="s">
        <v>68</v>
      </c>
      <c r="C618" s="2">
        <v>401.8</v>
      </c>
      <c r="D618" s="6">
        <f>(Table2_1[[#This Row],[Constant Prices]]-C617)/C617</f>
        <v>4.6354166666666696E-2</v>
      </c>
      <c r="E618" s="6">
        <f>(Table2_1[[#This Row],[Constant Prices]]-C614)/C614</f>
        <v>-2.4757281553398031E-2</v>
      </c>
      <c r="F618" s="2">
        <v>699.4</v>
      </c>
      <c r="G618" s="7">
        <f>(Table2_1[[#This Row],[Current Prices]]-F617)/F617</f>
        <v>3.5687842440396897E-2</v>
      </c>
      <c r="H618" s="7">
        <f>(Table2_1[[#This Row],[Current Prices]]-F614)/F614</f>
        <v>1.3182674199623386E-2</v>
      </c>
      <c r="I618" s="2"/>
    </row>
    <row r="619" spans="1:9" x14ac:dyDescent="0.3">
      <c r="A619" s="2" t="s">
        <v>80</v>
      </c>
      <c r="B619" s="2" t="s">
        <v>69</v>
      </c>
      <c r="C619" s="2">
        <v>401</v>
      </c>
      <c r="D619" s="6">
        <f>(Table2_1[[#This Row],[Constant Prices]]-C618)/C618</f>
        <v>-1.9910403185664791E-3</v>
      </c>
      <c r="E619" s="6">
        <f>(Table2_1[[#This Row],[Constant Prices]]-C615)/C615</f>
        <v>-6.4420218037661613E-3</v>
      </c>
      <c r="F619" s="5">
        <f>Table2_1[[#This Row],[Constant Prices]]*AVERAGE(Inflation!$C$72:$C$74)*0.01</f>
        <v>725.94366666666667</v>
      </c>
      <c r="G619" s="7">
        <f>(Table2_1[[#This Row],[Current Prices]]-F618)/F618</f>
        <v>3.7952054141645264E-2</v>
      </c>
      <c r="H619" s="7">
        <f>(Table2_1[[#This Row],[Current Prices]]-F615)/F615</f>
        <v>4.3322314841429607E-2</v>
      </c>
      <c r="I619" s="2">
        <v>14</v>
      </c>
    </row>
    <row r="620" spans="1:9" x14ac:dyDescent="0.3">
      <c r="A620" s="2" t="s">
        <v>80</v>
      </c>
      <c r="B620" s="2" t="s">
        <v>70</v>
      </c>
      <c r="C620" s="2">
        <v>385.3</v>
      </c>
      <c r="D620" s="6">
        <f>(Table2_1[[#This Row],[Constant Prices]]-C619)/C619</f>
        <v>-3.9152119700748104E-2</v>
      </c>
      <c r="E620" s="6">
        <f>(Table2_1[[#This Row],[Constant Prices]]-C616)/C616</f>
        <v>-1.8134715025906441E-3</v>
      </c>
      <c r="F620" s="5">
        <f>Table2_1[[#This Row],[Constant Prices]]*AVERAGE(Inflation!$C$75:$C$77)*0.01</f>
        <v>702.91563333333329</v>
      </c>
      <c r="G620" s="7">
        <f>(Table2_1[[#This Row],[Current Prices]]-F619)/F619</f>
        <v>-3.1721515581328463E-2</v>
      </c>
      <c r="H620" s="7">
        <f>(Table2_1[[#This Row],[Current Prices]]-F616)/F616</f>
        <v>5.1324608634958517E-2</v>
      </c>
      <c r="I620" s="2"/>
    </row>
    <row r="621" spans="1:9" x14ac:dyDescent="0.3">
      <c r="A621" s="2" t="s">
        <v>80</v>
      </c>
      <c r="B621" s="2" t="s">
        <v>71</v>
      </c>
      <c r="C621" s="2">
        <v>389.4</v>
      </c>
      <c r="D621" s="6">
        <f>(Table2_1[[#This Row],[Constant Prices]]-C620)/C620</f>
        <v>1.0641058915130978E-2</v>
      </c>
      <c r="E621" s="6">
        <f>(Table2_1[[#This Row],[Constant Prices]]-C617)/C617</f>
        <v>1.4062499999999941E-2</v>
      </c>
      <c r="F621" s="5">
        <f>Table2_1[[#This Row],[Constant Prices]]*AVERAGE(Inflation!$C$78:$C$80)*0.01</f>
        <v>721.68799999999999</v>
      </c>
      <c r="G621" s="7">
        <f>(Table2_1[[#This Row],[Current Prices]]-F620)/F620</f>
        <v>2.6706429301686277E-2</v>
      </c>
      <c r="H621" s="7">
        <f>(Table2_1[[#This Row],[Current Prices]]-F617)/F617</f>
        <v>6.8692432992744024E-2</v>
      </c>
      <c r="I621" s="2"/>
    </row>
    <row r="622" spans="1:9" x14ac:dyDescent="0.3">
      <c r="A622" s="2" t="s">
        <v>81</v>
      </c>
      <c r="B622" s="2" t="s">
        <v>10</v>
      </c>
      <c r="C622" s="2">
        <v>204.1</v>
      </c>
      <c r="D622" s="6"/>
      <c r="E622" s="6"/>
      <c r="F622" s="2">
        <v>151.80000000000001</v>
      </c>
      <c r="G622" s="7"/>
      <c r="H622" s="7"/>
      <c r="I622" s="2"/>
    </row>
    <row r="623" spans="1:9" x14ac:dyDescent="0.3">
      <c r="A623" s="2" t="s">
        <v>81</v>
      </c>
      <c r="B623" s="2" t="s">
        <v>11</v>
      </c>
      <c r="C623" s="2">
        <v>208.8</v>
      </c>
      <c r="D623" s="6">
        <f>(Table2_1[[#This Row],[Constant Prices]]-C622)/C622</f>
        <v>2.3027927486526299E-2</v>
      </c>
      <c r="E623" s="6"/>
      <c r="F623" s="2">
        <v>154.1</v>
      </c>
      <c r="G623" s="7">
        <f>(Table2_1[[#This Row],[Current Prices]]-F622)/F622</f>
        <v>1.5151515151515037E-2</v>
      </c>
      <c r="H623" s="7"/>
      <c r="I623" s="2"/>
    </row>
    <row r="624" spans="1:9" x14ac:dyDescent="0.3">
      <c r="A624" s="2" t="s">
        <v>81</v>
      </c>
      <c r="B624" s="2" t="s">
        <v>12</v>
      </c>
      <c r="C624" s="2">
        <v>203.5</v>
      </c>
      <c r="D624" s="6">
        <f>(Table2_1[[#This Row],[Constant Prices]]-C623)/C623</f>
        <v>-2.5383141762452162E-2</v>
      </c>
      <c r="E624" s="6"/>
      <c r="F624" s="2">
        <v>156.4</v>
      </c>
      <c r="G624" s="7">
        <f>(Table2_1[[#This Row],[Current Prices]]-F623)/F623</f>
        <v>1.4925373134328433E-2</v>
      </c>
      <c r="H624" s="7"/>
      <c r="I624" s="2"/>
    </row>
    <row r="625" spans="1:9" x14ac:dyDescent="0.3">
      <c r="A625" s="2" t="s">
        <v>81</v>
      </c>
      <c r="B625" s="2" t="s">
        <v>13</v>
      </c>
      <c r="C625" s="2">
        <v>194.9</v>
      </c>
      <c r="D625" s="6">
        <f>(Table2_1[[#This Row],[Constant Prices]]-C624)/C624</f>
        <v>-4.2260442260442233E-2</v>
      </c>
      <c r="E625" s="6"/>
      <c r="F625" s="2">
        <v>158.6</v>
      </c>
      <c r="G625" s="7">
        <f>(Table2_1[[#This Row],[Current Prices]]-F624)/F624</f>
        <v>1.4066496163682791E-2</v>
      </c>
      <c r="H625" s="7"/>
      <c r="I625" s="2"/>
    </row>
    <row r="626" spans="1:9" x14ac:dyDescent="0.3">
      <c r="A626" s="2" t="s">
        <v>81</v>
      </c>
      <c r="B626" s="2" t="s">
        <v>14</v>
      </c>
      <c r="C626" s="2">
        <v>211.7</v>
      </c>
      <c r="D626" s="6">
        <f>(Table2_1[[#This Row],[Constant Prices]]-C625)/C625</f>
        <v>8.6198050282195904E-2</v>
      </c>
      <c r="E626" s="6">
        <f>(Table2_1[[#This Row],[Constant Prices]]-C622)/C622</f>
        <v>3.7236648701616824E-2</v>
      </c>
      <c r="F626" s="2">
        <v>162.6</v>
      </c>
      <c r="G626" s="7">
        <f>(Table2_1[[#This Row],[Current Prices]]-F625)/F625</f>
        <v>2.5220680958385876E-2</v>
      </c>
      <c r="H626" s="7">
        <f>(Table2_1[[#This Row],[Current Prices]]-F622)/F622</f>
        <v>7.1146245059288418E-2</v>
      </c>
      <c r="I626" s="2"/>
    </row>
    <row r="627" spans="1:9" x14ac:dyDescent="0.3">
      <c r="A627" s="2" t="s">
        <v>81</v>
      </c>
      <c r="B627" s="2" t="s">
        <v>15</v>
      </c>
      <c r="C627" s="2">
        <v>204.8</v>
      </c>
      <c r="D627" s="6">
        <f>(Table2_1[[#This Row],[Constant Prices]]-C626)/C626</f>
        <v>-3.2593292394898332E-2</v>
      </c>
      <c r="E627" s="6">
        <f>(Table2_1[[#This Row],[Constant Prices]]-C623)/C623</f>
        <v>-1.9157088122605363E-2</v>
      </c>
      <c r="F627" s="2">
        <v>159.4</v>
      </c>
      <c r="G627" s="7">
        <f>(Table2_1[[#This Row],[Current Prices]]-F626)/F626</f>
        <v>-1.9680196801967951E-2</v>
      </c>
      <c r="H627" s="7">
        <f>(Table2_1[[#This Row],[Current Prices]]-F623)/F623</f>
        <v>3.4393251135626295E-2</v>
      </c>
      <c r="I627" s="2"/>
    </row>
    <row r="628" spans="1:9" x14ac:dyDescent="0.3">
      <c r="A628" s="2" t="s">
        <v>81</v>
      </c>
      <c r="B628" s="2" t="s">
        <v>16</v>
      </c>
      <c r="C628" s="2">
        <v>202.3</v>
      </c>
      <c r="D628" s="6">
        <f>(Table2_1[[#This Row],[Constant Prices]]-C627)/C627</f>
        <v>-1.220703125E-2</v>
      </c>
      <c r="E628" s="6">
        <f>(Table2_1[[#This Row],[Constant Prices]]-C624)/C624</f>
        <v>-5.8968058968058411E-3</v>
      </c>
      <c r="F628" s="2">
        <v>161.69999999999999</v>
      </c>
      <c r="G628" s="7">
        <f>(Table2_1[[#This Row],[Current Prices]]-F627)/F627</f>
        <v>1.4429109159347446E-2</v>
      </c>
      <c r="H628" s="7">
        <f>(Table2_1[[#This Row],[Current Prices]]-F624)/F624</f>
        <v>3.3887468030690426E-2</v>
      </c>
      <c r="I628" s="2"/>
    </row>
    <row r="629" spans="1:9" x14ac:dyDescent="0.3">
      <c r="A629" s="2" t="s">
        <v>81</v>
      </c>
      <c r="B629" s="2" t="s">
        <v>17</v>
      </c>
      <c r="C629" s="2">
        <v>200.2</v>
      </c>
      <c r="D629" s="6">
        <f>(Table2_1[[#This Row],[Constant Prices]]-C628)/C628</f>
        <v>-1.0380622837370354E-2</v>
      </c>
      <c r="E629" s="6">
        <f>(Table2_1[[#This Row],[Constant Prices]]-C625)/C625</f>
        <v>2.719343252950222E-2</v>
      </c>
      <c r="F629" s="2">
        <v>166</v>
      </c>
      <c r="G629" s="7">
        <f>(Table2_1[[#This Row],[Current Prices]]-F628)/F628</f>
        <v>2.6592455163883807E-2</v>
      </c>
      <c r="H629" s="7">
        <f>(Table2_1[[#This Row],[Current Prices]]-F625)/F625</f>
        <v>4.665825977301391E-2</v>
      </c>
      <c r="I629" s="2">
        <v>1</v>
      </c>
    </row>
    <row r="630" spans="1:9" x14ac:dyDescent="0.3">
      <c r="A630" s="2" t="s">
        <v>81</v>
      </c>
      <c r="B630" s="2" t="s">
        <v>18</v>
      </c>
      <c r="C630" s="2">
        <v>211.2</v>
      </c>
      <c r="D630" s="6">
        <f>(Table2_1[[#This Row],[Constant Prices]]-C629)/C629</f>
        <v>5.4945054945054951E-2</v>
      </c>
      <c r="E630" s="6">
        <f>(Table2_1[[#This Row],[Constant Prices]]-C626)/C626</f>
        <v>-2.3618327822390174E-3</v>
      </c>
      <c r="F630" s="2">
        <v>176.4</v>
      </c>
      <c r="G630" s="7">
        <f>(Table2_1[[#This Row],[Current Prices]]-F629)/F629</f>
        <v>6.2650602409638587E-2</v>
      </c>
      <c r="H630" s="7">
        <f>(Table2_1[[#This Row],[Current Prices]]-F626)/F626</f>
        <v>8.4870848708487157E-2</v>
      </c>
      <c r="I630" s="2"/>
    </row>
    <row r="631" spans="1:9" x14ac:dyDescent="0.3">
      <c r="A631" s="2" t="s">
        <v>81</v>
      </c>
      <c r="B631" s="2" t="s">
        <v>19</v>
      </c>
      <c r="C631" s="2">
        <v>216.2</v>
      </c>
      <c r="D631" s="6">
        <f>(Table2_1[[#This Row],[Constant Prices]]-C630)/C630</f>
        <v>2.3674242424242424E-2</v>
      </c>
      <c r="E631" s="6">
        <f>(Table2_1[[#This Row],[Constant Prices]]-C627)/C627</f>
        <v>5.5664062499999889E-2</v>
      </c>
      <c r="F631" s="2">
        <v>182.7</v>
      </c>
      <c r="G631" s="7">
        <f>(Table2_1[[#This Row],[Current Prices]]-F630)/F630</f>
        <v>3.5714285714285615E-2</v>
      </c>
      <c r="H631" s="7">
        <f>(Table2_1[[#This Row],[Current Prices]]-F627)/F627</f>
        <v>0.14617314930991207</v>
      </c>
      <c r="I631" s="2"/>
    </row>
    <row r="632" spans="1:9" x14ac:dyDescent="0.3">
      <c r="A632" s="2" t="s">
        <v>81</v>
      </c>
      <c r="B632" s="2" t="s">
        <v>20</v>
      </c>
      <c r="C632" s="2">
        <v>226</v>
      </c>
      <c r="D632" s="6">
        <f>(Table2_1[[#This Row],[Constant Prices]]-C631)/C631</f>
        <v>4.5328399629972302E-2</v>
      </c>
      <c r="E632" s="6">
        <f>(Table2_1[[#This Row],[Constant Prices]]-C628)/C628</f>
        <v>0.11715274345032124</v>
      </c>
      <c r="F632" s="2">
        <v>192.3</v>
      </c>
      <c r="G632" s="7">
        <f>(Table2_1[[#This Row],[Current Prices]]-F631)/F631</f>
        <v>5.2545155993431986E-2</v>
      </c>
      <c r="H632" s="7">
        <f>(Table2_1[[#This Row],[Current Prices]]-F628)/F628</f>
        <v>0.18923933209647512</v>
      </c>
      <c r="I632" s="2"/>
    </row>
    <row r="633" spans="1:9" x14ac:dyDescent="0.3">
      <c r="A633" s="2" t="s">
        <v>81</v>
      </c>
      <c r="B633" s="2" t="s">
        <v>21</v>
      </c>
      <c r="C633" s="2">
        <v>224</v>
      </c>
      <c r="D633" s="6">
        <f>(Table2_1[[#This Row],[Constant Prices]]-C632)/C632</f>
        <v>-8.8495575221238937E-3</v>
      </c>
      <c r="E633" s="6">
        <f>(Table2_1[[#This Row],[Constant Prices]]-C629)/C629</f>
        <v>0.11888111888111895</v>
      </c>
      <c r="F633" s="2">
        <v>204.2</v>
      </c>
      <c r="G633" s="7">
        <f>(Table2_1[[#This Row],[Current Prices]]-F632)/F632</f>
        <v>6.1882475299011835E-2</v>
      </c>
      <c r="H633" s="7">
        <f>(Table2_1[[#This Row],[Current Prices]]-F629)/F629</f>
        <v>0.23012048192771078</v>
      </c>
      <c r="I633" s="2">
        <v>2</v>
      </c>
    </row>
    <row r="634" spans="1:9" x14ac:dyDescent="0.3">
      <c r="A634" s="2" t="s">
        <v>81</v>
      </c>
      <c r="B634" s="2" t="s">
        <v>22</v>
      </c>
      <c r="C634" s="2">
        <v>221.6</v>
      </c>
      <c r="D634" s="6">
        <f>(Table2_1[[#This Row],[Constant Prices]]-C633)/C633</f>
        <v>-1.071428571428574E-2</v>
      </c>
      <c r="E634" s="6">
        <f>(Table2_1[[#This Row],[Constant Prices]]-C630)/C630</f>
        <v>4.9242424242424275E-2</v>
      </c>
      <c r="F634" s="2">
        <v>220.2</v>
      </c>
      <c r="G634" s="7">
        <f>(Table2_1[[#This Row],[Current Prices]]-F633)/F633</f>
        <v>7.8354554358472092E-2</v>
      </c>
      <c r="H634" s="7">
        <f>(Table2_1[[#This Row],[Current Prices]]-F630)/F630</f>
        <v>0.24829931972789104</v>
      </c>
      <c r="I634" s="2"/>
    </row>
    <row r="635" spans="1:9" x14ac:dyDescent="0.3">
      <c r="A635" s="2" t="s">
        <v>81</v>
      </c>
      <c r="B635" s="2" t="s">
        <v>23</v>
      </c>
      <c r="C635" s="2">
        <v>220.3</v>
      </c>
      <c r="D635" s="6">
        <f>(Table2_1[[#This Row],[Constant Prices]]-C634)/C634</f>
        <v>-5.8664259927797063E-3</v>
      </c>
      <c r="E635" s="6">
        <f>(Table2_1[[#This Row],[Constant Prices]]-C631)/C631</f>
        <v>1.896392229417217E-2</v>
      </c>
      <c r="F635" s="2">
        <v>229.3</v>
      </c>
      <c r="G635" s="7">
        <f>(Table2_1[[#This Row],[Current Prices]]-F634)/F634</f>
        <v>4.1326067211625898E-2</v>
      </c>
      <c r="H635" s="7">
        <f>(Table2_1[[#This Row],[Current Prices]]-F631)/F631</f>
        <v>0.25506294471811725</v>
      </c>
      <c r="I635" s="2"/>
    </row>
    <row r="636" spans="1:9" x14ac:dyDescent="0.3">
      <c r="A636" s="2" t="s">
        <v>81</v>
      </c>
      <c r="B636" s="2" t="s">
        <v>24</v>
      </c>
      <c r="C636" s="2">
        <v>218.5</v>
      </c>
      <c r="D636" s="6">
        <f>(Table2_1[[#This Row],[Constant Prices]]-C635)/C635</f>
        <v>-8.1706763504312812E-3</v>
      </c>
      <c r="E636" s="6">
        <f>(Table2_1[[#This Row],[Constant Prices]]-C632)/C632</f>
        <v>-3.3185840707964605E-2</v>
      </c>
      <c r="F636" s="2">
        <v>227.3</v>
      </c>
      <c r="G636" s="7">
        <f>(Table2_1[[#This Row],[Current Prices]]-F635)/F635</f>
        <v>-8.7221979938944608E-3</v>
      </c>
      <c r="H636" s="7">
        <f>(Table2_1[[#This Row],[Current Prices]]-F632)/F632</f>
        <v>0.18200728029121163</v>
      </c>
      <c r="I636" s="2"/>
    </row>
    <row r="637" spans="1:9" x14ac:dyDescent="0.3">
      <c r="A637" s="2" t="s">
        <v>81</v>
      </c>
      <c r="B637" s="2" t="s">
        <v>25</v>
      </c>
      <c r="C637" s="2">
        <v>234.8</v>
      </c>
      <c r="D637" s="6">
        <f>(Table2_1[[#This Row],[Constant Prices]]-C636)/C636</f>
        <v>7.4599542334096158E-2</v>
      </c>
      <c r="E637" s="6">
        <f>(Table2_1[[#This Row],[Constant Prices]]-C633)/C633</f>
        <v>4.8214285714285765E-2</v>
      </c>
      <c r="F637" s="2">
        <v>230.7</v>
      </c>
      <c r="G637" s="7">
        <f>(Table2_1[[#This Row],[Current Prices]]-F636)/F636</f>
        <v>1.4958205015398051E-2</v>
      </c>
      <c r="H637" s="7">
        <f>(Table2_1[[#This Row],[Current Prices]]-F633)/F633</f>
        <v>0.12977473065621939</v>
      </c>
      <c r="I637" s="2">
        <v>3</v>
      </c>
    </row>
    <row r="638" spans="1:9" x14ac:dyDescent="0.3">
      <c r="A638" s="2" t="s">
        <v>81</v>
      </c>
      <c r="B638" s="2" t="s">
        <v>26</v>
      </c>
      <c r="C638" s="2">
        <v>222.1</v>
      </c>
      <c r="D638" s="6">
        <f>(Table2_1[[#This Row],[Constant Prices]]-C637)/C637</f>
        <v>-5.4088586030664465E-2</v>
      </c>
      <c r="E638" s="6">
        <f>(Table2_1[[#This Row],[Constant Prices]]-C634)/C634</f>
        <v>2.2563176895306859E-3</v>
      </c>
      <c r="F638" s="2">
        <v>210.9</v>
      </c>
      <c r="G638" s="7">
        <f>(Table2_1[[#This Row],[Current Prices]]-F637)/F637</f>
        <v>-8.5825747724317225E-2</v>
      </c>
      <c r="H638" s="7">
        <f>(Table2_1[[#This Row],[Current Prices]]-F634)/F634</f>
        <v>-4.2234332425068043E-2</v>
      </c>
      <c r="I638" s="2"/>
    </row>
    <row r="639" spans="1:9" x14ac:dyDescent="0.3">
      <c r="A639" s="2" t="s">
        <v>81</v>
      </c>
      <c r="B639" s="2" t="s">
        <v>27</v>
      </c>
      <c r="C639" s="2">
        <v>228.7</v>
      </c>
      <c r="D639" s="6">
        <f>(Table2_1[[#This Row],[Constant Prices]]-C638)/C638</f>
        <v>2.9716343989194031E-2</v>
      </c>
      <c r="E639" s="6">
        <f>(Table2_1[[#This Row],[Constant Prices]]-C635)/C635</f>
        <v>3.8129822968678971E-2</v>
      </c>
      <c r="F639" s="2">
        <v>224.8</v>
      </c>
      <c r="G639" s="7">
        <f>(Table2_1[[#This Row],[Current Prices]]-F638)/F638</f>
        <v>6.5908013276434349E-2</v>
      </c>
      <c r="H639" s="7">
        <f>(Table2_1[[#This Row],[Current Prices]]-F635)/F635</f>
        <v>-1.9624945486262538E-2</v>
      </c>
      <c r="I639" s="2"/>
    </row>
    <row r="640" spans="1:9" x14ac:dyDescent="0.3">
      <c r="A640" s="2" t="s">
        <v>81</v>
      </c>
      <c r="B640" s="2" t="s">
        <v>28</v>
      </c>
      <c r="C640" s="2">
        <v>236.1</v>
      </c>
      <c r="D640" s="6">
        <f>(Table2_1[[#This Row],[Constant Prices]]-C639)/C639</f>
        <v>3.2356799300393556E-2</v>
      </c>
      <c r="E640" s="6">
        <f>(Table2_1[[#This Row],[Constant Prices]]-C636)/C636</f>
        <v>8.0549199084668163E-2</v>
      </c>
      <c r="F640" s="2">
        <v>234.2</v>
      </c>
      <c r="G640" s="7">
        <f>(Table2_1[[#This Row],[Current Prices]]-F639)/F639</f>
        <v>4.1814946619216982E-2</v>
      </c>
      <c r="H640" s="7">
        <f>(Table2_1[[#This Row],[Current Prices]]-F636)/F636</f>
        <v>3.0356357237131443E-2</v>
      </c>
      <c r="I640" s="2"/>
    </row>
    <row r="641" spans="1:9" x14ac:dyDescent="0.3">
      <c r="A641" s="2" t="s">
        <v>81</v>
      </c>
      <c r="B641" s="2" t="s">
        <v>29</v>
      </c>
      <c r="C641" s="2">
        <v>233.8</v>
      </c>
      <c r="D641" s="6">
        <f>(Table2_1[[#This Row],[Constant Prices]]-C640)/C640</f>
        <v>-9.7416349004658329E-3</v>
      </c>
      <c r="E641" s="6">
        <f>(Table2_1[[#This Row],[Constant Prices]]-C637)/C637</f>
        <v>-4.2589437819420782E-3</v>
      </c>
      <c r="F641" s="2">
        <v>229.4</v>
      </c>
      <c r="G641" s="7">
        <f>(Table2_1[[#This Row],[Current Prices]]-F640)/F640</f>
        <v>-2.0495303159692498E-2</v>
      </c>
      <c r="H641" s="7">
        <f>(Table2_1[[#This Row],[Current Prices]]-F637)/F637</f>
        <v>-5.6350238404854055E-3</v>
      </c>
      <c r="I641" s="2">
        <v>4</v>
      </c>
    </row>
    <row r="642" spans="1:9" x14ac:dyDescent="0.3">
      <c r="A642" s="2" t="s">
        <v>81</v>
      </c>
      <c r="B642" s="2" t="s">
        <v>30</v>
      </c>
      <c r="C642" s="2">
        <v>234.4</v>
      </c>
      <c r="D642" s="6">
        <f>(Table2_1[[#This Row],[Constant Prices]]-C641)/C641</f>
        <v>2.5662959794696075E-3</v>
      </c>
      <c r="E642" s="6">
        <f>(Table2_1[[#This Row],[Constant Prices]]-C638)/C638</f>
        <v>5.5380459252588977E-2</v>
      </c>
      <c r="F642" s="2">
        <v>231.6</v>
      </c>
      <c r="G642" s="7">
        <f>(Table2_1[[#This Row],[Current Prices]]-F641)/F641</f>
        <v>9.5902353966869601E-3</v>
      </c>
      <c r="H642" s="7">
        <f>(Table2_1[[#This Row],[Current Prices]]-F638)/F638</f>
        <v>9.8150782361308614E-2</v>
      </c>
      <c r="I642" s="2"/>
    </row>
    <row r="643" spans="1:9" x14ac:dyDescent="0.3">
      <c r="A643" s="2" t="s">
        <v>81</v>
      </c>
      <c r="B643" s="2" t="s">
        <v>31</v>
      </c>
      <c r="C643" s="2">
        <v>235.3</v>
      </c>
      <c r="D643" s="6">
        <f>(Table2_1[[#This Row],[Constant Prices]]-C642)/C642</f>
        <v>3.839590443686031E-3</v>
      </c>
      <c r="E643" s="6">
        <f>(Table2_1[[#This Row],[Constant Prices]]-C639)/C639</f>
        <v>2.8858766943594329E-2</v>
      </c>
      <c r="F643" s="2">
        <v>227.1</v>
      </c>
      <c r="G643" s="7">
        <f>(Table2_1[[#This Row],[Current Prices]]-F642)/F642</f>
        <v>-1.9430051813471502E-2</v>
      </c>
      <c r="H643" s="7">
        <f>(Table2_1[[#This Row],[Current Prices]]-F639)/F639</f>
        <v>1.0231316725978571E-2</v>
      </c>
      <c r="I643" s="2"/>
    </row>
    <row r="644" spans="1:9" x14ac:dyDescent="0.3">
      <c r="A644" s="2" t="s">
        <v>81</v>
      </c>
      <c r="B644" s="2" t="s">
        <v>32</v>
      </c>
      <c r="C644" s="2">
        <v>240.5</v>
      </c>
      <c r="D644" s="6">
        <f>(Table2_1[[#This Row],[Constant Prices]]-C643)/C643</f>
        <v>2.2099447513812105E-2</v>
      </c>
      <c r="E644" s="6">
        <f>(Table2_1[[#This Row],[Constant Prices]]-C640)/C640</f>
        <v>1.8636171113934799E-2</v>
      </c>
      <c r="F644" s="2">
        <v>237.6</v>
      </c>
      <c r="G644" s="7">
        <f>(Table2_1[[#This Row],[Current Prices]]-F643)/F643</f>
        <v>4.6235138705416116E-2</v>
      </c>
      <c r="H644" s="7">
        <f>(Table2_1[[#This Row],[Current Prices]]-F640)/F640</f>
        <v>1.4517506404782263E-2</v>
      </c>
      <c r="I644" s="2"/>
    </row>
    <row r="645" spans="1:9" x14ac:dyDescent="0.3">
      <c r="A645" s="2" t="s">
        <v>81</v>
      </c>
      <c r="B645" s="2" t="s">
        <v>33</v>
      </c>
      <c r="C645" s="2">
        <v>237.9</v>
      </c>
      <c r="D645" s="6">
        <f>(Table2_1[[#This Row],[Constant Prices]]-C644)/C644</f>
        <v>-1.0810810810810787E-2</v>
      </c>
      <c r="E645" s="6">
        <f>(Table2_1[[#This Row],[Constant Prices]]-C641)/C641</f>
        <v>1.7536355859709127E-2</v>
      </c>
      <c r="F645" s="2">
        <v>251.7</v>
      </c>
      <c r="G645" s="7">
        <f>(Table2_1[[#This Row],[Current Prices]]-F644)/F644</f>
        <v>5.9343434343434323E-2</v>
      </c>
      <c r="H645" s="7">
        <f>(Table2_1[[#This Row],[Current Prices]]-F641)/F641</f>
        <v>9.7210113339145518E-2</v>
      </c>
      <c r="I645" s="2">
        <v>5</v>
      </c>
    </row>
    <row r="646" spans="1:9" x14ac:dyDescent="0.3">
      <c r="A646" s="2" t="s">
        <v>81</v>
      </c>
      <c r="B646" s="2" t="s">
        <v>34</v>
      </c>
      <c r="C646" s="2">
        <v>243.5</v>
      </c>
      <c r="D646" s="6">
        <f>(Table2_1[[#This Row],[Constant Prices]]-C645)/C645</f>
        <v>2.3539302227826794E-2</v>
      </c>
      <c r="E646" s="6">
        <f>(Table2_1[[#This Row],[Constant Prices]]-C642)/C642</f>
        <v>3.8822525597269598E-2</v>
      </c>
      <c r="F646" s="2">
        <v>286.60000000000002</v>
      </c>
      <c r="G646" s="7">
        <f>(Table2_1[[#This Row],[Current Prices]]-F645)/F645</f>
        <v>0.13865713150576098</v>
      </c>
      <c r="H646" s="7">
        <f>(Table2_1[[#This Row],[Current Prices]]-F642)/F642</f>
        <v>0.23747841105354073</v>
      </c>
      <c r="I646" s="2"/>
    </row>
    <row r="647" spans="1:9" x14ac:dyDescent="0.3">
      <c r="A647" s="2" t="s">
        <v>81</v>
      </c>
      <c r="B647" s="2" t="s">
        <v>35</v>
      </c>
      <c r="C647" s="2">
        <v>248</v>
      </c>
      <c r="D647" s="6">
        <f>(Table2_1[[#This Row],[Constant Prices]]-C646)/C646</f>
        <v>1.8480492813141684E-2</v>
      </c>
      <c r="E647" s="6">
        <f>(Table2_1[[#This Row],[Constant Prices]]-C643)/C643</f>
        <v>5.3973650658733482E-2</v>
      </c>
      <c r="F647" s="2">
        <v>291.7</v>
      </c>
      <c r="G647" s="7">
        <f>(Table2_1[[#This Row],[Current Prices]]-F646)/F646</f>
        <v>1.7794836008373921E-2</v>
      </c>
      <c r="H647" s="7">
        <f>(Table2_1[[#This Row],[Current Prices]]-F643)/F643</f>
        <v>0.28445618670189343</v>
      </c>
      <c r="I647" s="2"/>
    </row>
    <row r="648" spans="1:9" x14ac:dyDescent="0.3">
      <c r="A648" s="2" t="s">
        <v>81</v>
      </c>
      <c r="B648" s="2" t="s">
        <v>36</v>
      </c>
      <c r="C648" s="2">
        <v>237.5</v>
      </c>
      <c r="D648" s="6">
        <f>(Table2_1[[#This Row],[Constant Prices]]-C647)/C647</f>
        <v>-4.2338709677419352E-2</v>
      </c>
      <c r="E648" s="6">
        <f>(Table2_1[[#This Row],[Constant Prices]]-C644)/C644</f>
        <v>-1.2474012474012475E-2</v>
      </c>
      <c r="F648" s="2">
        <v>283.2</v>
      </c>
      <c r="G648" s="7">
        <f>(Table2_1[[#This Row],[Current Prices]]-F647)/F647</f>
        <v>-2.9139526911210148E-2</v>
      </c>
      <c r="H648" s="7">
        <f>(Table2_1[[#This Row],[Current Prices]]-F644)/F644</f>
        <v>0.19191919191919191</v>
      </c>
      <c r="I648" s="2"/>
    </row>
    <row r="649" spans="1:9" x14ac:dyDescent="0.3">
      <c r="A649" s="2" t="s">
        <v>81</v>
      </c>
      <c r="B649" s="2" t="s">
        <v>37</v>
      </c>
      <c r="C649" s="2">
        <v>247.3</v>
      </c>
      <c r="D649" s="6">
        <f>(Table2_1[[#This Row],[Constant Prices]]-C648)/C648</f>
        <v>4.126315789473689E-2</v>
      </c>
      <c r="E649" s="6">
        <f>(Table2_1[[#This Row],[Constant Prices]]-C645)/C645</f>
        <v>3.9512400168137896E-2</v>
      </c>
      <c r="F649" s="2">
        <v>296.60000000000002</v>
      </c>
      <c r="G649" s="7">
        <f>(Table2_1[[#This Row],[Current Prices]]-F648)/F648</f>
        <v>4.731638418079108E-2</v>
      </c>
      <c r="H649" s="7">
        <f>(Table2_1[[#This Row],[Current Prices]]-F645)/F645</f>
        <v>0.17838696861342884</v>
      </c>
      <c r="I649" s="2">
        <v>6</v>
      </c>
    </row>
    <row r="650" spans="1:9" x14ac:dyDescent="0.3">
      <c r="A650" s="2" t="s">
        <v>81</v>
      </c>
      <c r="B650" s="2" t="s">
        <v>38</v>
      </c>
      <c r="C650" s="2">
        <v>249.4</v>
      </c>
      <c r="D650" s="6">
        <f>(Table2_1[[#This Row],[Constant Prices]]-C649)/C649</f>
        <v>8.4917104731095597E-3</v>
      </c>
      <c r="E650" s="6">
        <f>(Table2_1[[#This Row],[Constant Prices]]-C646)/C646</f>
        <v>2.4229979466119121E-2</v>
      </c>
      <c r="F650" s="2">
        <v>213.5</v>
      </c>
      <c r="G650" s="7">
        <f>(Table2_1[[#This Row],[Current Prices]]-F649)/F649</f>
        <v>-0.28017532029669595</v>
      </c>
      <c r="H650" s="7">
        <f>(Table2_1[[#This Row],[Current Prices]]-F646)/F646</f>
        <v>-0.25505931612002797</v>
      </c>
      <c r="I650" s="2"/>
    </row>
    <row r="651" spans="1:9" x14ac:dyDescent="0.3">
      <c r="A651" s="2" t="s">
        <v>81</v>
      </c>
      <c r="B651" s="2" t="s">
        <v>39</v>
      </c>
      <c r="C651" s="2">
        <v>258.10000000000002</v>
      </c>
      <c r="D651" s="6">
        <f>(Table2_1[[#This Row],[Constant Prices]]-C650)/C650</f>
        <v>3.4883720930232627E-2</v>
      </c>
      <c r="E651" s="6">
        <f>(Table2_1[[#This Row],[Constant Prices]]-C647)/C647</f>
        <v>4.0725806451612993E-2</v>
      </c>
      <c r="F651" s="2">
        <v>216.6</v>
      </c>
      <c r="G651" s="7">
        <f>(Table2_1[[#This Row],[Current Prices]]-F650)/F650</f>
        <v>1.4519906323184985E-2</v>
      </c>
      <c r="H651" s="7">
        <f>(Table2_1[[#This Row],[Current Prices]]-F647)/F647</f>
        <v>-0.25745629070963316</v>
      </c>
      <c r="I651" s="2"/>
    </row>
    <row r="652" spans="1:9" x14ac:dyDescent="0.3">
      <c r="A652" s="2" t="s">
        <v>81</v>
      </c>
      <c r="B652" s="2" t="s">
        <v>40</v>
      </c>
      <c r="C652" s="2">
        <v>257.60000000000002</v>
      </c>
      <c r="D652" s="6">
        <f>(Table2_1[[#This Row],[Constant Prices]]-C651)/C651</f>
        <v>-1.9372336303758232E-3</v>
      </c>
      <c r="E652" s="6">
        <f>(Table2_1[[#This Row],[Constant Prices]]-C648)/C648</f>
        <v>8.4631578947368516E-2</v>
      </c>
      <c r="F652" s="2">
        <v>194.6</v>
      </c>
      <c r="G652" s="7">
        <f>(Table2_1[[#This Row],[Current Prices]]-F651)/F651</f>
        <v>-0.10156971375807941</v>
      </c>
      <c r="H652" s="7">
        <f>(Table2_1[[#This Row],[Current Prices]]-F648)/F648</f>
        <v>-0.31285310734463279</v>
      </c>
      <c r="I652" s="2"/>
    </row>
    <row r="653" spans="1:9" x14ac:dyDescent="0.3">
      <c r="A653" s="2" t="s">
        <v>81</v>
      </c>
      <c r="B653" s="2" t="s">
        <v>41</v>
      </c>
      <c r="C653" s="2">
        <v>257.10000000000002</v>
      </c>
      <c r="D653" s="6">
        <f>(Table2_1[[#This Row],[Constant Prices]]-C652)/C652</f>
        <v>-1.9409937888198755E-3</v>
      </c>
      <c r="E653" s="6">
        <f>(Table2_1[[#This Row],[Constant Prices]]-C649)/C649</f>
        <v>3.9627982207844768E-2</v>
      </c>
      <c r="F653" s="2">
        <v>167.3</v>
      </c>
      <c r="G653" s="7">
        <f>(Table2_1[[#This Row],[Current Prices]]-F652)/F652</f>
        <v>-0.14028776978417257</v>
      </c>
      <c r="H653" s="7">
        <f>(Table2_1[[#This Row],[Current Prices]]-F649)/F649</f>
        <v>-0.43594066082265676</v>
      </c>
      <c r="I653" s="2">
        <v>7</v>
      </c>
    </row>
    <row r="654" spans="1:9" x14ac:dyDescent="0.3">
      <c r="A654" s="2" t="s">
        <v>81</v>
      </c>
      <c r="B654" s="2" t="s">
        <v>42</v>
      </c>
      <c r="C654" s="2">
        <v>259.89999999999998</v>
      </c>
      <c r="D654" s="6">
        <f>(Table2_1[[#This Row],[Constant Prices]]-C653)/C653</f>
        <v>1.0890704006223082E-2</v>
      </c>
      <c r="E654" s="6">
        <f>(Table2_1[[#This Row],[Constant Prices]]-C650)/C650</f>
        <v>4.21010425020047E-2</v>
      </c>
      <c r="F654" s="2">
        <v>113.5</v>
      </c>
      <c r="G654" s="7">
        <f>(Table2_1[[#This Row],[Current Prices]]-F653)/F653</f>
        <v>-0.32157800358637184</v>
      </c>
      <c r="H654" s="7">
        <f>(Table2_1[[#This Row],[Current Prices]]-F650)/F650</f>
        <v>-0.46838407494145201</v>
      </c>
      <c r="I654" s="2"/>
    </row>
    <row r="655" spans="1:9" x14ac:dyDescent="0.3">
      <c r="A655" s="2" t="s">
        <v>81</v>
      </c>
      <c r="B655" s="2" t="s">
        <v>43</v>
      </c>
      <c r="C655" s="2">
        <v>258.8</v>
      </c>
      <c r="D655" s="6">
        <f>(Table2_1[[#This Row],[Constant Prices]]-C654)/C654</f>
        <v>-4.2323970757982528E-3</v>
      </c>
      <c r="E655" s="6">
        <f>(Table2_1[[#This Row],[Constant Prices]]-C651)/C651</f>
        <v>2.7121270825261083E-3</v>
      </c>
      <c r="F655" s="2">
        <v>110.1</v>
      </c>
      <c r="G655" s="7">
        <f>(Table2_1[[#This Row],[Current Prices]]-F654)/F654</f>
        <v>-2.9955947136563927E-2</v>
      </c>
      <c r="H655" s="7">
        <f>(Table2_1[[#This Row],[Current Prices]]-F651)/F651</f>
        <v>-0.4916897506925208</v>
      </c>
      <c r="I655" s="2"/>
    </row>
    <row r="656" spans="1:9" x14ac:dyDescent="0.3">
      <c r="A656" s="2" t="s">
        <v>81</v>
      </c>
      <c r="B656" s="2" t="s">
        <v>44</v>
      </c>
      <c r="C656" s="2">
        <v>260.39999999999998</v>
      </c>
      <c r="D656" s="6">
        <f>(Table2_1[[#This Row],[Constant Prices]]-C655)/C655</f>
        <v>6.1823802163831756E-3</v>
      </c>
      <c r="E656" s="6">
        <f>(Table2_1[[#This Row],[Constant Prices]]-C652)/C652</f>
        <v>1.0869565217391127E-2</v>
      </c>
      <c r="F656" s="2">
        <v>110.1</v>
      </c>
      <c r="G656" s="7">
        <f>(Table2_1[[#This Row],[Current Prices]]-F655)/F655</f>
        <v>0</v>
      </c>
      <c r="H656" s="7">
        <f>(Table2_1[[#This Row],[Current Prices]]-F652)/F652</f>
        <v>-0.43422404933196301</v>
      </c>
      <c r="I656" s="2"/>
    </row>
    <row r="657" spans="1:9" x14ac:dyDescent="0.3">
      <c r="A657" s="2" t="s">
        <v>81</v>
      </c>
      <c r="B657" s="2" t="s">
        <v>45</v>
      </c>
      <c r="C657" s="2">
        <v>260.2</v>
      </c>
      <c r="D657" s="6">
        <f>(Table2_1[[#This Row],[Constant Prices]]-C656)/C656</f>
        <v>-7.6804915514588575E-4</v>
      </c>
      <c r="E657" s="6">
        <f>(Table2_1[[#This Row],[Constant Prices]]-C653)/C653</f>
        <v>1.2057565149747046E-2</v>
      </c>
      <c r="F657" s="2">
        <v>113.7</v>
      </c>
      <c r="G657" s="7">
        <f>(Table2_1[[#This Row],[Current Prices]]-F656)/F656</f>
        <v>3.2697547683923786E-2</v>
      </c>
      <c r="H657" s="7">
        <f>(Table2_1[[#This Row],[Current Prices]]-F653)/F653</f>
        <v>-0.32038254632396895</v>
      </c>
      <c r="I657" s="2">
        <v>8</v>
      </c>
    </row>
    <row r="658" spans="1:9" x14ac:dyDescent="0.3">
      <c r="A658" s="2" t="s">
        <v>81</v>
      </c>
      <c r="B658" s="2" t="s">
        <v>46</v>
      </c>
      <c r="C658" s="2">
        <v>269.2</v>
      </c>
      <c r="D658" s="6">
        <f>(Table2_1[[#This Row],[Constant Prices]]-C657)/C657</f>
        <v>3.4588777863182166E-2</v>
      </c>
      <c r="E658" s="6">
        <f>(Table2_1[[#This Row],[Constant Prices]]-C654)/C654</f>
        <v>3.5782993459022749E-2</v>
      </c>
      <c r="F658" s="2">
        <v>106.1</v>
      </c>
      <c r="G658" s="7">
        <f>(Table2_1[[#This Row],[Current Prices]]-F657)/F657</f>
        <v>-6.6842568161829444E-2</v>
      </c>
      <c r="H658" s="7">
        <f>(Table2_1[[#This Row],[Current Prices]]-F654)/F654</f>
        <v>-6.5198237885462598E-2</v>
      </c>
      <c r="I658" s="2"/>
    </row>
    <row r="659" spans="1:9" x14ac:dyDescent="0.3">
      <c r="A659" s="2" t="s">
        <v>81</v>
      </c>
      <c r="B659" s="2" t="s">
        <v>47</v>
      </c>
      <c r="C659" s="2">
        <v>264.3</v>
      </c>
      <c r="D659" s="6">
        <f>(Table2_1[[#This Row],[Constant Prices]]-C658)/C658</f>
        <v>-1.8202080237741374E-2</v>
      </c>
      <c r="E659" s="6">
        <f>(Table2_1[[#This Row],[Constant Prices]]-C655)/C655</f>
        <v>2.125193199381762E-2</v>
      </c>
      <c r="F659" s="2">
        <v>118.8</v>
      </c>
      <c r="G659" s="7">
        <f>(Table2_1[[#This Row],[Current Prices]]-F658)/F658</f>
        <v>0.11969839773798306</v>
      </c>
      <c r="H659" s="7">
        <f>(Table2_1[[#This Row],[Current Prices]]-F655)/F655</f>
        <v>7.9019073569482318E-2</v>
      </c>
      <c r="I659" s="2"/>
    </row>
    <row r="660" spans="1:9" x14ac:dyDescent="0.3">
      <c r="A660" s="2" t="s">
        <v>81</v>
      </c>
      <c r="B660" s="2" t="s">
        <v>48</v>
      </c>
      <c r="C660" s="2">
        <v>268.2</v>
      </c>
      <c r="D660" s="6">
        <f>(Table2_1[[#This Row],[Constant Prices]]-C659)/C659</f>
        <v>1.475595913734384E-2</v>
      </c>
      <c r="E660" s="6">
        <f>(Table2_1[[#This Row],[Constant Prices]]-C656)/C656</f>
        <v>2.9953917050691291E-2</v>
      </c>
      <c r="F660" s="2">
        <v>142.1</v>
      </c>
      <c r="G660" s="7">
        <f>(Table2_1[[#This Row],[Current Prices]]-F659)/F659</f>
        <v>0.1961279461279461</v>
      </c>
      <c r="H660" s="7">
        <f>(Table2_1[[#This Row],[Current Prices]]-F656)/F656</f>
        <v>0.29064486830154407</v>
      </c>
      <c r="I660" s="2"/>
    </row>
    <row r="661" spans="1:9" x14ac:dyDescent="0.3">
      <c r="A661" s="2" t="s">
        <v>81</v>
      </c>
      <c r="B661" s="2" t="s">
        <v>49</v>
      </c>
      <c r="C661" s="2">
        <v>253.5</v>
      </c>
      <c r="D661" s="6">
        <f>(Table2_1[[#This Row],[Constant Prices]]-C660)/C660</f>
        <v>-5.4809843400447388E-2</v>
      </c>
      <c r="E661" s="6">
        <f>(Table2_1[[#This Row],[Constant Prices]]-C657)/C657</f>
        <v>-2.5749423520368905E-2</v>
      </c>
      <c r="F661" s="2">
        <v>180.9</v>
      </c>
      <c r="G661" s="7">
        <f>(Table2_1[[#This Row],[Current Prices]]-F660)/F660</f>
        <v>0.27304714989444062</v>
      </c>
      <c r="H661" s="7">
        <f>(Table2_1[[#This Row],[Current Prices]]-F657)/F657</f>
        <v>0.59102902374670185</v>
      </c>
      <c r="I661" s="2">
        <v>9</v>
      </c>
    </row>
    <row r="662" spans="1:9" x14ac:dyDescent="0.3">
      <c r="A662" s="2" t="s">
        <v>81</v>
      </c>
      <c r="B662" s="2" t="s">
        <v>50</v>
      </c>
      <c r="C662" s="2">
        <v>223.3</v>
      </c>
      <c r="D662" s="6">
        <f>(Table2_1[[#This Row],[Constant Prices]]-C661)/C661</f>
        <v>-0.11913214990138063</v>
      </c>
      <c r="E662" s="6">
        <f>(Table2_1[[#This Row],[Constant Prices]]-C658)/C658</f>
        <v>-0.17050520059435356</v>
      </c>
      <c r="F662" s="2">
        <v>242.3</v>
      </c>
      <c r="G662" s="7">
        <f>(Table2_1[[#This Row],[Current Prices]]-F661)/F661</f>
        <v>0.33941404090657823</v>
      </c>
      <c r="H662" s="7">
        <f>(Table2_1[[#This Row],[Current Prices]]-F658)/F658</f>
        <v>1.2836946277097081</v>
      </c>
      <c r="I662" s="2"/>
    </row>
    <row r="663" spans="1:9" x14ac:dyDescent="0.3">
      <c r="A663" s="2" t="s">
        <v>81</v>
      </c>
      <c r="B663" s="2" t="s">
        <v>51</v>
      </c>
      <c r="C663" s="2">
        <v>200.1</v>
      </c>
      <c r="D663" s="6">
        <f>(Table2_1[[#This Row],[Constant Prices]]-C662)/C662</f>
        <v>-0.10389610389610397</v>
      </c>
      <c r="E663" s="6">
        <f>(Table2_1[[#This Row],[Constant Prices]]-C659)/C659</f>
        <v>-0.24290578887627701</v>
      </c>
      <c r="F663" s="2">
        <v>263.5</v>
      </c>
      <c r="G663" s="7">
        <f>(Table2_1[[#This Row],[Current Prices]]-F662)/F662</f>
        <v>8.7494841106066812E-2</v>
      </c>
      <c r="H663" s="7">
        <f>(Table2_1[[#This Row],[Current Prices]]-F659)/F659</f>
        <v>1.218013468013468</v>
      </c>
      <c r="I663" s="2"/>
    </row>
    <row r="664" spans="1:9" x14ac:dyDescent="0.3">
      <c r="A664" s="2" t="s">
        <v>81</v>
      </c>
      <c r="B664" s="2" t="s">
        <v>52</v>
      </c>
      <c r="C664" s="2">
        <v>210.2</v>
      </c>
      <c r="D664" s="6">
        <f>(Table2_1[[#This Row],[Constant Prices]]-C663)/C663</f>
        <v>5.0474762618690626E-2</v>
      </c>
      <c r="E664" s="6">
        <f>(Table2_1[[#This Row],[Constant Prices]]-C660)/C660</f>
        <v>-0.2162565249813572</v>
      </c>
      <c r="F664" s="2">
        <v>304.8</v>
      </c>
      <c r="G664" s="7">
        <f>(Table2_1[[#This Row],[Current Prices]]-F663)/F663</f>
        <v>0.1567362428842505</v>
      </c>
      <c r="H664" s="7">
        <f>(Table2_1[[#This Row],[Current Prices]]-F660)/F660</f>
        <v>1.1449683321604505</v>
      </c>
      <c r="I664" s="2"/>
    </row>
    <row r="665" spans="1:9" x14ac:dyDescent="0.3">
      <c r="A665" s="2" t="s">
        <v>81</v>
      </c>
      <c r="B665" s="2" t="s">
        <v>53</v>
      </c>
      <c r="C665" s="2">
        <v>220.6</v>
      </c>
      <c r="D665" s="6">
        <f>(Table2_1[[#This Row],[Constant Prices]]-C664)/C664</f>
        <v>4.9476688867745033E-2</v>
      </c>
      <c r="E665" s="6">
        <f>(Table2_1[[#This Row],[Constant Prices]]-C661)/C661</f>
        <v>-0.1297830374753452</v>
      </c>
      <c r="F665" s="2">
        <v>311.5</v>
      </c>
      <c r="G665" s="7">
        <f>(Table2_1[[#This Row],[Current Prices]]-F664)/F664</f>
        <v>2.198162729658789E-2</v>
      </c>
      <c r="H665" s="7">
        <f>(Table2_1[[#This Row],[Current Prices]]-F661)/F661</f>
        <v>0.7219458264234383</v>
      </c>
      <c r="I665" s="2">
        <v>10</v>
      </c>
    </row>
    <row r="666" spans="1:9" x14ac:dyDescent="0.3">
      <c r="A666" s="2" t="s">
        <v>81</v>
      </c>
      <c r="B666" s="2" t="s">
        <v>54</v>
      </c>
      <c r="C666" s="2">
        <v>228.8</v>
      </c>
      <c r="D666" s="6">
        <f>(Table2_1[[#This Row],[Constant Prices]]-C665)/C665</f>
        <v>3.7171350861287478E-2</v>
      </c>
      <c r="E666" s="6">
        <f>(Table2_1[[#This Row],[Constant Prices]]-C662)/C662</f>
        <v>2.463054187192118E-2</v>
      </c>
      <c r="F666" s="2">
        <v>352.1</v>
      </c>
      <c r="G666" s="7">
        <f>(Table2_1[[#This Row],[Current Prices]]-F665)/F665</f>
        <v>0.13033707865168548</v>
      </c>
      <c r="H666" s="7">
        <f>(Table2_1[[#This Row],[Current Prices]]-F662)/F662</f>
        <v>0.45315724308708216</v>
      </c>
      <c r="I666" s="2"/>
    </row>
    <row r="667" spans="1:9" x14ac:dyDescent="0.3">
      <c r="A667" s="2" t="s">
        <v>81</v>
      </c>
      <c r="B667" s="2" t="s">
        <v>55</v>
      </c>
      <c r="C667" s="2">
        <v>239.5</v>
      </c>
      <c r="D667" s="6">
        <f>(Table2_1[[#This Row],[Constant Prices]]-C666)/C666</f>
        <v>4.6765734265734216E-2</v>
      </c>
      <c r="E667" s="6">
        <f>(Table2_1[[#This Row],[Constant Prices]]-C663)/C663</f>
        <v>0.19690154922538733</v>
      </c>
      <c r="F667" s="2">
        <v>424.8</v>
      </c>
      <c r="G667" s="7">
        <f>(Table2_1[[#This Row],[Current Prices]]-F666)/F666</f>
        <v>0.20647543311559211</v>
      </c>
      <c r="H667" s="7">
        <f>(Table2_1[[#This Row],[Current Prices]]-F663)/F663</f>
        <v>0.6121442125237192</v>
      </c>
      <c r="I667" s="2"/>
    </row>
    <row r="668" spans="1:9" x14ac:dyDescent="0.3">
      <c r="A668" s="2" t="s">
        <v>81</v>
      </c>
      <c r="B668" s="2" t="s">
        <v>56</v>
      </c>
      <c r="C668" s="2">
        <v>243.5</v>
      </c>
      <c r="D668" s="6">
        <f>(Table2_1[[#This Row],[Constant Prices]]-C667)/C667</f>
        <v>1.6701461377870562E-2</v>
      </c>
      <c r="E668" s="6">
        <f>(Table2_1[[#This Row],[Constant Prices]]-C664)/C664</f>
        <v>0.1584205518553759</v>
      </c>
      <c r="F668" s="2">
        <v>416.6</v>
      </c>
      <c r="G668" s="7">
        <f>(Table2_1[[#This Row],[Current Prices]]-F667)/F667</f>
        <v>-1.930320150659131E-2</v>
      </c>
      <c r="H668" s="7">
        <f>(Table2_1[[#This Row],[Current Prices]]-F664)/F664</f>
        <v>0.36679790026246722</v>
      </c>
      <c r="I668" s="2"/>
    </row>
    <row r="669" spans="1:9" x14ac:dyDescent="0.3">
      <c r="A669" s="2" t="s">
        <v>81</v>
      </c>
      <c r="B669" s="2" t="s">
        <v>57</v>
      </c>
      <c r="C669" s="2">
        <v>261.10000000000002</v>
      </c>
      <c r="D669" s="6">
        <f>(Table2_1[[#This Row],[Constant Prices]]-C668)/C668</f>
        <v>7.2279260780287569E-2</v>
      </c>
      <c r="E669" s="6">
        <f>(Table2_1[[#This Row],[Constant Prices]]-C665)/C665</f>
        <v>0.18359020852221228</v>
      </c>
      <c r="F669" s="2">
        <v>393.6</v>
      </c>
      <c r="G669" s="7">
        <f>(Table2_1[[#This Row],[Current Prices]]-F668)/F668</f>
        <v>-5.5208833413346134E-2</v>
      </c>
      <c r="H669" s="7">
        <f>(Table2_1[[#This Row],[Current Prices]]-F665)/F665</f>
        <v>0.26356340288924568</v>
      </c>
      <c r="I669" s="2">
        <v>11</v>
      </c>
    </row>
    <row r="670" spans="1:9" x14ac:dyDescent="0.3">
      <c r="A670" s="2" t="s">
        <v>81</v>
      </c>
      <c r="B670" s="2" t="s">
        <v>58</v>
      </c>
      <c r="C670" s="2">
        <v>248.3</v>
      </c>
      <c r="D670" s="6">
        <f>(Table2_1[[#This Row],[Constant Prices]]-C669)/C669</f>
        <v>-4.9023362696284989E-2</v>
      </c>
      <c r="E670" s="6">
        <f>(Table2_1[[#This Row],[Constant Prices]]-C666)/C666</f>
        <v>8.5227272727272721E-2</v>
      </c>
      <c r="F670" s="2">
        <v>202.8</v>
      </c>
      <c r="G670" s="7">
        <f>(Table2_1[[#This Row],[Current Prices]]-F669)/F669</f>
        <v>-0.4847560975609756</v>
      </c>
      <c r="H670" s="7">
        <f>(Table2_1[[#This Row],[Current Prices]]-F666)/F666</f>
        <v>-0.42402726498153936</v>
      </c>
      <c r="I670" s="2"/>
    </row>
    <row r="671" spans="1:9" x14ac:dyDescent="0.3">
      <c r="A671" s="2" t="s">
        <v>81</v>
      </c>
      <c r="B671" s="2" t="s">
        <v>59</v>
      </c>
      <c r="C671" s="2">
        <v>258.10000000000002</v>
      </c>
      <c r="D671" s="6">
        <f>(Table2_1[[#This Row],[Constant Prices]]-C670)/C670</f>
        <v>3.9468385018123282E-2</v>
      </c>
      <c r="E671" s="6">
        <f>(Table2_1[[#This Row],[Constant Prices]]-C667)/C667</f>
        <v>7.7661795407098222E-2</v>
      </c>
      <c r="F671" s="2">
        <v>230.3</v>
      </c>
      <c r="G671" s="7">
        <f>(Table2_1[[#This Row],[Current Prices]]-F670)/F670</f>
        <v>0.13560157790927022</v>
      </c>
      <c r="H671" s="7">
        <f>(Table2_1[[#This Row],[Current Prices]]-F667)/F667</f>
        <v>-0.45786252354048962</v>
      </c>
      <c r="I671" s="2"/>
    </row>
    <row r="672" spans="1:9" x14ac:dyDescent="0.3">
      <c r="A672" s="2" t="s">
        <v>81</v>
      </c>
      <c r="B672" s="2" t="s">
        <v>60</v>
      </c>
      <c r="C672" s="2">
        <v>263.60000000000002</v>
      </c>
      <c r="D672" s="6">
        <f>(Table2_1[[#This Row],[Constant Prices]]-C671)/C671</f>
        <v>2.1309569934134055E-2</v>
      </c>
      <c r="E672" s="6">
        <f>(Table2_1[[#This Row],[Constant Prices]]-C668)/C668</f>
        <v>8.2546201232032948E-2</v>
      </c>
      <c r="F672" s="2">
        <v>231.3</v>
      </c>
      <c r="G672" s="7">
        <f>(Table2_1[[#This Row],[Current Prices]]-F671)/F671</f>
        <v>4.3421623968736426E-3</v>
      </c>
      <c r="H672" s="7">
        <f>(Table2_1[[#This Row],[Current Prices]]-F668)/F668</f>
        <v>-0.44479116658665385</v>
      </c>
      <c r="I672" s="2"/>
    </row>
    <row r="673" spans="1:9" x14ac:dyDescent="0.3">
      <c r="A673" s="2" t="s">
        <v>81</v>
      </c>
      <c r="B673" s="2" t="s">
        <v>61</v>
      </c>
      <c r="C673" s="2">
        <v>248.2</v>
      </c>
      <c r="D673" s="6">
        <f>(Table2_1[[#This Row],[Constant Prices]]-C672)/C672</f>
        <v>-5.8421851289833203E-2</v>
      </c>
      <c r="E673" s="6">
        <f>(Table2_1[[#This Row],[Constant Prices]]-C669)/C669</f>
        <v>-4.9406357717349803E-2</v>
      </c>
      <c r="F673" s="2">
        <v>232.2</v>
      </c>
      <c r="G673" s="7">
        <f>(Table2_1[[#This Row],[Current Prices]]-F672)/F672</f>
        <v>3.8910505836574892E-3</v>
      </c>
      <c r="H673" s="7">
        <f>(Table2_1[[#This Row],[Current Prices]]-F669)/F669</f>
        <v>-0.41006097560975618</v>
      </c>
      <c r="I673" s="2">
        <v>12</v>
      </c>
    </row>
    <row r="674" spans="1:9" x14ac:dyDescent="0.3">
      <c r="A674" s="2" t="s">
        <v>81</v>
      </c>
      <c r="B674" s="2" t="s">
        <v>62</v>
      </c>
      <c r="C674" s="2">
        <v>250</v>
      </c>
      <c r="D674" s="6">
        <f>(Table2_1[[#This Row],[Constant Prices]]-C673)/C673</f>
        <v>7.2522159548751471E-3</v>
      </c>
      <c r="E674" s="6">
        <f>(Table2_1[[#This Row],[Constant Prices]]-C670)/C670</f>
        <v>6.846556584776434E-3</v>
      </c>
      <c r="F674" s="2">
        <v>224.5</v>
      </c>
      <c r="G674" s="7">
        <f>(Table2_1[[#This Row],[Current Prices]]-F673)/F673</f>
        <v>-3.3161068044788924E-2</v>
      </c>
      <c r="H674" s="7">
        <f>(Table2_1[[#This Row],[Current Prices]]-F670)/F670</f>
        <v>0.10700197238658771</v>
      </c>
      <c r="I674" s="2"/>
    </row>
    <row r="675" spans="1:9" x14ac:dyDescent="0.3">
      <c r="A675" s="2" t="s">
        <v>81</v>
      </c>
      <c r="B675" s="2" t="s">
        <v>63</v>
      </c>
      <c r="C675" s="2">
        <v>230.4</v>
      </c>
      <c r="D675" s="6">
        <f>(Table2_1[[#This Row],[Constant Prices]]-C674)/C674</f>
        <v>-7.8399999999999984E-2</v>
      </c>
      <c r="E675" s="6">
        <f>(Table2_1[[#This Row],[Constant Prices]]-C671)/C671</f>
        <v>-0.10732274312282067</v>
      </c>
      <c r="F675" s="2">
        <v>204.6</v>
      </c>
      <c r="G675" s="7">
        <f>(Table2_1[[#This Row],[Current Prices]]-F674)/F674</f>
        <v>-8.864142538975503E-2</v>
      </c>
      <c r="H675" s="7">
        <f>(Table2_1[[#This Row],[Current Prices]]-F671)/F671</f>
        <v>-0.11159357359965269</v>
      </c>
      <c r="I675" s="2"/>
    </row>
    <row r="676" spans="1:9" x14ac:dyDescent="0.3">
      <c r="A676" s="2" t="s">
        <v>81</v>
      </c>
      <c r="B676" s="2" t="s">
        <v>64</v>
      </c>
      <c r="C676" s="2">
        <v>278.39999999999998</v>
      </c>
      <c r="D676" s="6">
        <f>(Table2_1[[#This Row],[Constant Prices]]-C675)/C675</f>
        <v>0.2083333333333332</v>
      </c>
      <c r="E676" s="6">
        <f>(Table2_1[[#This Row],[Constant Prices]]-C672)/C672</f>
        <v>5.6145675265553689E-2</v>
      </c>
      <c r="F676" s="2">
        <v>239</v>
      </c>
      <c r="G676" s="7">
        <f>(Table2_1[[#This Row],[Current Prices]]-F675)/F675</f>
        <v>0.16813294232649076</v>
      </c>
      <c r="H676" s="7">
        <f>(Table2_1[[#This Row],[Current Prices]]-F672)/F672</f>
        <v>3.3290099437959311E-2</v>
      </c>
      <c r="I676" s="2"/>
    </row>
    <row r="677" spans="1:9" x14ac:dyDescent="0.3">
      <c r="A677" s="2" t="s">
        <v>81</v>
      </c>
      <c r="B677" s="2" t="s">
        <v>65</v>
      </c>
      <c r="C677" s="2">
        <v>264.60000000000002</v>
      </c>
      <c r="D677" s="6">
        <f>(Table2_1[[#This Row],[Constant Prices]]-C676)/C676</f>
        <v>-4.9568965517241222E-2</v>
      </c>
      <c r="E677" s="6">
        <f>(Table2_1[[#This Row],[Constant Prices]]-C673)/C673</f>
        <v>6.6075745366639946E-2</v>
      </c>
      <c r="F677" s="2">
        <v>232.8</v>
      </c>
      <c r="G677" s="7">
        <f>(Table2_1[[#This Row],[Current Prices]]-F676)/F676</f>
        <v>-2.5941422594142213E-2</v>
      </c>
      <c r="H677" s="7">
        <f>(Table2_1[[#This Row],[Current Prices]]-F673)/F673</f>
        <v>2.5839793281654728E-3</v>
      </c>
      <c r="I677" s="2">
        <v>13</v>
      </c>
    </row>
    <row r="678" spans="1:9" x14ac:dyDescent="0.3">
      <c r="A678" s="2" t="s">
        <v>81</v>
      </c>
      <c r="B678" s="2" t="s">
        <v>66</v>
      </c>
      <c r="C678" s="2">
        <v>247.2</v>
      </c>
      <c r="D678" s="6">
        <f>(Table2_1[[#This Row],[Constant Prices]]-C677)/C677</f>
        <v>-6.5759637188208736E-2</v>
      </c>
      <c r="E678" s="6">
        <f>(Table2_1[[#This Row],[Constant Prices]]-C674)/C674</f>
        <v>-1.1200000000000045E-2</v>
      </c>
      <c r="F678" s="2">
        <v>208.2</v>
      </c>
      <c r="G678" s="7">
        <f>(Table2_1[[#This Row],[Current Prices]]-F677)/F677</f>
        <v>-0.1056701030927836</v>
      </c>
      <c r="H678" s="7">
        <f>(Table2_1[[#This Row],[Current Prices]]-F674)/F674</f>
        <v>-7.2605790645879784E-2</v>
      </c>
      <c r="I678" s="2"/>
    </row>
    <row r="679" spans="1:9" x14ac:dyDescent="0.3">
      <c r="A679" s="2" t="s">
        <v>81</v>
      </c>
      <c r="B679" s="2" t="s">
        <v>67</v>
      </c>
      <c r="C679" s="2">
        <v>269.8</v>
      </c>
      <c r="D679" s="6">
        <f>(Table2_1[[#This Row],[Constant Prices]]-C678)/C678</f>
        <v>9.1423948220064818E-2</v>
      </c>
      <c r="E679" s="6">
        <f>(Table2_1[[#This Row],[Constant Prices]]-C675)/C675</f>
        <v>0.17100694444444448</v>
      </c>
      <c r="F679" s="2">
        <v>222.6</v>
      </c>
      <c r="G679" s="7">
        <f>(Table2_1[[#This Row],[Current Prices]]-F678)/F678</f>
        <v>6.9164265129683031E-2</v>
      </c>
      <c r="H679" s="7">
        <f>(Table2_1[[#This Row],[Current Prices]]-F675)/F675</f>
        <v>8.797653958944282E-2</v>
      </c>
      <c r="I679" s="2"/>
    </row>
    <row r="680" spans="1:9" x14ac:dyDescent="0.3">
      <c r="A680" s="2" t="s">
        <v>81</v>
      </c>
      <c r="B680" s="2" t="s">
        <v>68</v>
      </c>
      <c r="C680" s="2">
        <v>280.5</v>
      </c>
      <c r="D680" s="6">
        <f>(Table2_1[[#This Row],[Constant Prices]]-C679)/C679</f>
        <v>3.9659006671608557E-2</v>
      </c>
      <c r="E680" s="6">
        <f>(Table2_1[[#This Row],[Constant Prices]]-C676)/C676</f>
        <v>7.5431034482759439E-3</v>
      </c>
      <c r="F680" s="2">
        <v>229.5</v>
      </c>
      <c r="G680" s="7">
        <f>(Table2_1[[#This Row],[Current Prices]]-F679)/F679</f>
        <v>3.0997304582210269E-2</v>
      </c>
      <c r="H680" s="7">
        <f>(Table2_1[[#This Row],[Current Prices]]-F676)/F676</f>
        <v>-3.9748953974895397E-2</v>
      </c>
      <c r="I680" s="2"/>
    </row>
    <row r="681" spans="1:9" x14ac:dyDescent="0.3">
      <c r="A681" s="2" t="s">
        <v>81</v>
      </c>
      <c r="B681" s="2" t="s">
        <v>69</v>
      </c>
      <c r="C681" s="2">
        <v>238.9</v>
      </c>
      <c r="D681" s="6">
        <f>(Table2_1[[#This Row],[Constant Prices]]-C680)/C680</f>
        <v>-0.14830659536541888</v>
      </c>
      <c r="E681" s="6">
        <f>(Table2_1[[#This Row],[Constant Prices]]-C677)/C677</f>
        <v>-9.7127739984882902E-2</v>
      </c>
      <c r="F681" s="5">
        <f>Table2_1[[#This Row],[Constant Prices]]*AVERAGE(Inflation!$C$72:$C$74)*0.01</f>
        <v>432.48863333333338</v>
      </c>
      <c r="G681" s="7">
        <f>(Table2_1[[#This Row],[Current Prices]]-F680)/F680</f>
        <v>0.88448206245461169</v>
      </c>
      <c r="H681" s="7">
        <f>(Table2_1[[#This Row],[Current Prices]]-F677)/F677</f>
        <v>0.85776904352806427</v>
      </c>
      <c r="I681" s="2">
        <v>14</v>
      </c>
    </row>
    <row r="682" spans="1:9" x14ac:dyDescent="0.3">
      <c r="A682" s="2" t="s">
        <v>81</v>
      </c>
      <c r="B682" s="2" t="s">
        <v>70</v>
      </c>
      <c r="C682" s="2">
        <v>247.1</v>
      </c>
      <c r="D682" s="6">
        <f>(Table2_1[[#This Row],[Constant Prices]]-C681)/C681</f>
        <v>3.4323984930933395E-2</v>
      </c>
      <c r="E682" s="6">
        <f>(Table2_1[[#This Row],[Constant Prices]]-C678)/C678</f>
        <v>-4.0453074433654661E-4</v>
      </c>
      <c r="F682" s="5">
        <f>Table2_1[[#This Row],[Constant Prices]]*AVERAGE(Inflation!$C$75:$C$77)*0.01</f>
        <v>450.79276666666658</v>
      </c>
      <c r="G682" s="7">
        <f>(Table2_1[[#This Row],[Current Prices]]-F681)/F681</f>
        <v>4.2322807867243052E-2</v>
      </c>
      <c r="H682" s="7">
        <f>(Table2_1[[#This Row],[Current Prices]]-F678)/F678</f>
        <v>1.1651910022414342</v>
      </c>
      <c r="I682" s="2"/>
    </row>
    <row r="683" spans="1:9" x14ac:dyDescent="0.3">
      <c r="A683" s="2" t="s">
        <v>81</v>
      </c>
      <c r="B683" s="2" t="s">
        <v>71</v>
      </c>
      <c r="C683" s="2">
        <v>279</v>
      </c>
      <c r="D683" s="6">
        <f>(Table2_1[[#This Row],[Constant Prices]]-C682)/C682</f>
        <v>0.12909753136382035</v>
      </c>
      <c r="E683" s="6">
        <f>(Table2_1[[#This Row],[Constant Prices]]-C679)/C679</f>
        <v>3.4099332839140059E-2</v>
      </c>
      <c r="F683" s="5">
        <f>Table2_1[[#This Row],[Constant Prices]]*AVERAGE(Inflation!$C$78:$C$80)*0.01</f>
        <v>517.08000000000004</v>
      </c>
      <c r="G683" s="7">
        <f>(Table2_1[[#This Row],[Current Prices]]-F682)/F682</f>
        <v>0.14704591163581995</v>
      </c>
      <c r="H683" s="7">
        <f>(Table2_1[[#This Row],[Current Prices]]-F679)/F679</f>
        <v>1.3229110512129381</v>
      </c>
      <c r="I683" s="2"/>
    </row>
    <row r="684" spans="1:9" x14ac:dyDescent="0.3">
      <c r="A684" s="2" t="s">
        <v>82</v>
      </c>
      <c r="B684" s="2" t="s">
        <v>10</v>
      </c>
      <c r="C684" s="2">
        <v>89.3</v>
      </c>
      <c r="D684" s="6"/>
      <c r="E684" s="6"/>
      <c r="F684" s="2">
        <v>97</v>
      </c>
      <c r="G684" s="7"/>
      <c r="H684" s="7"/>
      <c r="I684" s="2"/>
    </row>
    <row r="685" spans="1:9" x14ac:dyDescent="0.3">
      <c r="A685" s="2" t="s">
        <v>82</v>
      </c>
      <c r="B685" s="2" t="s">
        <v>11</v>
      </c>
      <c r="C685" s="2">
        <v>100.2</v>
      </c>
      <c r="D685" s="6">
        <f>(Table2_1[[#This Row],[Constant Prices]]-C684)/C684</f>
        <v>0.12206047032474811</v>
      </c>
      <c r="E685" s="6"/>
      <c r="F685" s="2">
        <v>97.9</v>
      </c>
      <c r="G685" s="7">
        <f>(Table2_1[[#This Row],[Current Prices]]-F684)/F684</f>
        <v>9.2783505154639765E-3</v>
      </c>
      <c r="H685" s="7"/>
      <c r="I685" s="2"/>
    </row>
    <row r="686" spans="1:9" x14ac:dyDescent="0.3">
      <c r="A686" s="2" t="s">
        <v>82</v>
      </c>
      <c r="B686" s="2" t="s">
        <v>12</v>
      </c>
      <c r="C686" s="2">
        <v>106.1</v>
      </c>
      <c r="D686" s="6">
        <f>(Table2_1[[#This Row],[Constant Prices]]-C685)/C685</f>
        <v>5.8882235528942027E-2</v>
      </c>
      <c r="E686" s="6"/>
      <c r="F686" s="2">
        <v>101.6</v>
      </c>
      <c r="G686" s="7">
        <f>(Table2_1[[#This Row],[Current Prices]]-F685)/F685</f>
        <v>3.7793667007150034E-2</v>
      </c>
      <c r="H686" s="7"/>
      <c r="I686" s="2"/>
    </row>
    <row r="687" spans="1:9" x14ac:dyDescent="0.3">
      <c r="A687" s="2" t="s">
        <v>82</v>
      </c>
      <c r="B687" s="2" t="s">
        <v>13</v>
      </c>
      <c r="C687" s="2">
        <v>106.8</v>
      </c>
      <c r="D687" s="6">
        <f>(Table2_1[[#This Row],[Constant Prices]]-C686)/C686</f>
        <v>6.5975494816211391E-3</v>
      </c>
      <c r="E687" s="6"/>
      <c r="F687" s="2">
        <v>101.6</v>
      </c>
      <c r="G687" s="7">
        <f>(Table2_1[[#This Row],[Current Prices]]-F686)/F686</f>
        <v>0</v>
      </c>
      <c r="H687" s="7"/>
      <c r="I687" s="2"/>
    </row>
    <row r="688" spans="1:9" x14ac:dyDescent="0.3">
      <c r="A688" s="2" t="s">
        <v>82</v>
      </c>
      <c r="B688" s="2" t="s">
        <v>14</v>
      </c>
      <c r="C688" s="2">
        <v>110.3</v>
      </c>
      <c r="D688" s="6">
        <f>(Table2_1[[#This Row],[Constant Prices]]-C687)/C687</f>
        <v>3.2771535580524348E-2</v>
      </c>
      <c r="E688" s="6">
        <f>(Table2_1[[#This Row],[Constant Prices]]-C684)/C684</f>
        <v>0.23516237402015677</v>
      </c>
      <c r="F688" s="2">
        <v>103.2</v>
      </c>
      <c r="G688" s="7">
        <f>(Table2_1[[#This Row],[Current Prices]]-F687)/F687</f>
        <v>1.5748031496063079E-2</v>
      </c>
      <c r="H688" s="7">
        <f>(Table2_1[[#This Row],[Current Prices]]-F684)/F684</f>
        <v>6.3917525773195899E-2</v>
      </c>
      <c r="I688" s="2"/>
    </row>
    <row r="689" spans="1:9" x14ac:dyDescent="0.3">
      <c r="A689" s="2" t="s">
        <v>82</v>
      </c>
      <c r="B689" s="2" t="s">
        <v>15</v>
      </c>
      <c r="C689" s="2">
        <v>104.1</v>
      </c>
      <c r="D689" s="6">
        <f>(Table2_1[[#This Row],[Constant Prices]]-C688)/C688</f>
        <v>-5.6210335448776093E-2</v>
      </c>
      <c r="E689" s="6">
        <f>(Table2_1[[#This Row],[Constant Prices]]-C685)/C685</f>
        <v>3.8922155688622666E-2</v>
      </c>
      <c r="F689" s="2">
        <v>102.7</v>
      </c>
      <c r="G689" s="7">
        <f>(Table2_1[[#This Row],[Current Prices]]-F688)/F688</f>
        <v>-4.8449612403100775E-3</v>
      </c>
      <c r="H689" s="7">
        <f>(Table2_1[[#This Row],[Current Prices]]-F685)/F685</f>
        <v>4.9029622063329899E-2</v>
      </c>
      <c r="I689" s="2"/>
    </row>
    <row r="690" spans="1:9" x14ac:dyDescent="0.3">
      <c r="A690" s="2" t="s">
        <v>82</v>
      </c>
      <c r="B690" s="2" t="s">
        <v>16</v>
      </c>
      <c r="C690" s="2">
        <v>102</v>
      </c>
      <c r="D690" s="6">
        <f>(Table2_1[[#This Row],[Constant Prices]]-C689)/C689</f>
        <v>-2.0172910662824155E-2</v>
      </c>
      <c r="E690" s="6">
        <f>(Table2_1[[#This Row],[Constant Prices]]-C686)/C686</f>
        <v>-3.8642789820923604E-2</v>
      </c>
      <c r="F690" s="2">
        <v>101.5</v>
      </c>
      <c r="G690" s="7">
        <f>(Table2_1[[#This Row],[Current Prices]]-F689)/F689</f>
        <v>-1.1684518013631965E-2</v>
      </c>
      <c r="H690" s="7">
        <f>(Table2_1[[#This Row],[Current Prices]]-F686)/F686</f>
        <v>-9.8425196850388105E-4</v>
      </c>
      <c r="I690" s="2"/>
    </row>
    <row r="691" spans="1:9" x14ac:dyDescent="0.3">
      <c r="A691" s="2" t="s">
        <v>82</v>
      </c>
      <c r="B691" s="2" t="s">
        <v>17</v>
      </c>
      <c r="C691" s="2">
        <v>99.5</v>
      </c>
      <c r="D691" s="6">
        <f>(Table2_1[[#This Row],[Constant Prices]]-C690)/C690</f>
        <v>-2.4509803921568627E-2</v>
      </c>
      <c r="E691" s="6">
        <f>(Table2_1[[#This Row],[Constant Prices]]-C687)/C687</f>
        <v>-6.8352059925093606E-2</v>
      </c>
      <c r="F691" s="2">
        <v>100.4</v>
      </c>
      <c r="G691" s="7">
        <f>(Table2_1[[#This Row],[Current Prices]]-F690)/F690</f>
        <v>-1.0837438423645264E-2</v>
      </c>
      <c r="H691" s="7">
        <f>(Table2_1[[#This Row],[Current Prices]]-F687)/F687</f>
        <v>-1.1811023622047133E-2</v>
      </c>
      <c r="I691" s="2">
        <v>1</v>
      </c>
    </row>
    <row r="692" spans="1:9" x14ac:dyDescent="0.3">
      <c r="A692" s="2" t="s">
        <v>82</v>
      </c>
      <c r="B692" s="2" t="s">
        <v>18</v>
      </c>
      <c r="C692" s="2">
        <v>91.9</v>
      </c>
      <c r="D692" s="6">
        <f>(Table2_1[[#This Row],[Constant Prices]]-C691)/C691</f>
        <v>-7.638190954773863E-2</v>
      </c>
      <c r="E692" s="6">
        <f>(Table2_1[[#This Row],[Constant Prices]]-C688)/C688</f>
        <v>-0.16681776971894824</v>
      </c>
      <c r="F692" s="2">
        <v>90.6</v>
      </c>
      <c r="G692" s="7">
        <f>(Table2_1[[#This Row],[Current Prices]]-F691)/F691</f>
        <v>-9.7609561752988155E-2</v>
      </c>
      <c r="H692" s="7">
        <f>(Table2_1[[#This Row],[Current Prices]]-F688)/F688</f>
        <v>-0.12209302325581403</v>
      </c>
      <c r="I692" s="2"/>
    </row>
    <row r="693" spans="1:9" x14ac:dyDescent="0.3">
      <c r="A693" s="2" t="s">
        <v>82</v>
      </c>
      <c r="B693" s="2" t="s">
        <v>19</v>
      </c>
      <c r="C693" s="2">
        <v>91.3</v>
      </c>
      <c r="D693" s="6">
        <f>(Table2_1[[#This Row],[Constant Prices]]-C692)/C692</f>
        <v>-6.5288356909685361E-3</v>
      </c>
      <c r="E693" s="6">
        <f>(Table2_1[[#This Row],[Constant Prices]]-C689)/C689</f>
        <v>-0.12295869356388087</v>
      </c>
      <c r="F693" s="2">
        <v>91.5</v>
      </c>
      <c r="G693" s="7">
        <f>(Table2_1[[#This Row],[Current Prices]]-F692)/F692</f>
        <v>9.933774834437149E-3</v>
      </c>
      <c r="H693" s="7">
        <f>(Table2_1[[#This Row],[Current Prices]]-F689)/F689</f>
        <v>-0.10905550146056478</v>
      </c>
      <c r="I693" s="2"/>
    </row>
    <row r="694" spans="1:9" x14ac:dyDescent="0.3">
      <c r="A694" s="2" t="s">
        <v>82</v>
      </c>
      <c r="B694" s="2" t="s">
        <v>20</v>
      </c>
      <c r="C694" s="2">
        <v>94.2</v>
      </c>
      <c r="D694" s="6">
        <f>(Table2_1[[#This Row],[Constant Prices]]-C693)/C693</f>
        <v>3.1763417305586045E-2</v>
      </c>
      <c r="E694" s="6">
        <f>(Table2_1[[#This Row],[Constant Prices]]-C690)/C690</f>
        <v>-7.6470588235294096E-2</v>
      </c>
      <c r="F694" s="2">
        <v>93.1</v>
      </c>
      <c r="G694" s="7">
        <f>(Table2_1[[#This Row],[Current Prices]]-F693)/F693</f>
        <v>1.7486338797814145E-2</v>
      </c>
      <c r="H694" s="7">
        <f>(Table2_1[[#This Row],[Current Prices]]-F690)/F690</f>
        <v>-8.2758620689655227E-2</v>
      </c>
      <c r="I694" s="2"/>
    </row>
    <row r="695" spans="1:9" x14ac:dyDescent="0.3">
      <c r="A695" s="2" t="s">
        <v>82</v>
      </c>
      <c r="B695" s="2" t="s">
        <v>21</v>
      </c>
      <c r="C695" s="2">
        <v>97.4</v>
      </c>
      <c r="D695" s="6">
        <f>(Table2_1[[#This Row],[Constant Prices]]-C694)/C694</f>
        <v>3.3970276008492596E-2</v>
      </c>
      <c r="E695" s="6">
        <f>(Table2_1[[#This Row],[Constant Prices]]-C691)/C691</f>
        <v>-2.1105527638190898E-2</v>
      </c>
      <c r="F695" s="2">
        <v>97.1</v>
      </c>
      <c r="G695" s="7">
        <f>(Table2_1[[#This Row],[Current Prices]]-F694)/F694</f>
        <v>4.2964554242749732E-2</v>
      </c>
      <c r="H695" s="7">
        <f>(Table2_1[[#This Row],[Current Prices]]-F691)/F691</f>
        <v>-3.2868525896414452E-2</v>
      </c>
      <c r="I695" s="2">
        <v>2</v>
      </c>
    </row>
    <row r="696" spans="1:9" x14ac:dyDescent="0.3">
      <c r="A696" s="2" t="s">
        <v>82</v>
      </c>
      <c r="B696" s="2" t="s">
        <v>22</v>
      </c>
      <c r="C696" s="2">
        <v>108.7</v>
      </c>
      <c r="D696" s="6">
        <f>(Table2_1[[#This Row],[Constant Prices]]-C695)/C695</f>
        <v>0.11601642710472276</v>
      </c>
      <c r="E696" s="6">
        <f>(Table2_1[[#This Row],[Constant Prices]]-C692)/C692</f>
        <v>0.1828073993471164</v>
      </c>
      <c r="F696" s="2">
        <v>107.5</v>
      </c>
      <c r="G696" s="7">
        <f>(Table2_1[[#This Row],[Current Prices]]-F695)/F695</f>
        <v>0.10710607621009276</v>
      </c>
      <c r="H696" s="7">
        <f>(Table2_1[[#This Row],[Current Prices]]-F692)/F692</f>
        <v>0.1865342163355409</v>
      </c>
      <c r="I696" s="2"/>
    </row>
    <row r="697" spans="1:9" x14ac:dyDescent="0.3">
      <c r="A697" s="2" t="s">
        <v>82</v>
      </c>
      <c r="B697" s="2" t="s">
        <v>23</v>
      </c>
      <c r="C697" s="2">
        <v>113.6</v>
      </c>
      <c r="D697" s="6">
        <f>(Table2_1[[#This Row],[Constant Prices]]-C696)/C696</f>
        <v>4.5078196872125033E-2</v>
      </c>
      <c r="E697" s="6">
        <f>(Table2_1[[#This Row],[Constant Prices]]-C693)/C693</f>
        <v>0.24424972617743701</v>
      </c>
      <c r="F697" s="2">
        <v>113.4</v>
      </c>
      <c r="G697" s="7">
        <f>(Table2_1[[#This Row],[Current Prices]]-F696)/F696</f>
        <v>5.488372093023261E-2</v>
      </c>
      <c r="H697" s="7">
        <f>(Table2_1[[#This Row],[Current Prices]]-F693)/F693</f>
        <v>0.23934426229508202</v>
      </c>
      <c r="I697" s="2"/>
    </row>
    <row r="698" spans="1:9" x14ac:dyDescent="0.3">
      <c r="A698" s="2" t="s">
        <v>82</v>
      </c>
      <c r="B698" s="2" t="s">
        <v>24</v>
      </c>
      <c r="C698" s="2">
        <v>117.8</v>
      </c>
      <c r="D698" s="6">
        <f>(Table2_1[[#This Row],[Constant Prices]]-C697)/C697</f>
        <v>3.697183098591552E-2</v>
      </c>
      <c r="E698" s="6">
        <f>(Table2_1[[#This Row],[Constant Prices]]-C694)/C694</f>
        <v>0.25053078556263264</v>
      </c>
      <c r="F698" s="2">
        <v>116.4</v>
      </c>
      <c r="G698" s="7">
        <f>(Table2_1[[#This Row],[Current Prices]]-F697)/F697</f>
        <v>2.6455026455026454E-2</v>
      </c>
      <c r="H698" s="7">
        <f>(Table2_1[[#This Row],[Current Prices]]-F694)/F694</f>
        <v>0.25026852846401731</v>
      </c>
      <c r="I698" s="2"/>
    </row>
    <row r="699" spans="1:9" x14ac:dyDescent="0.3">
      <c r="A699" s="2" t="s">
        <v>82</v>
      </c>
      <c r="B699" s="2" t="s">
        <v>25</v>
      </c>
      <c r="C699" s="2">
        <v>117.8</v>
      </c>
      <c r="D699" s="6">
        <f>(Table2_1[[#This Row],[Constant Prices]]-C698)/C698</f>
        <v>0</v>
      </c>
      <c r="E699" s="6">
        <f>(Table2_1[[#This Row],[Constant Prices]]-C695)/C695</f>
        <v>0.20944558521560566</v>
      </c>
      <c r="F699" s="2">
        <v>116.7</v>
      </c>
      <c r="G699" s="7">
        <f>(Table2_1[[#This Row],[Current Prices]]-F698)/F698</f>
        <v>2.5773195876288416E-3</v>
      </c>
      <c r="H699" s="7">
        <f>(Table2_1[[#This Row],[Current Prices]]-F695)/F695</f>
        <v>0.20185375901132863</v>
      </c>
      <c r="I699" s="2">
        <v>3</v>
      </c>
    </row>
    <row r="700" spans="1:9" x14ac:dyDescent="0.3">
      <c r="A700" s="2" t="s">
        <v>82</v>
      </c>
      <c r="B700" s="2" t="s">
        <v>26</v>
      </c>
      <c r="C700" s="2">
        <v>118.9</v>
      </c>
      <c r="D700" s="6">
        <f>(Table2_1[[#This Row],[Constant Prices]]-C699)/C699</f>
        <v>9.3378607809847924E-3</v>
      </c>
      <c r="E700" s="6">
        <f>(Table2_1[[#This Row],[Constant Prices]]-C696)/C696</f>
        <v>9.3836246550138017E-2</v>
      </c>
      <c r="F700" s="2">
        <v>118.9</v>
      </c>
      <c r="G700" s="7">
        <f>(Table2_1[[#This Row],[Current Prices]]-F699)/F699</f>
        <v>1.8851756640959751E-2</v>
      </c>
      <c r="H700" s="7">
        <f>(Table2_1[[#This Row],[Current Prices]]-F696)/F696</f>
        <v>0.10604651162790703</v>
      </c>
      <c r="I700" s="2"/>
    </row>
    <row r="701" spans="1:9" x14ac:dyDescent="0.3">
      <c r="A701" s="2" t="s">
        <v>82</v>
      </c>
      <c r="B701" s="2" t="s">
        <v>27</v>
      </c>
      <c r="C701" s="2">
        <v>119.7</v>
      </c>
      <c r="D701" s="6">
        <f>(Table2_1[[#This Row],[Constant Prices]]-C700)/C700</f>
        <v>6.7283431455003959E-3</v>
      </c>
      <c r="E701" s="6">
        <f>(Table2_1[[#This Row],[Constant Prices]]-C697)/C697</f>
        <v>5.369718309859163E-2</v>
      </c>
      <c r="F701" s="2">
        <v>118.7</v>
      </c>
      <c r="G701" s="7">
        <f>(Table2_1[[#This Row],[Current Prices]]-F700)/F700</f>
        <v>-1.6820857863751289E-3</v>
      </c>
      <c r="H701" s="7">
        <f>(Table2_1[[#This Row],[Current Prices]]-F697)/F697</f>
        <v>4.673721340388004E-2</v>
      </c>
      <c r="I701" s="2"/>
    </row>
    <row r="702" spans="1:9" x14ac:dyDescent="0.3">
      <c r="A702" s="2" t="s">
        <v>82</v>
      </c>
      <c r="B702" s="2" t="s">
        <v>28</v>
      </c>
      <c r="C702" s="2">
        <v>117.6</v>
      </c>
      <c r="D702" s="6">
        <f>(Table2_1[[#This Row],[Constant Prices]]-C701)/C701</f>
        <v>-1.7543859649122879E-2</v>
      </c>
      <c r="E702" s="6">
        <f>(Table2_1[[#This Row],[Constant Prices]]-C698)/C698</f>
        <v>-1.6977928692699733E-3</v>
      </c>
      <c r="F702" s="2">
        <v>117.9</v>
      </c>
      <c r="G702" s="7">
        <f>(Table2_1[[#This Row],[Current Prices]]-F701)/F701</f>
        <v>-6.7396798652063789E-3</v>
      </c>
      <c r="H702" s="7">
        <f>(Table2_1[[#This Row],[Current Prices]]-F698)/F698</f>
        <v>1.2886597938144329E-2</v>
      </c>
      <c r="I702" s="2"/>
    </row>
    <row r="703" spans="1:9" x14ac:dyDescent="0.3">
      <c r="A703" s="2" t="s">
        <v>82</v>
      </c>
      <c r="B703" s="2" t="s">
        <v>29</v>
      </c>
      <c r="C703" s="2">
        <v>121.9</v>
      </c>
      <c r="D703" s="6">
        <f>(Table2_1[[#This Row],[Constant Prices]]-C702)/C702</f>
        <v>3.6564625850340232E-2</v>
      </c>
      <c r="E703" s="6">
        <f>(Table2_1[[#This Row],[Constant Prices]]-C699)/C699</f>
        <v>3.4804753820034028E-2</v>
      </c>
      <c r="F703" s="2">
        <v>121.1</v>
      </c>
      <c r="G703" s="7">
        <f>(Table2_1[[#This Row],[Current Prices]]-F702)/F702</f>
        <v>2.7141645462256052E-2</v>
      </c>
      <c r="H703" s="7">
        <f>(Table2_1[[#This Row],[Current Prices]]-F699)/F699</f>
        <v>3.7703513281919378E-2</v>
      </c>
      <c r="I703" s="2">
        <v>4</v>
      </c>
    </row>
    <row r="704" spans="1:9" x14ac:dyDescent="0.3">
      <c r="A704" s="2" t="s">
        <v>82</v>
      </c>
      <c r="B704" s="2" t="s">
        <v>30</v>
      </c>
      <c r="C704" s="2">
        <v>122.4</v>
      </c>
      <c r="D704" s="6">
        <f>(Table2_1[[#This Row],[Constant Prices]]-C703)/C703</f>
        <v>4.1017227235438884E-3</v>
      </c>
      <c r="E704" s="6">
        <f>(Table2_1[[#This Row],[Constant Prices]]-C700)/C700</f>
        <v>2.943650126156434E-2</v>
      </c>
      <c r="F704" s="2">
        <v>123.5</v>
      </c>
      <c r="G704" s="7">
        <f>(Table2_1[[#This Row],[Current Prices]]-F703)/F703</f>
        <v>1.9818331957060328E-2</v>
      </c>
      <c r="H704" s="7">
        <f>(Table2_1[[#This Row],[Current Prices]]-F700)/F700</f>
        <v>3.8687973086627366E-2</v>
      </c>
      <c r="I704" s="2"/>
    </row>
    <row r="705" spans="1:9" x14ac:dyDescent="0.3">
      <c r="A705" s="2" t="s">
        <v>82</v>
      </c>
      <c r="B705" s="2" t="s">
        <v>31</v>
      </c>
      <c r="C705" s="2">
        <v>122.8</v>
      </c>
      <c r="D705" s="6">
        <f>(Table2_1[[#This Row],[Constant Prices]]-C704)/C704</f>
        <v>3.2679738562090806E-3</v>
      </c>
      <c r="E705" s="6">
        <f>(Table2_1[[#This Row],[Constant Prices]]-C701)/C701</f>
        <v>2.589807852965743E-2</v>
      </c>
      <c r="F705" s="2">
        <v>123</v>
      </c>
      <c r="G705" s="7">
        <f>(Table2_1[[#This Row],[Current Prices]]-F704)/F704</f>
        <v>-4.048582995951417E-3</v>
      </c>
      <c r="H705" s="7">
        <f>(Table2_1[[#This Row],[Current Prices]]-F701)/F701</f>
        <v>3.6225779275484392E-2</v>
      </c>
      <c r="I705" s="2"/>
    </row>
    <row r="706" spans="1:9" x14ac:dyDescent="0.3">
      <c r="A706" s="2" t="s">
        <v>82</v>
      </c>
      <c r="B706" s="2" t="s">
        <v>32</v>
      </c>
      <c r="C706" s="2">
        <v>124.8</v>
      </c>
      <c r="D706" s="6">
        <f>(Table2_1[[#This Row],[Constant Prices]]-C705)/C705</f>
        <v>1.6286644951140065E-2</v>
      </c>
      <c r="E706" s="6">
        <f>(Table2_1[[#This Row],[Constant Prices]]-C702)/C702</f>
        <v>6.1224489795918394E-2</v>
      </c>
      <c r="F706" s="2">
        <v>125.4</v>
      </c>
      <c r="G706" s="7">
        <f>(Table2_1[[#This Row],[Current Prices]]-F705)/F705</f>
        <v>1.9512195121951265E-2</v>
      </c>
      <c r="H706" s="7">
        <f>(Table2_1[[#This Row],[Current Prices]]-F702)/F702</f>
        <v>6.3613231552162849E-2</v>
      </c>
      <c r="I706" s="2"/>
    </row>
    <row r="707" spans="1:9" x14ac:dyDescent="0.3">
      <c r="A707" s="2" t="s">
        <v>82</v>
      </c>
      <c r="B707" s="2" t="s">
        <v>33</v>
      </c>
      <c r="C707" s="2">
        <v>127.2</v>
      </c>
      <c r="D707" s="6">
        <f>(Table2_1[[#This Row],[Constant Prices]]-C706)/C706</f>
        <v>1.9230769230769277E-2</v>
      </c>
      <c r="E707" s="6">
        <f>(Table2_1[[#This Row],[Constant Prices]]-C703)/C703</f>
        <v>4.3478260869565195E-2</v>
      </c>
      <c r="F707" s="2">
        <v>125.3</v>
      </c>
      <c r="G707" s="7">
        <f>(Table2_1[[#This Row],[Current Prices]]-F706)/F706</f>
        <v>-7.9744816586928649E-4</v>
      </c>
      <c r="H707" s="7">
        <f>(Table2_1[[#This Row],[Current Prices]]-F703)/F703</f>
        <v>3.4682080924855516E-2</v>
      </c>
      <c r="I707" s="2">
        <v>5</v>
      </c>
    </row>
    <row r="708" spans="1:9" x14ac:dyDescent="0.3">
      <c r="A708" s="2" t="s">
        <v>82</v>
      </c>
      <c r="B708" s="2" t="s">
        <v>34</v>
      </c>
      <c r="C708" s="2">
        <v>125.9</v>
      </c>
      <c r="D708" s="6">
        <f>(Table2_1[[#This Row],[Constant Prices]]-C707)/C707</f>
        <v>-1.0220125786163499E-2</v>
      </c>
      <c r="E708" s="6">
        <f>(Table2_1[[#This Row],[Constant Prices]]-C704)/C704</f>
        <v>2.8594771241830064E-2</v>
      </c>
      <c r="F708" s="2">
        <v>120.9</v>
      </c>
      <c r="G708" s="7">
        <f>(Table2_1[[#This Row],[Current Prices]]-F707)/F707</f>
        <v>-3.5115722266560186E-2</v>
      </c>
      <c r="H708" s="7">
        <f>(Table2_1[[#This Row],[Current Prices]]-F704)/F704</f>
        <v>-2.1052631578947323E-2</v>
      </c>
      <c r="I708" s="2"/>
    </row>
    <row r="709" spans="1:9" x14ac:dyDescent="0.3">
      <c r="A709" s="2" t="s">
        <v>82</v>
      </c>
      <c r="B709" s="2" t="s">
        <v>35</v>
      </c>
      <c r="C709" s="2">
        <v>127.1</v>
      </c>
      <c r="D709" s="6">
        <f>(Table2_1[[#This Row],[Constant Prices]]-C708)/C708</f>
        <v>9.5313741064335863E-3</v>
      </c>
      <c r="E709" s="6">
        <f>(Table2_1[[#This Row],[Constant Prices]]-C705)/C705</f>
        <v>3.5016286644951121E-2</v>
      </c>
      <c r="F709" s="2">
        <v>125.8</v>
      </c>
      <c r="G709" s="7">
        <f>(Table2_1[[#This Row],[Current Prices]]-F708)/F708</f>
        <v>4.0529363110008196E-2</v>
      </c>
      <c r="H709" s="7">
        <f>(Table2_1[[#This Row],[Current Prices]]-F705)/F705</f>
        <v>2.27642276422764E-2</v>
      </c>
      <c r="I709" s="2"/>
    </row>
    <row r="710" spans="1:9" x14ac:dyDescent="0.3">
      <c r="A710" s="2" t="s">
        <v>82</v>
      </c>
      <c r="B710" s="2" t="s">
        <v>36</v>
      </c>
      <c r="C710" s="2">
        <v>126.4</v>
      </c>
      <c r="D710" s="6">
        <f>(Table2_1[[#This Row],[Constant Prices]]-C709)/C709</f>
        <v>-5.5074744295829162E-3</v>
      </c>
      <c r="E710" s="6">
        <f>(Table2_1[[#This Row],[Constant Prices]]-C706)/C706</f>
        <v>1.2820512820512889E-2</v>
      </c>
      <c r="F710" s="2">
        <v>140.9</v>
      </c>
      <c r="G710" s="7">
        <f>(Table2_1[[#This Row],[Current Prices]]-F709)/F709</f>
        <v>0.12003179650238481</v>
      </c>
      <c r="H710" s="7">
        <f>(Table2_1[[#This Row],[Current Prices]]-F706)/F706</f>
        <v>0.12360446570972886</v>
      </c>
      <c r="I710" s="2"/>
    </row>
    <row r="711" spans="1:9" x14ac:dyDescent="0.3">
      <c r="A711" s="2" t="s">
        <v>82</v>
      </c>
      <c r="B711" s="2" t="s">
        <v>37</v>
      </c>
      <c r="C711" s="2">
        <v>127.3</v>
      </c>
      <c r="D711" s="6">
        <f>(Table2_1[[#This Row],[Constant Prices]]-C710)/C710</f>
        <v>7.1202531645568942E-3</v>
      </c>
      <c r="E711" s="6">
        <f>(Table2_1[[#This Row],[Constant Prices]]-C707)/C707</f>
        <v>7.8616352201253388E-4</v>
      </c>
      <c r="F711" s="2">
        <v>140.6</v>
      </c>
      <c r="G711" s="7">
        <f>(Table2_1[[#This Row],[Current Prices]]-F710)/F710</f>
        <v>-2.1291696238467804E-3</v>
      </c>
      <c r="H711" s="7">
        <f>(Table2_1[[#This Row],[Current Prices]]-F707)/F707</f>
        <v>0.12210694333599359</v>
      </c>
      <c r="I711" s="2">
        <v>6</v>
      </c>
    </row>
    <row r="712" spans="1:9" x14ac:dyDescent="0.3">
      <c r="A712" s="2" t="s">
        <v>82</v>
      </c>
      <c r="B712" s="2" t="s">
        <v>38</v>
      </c>
      <c r="C712" s="2">
        <v>130.6</v>
      </c>
      <c r="D712" s="6">
        <f>(Table2_1[[#This Row],[Constant Prices]]-C711)/C711</f>
        <v>2.5923016496465022E-2</v>
      </c>
      <c r="E712" s="6">
        <f>(Table2_1[[#This Row],[Constant Prices]]-C708)/C708</f>
        <v>3.7331215250198481E-2</v>
      </c>
      <c r="F712" s="2">
        <v>145</v>
      </c>
      <c r="G712" s="7">
        <f>(Table2_1[[#This Row],[Current Prices]]-F711)/F711</f>
        <v>3.1294452347083966E-2</v>
      </c>
      <c r="H712" s="7">
        <f>(Table2_1[[#This Row],[Current Prices]]-F708)/F708</f>
        <v>0.1993382961124896</v>
      </c>
      <c r="I712" s="2"/>
    </row>
    <row r="713" spans="1:9" x14ac:dyDescent="0.3">
      <c r="A713" s="2" t="s">
        <v>82</v>
      </c>
      <c r="B713" s="2" t="s">
        <v>39</v>
      </c>
      <c r="C713" s="2">
        <v>129.80000000000001</v>
      </c>
      <c r="D713" s="6">
        <f>(Table2_1[[#This Row],[Constant Prices]]-C712)/C712</f>
        <v>-6.1255742725879244E-3</v>
      </c>
      <c r="E713" s="6">
        <f>(Table2_1[[#This Row],[Constant Prices]]-C709)/C709</f>
        <v>2.1243115656963157E-2</v>
      </c>
      <c r="F713" s="2">
        <v>143.19999999999999</v>
      </c>
      <c r="G713" s="7">
        <f>(Table2_1[[#This Row],[Current Prices]]-F712)/F712</f>
        <v>-1.2413793103448353E-2</v>
      </c>
      <c r="H713" s="7">
        <f>(Table2_1[[#This Row],[Current Prices]]-F709)/F709</f>
        <v>0.13831478537360883</v>
      </c>
      <c r="I713" s="2"/>
    </row>
    <row r="714" spans="1:9" x14ac:dyDescent="0.3">
      <c r="A714" s="2" t="s">
        <v>82</v>
      </c>
      <c r="B714" s="2" t="s">
        <v>40</v>
      </c>
      <c r="C714" s="2">
        <v>127.9</v>
      </c>
      <c r="D714" s="6">
        <f>(Table2_1[[#This Row],[Constant Prices]]-C713)/C713</f>
        <v>-1.4637904468412986E-2</v>
      </c>
      <c r="E714" s="6">
        <f>(Table2_1[[#This Row],[Constant Prices]]-C710)/C710</f>
        <v>1.1867088607594936E-2</v>
      </c>
      <c r="F714" s="2">
        <v>142.69999999999999</v>
      </c>
      <c r="G714" s="7">
        <f>(Table2_1[[#This Row],[Current Prices]]-F713)/F713</f>
        <v>-3.4916201117318438E-3</v>
      </c>
      <c r="H714" s="7">
        <f>(Table2_1[[#This Row],[Current Prices]]-F710)/F710</f>
        <v>1.2775017743080078E-2</v>
      </c>
      <c r="I714" s="2"/>
    </row>
    <row r="715" spans="1:9" x14ac:dyDescent="0.3">
      <c r="A715" s="2" t="s">
        <v>82</v>
      </c>
      <c r="B715" s="2" t="s">
        <v>41</v>
      </c>
      <c r="C715" s="2">
        <v>131.6</v>
      </c>
      <c r="D715" s="6">
        <f>(Table2_1[[#This Row],[Constant Prices]]-C714)/C714</f>
        <v>2.8928850664581614E-2</v>
      </c>
      <c r="E715" s="6">
        <f>(Table2_1[[#This Row],[Constant Prices]]-C711)/C711</f>
        <v>3.3778476040848368E-2</v>
      </c>
      <c r="F715" s="2">
        <v>145.4</v>
      </c>
      <c r="G715" s="7">
        <f>(Table2_1[[#This Row],[Current Prices]]-F714)/F714</f>
        <v>1.8920812894183722E-2</v>
      </c>
      <c r="H715" s="7">
        <f>(Table2_1[[#This Row],[Current Prices]]-F711)/F711</f>
        <v>3.4139402560455272E-2</v>
      </c>
      <c r="I715" s="2">
        <v>7</v>
      </c>
    </row>
    <row r="716" spans="1:9" x14ac:dyDescent="0.3">
      <c r="A716" s="2" t="s">
        <v>82</v>
      </c>
      <c r="B716" s="2" t="s">
        <v>42</v>
      </c>
      <c r="C716" s="2">
        <v>133</v>
      </c>
      <c r="D716" s="6">
        <f>(Table2_1[[#This Row],[Constant Prices]]-C715)/C715</f>
        <v>1.0638297872340469E-2</v>
      </c>
      <c r="E716" s="6">
        <f>(Table2_1[[#This Row],[Constant Prices]]-C712)/C712</f>
        <v>1.8376722817764209E-2</v>
      </c>
      <c r="F716" s="2">
        <v>149.4</v>
      </c>
      <c r="G716" s="7">
        <f>(Table2_1[[#This Row],[Current Prices]]-F715)/F715</f>
        <v>2.7510316368638238E-2</v>
      </c>
      <c r="H716" s="7">
        <f>(Table2_1[[#This Row],[Current Prices]]-F712)/F712</f>
        <v>3.0344827586206935E-2</v>
      </c>
      <c r="I716" s="2"/>
    </row>
    <row r="717" spans="1:9" x14ac:dyDescent="0.3">
      <c r="A717" s="2" t="s">
        <v>82</v>
      </c>
      <c r="B717" s="2" t="s">
        <v>43</v>
      </c>
      <c r="C717" s="2">
        <v>133.9</v>
      </c>
      <c r="D717" s="6">
        <f>(Table2_1[[#This Row],[Constant Prices]]-C716)/C716</f>
        <v>6.7669172932331252E-3</v>
      </c>
      <c r="E717" s="6">
        <f>(Table2_1[[#This Row],[Constant Prices]]-C713)/C713</f>
        <v>3.1587057010785777E-2</v>
      </c>
      <c r="F717" s="2">
        <v>150.5</v>
      </c>
      <c r="G717" s="7">
        <f>(Table2_1[[#This Row],[Current Prices]]-F716)/F716</f>
        <v>7.3627844712181676E-3</v>
      </c>
      <c r="H717" s="7">
        <f>(Table2_1[[#This Row],[Current Prices]]-F713)/F713</f>
        <v>5.0977653631285001E-2</v>
      </c>
      <c r="I717" s="2"/>
    </row>
    <row r="718" spans="1:9" x14ac:dyDescent="0.3">
      <c r="A718" s="2" t="s">
        <v>82</v>
      </c>
      <c r="B718" s="2" t="s">
        <v>44</v>
      </c>
      <c r="C718" s="2">
        <v>134.19999999999999</v>
      </c>
      <c r="D718" s="6">
        <f>(Table2_1[[#This Row],[Constant Prices]]-C717)/C717</f>
        <v>2.2404779686331809E-3</v>
      </c>
      <c r="E718" s="6">
        <f>(Table2_1[[#This Row],[Constant Prices]]-C714)/C714</f>
        <v>4.9257232212666008E-2</v>
      </c>
      <c r="F718" s="2">
        <v>153.9</v>
      </c>
      <c r="G718" s="7">
        <f>(Table2_1[[#This Row],[Current Prices]]-F717)/F717</f>
        <v>2.2591362126245886E-2</v>
      </c>
      <c r="H718" s="7">
        <f>(Table2_1[[#This Row],[Current Prices]]-F714)/F714</f>
        <v>7.8486334968465438E-2</v>
      </c>
      <c r="I718" s="2"/>
    </row>
    <row r="719" spans="1:9" x14ac:dyDescent="0.3">
      <c r="A719" s="2" t="s">
        <v>82</v>
      </c>
      <c r="B719" s="2" t="s">
        <v>45</v>
      </c>
      <c r="C719" s="2">
        <v>135.19999999999999</v>
      </c>
      <c r="D719" s="6">
        <f>(Table2_1[[#This Row],[Constant Prices]]-C718)/C718</f>
        <v>7.4515648286140098E-3</v>
      </c>
      <c r="E719" s="6">
        <f>(Table2_1[[#This Row],[Constant Prices]]-C715)/C715</f>
        <v>2.735562310030391E-2</v>
      </c>
      <c r="F719" s="2">
        <v>153.30000000000001</v>
      </c>
      <c r="G719" s="7">
        <f>(Table2_1[[#This Row],[Current Prices]]-F718)/F718</f>
        <v>-3.8986354775828089E-3</v>
      </c>
      <c r="H719" s="7">
        <f>(Table2_1[[#This Row],[Current Prices]]-F715)/F715</f>
        <v>5.4332874828060561E-2</v>
      </c>
      <c r="I719" s="2">
        <v>8</v>
      </c>
    </row>
    <row r="720" spans="1:9" x14ac:dyDescent="0.3">
      <c r="A720" s="2" t="s">
        <v>82</v>
      </c>
      <c r="B720" s="2" t="s">
        <v>46</v>
      </c>
      <c r="C720" s="2">
        <v>133.80000000000001</v>
      </c>
      <c r="D720" s="6">
        <f>(Table2_1[[#This Row],[Constant Prices]]-C719)/C719</f>
        <v>-1.0355029585798649E-2</v>
      </c>
      <c r="E720" s="6">
        <f>(Table2_1[[#This Row],[Constant Prices]]-C716)/C716</f>
        <v>6.0150375939850478E-3</v>
      </c>
      <c r="F720" s="2">
        <v>154.30000000000001</v>
      </c>
      <c r="G720" s="7">
        <f>(Table2_1[[#This Row],[Current Prices]]-F719)/F719</f>
        <v>6.5231572080887146E-3</v>
      </c>
      <c r="H720" s="7">
        <f>(Table2_1[[#This Row],[Current Prices]]-F716)/F716</f>
        <v>3.2797858099062958E-2</v>
      </c>
      <c r="I720" s="2"/>
    </row>
    <row r="721" spans="1:9" x14ac:dyDescent="0.3">
      <c r="A721" s="2" t="s">
        <v>82</v>
      </c>
      <c r="B721" s="2" t="s">
        <v>47</v>
      </c>
      <c r="C721" s="2">
        <v>135.6</v>
      </c>
      <c r="D721" s="6">
        <f>(Table2_1[[#This Row],[Constant Prices]]-C720)/C720</f>
        <v>1.3452914798206149E-2</v>
      </c>
      <c r="E721" s="6">
        <f>(Table2_1[[#This Row],[Constant Prices]]-C717)/C717</f>
        <v>1.269604182225533E-2</v>
      </c>
      <c r="F721" s="2">
        <v>157.4</v>
      </c>
      <c r="G721" s="7">
        <f>(Table2_1[[#This Row],[Current Prices]]-F720)/F720</f>
        <v>2.0090732339598148E-2</v>
      </c>
      <c r="H721" s="7">
        <f>(Table2_1[[#This Row],[Current Prices]]-F717)/F717</f>
        <v>4.5847176079734257E-2</v>
      </c>
      <c r="I721" s="2"/>
    </row>
    <row r="722" spans="1:9" x14ac:dyDescent="0.3">
      <c r="A722" s="2" t="s">
        <v>82</v>
      </c>
      <c r="B722" s="2" t="s">
        <v>48</v>
      </c>
      <c r="C722" s="2">
        <v>137.1</v>
      </c>
      <c r="D722" s="6">
        <f>(Table2_1[[#This Row],[Constant Prices]]-C721)/C721</f>
        <v>1.1061946902654867E-2</v>
      </c>
      <c r="E722" s="6">
        <f>(Table2_1[[#This Row],[Constant Prices]]-C718)/C718</f>
        <v>2.1609538002980669E-2</v>
      </c>
      <c r="F722" s="2">
        <v>161.69999999999999</v>
      </c>
      <c r="G722" s="7">
        <f>(Table2_1[[#This Row],[Current Prices]]-F721)/F721</f>
        <v>2.7318932655654275E-2</v>
      </c>
      <c r="H722" s="7">
        <f>(Table2_1[[#This Row],[Current Prices]]-F718)/F718</f>
        <v>5.0682261208576884E-2</v>
      </c>
      <c r="I722" s="2"/>
    </row>
    <row r="723" spans="1:9" x14ac:dyDescent="0.3">
      <c r="A723" s="2" t="s">
        <v>82</v>
      </c>
      <c r="B723" s="2" t="s">
        <v>49</v>
      </c>
      <c r="C723" s="2">
        <v>141.5</v>
      </c>
      <c r="D723" s="6">
        <f>(Table2_1[[#This Row],[Constant Prices]]-C722)/C722</f>
        <v>3.2093362509117478E-2</v>
      </c>
      <c r="E723" s="6">
        <f>(Table2_1[[#This Row],[Constant Prices]]-C719)/C719</f>
        <v>4.659763313609476E-2</v>
      </c>
      <c r="F723" s="2">
        <v>166.8</v>
      </c>
      <c r="G723" s="7">
        <f>(Table2_1[[#This Row],[Current Prices]]-F722)/F722</f>
        <v>3.1539888682745966E-2</v>
      </c>
      <c r="H723" s="7">
        <f>(Table2_1[[#This Row],[Current Prices]]-F719)/F719</f>
        <v>8.8062622309197647E-2</v>
      </c>
      <c r="I723" s="2">
        <v>9</v>
      </c>
    </row>
    <row r="724" spans="1:9" x14ac:dyDescent="0.3">
      <c r="A724" s="2" t="s">
        <v>82</v>
      </c>
      <c r="B724" s="2" t="s">
        <v>50</v>
      </c>
      <c r="C724" s="2">
        <v>136.30000000000001</v>
      </c>
      <c r="D724" s="6">
        <f>(Table2_1[[#This Row],[Constant Prices]]-C723)/C723</f>
        <v>-3.6749116607773774E-2</v>
      </c>
      <c r="E724" s="6">
        <f>(Table2_1[[#This Row],[Constant Prices]]-C720)/C720</f>
        <v>1.8684603886397606E-2</v>
      </c>
      <c r="F724" s="2">
        <v>169.5</v>
      </c>
      <c r="G724" s="7">
        <f>(Table2_1[[#This Row],[Current Prices]]-F723)/F723</f>
        <v>1.6187050359712161E-2</v>
      </c>
      <c r="H724" s="7">
        <f>(Table2_1[[#This Row],[Current Prices]]-F720)/F720</f>
        <v>9.8509397278029737E-2</v>
      </c>
      <c r="I724" s="2"/>
    </row>
    <row r="725" spans="1:9" x14ac:dyDescent="0.3">
      <c r="A725" s="2" t="s">
        <v>82</v>
      </c>
      <c r="B725" s="2" t="s">
        <v>51</v>
      </c>
      <c r="C725" s="2">
        <v>137.69999999999999</v>
      </c>
      <c r="D725" s="6">
        <f>(Table2_1[[#This Row],[Constant Prices]]-C724)/C724</f>
        <v>1.0271460014673347E-2</v>
      </c>
      <c r="E725" s="6">
        <f>(Table2_1[[#This Row],[Constant Prices]]-C721)/C721</f>
        <v>1.5486725663716772E-2</v>
      </c>
      <c r="F725" s="2">
        <v>180.2</v>
      </c>
      <c r="G725" s="7">
        <f>(Table2_1[[#This Row],[Current Prices]]-F724)/F724</f>
        <v>6.3126843657817039E-2</v>
      </c>
      <c r="H725" s="7">
        <f>(Table2_1[[#This Row],[Current Prices]]-F721)/F721</f>
        <v>0.14485387547649289</v>
      </c>
      <c r="I725" s="2"/>
    </row>
    <row r="726" spans="1:9" x14ac:dyDescent="0.3">
      <c r="A726" s="2" t="s">
        <v>82</v>
      </c>
      <c r="B726" s="2" t="s">
        <v>52</v>
      </c>
      <c r="C726" s="2">
        <v>142</v>
      </c>
      <c r="D726" s="6">
        <f>(Table2_1[[#This Row],[Constant Prices]]-C725)/C725</f>
        <v>3.1227305737109745E-2</v>
      </c>
      <c r="E726" s="6">
        <f>(Table2_1[[#This Row],[Constant Prices]]-C722)/C722</f>
        <v>3.5740335521517182E-2</v>
      </c>
      <c r="F726" s="2">
        <v>175.1</v>
      </c>
      <c r="G726" s="7">
        <f>(Table2_1[[#This Row],[Current Prices]]-F725)/F725</f>
        <v>-2.83018867924528E-2</v>
      </c>
      <c r="H726" s="7">
        <f>(Table2_1[[#This Row],[Current Prices]]-F722)/F722</f>
        <v>8.2869511440940055E-2</v>
      </c>
      <c r="I726" s="2"/>
    </row>
    <row r="727" spans="1:9" x14ac:dyDescent="0.3">
      <c r="A727" s="2" t="s">
        <v>82</v>
      </c>
      <c r="B727" s="2" t="s">
        <v>53</v>
      </c>
      <c r="C727" s="2">
        <v>155</v>
      </c>
      <c r="D727" s="6">
        <f>(Table2_1[[#This Row],[Constant Prices]]-C726)/C726</f>
        <v>9.154929577464789E-2</v>
      </c>
      <c r="E727" s="6">
        <f>(Table2_1[[#This Row],[Constant Prices]]-C723)/C723</f>
        <v>9.5406360424028266E-2</v>
      </c>
      <c r="F727" s="2">
        <v>177</v>
      </c>
      <c r="G727" s="7">
        <f>(Table2_1[[#This Row],[Current Prices]]-F726)/F726</f>
        <v>1.0850942318675076E-2</v>
      </c>
      <c r="H727" s="7">
        <f>(Table2_1[[#This Row],[Current Prices]]-F723)/F723</f>
        <v>6.1151079136690573E-2</v>
      </c>
      <c r="I727" s="2">
        <v>10</v>
      </c>
    </row>
    <row r="728" spans="1:9" x14ac:dyDescent="0.3">
      <c r="A728" s="2" t="s">
        <v>82</v>
      </c>
      <c r="B728" s="2" t="s">
        <v>54</v>
      </c>
      <c r="C728" s="2">
        <v>171.1</v>
      </c>
      <c r="D728" s="6">
        <f>(Table2_1[[#This Row],[Constant Prices]]-C727)/C727</f>
        <v>0.10387096774193545</v>
      </c>
      <c r="E728" s="6">
        <f>(Table2_1[[#This Row],[Constant Prices]]-C724)/C724</f>
        <v>0.25531914893617008</v>
      </c>
      <c r="F728" s="2">
        <v>211.3</v>
      </c>
      <c r="G728" s="7">
        <f>(Table2_1[[#This Row],[Current Prices]]-F727)/F727</f>
        <v>0.19378531073446334</v>
      </c>
      <c r="H728" s="7">
        <f>(Table2_1[[#This Row],[Current Prices]]-F724)/F724</f>
        <v>0.24660766961651925</v>
      </c>
      <c r="I728" s="2"/>
    </row>
    <row r="729" spans="1:9" x14ac:dyDescent="0.3">
      <c r="A729" s="2" t="s">
        <v>82</v>
      </c>
      <c r="B729" s="2" t="s">
        <v>55</v>
      </c>
      <c r="C729" s="2">
        <v>168.1</v>
      </c>
      <c r="D729" s="6">
        <f>(Table2_1[[#This Row],[Constant Prices]]-C728)/C728</f>
        <v>-1.7533606078316773E-2</v>
      </c>
      <c r="E729" s="6">
        <f>(Table2_1[[#This Row],[Constant Prices]]-C725)/C725</f>
        <v>0.22076978939724043</v>
      </c>
      <c r="F729" s="2">
        <v>211.3</v>
      </c>
      <c r="G729" s="7">
        <f>(Table2_1[[#This Row],[Current Prices]]-F728)/F728</f>
        <v>0</v>
      </c>
      <c r="H729" s="7">
        <f>(Table2_1[[#This Row],[Current Prices]]-F725)/F725</f>
        <v>0.17258601553829092</v>
      </c>
      <c r="I729" s="2"/>
    </row>
    <row r="730" spans="1:9" x14ac:dyDescent="0.3">
      <c r="A730" s="2" t="s">
        <v>82</v>
      </c>
      <c r="B730" s="2" t="s">
        <v>56</v>
      </c>
      <c r="C730" s="2">
        <v>169.3</v>
      </c>
      <c r="D730" s="6">
        <f>(Table2_1[[#This Row],[Constant Prices]]-C729)/C729</f>
        <v>7.1386079714456695E-3</v>
      </c>
      <c r="E730" s="6">
        <f>(Table2_1[[#This Row],[Constant Prices]]-C726)/C726</f>
        <v>0.19225352112676064</v>
      </c>
      <c r="F730" s="2">
        <v>205.7</v>
      </c>
      <c r="G730" s="7">
        <f>(Table2_1[[#This Row],[Current Prices]]-F729)/F729</f>
        <v>-2.650260293421686E-2</v>
      </c>
      <c r="H730" s="7">
        <f>(Table2_1[[#This Row],[Current Prices]]-F726)/F726</f>
        <v>0.17475728155339804</v>
      </c>
      <c r="I730" s="2"/>
    </row>
    <row r="731" spans="1:9" x14ac:dyDescent="0.3">
      <c r="A731" s="2" t="s">
        <v>82</v>
      </c>
      <c r="B731" s="2" t="s">
        <v>57</v>
      </c>
      <c r="C731" s="2">
        <v>172.5</v>
      </c>
      <c r="D731" s="6">
        <f>(Table2_1[[#This Row],[Constant Prices]]-C730)/C730</f>
        <v>1.8901358535144644E-2</v>
      </c>
      <c r="E731" s="6">
        <f>(Table2_1[[#This Row],[Constant Prices]]-C727)/C727</f>
        <v>0.11290322580645161</v>
      </c>
      <c r="F731" s="2">
        <v>209.2</v>
      </c>
      <c r="G731" s="7">
        <f>(Table2_1[[#This Row],[Current Prices]]-F730)/F730</f>
        <v>1.7015070491006319E-2</v>
      </c>
      <c r="H731" s="7">
        <f>(Table2_1[[#This Row],[Current Prices]]-F727)/F727</f>
        <v>0.1819209039548022</v>
      </c>
      <c r="I731" s="2">
        <v>11</v>
      </c>
    </row>
    <row r="732" spans="1:9" x14ac:dyDescent="0.3">
      <c r="A732" s="2" t="s">
        <v>82</v>
      </c>
      <c r="B732" s="2" t="s">
        <v>58</v>
      </c>
      <c r="C732" s="2">
        <v>185.3</v>
      </c>
      <c r="D732" s="6">
        <f>(Table2_1[[#This Row],[Constant Prices]]-C731)/C731</f>
        <v>7.4202898550724705E-2</v>
      </c>
      <c r="E732" s="6">
        <f>(Table2_1[[#This Row],[Constant Prices]]-C728)/C728</f>
        <v>8.2992402104032831E-2</v>
      </c>
      <c r="F732" s="2">
        <v>222.5</v>
      </c>
      <c r="G732" s="7">
        <f>(Table2_1[[#This Row],[Current Prices]]-F731)/F731</f>
        <v>6.3575525812619563E-2</v>
      </c>
      <c r="H732" s="7">
        <f>(Table2_1[[#This Row],[Current Prices]]-F728)/F728</f>
        <v>5.300520586843345E-2</v>
      </c>
      <c r="I732" s="2"/>
    </row>
    <row r="733" spans="1:9" x14ac:dyDescent="0.3">
      <c r="A733" s="2" t="s">
        <v>82</v>
      </c>
      <c r="B733" s="2" t="s">
        <v>59</v>
      </c>
      <c r="C733" s="2">
        <v>182.5</v>
      </c>
      <c r="D733" s="6">
        <f>(Table2_1[[#This Row],[Constant Prices]]-C732)/C732</f>
        <v>-1.5110631408526774E-2</v>
      </c>
      <c r="E733" s="6">
        <f>(Table2_1[[#This Row],[Constant Prices]]-C729)/C729</f>
        <v>8.5663295657346858E-2</v>
      </c>
      <c r="F733" s="2">
        <v>217.1</v>
      </c>
      <c r="G733" s="7">
        <f>(Table2_1[[#This Row],[Current Prices]]-F732)/F732</f>
        <v>-2.4269662921348339E-2</v>
      </c>
      <c r="H733" s="7">
        <f>(Table2_1[[#This Row],[Current Prices]]-F729)/F729</f>
        <v>2.7449124467581555E-2</v>
      </c>
      <c r="I733" s="2"/>
    </row>
    <row r="734" spans="1:9" x14ac:dyDescent="0.3">
      <c r="A734" s="2" t="s">
        <v>82</v>
      </c>
      <c r="B734" s="2" t="s">
        <v>60</v>
      </c>
      <c r="C734" s="2">
        <v>182.9</v>
      </c>
      <c r="D734" s="6">
        <f>(Table2_1[[#This Row],[Constant Prices]]-C733)/C733</f>
        <v>2.1917808219178393E-3</v>
      </c>
      <c r="E734" s="6">
        <f>(Table2_1[[#This Row],[Constant Prices]]-C730)/C730</f>
        <v>8.0330773774364997E-2</v>
      </c>
      <c r="F734" s="2">
        <v>207.5</v>
      </c>
      <c r="G734" s="7">
        <f>(Table2_1[[#This Row],[Current Prices]]-F733)/F733</f>
        <v>-4.4219253800092097E-2</v>
      </c>
      <c r="H734" s="7">
        <f>(Table2_1[[#This Row],[Current Prices]]-F730)/F730</f>
        <v>8.7506076810890208E-3</v>
      </c>
      <c r="I734" s="2"/>
    </row>
    <row r="735" spans="1:9" x14ac:dyDescent="0.3">
      <c r="A735" s="2" t="s">
        <v>82</v>
      </c>
      <c r="B735" s="2" t="s">
        <v>61</v>
      </c>
      <c r="C735" s="2">
        <v>183.1</v>
      </c>
      <c r="D735" s="6">
        <f>(Table2_1[[#This Row],[Constant Prices]]-C734)/C734</f>
        <v>1.0934937124110913E-3</v>
      </c>
      <c r="E735" s="6">
        <f>(Table2_1[[#This Row],[Constant Prices]]-C731)/C731</f>
        <v>6.1449275362318805E-2</v>
      </c>
      <c r="F735" s="2">
        <v>208.5</v>
      </c>
      <c r="G735" s="7">
        <f>(Table2_1[[#This Row],[Current Prices]]-F734)/F734</f>
        <v>4.8192771084337354E-3</v>
      </c>
      <c r="H735" s="7">
        <f>(Table2_1[[#This Row],[Current Prices]]-F731)/F731</f>
        <v>-3.3460803059272883E-3</v>
      </c>
      <c r="I735" s="2">
        <v>12</v>
      </c>
    </row>
    <row r="736" spans="1:9" x14ac:dyDescent="0.3">
      <c r="A736" s="2" t="s">
        <v>82</v>
      </c>
      <c r="B736" s="2" t="s">
        <v>62</v>
      </c>
      <c r="C736" s="2">
        <v>188.7</v>
      </c>
      <c r="D736" s="6">
        <f>(Table2_1[[#This Row],[Constant Prices]]-C735)/C735</f>
        <v>3.0584380120152892E-2</v>
      </c>
      <c r="E736" s="6">
        <f>(Table2_1[[#This Row],[Constant Prices]]-C732)/C732</f>
        <v>1.8348623853210885E-2</v>
      </c>
      <c r="F736" s="2">
        <v>245.3</v>
      </c>
      <c r="G736" s="7">
        <f>(Table2_1[[#This Row],[Current Prices]]-F735)/F735</f>
        <v>0.17649880095923268</v>
      </c>
      <c r="H736" s="7">
        <f>(Table2_1[[#This Row],[Current Prices]]-F732)/F732</f>
        <v>0.10247191011235961</v>
      </c>
      <c r="I736" s="2"/>
    </row>
    <row r="737" spans="1:9" x14ac:dyDescent="0.3">
      <c r="A737" s="2" t="s">
        <v>82</v>
      </c>
      <c r="B737" s="2" t="s">
        <v>63</v>
      </c>
      <c r="C737" s="2">
        <v>190</v>
      </c>
      <c r="D737" s="6">
        <f>(Table2_1[[#This Row],[Constant Prices]]-C736)/C736</f>
        <v>6.8892421833598909E-3</v>
      </c>
      <c r="E737" s="6">
        <f>(Table2_1[[#This Row],[Constant Prices]]-C733)/C733</f>
        <v>4.1095890410958902E-2</v>
      </c>
      <c r="F737" s="2">
        <v>246.2</v>
      </c>
      <c r="G737" s="7">
        <f>(Table2_1[[#This Row],[Current Prices]]-F736)/F736</f>
        <v>3.6689767631470738E-3</v>
      </c>
      <c r="H737" s="7">
        <f>(Table2_1[[#This Row],[Current Prices]]-F733)/F733</f>
        <v>0.13403961308152923</v>
      </c>
      <c r="I737" s="2"/>
    </row>
    <row r="738" spans="1:9" x14ac:dyDescent="0.3">
      <c r="A738" s="2" t="s">
        <v>82</v>
      </c>
      <c r="B738" s="2" t="s">
        <v>64</v>
      </c>
      <c r="C738" s="2">
        <v>189.9</v>
      </c>
      <c r="D738" s="6">
        <f>(Table2_1[[#This Row],[Constant Prices]]-C737)/C737</f>
        <v>-5.2631578947365427E-4</v>
      </c>
      <c r="E738" s="6">
        <f>(Table2_1[[#This Row],[Constant Prices]]-C734)/C734</f>
        <v>3.8272279934390377E-2</v>
      </c>
      <c r="F738" s="2">
        <v>238.2</v>
      </c>
      <c r="G738" s="7">
        <f>(Table2_1[[#This Row],[Current Prices]]-F737)/F737</f>
        <v>-3.2493907392363935E-2</v>
      </c>
      <c r="H738" s="7">
        <f>(Table2_1[[#This Row],[Current Prices]]-F734)/F734</f>
        <v>0.1479518072289156</v>
      </c>
      <c r="I738" s="2"/>
    </row>
    <row r="739" spans="1:9" x14ac:dyDescent="0.3">
      <c r="A739" s="2" t="s">
        <v>82</v>
      </c>
      <c r="B739" s="2" t="s">
        <v>65</v>
      </c>
      <c r="C739" s="2">
        <v>189.8</v>
      </c>
      <c r="D739" s="6">
        <f>(Table2_1[[#This Row],[Constant Prices]]-C738)/C738</f>
        <v>-5.2659294365452506E-4</v>
      </c>
      <c r="E739" s="6">
        <f>(Table2_1[[#This Row],[Constant Prices]]-C735)/C735</f>
        <v>3.6592026215183052E-2</v>
      </c>
      <c r="F739" s="2">
        <v>241.7</v>
      </c>
      <c r="G739" s="7">
        <f>(Table2_1[[#This Row],[Current Prices]]-F738)/F738</f>
        <v>1.4693534844668347E-2</v>
      </c>
      <c r="H739" s="7">
        <f>(Table2_1[[#This Row],[Current Prices]]-F735)/F735</f>
        <v>0.15923261390887286</v>
      </c>
      <c r="I739" s="2">
        <v>13</v>
      </c>
    </row>
    <row r="740" spans="1:9" x14ac:dyDescent="0.3">
      <c r="A740" s="2" t="s">
        <v>82</v>
      </c>
      <c r="B740" s="2" t="s">
        <v>66</v>
      </c>
      <c r="C740" s="2">
        <v>183.5</v>
      </c>
      <c r="D740" s="6">
        <f>(Table2_1[[#This Row],[Constant Prices]]-C739)/C739</f>
        <v>-3.3192834562697636E-2</v>
      </c>
      <c r="E740" s="6">
        <f>(Table2_1[[#This Row],[Constant Prices]]-C736)/C736</f>
        <v>-2.7556968733439262E-2</v>
      </c>
      <c r="F740" s="2">
        <v>257.2</v>
      </c>
      <c r="G740" s="7">
        <f>(Table2_1[[#This Row],[Current Prices]]-F739)/F739</f>
        <v>6.4129085643359535E-2</v>
      </c>
      <c r="H740" s="7">
        <f>(Table2_1[[#This Row],[Current Prices]]-F736)/F736</f>
        <v>4.8512026090501335E-2</v>
      </c>
      <c r="I740" s="2"/>
    </row>
    <row r="741" spans="1:9" x14ac:dyDescent="0.3">
      <c r="A741" s="2" t="s">
        <v>82</v>
      </c>
      <c r="B741" s="2" t="s">
        <v>67</v>
      </c>
      <c r="C741" s="2">
        <v>186.3</v>
      </c>
      <c r="D741" s="6">
        <f>(Table2_1[[#This Row],[Constant Prices]]-C740)/C740</f>
        <v>1.5258855585831125E-2</v>
      </c>
      <c r="E741" s="6">
        <f>(Table2_1[[#This Row],[Constant Prices]]-C737)/C737</f>
        <v>-1.9473684210526258E-2</v>
      </c>
      <c r="F741" s="2">
        <v>261.2</v>
      </c>
      <c r="G741" s="7">
        <f>(Table2_1[[#This Row],[Current Prices]]-F740)/F740</f>
        <v>1.5552099533437015E-2</v>
      </c>
      <c r="H741" s="7">
        <f>(Table2_1[[#This Row],[Current Prices]]-F737)/F737</f>
        <v>6.0926076360682375E-2</v>
      </c>
      <c r="I741" s="2"/>
    </row>
    <row r="742" spans="1:9" x14ac:dyDescent="0.3">
      <c r="A742" s="2" t="s">
        <v>82</v>
      </c>
      <c r="B742" s="2" t="s">
        <v>68</v>
      </c>
      <c r="C742" s="2">
        <v>182.1</v>
      </c>
      <c r="D742" s="6">
        <f>(Table2_1[[#This Row],[Constant Prices]]-C741)/C741</f>
        <v>-2.2544283413848721E-2</v>
      </c>
      <c r="E742" s="6">
        <f>(Table2_1[[#This Row],[Constant Prices]]-C738)/C738</f>
        <v>-4.1074249605055353E-2</v>
      </c>
      <c r="F742" s="2">
        <v>253.6</v>
      </c>
      <c r="G742" s="7">
        <f>(Table2_1[[#This Row],[Current Prices]]-F741)/F741</f>
        <v>-2.9096477794793241E-2</v>
      </c>
      <c r="H742" s="7">
        <f>(Table2_1[[#This Row],[Current Prices]]-F738)/F738</f>
        <v>6.4651553316540752E-2</v>
      </c>
      <c r="I742" s="2"/>
    </row>
    <row r="743" spans="1:9" x14ac:dyDescent="0.3">
      <c r="A743" s="2" t="s">
        <v>82</v>
      </c>
      <c r="B743" s="2" t="s">
        <v>69</v>
      </c>
      <c r="C743" s="2">
        <v>187.8</v>
      </c>
      <c r="D743" s="6">
        <f>(Table2_1[[#This Row],[Constant Prices]]-C742)/C742</f>
        <v>3.1301482701812287E-2</v>
      </c>
      <c r="E743" s="6">
        <f>(Table2_1[[#This Row],[Constant Prices]]-C739)/C739</f>
        <v>-1.053740779768177E-2</v>
      </c>
      <c r="F743" s="5">
        <f>Table2_1[[#This Row],[Constant Prices]]*AVERAGE(Inflation!$C$72:$C$74)*0.01</f>
        <v>339.98060000000004</v>
      </c>
      <c r="G743" s="7">
        <f>(Table2_1[[#This Row],[Current Prices]]-F742)/F742</f>
        <v>0.34061750788643552</v>
      </c>
      <c r="H743" s="7">
        <f>(Table2_1[[#This Row],[Current Prices]]-F739)/F739</f>
        <v>0.40662225899875903</v>
      </c>
      <c r="I743" s="2">
        <v>14</v>
      </c>
    </row>
    <row r="744" spans="1:9" x14ac:dyDescent="0.3">
      <c r="A744" s="2" t="s">
        <v>82</v>
      </c>
      <c r="B744" s="2" t="s">
        <v>70</v>
      </c>
      <c r="C744" s="2">
        <v>189</v>
      </c>
      <c r="D744" s="6">
        <f>(Table2_1[[#This Row],[Constant Prices]]-C743)/C743</f>
        <v>6.3897763578274151E-3</v>
      </c>
      <c r="E744" s="6">
        <f>(Table2_1[[#This Row],[Constant Prices]]-C740)/C740</f>
        <v>2.9972752043596729E-2</v>
      </c>
      <c r="F744" s="5">
        <f>Table2_1[[#This Row],[Constant Prices]]*AVERAGE(Inflation!$C$75:$C$77)*0.01</f>
        <v>344.79899999999992</v>
      </c>
      <c r="G744" s="7">
        <f>(Table2_1[[#This Row],[Current Prices]]-F743)/F743</f>
        <v>1.4172573376245241E-2</v>
      </c>
      <c r="H744" s="7">
        <f>(Table2_1[[#This Row],[Current Prices]]-F740)/F740</f>
        <v>0.34058709175738699</v>
      </c>
      <c r="I744" s="2"/>
    </row>
    <row r="745" spans="1:9" x14ac:dyDescent="0.3">
      <c r="A745" s="2" t="s">
        <v>82</v>
      </c>
      <c r="B745" s="2" t="s">
        <v>71</v>
      </c>
      <c r="C745" s="2">
        <v>191.4</v>
      </c>
      <c r="D745" s="6">
        <f>(Table2_1[[#This Row],[Constant Prices]]-C744)/C744</f>
        <v>1.2698412698412728E-2</v>
      </c>
      <c r="E745" s="6">
        <f>(Table2_1[[#This Row],[Constant Prices]]-C741)/C741</f>
        <v>2.7375201288244735E-2</v>
      </c>
      <c r="F745" s="5">
        <f>Table2_1[[#This Row],[Constant Prices]]*AVERAGE(Inflation!$C$78:$C$80)*0.01</f>
        <v>354.72800000000001</v>
      </c>
      <c r="G745" s="7">
        <f>(Table2_1[[#This Row],[Current Prices]]-F744)/F744</f>
        <v>2.8796487228791526E-2</v>
      </c>
      <c r="H745" s="7">
        <f>(Table2_1[[#This Row],[Current Prices]]-F741)/F741</f>
        <v>0.35807044410413486</v>
      </c>
      <c r="I745" s="2"/>
    </row>
    <row r="746" spans="1:9" x14ac:dyDescent="0.3">
      <c r="A746" s="2" t="s">
        <v>83</v>
      </c>
      <c r="B746" s="2" t="s">
        <v>10</v>
      </c>
      <c r="C746" s="2">
        <v>1080.9000000000001</v>
      </c>
      <c r="D746" s="6"/>
      <c r="E746" s="6"/>
      <c r="F746" s="2">
        <v>860.6</v>
      </c>
      <c r="G746" s="7"/>
      <c r="H746" s="7"/>
      <c r="I746" s="2"/>
    </row>
    <row r="747" spans="1:9" x14ac:dyDescent="0.3">
      <c r="A747" s="2" t="s">
        <v>83</v>
      </c>
      <c r="B747" s="2" t="s">
        <v>11</v>
      </c>
      <c r="C747" s="2">
        <v>1071.7</v>
      </c>
      <c r="D747" s="6">
        <f>(Table2_1[[#This Row],[Constant Prices]]-C746)/C746</f>
        <v>-8.5114256637987273E-3</v>
      </c>
      <c r="E747" s="6"/>
      <c r="F747" s="2">
        <v>877.1</v>
      </c>
      <c r="G747" s="7">
        <f>(Table2_1[[#This Row],[Current Prices]]-F746)/F746</f>
        <v>1.9172670230072041E-2</v>
      </c>
      <c r="H747" s="7"/>
      <c r="I747" s="2"/>
    </row>
    <row r="748" spans="1:9" x14ac:dyDescent="0.3">
      <c r="A748" s="2" t="s">
        <v>83</v>
      </c>
      <c r="B748" s="2" t="s">
        <v>12</v>
      </c>
      <c r="C748" s="2">
        <v>1138</v>
      </c>
      <c r="D748" s="6">
        <f>(Table2_1[[#This Row],[Constant Prices]]-C747)/C747</f>
        <v>6.1864327703648365E-2</v>
      </c>
      <c r="E748" s="6"/>
      <c r="F748" s="2">
        <v>901.9</v>
      </c>
      <c r="G748" s="7">
        <f>(Table2_1[[#This Row],[Current Prices]]-F747)/F747</f>
        <v>2.8274997149697816E-2</v>
      </c>
      <c r="H748" s="7"/>
      <c r="I748" s="2"/>
    </row>
    <row r="749" spans="1:9" x14ac:dyDescent="0.3">
      <c r="A749" s="2" t="s">
        <v>83</v>
      </c>
      <c r="B749" s="2" t="s">
        <v>13</v>
      </c>
      <c r="C749" s="2">
        <v>1209.2</v>
      </c>
      <c r="D749" s="6">
        <f>(Table2_1[[#This Row],[Constant Prices]]-C748)/C748</f>
        <v>6.2565905096660851E-2</v>
      </c>
      <c r="E749" s="6"/>
      <c r="F749" s="2">
        <v>915.5</v>
      </c>
      <c r="G749" s="7">
        <f>(Table2_1[[#This Row],[Current Prices]]-F748)/F748</f>
        <v>1.5079277081716401E-2</v>
      </c>
      <c r="H749" s="7"/>
      <c r="I749" s="2"/>
    </row>
    <row r="750" spans="1:9" x14ac:dyDescent="0.3">
      <c r="A750" s="2" t="s">
        <v>83</v>
      </c>
      <c r="B750" s="2" t="s">
        <v>14</v>
      </c>
      <c r="C750" s="2">
        <v>1110.5</v>
      </c>
      <c r="D750" s="6">
        <f>(Table2_1[[#This Row],[Constant Prices]]-C749)/C749</f>
        <v>-8.1624214356599445E-2</v>
      </c>
      <c r="E750" s="6">
        <f>(Table2_1[[#This Row],[Constant Prices]]-C746)/C746</f>
        <v>2.738458691830873E-2</v>
      </c>
      <c r="F750" s="2">
        <v>913.3</v>
      </c>
      <c r="G750" s="7">
        <f>(Table2_1[[#This Row],[Current Prices]]-F749)/F749</f>
        <v>-2.403058438012065E-3</v>
      </c>
      <c r="H750" s="7">
        <f>(Table2_1[[#This Row],[Current Prices]]-F746)/F746</f>
        <v>6.1236346734836078E-2</v>
      </c>
      <c r="I750" s="2"/>
    </row>
    <row r="751" spans="1:9" x14ac:dyDescent="0.3">
      <c r="A751" s="2" t="s">
        <v>83</v>
      </c>
      <c r="B751" s="2" t="s">
        <v>15</v>
      </c>
      <c r="C751" s="2">
        <v>1111.0999999999999</v>
      </c>
      <c r="D751" s="6">
        <f>(Table2_1[[#This Row],[Constant Prices]]-C750)/C750</f>
        <v>5.4029716343980999E-4</v>
      </c>
      <c r="E751" s="6">
        <f>(Table2_1[[#This Row],[Constant Prices]]-C747)/C747</f>
        <v>3.6764019781655187E-2</v>
      </c>
      <c r="F751" s="2">
        <v>945.4</v>
      </c>
      <c r="G751" s="7">
        <f>(Table2_1[[#This Row],[Current Prices]]-F750)/F750</f>
        <v>3.5147268148472598E-2</v>
      </c>
      <c r="H751" s="7">
        <f>(Table2_1[[#This Row],[Current Prices]]-F747)/F747</f>
        <v>7.7870254246950127E-2</v>
      </c>
      <c r="I751" s="2"/>
    </row>
    <row r="752" spans="1:9" x14ac:dyDescent="0.3">
      <c r="A752" s="2" t="s">
        <v>83</v>
      </c>
      <c r="B752" s="2" t="s">
        <v>16</v>
      </c>
      <c r="C752" s="2">
        <v>1104.5999999999999</v>
      </c>
      <c r="D752" s="6">
        <f>(Table2_1[[#This Row],[Constant Prices]]-C751)/C751</f>
        <v>-5.8500585005850066E-3</v>
      </c>
      <c r="E752" s="6">
        <f>(Table2_1[[#This Row],[Constant Prices]]-C748)/C748</f>
        <v>-2.9349736379613436E-2</v>
      </c>
      <c r="F752" s="2">
        <v>959.7</v>
      </c>
      <c r="G752" s="7">
        <f>(Table2_1[[#This Row],[Current Prices]]-F751)/F751</f>
        <v>1.5125872646498909E-2</v>
      </c>
      <c r="H752" s="7">
        <f>(Table2_1[[#This Row],[Current Prices]]-F748)/F748</f>
        <v>6.4086927597294674E-2</v>
      </c>
      <c r="I752" s="2"/>
    </row>
    <row r="753" spans="1:9" x14ac:dyDescent="0.3">
      <c r="A753" s="2" t="s">
        <v>83</v>
      </c>
      <c r="B753" s="2" t="s">
        <v>17</v>
      </c>
      <c r="C753" s="2">
        <v>1114</v>
      </c>
      <c r="D753" s="6">
        <f>(Table2_1[[#This Row],[Constant Prices]]-C752)/C752</f>
        <v>8.5098678254572624E-3</v>
      </c>
      <c r="E753" s="6">
        <f>(Table2_1[[#This Row],[Constant Prices]]-C749)/C749</f>
        <v>-7.8729738670195198E-2</v>
      </c>
      <c r="F753" s="2">
        <v>988.5</v>
      </c>
      <c r="G753" s="7">
        <f>(Table2_1[[#This Row],[Current Prices]]-F752)/F752</f>
        <v>3.0009377930603265E-2</v>
      </c>
      <c r="H753" s="7">
        <f>(Table2_1[[#This Row],[Current Prices]]-F749)/F749</f>
        <v>7.9737848170398695E-2</v>
      </c>
      <c r="I753" s="2">
        <v>1</v>
      </c>
    </row>
    <row r="754" spans="1:9" x14ac:dyDescent="0.3">
      <c r="A754" s="2" t="s">
        <v>83</v>
      </c>
      <c r="B754" s="2" t="s">
        <v>18</v>
      </c>
      <c r="C754" s="2">
        <v>1135.8</v>
      </c>
      <c r="D754" s="6">
        <f>(Table2_1[[#This Row],[Constant Prices]]-C753)/C753</f>
        <v>1.9569120287253102E-2</v>
      </c>
      <c r="E754" s="6">
        <f>(Table2_1[[#This Row],[Constant Prices]]-C750)/C750</f>
        <v>2.2782530391715402E-2</v>
      </c>
      <c r="F754" s="2">
        <v>998.3</v>
      </c>
      <c r="G754" s="7">
        <f>(Table2_1[[#This Row],[Current Prices]]-F753)/F753</f>
        <v>9.9140111279716284E-3</v>
      </c>
      <c r="H754" s="7">
        <f>(Table2_1[[#This Row],[Current Prices]]-F750)/F750</f>
        <v>9.306909011277785E-2</v>
      </c>
      <c r="I754" s="2"/>
    </row>
    <row r="755" spans="1:9" x14ac:dyDescent="0.3">
      <c r="A755" s="2" t="s">
        <v>83</v>
      </c>
      <c r="B755" s="2" t="s">
        <v>19</v>
      </c>
      <c r="C755" s="2">
        <v>1148.7</v>
      </c>
      <c r="D755" s="6">
        <f>(Table2_1[[#This Row],[Constant Prices]]-C754)/C754</f>
        <v>1.1357633386159615E-2</v>
      </c>
      <c r="E755" s="6">
        <f>(Table2_1[[#This Row],[Constant Prices]]-C751)/C751</f>
        <v>3.3840338403384157E-2</v>
      </c>
      <c r="F755" s="2">
        <v>1010.7</v>
      </c>
      <c r="G755" s="7">
        <f>(Table2_1[[#This Row],[Current Prices]]-F754)/F754</f>
        <v>1.2421115897025034E-2</v>
      </c>
      <c r="H755" s="7">
        <f>(Table2_1[[#This Row],[Current Prices]]-F751)/F751</f>
        <v>6.9071292574571688E-2</v>
      </c>
      <c r="I755" s="2"/>
    </row>
    <row r="756" spans="1:9" x14ac:dyDescent="0.3">
      <c r="A756" s="2" t="s">
        <v>83</v>
      </c>
      <c r="B756" s="2" t="s">
        <v>20</v>
      </c>
      <c r="C756" s="2">
        <v>1159.5</v>
      </c>
      <c r="D756" s="6">
        <f>(Table2_1[[#This Row],[Constant Prices]]-C755)/C755</f>
        <v>9.4019326194828539E-3</v>
      </c>
      <c r="E756" s="6">
        <f>(Table2_1[[#This Row],[Constant Prices]]-C752)/C752</f>
        <v>4.9701249321021268E-2</v>
      </c>
      <c r="F756" s="2">
        <v>1019.1</v>
      </c>
      <c r="G756" s="7">
        <f>(Table2_1[[#This Row],[Current Prices]]-F755)/F755</f>
        <v>8.311071534579972E-3</v>
      </c>
      <c r="H756" s="7">
        <f>(Table2_1[[#This Row],[Current Prices]]-F752)/F752</f>
        <v>6.1894341981869307E-2</v>
      </c>
      <c r="I756" s="2"/>
    </row>
    <row r="757" spans="1:9" x14ac:dyDescent="0.3">
      <c r="A757" s="2" t="s">
        <v>83</v>
      </c>
      <c r="B757" s="2" t="s">
        <v>21</v>
      </c>
      <c r="C757" s="2">
        <v>1171.5</v>
      </c>
      <c r="D757" s="6">
        <f>(Table2_1[[#This Row],[Constant Prices]]-C756)/C756</f>
        <v>1.034928848641656E-2</v>
      </c>
      <c r="E757" s="6">
        <f>(Table2_1[[#This Row],[Constant Prices]]-C753)/C753</f>
        <v>5.1615798922800715E-2</v>
      </c>
      <c r="F757" s="2">
        <v>1043.4000000000001</v>
      </c>
      <c r="G757" s="7">
        <f>(Table2_1[[#This Row],[Current Prices]]-F756)/F756</f>
        <v>2.3844568737121055E-2</v>
      </c>
      <c r="H757" s="7">
        <f>(Table2_1[[#This Row],[Current Prices]]-F753)/F753</f>
        <v>5.5538694992412839E-2</v>
      </c>
      <c r="I757" s="2">
        <v>2</v>
      </c>
    </row>
    <row r="758" spans="1:9" x14ac:dyDescent="0.3">
      <c r="A758" s="2" t="s">
        <v>83</v>
      </c>
      <c r="B758" s="2" t="s">
        <v>22</v>
      </c>
      <c r="C758" s="2">
        <v>1170.7</v>
      </c>
      <c r="D758" s="6">
        <f>(Table2_1[[#This Row],[Constant Prices]]-C757)/C757</f>
        <v>-6.8288518992740458E-4</v>
      </c>
      <c r="E758" s="6">
        <f>(Table2_1[[#This Row],[Constant Prices]]-C754)/C754</f>
        <v>3.0727240711392934E-2</v>
      </c>
      <c r="F758" s="2">
        <v>1061.2</v>
      </c>
      <c r="G758" s="7">
        <f>(Table2_1[[#This Row],[Current Prices]]-F757)/F757</f>
        <v>1.7059612804293609E-2</v>
      </c>
      <c r="H758" s="7">
        <f>(Table2_1[[#This Row],[Current Prices]]-F754)/F754</f>
        <v>6.300711209055404E-2</v>
      </c>
      <c r="I758" s="2"/>
    </row>
    <row r="759" spans="1:9" x14ac:dyDescent="0.3">
      <c r="A759" s="2" t="s">
        <v>83</v>
      </c>
      <c r="B759" s="2" t="s">
        <v>23</v>
      </c>
      <c r="C759" s="2">
        <v>1186.7</v>
      </c>
      <c r="D759" s="6">
        <f>(Table2_1[[#This Row],[Constant Prices]]-C758)/C758</f>
        <v>1.3667036815580421E-2</v>
      </c>
      <c r="E759" s="6">
        <f>(Table2_1[[#This Row],[Constant Prices]]-C755)/C755</f>
        <v>3.3080874031513885E-2</v>
      </c>
      <c r="F759" s="2">
        <v>1081.7</v>
      </c>
      <c r="G759" s="7">
        <f>(Table2_1[[#This Row],[Current Prices]]-F758)/F758</f>
        <v>1.9317753486618922E-2</v>
      </c>
      <c r="H759" s="7">
        <f>(Table2_1[[#This Row],[Current Prices]]-F755)/F755</f>
        <v>7.0248342732759469E-2</v>
      </c>
      <c r="I759" s="2"/>
    </row>
    <row r="760" spans="1:9" x14ac:dyDescent="0.3">
      <c r="A760" s="2" t="s">
        <v>83</v>
      </c>
      <c r="B760" s="2" t="s">
        <v>24</v>
      </c>
      <c r="C760" s="2">
        <v>1194.5</v>
      </c>
      <c r="D760" s="6">
        <f>(Table2_1[[#This Row],[Constant Prices]]-C759)/C759</f>
        <v>6.572849077273072E-3</v>
      </c>
      <c r="E760" s="6">
        <f>(Table2_1[[#This Row],[Constant Prices]]-C756)/C756</f>
        <v>3.0185424752048298E-2</v>
      </c>
      <c r="F760" s="2">
        <v>1091.7</v>
      </c>
      <c r="G760" s="7">
        <f>(Table2_1[[#This Row],[Current Prices]]-F759)/F759</f>
        <v>9.2447074050106305E-3</v>
      </c>
      <c r="H760" s="7">
        <f>(Table2_1[[#This Row],[Current Prices]]-F756)/F756</f>
        <v>7.1239328819546685E-2</v>
      </c>
      <c r="I760" s="2"/>
    </row>
    <row r="761" spans="1:9" x14ac:dyDescent="0.3">
      <c r="A761" s="2" t="s">
        <v>83</v>
      </c>
      <c r="B761" s="2" t="s">
        <v>25</v>
      </c>
      <c r="C761" s="2">
        <v>1210.3</v>
      </c>
      <c r="D761" s="6">
        <f>(Table2_1[[#This Row],[Constant Prices]]-C760)/C760</f>
        <v>1.3227291753871875E-2</v>
      </c>
      <c r="E761" s="6">
        <f>(Table2_1[[#This Row],[Constant Prices]]-C757)/C757</f>
        <v>3.311993171148097E-2</v>
      </c>
      <c r="F761" s="2">
        <v>1082.3</v>
      </c>
      <c r="G761" s="7">
        <f>(Table2_1[[#This Row],[Current Prices]]-F760)/F760</f>
        <v>-8.610424109187588E-3</v>
      </c>
      <c r="H761" s="7">
        <f>(Table2_1[[#This Row],[Current Prices]]-F757)/F757</f>
        <v>3.7281962813877571E-2</v>
      </c>
      <c r="I761" s="2">
        <v>3</v>
      </c>
    </row>
    <row r="762" spans="1:9" x14ac:dyDescent="0.3">
      <c r="A762" s="2" t="s">
        <v>83</v>
      </c>
      <c r="B762" s="2" t="s">
        <v>26</v>
      </c>
      <c r="C762" s="2">
        <v>1224.7</v>
      </c>
      <c r="D762" s="6">
        <f>(Table2_1[[#This Row],[Constant Prices]]-C761)/C761</f>
        <v>1.1897876559530771E-2</v>
      </c>
      <c r="E762" s="6">
        <f>(Table2_1[[#This Row],[Constant Prices]]-C758)/C758</f>
        <v>4.612624925258392E-2</v>
      </c>
      <c r="F762" s="2">
        <v>1134.8</v>
      </c>
      <c r="G762" s="7">
        <f>(Table2_1[[#This Row],[Current Prices]]-F761)/F761</f>
        <v>4.8507807447103396E-2</v>
      </c>
      <c r="H762" s="7">
        <f>(Table2_1[[#This Row],[Current Prices]]-F758)/F758</f>
        <v>6.9355446664153705E-2</v>
      </c>
      <c r="I762" s="2"/>
    </row>
    <row r="763" spans="1:9" x14ac:dyDescent="0.3">
      <c r="A763" s="2" t="s">
        <v>83</v>
      </c>
      <c r="B763" s="2" t="s">
        <v>27</v>
      </c>
      <c r="C763" s="2">
        <v>1235.0999999999999</v>
      </c>
      <c r="D763" s="6">
        <f>(Table2_1[[#This Row],[Constant Prices]]-C762)/C762</f>
        <v>8.491875561361854E-3</v>
      </c>
      <c r="E763" s="6">
        <f>(Table2_1[[#This Row],[Constant Prices]]-C759)/C759</f>
        <v>4.0785371197438157E-2</v>
      </c>
      <c r="F763" s="2">
        <v>1150.2</v>
      </c>
      <c r="G763" s="7">
        <f>(Table2_1[[#This Row],[Current Prices]]-F762)/F762</f>
        <v>1.3570673246387109E-2</v>
      </c>
      <c r="H763" s="7">
        <f>(Table2_1[[#This Row],[Current Prices]]-F759)/F759</f>
        <v>6.3326245724322827E-2</v>
      </c>
      <c r="I763" s="2"/>
    </row>
    <row r="764" spans="1:9" x14ac:dyDescent="0.3">
      <c r="A764" s="2" t="s">
        <v>83</v>
      </c>
      <c r="B764" s="2" t="s">
        <v>28</v>
      </c>
      <c r="C764" s="2">
        <v>1245.0999999999999</v>
      </c>
      <c r="D764" s="6">
        <f>(Table2_1[[#This Row],[Constant Prices]]-C763)/C763</f>
        <v>8.0965104040158706E-3</v>
      </c>
      <c r="E764" s="6">
        <f>(Table2_1[[#This Row],[Constant Prices]]-C760)/C760</f>
        <v>4.2360820426956811E-2</v>
      </c>
      <c r="F764" s="2">
        <v>1167.0999999999999</v>
      </c>
      <c r="G764" s="7">
        <f>(Table2_1[[#This Row],[Current Prices]]-F763)/F763</f>
        <v>1.4693096852721146E-2</v>
      </c>
      <c r="H764" s="7">
        <f>(Table2_1[[#This Row],[Current Prices]]-F760)/F760</f>
        <v>6.9066593386461358E-2</v>
      </c>
      <c r="I764" s="2"/>
    </row>
    <row r="765" spans="1:9" x14ac:dyDescent="0.3">
      <c r="A765" s="2" t="s">
        <v>83</v>
      </c>
      <c r="B765" s="2" t="s">
        <v>29</v>
      </c>
      <c r="C765" s="2">
        <v>1224.7</v>
      </c>
      <c r="D765" s="6">
        <f>(Table2_1[[#This Row],[Constant Prices]]-C764)/C764</f>
        <v>-1.6384226166572858E-2</v>
      </c>
      <c r="E765" s="6">
        <f>(Table2_1[[#This Row],[Constant Prices]]-C761)/C761</f>
        <v>1.1897876559530771E-2</v>
      </c>
      <c r="F765" s="2">
        <v>1176.0999999999999</v>
      </c>
      <c r="G765" s="7">
        <f>(Table2_1[[#This Row],[Current Prices]]-F764)/F764</f>
        <v>7.7114214720246776E-3</v>
      </c>
      <c r="H765" s="7">
        <f>(Table2_1[[#This Row],[Current Prices]]-F761)/F761</f>
        <v>8.6667282638824686E-2</v>
      </c>
      <c r="I765" s="2">
        <v>4</v>
      </c>
    </row>
    <row r="766" spans="1:9" x14ac:dyDescent="0.3">
      <c r="A766" s="2" t="s">
        <v>83</v>
      </c>
      <c r="B766" s="2" t="s">
        <v>30</v>
      </c>
      <c r="C766" s="2">
        <v>1156.8</v>
      </c>
      <c r="D766" s="6">
        <f>(Table2_1[[#This Row],[Constant Prices]]-C765)/C765</f>
        <v>-5.5442149097738293E-2</v>
      </c>
      <c r="E766" s="6">
        <f>(Table2_1[[#This Row],[Constant Prices]]-C762)/C762</f>
        <v>-5.5442149097738293E-2</v>
      </c>
      <c r="F766" s="2">
        <v>1168.3</v>
      </c>
      <c r="G766" s="7">
        <f>(Table2_1[[#This Row],[Current Prices]]-F765)/F765</f>
        <v>-6.6320891080690033E-3</v>
      </c>
      <c r="H766" s="7">
        <f>(Table2_1[[#This Row],[Current Prices]]-F762)/F762</f>
        <v>2.9520620373634121E-2</v>
      </c>
      <c r="I766" s="2"/>
    </row>
    <row r="767" spans="1:9" x14ac:dyDescent="0.3">
      <c r="A767" s="2" t="s">
        <v>83</v>
      </c>
      <c r="B767" s="2" t="s">
        <v>31</v>
      </c>
      <c r="C767" s="2">
        <v>1204.2</v>
      </c>
      <c r="D767" s="6">
        <f>(Table2_1[[#This Row],[Constant Prices]]-C766)/C766</f>
        <v>4.0975103734439917E-2</v>
      </c>
      <c r="E767" s="6">
        <f>(Table2_1[[#This Row],[Constant Prices]]-C763)/C763</f>
        <v>-2.5018217148408926E-2</v>
      </c>
      <c r="F767" s="2">
        <v>1185.8</v>
      </c>
      <c r="G767" s="7">
        <f>(Table2_1[[#This Row],[Current Prices]]-F766)/F766</f>
        <v>1.4979029358897543E-2</v>
      </c>
      <c r="H767" s="7">
        <f>(Table2_1[[#This Row],[Current Prices]]-F763)/F763</f>
        <v>3.0951138932359509E-2</v>
      </c>
      <c r="I767" s="2"/>
    </row>
    <row r="768" spans="1:9" x14ac:dyDescent="0.3">
      <c r="A768" s="2" t="s">
        <v>83</v>
      </c>
      <c r="B768" s="2" t="s">
        <v>32</v>
      </c>
      <c r="C768" s="2">
        <v>1202.4000000000001</v>
      </c>
      <c r="D768" s="6">
        <f>(Table2_1[[#This Row],[Constant Prices]]-C767)/C767</f>
        <v>-1.4947683109117708E-3</v>
      </c>
      <c r="E768" s="6">
        <f>(Table2_1[[#This Row],[Constant Prices]]-C764)/C764</f>
        <v>-3.4294434181993273E-2</v>
      </c>
      <c r="F768" s="2">
        <v>1202.4000000000001</v>
      </c>
      <c r="G768" s="7">
        <f>(Table2_1[[#This Row],[Current Prices]]-F767)/F767</f>
        <v>1.3998988024962166E-2</v>
      </c>
      <c r="H768" s="7">
        <f>(Table2_1[[#This Row],[Current Prices]]-F764)/F764</f>
        <v>3.0245908662496945E-2</v>
      </c>
      <c r="I768" s="2"/>
    </row>
    <row r="769" spans="1:9" x14ac:dyDescent="0.3">
      <c r="A769" s="2" t="s">
        <v>83</v>
      </c>
      <c r="B769" s="2" t="s">
        <v>33</v>
      </c>
      <c r="C769" s="2">
        <v>1213.3</v>
      </c>
      <c r="D769" s="6">
        <f>(Table2_1[[#This Row],[Constant Prices]]-C768)/C768</f>
        <v>9.0652029274782622E-3</v>
      </c>
      <c r="E769" s="6">
        <f>(Table2_1[[#This Row],[Constant Prices]]-C765)/C765</f>
        <v>-9.3084020576468442E-3</v>
      </c>
      <c r="F769" s="2">
        <v>1220.3</v>
      </c>
      <c r="G769" s="7">
        <f>(Table2_1[[#This Row],[Current Prices]]-F768)/F768</f>
        <v>1.4886892880904742E-2</v>
      </c>
      <c r="H769" s="7">
        <f>(Table2_1[[#This Row],[Current Prices]]-F765)/F765</f>
        <v>3.7581838279057943E-2</v>
      </c>
      <c r="I769" s="2">
        <v>5</v>
      </c>
    </row>
    <row r="770" spans="1:9" x14ac:dyDescent="0.3">
      <c r="A770" s="2" t="s">
        <v>83</v>
      </c>
      <c r="B770" s="2" t="s">
        <v>34</v>
      </c>
      <c r="C770" s="2">
        <v>1211.5</v>
      </c>
      <c r="D770" s="6">
        <f>(Table2_1[[#This Row],[Constant Prices]]-C769)/C769</f>
        <v>-1.4835572405834951E-3</v>
      </c>
      <c r="E770" s="6">
        <f>(Table2_1[[#This Row],[Constant Prices]]-C766)/C766</f>
        <v>4.7285615491009722E-2</v>
      </c>
      <c r="F770" s="2">
        <v>1239.5</v>
      </c>
      <c r="G770" s="7">
        <f>(Table2_1[[#This Row],[Current Prices]]-F769)/F769</f>
        <v>1.5733835941981519E-2</v>
      </c>
      <c r="H770" s="7">
        <f>(Table2_1[[#This Row],[Current Prices]]-F766)/F766</f>
        <v>6.0943250877343189E-2</v>
      </c>
      <c r="I770" s="2"/>
    </row>
    <row r="771" spans="1:9" x14ac:dyDescent="0.3">
      <c r="A771" s="2" t="s">
        <v>83</v>
      </c>
      <c r="B771" s="2" t="s">
        <v>35</v>
      </c>
      <c r="C771" s="2">
        <v>1216</v>
      </c>
      <c r="D771" s="6">
        <f>(Table2_1[[#This Row],[Constant Prices]]-C770)/C770</f>
        <v>3.7144036318613291E-3</v>
      </c>
      <c r="E771" s="6">
        <f>(Table2_1[[#This Row],[Constant Prices]]-C767)/C767</f>
        <v>9.7990367048662631E-3</v>
      </c>
      <c r="F771" s="2">
        <v>1209.9000000000001</v>
      </c>
      <c r="G771" s="7">
        <f>(Table2_1[[#This Row],[Current Prices]]-F770)/F770</f>
        <v>-2.3880597014925301E-2</v>
      </c>
      <c r="H771" s="7">
        <f>(Table2_1[[#This Row],[Current Prices]]-F767)/F767</f>
        <v>2.0323832012143817E-2</v>
      </c>
      <c r="I771" s="2"/>
    </row>
    <row r="772" spans="1:9" x14ac:dyDescent="0.3">
      <c r="A772" s="2" t="s">
        <v>83</v>
      </c>
      <c r="B772" s="2" t="s">
        <v>36</v>
      </c>
      <c r="C772" s="2">
        <v>1198.3</v>
      </c>
      <c r="D772" s="6">
        <f>(Table2_1[[#This Row],[Constant Prices]]-C771)/C771</f>
        <v>-1.4555921052631616E-2</v>
      </c>
      <c r="E772" s="6">
        <f>(Table2_1[[#This Row],[Constant Prices]]-C768)/C768</f>
        <v>-3.4098469727213373E-3</v>
      </c>
      <c r="F772" s="2">
        <v>1207.7</v>
      </c>
      <c r="G772" s="7">
        <f>(Table2_1[[#This Row],[Current Prices]]-F771)/F771</f>
        <v>-1.8183320935614888E-3</v>
      </c>
      <c r="H772" s="7">
        <f>(Table2_1[[#This Row],[Current Prices]]-F768)/F768</f>
        <v>4.4078509647371544E-3</v>
      </c>
      <c r="I772" s="2"/>
    </row>
    <row r="773" spans="1:9" x14ac:dyDescent="0.3">
      <c r="A773" s="2" t="s">
        <v>83</v>
      </c>
      <c r="B773" s="2" t="s">
        <v>37</v>
      </c>
      <c r="C773" s="2">
        <v>1207.7</v>
      </c>
      <c r="D773" s="6">
        <f>(Table2_1[[#This Row],[Constant Prices]]-C772)/C772</f>
        <v>7.8444462989235506E-3</v>
      </c>
      <c r="E773" s="6">
        <f>(Table2_1[[#This Row],[Constant Prices]]-C769)/C769</f>
        <v>-4.6155114151486933E-3</v>
      </c>
      <c r="F773" s="2">
        <v>1229.8</v>
      </c>
      <c r="G773" s="7">
        <f>(Table2_1[[#This Row],[Current Prices]]-F772)/F772</f>
        <v>1.8299246501614564E-2</v>
      </c>
      <c r="H773" s="7">
        <f>(Table2_1[[#This Row],[Current Prices]]-F769)/F769</f>
        <v>7.7849709087929198E-3</v>
      </c>
      <c r="I773" s="2">
        <v>6</v>
      </c>
    </row>
    <row r="774" spans="1:9" x14ac:dyDescent="0.3">
      <c r="A774" s="2" t="s">
        <v>83</v>
      </c>
      <c r="B774" s="2" t="s">
        <v>38</v>
      </c>
      <c r="C774" s="2">
        <v>1198.4000000000001</v>
      </c>
      <c r="D774" s="6">
        <f>(Table2_1[[#This Row],[Constant Prices]]-C773)/C773</f>
        <v>-7.7005878943445837E-3</v>
      </c>
      <c r="E774" s="6">
        <f>(Table2_1[[#This Row],[Constant Prices]]-C770)/C770</f>
        <v>-1.0813041683862904E-2</v>
      </c>
      <c r="F774" s="2">
        <v>1251.8</v>
      </c>
      <c r="G774" s="7">
        <f>(Table2_1[[#This Row],[Current Prices]]-F773)/F773</f>
        <v>1.7889087656529516E-2</v>
      </c>
      <c r="H774" s="7">
        <f>(Table2_1[[#This Row],[Current Prices]]-F770)/F770</f>
        <v>9.9233561920128721E-3</v>
      </c>
      <c r="I774" s="2"/>
    </row>
    <row r="775" spans="1:9" x14ac:dyDescent="0.3">
      <c r="A775" s="2" t="s">
        <v>83</v>
      </c>
      <c r="B775" s="2" t="s">
        <v>39</v>
      </c>
      <c r="C775" s="2">
        <v>1180.9000000000001</v>
      </c>
      <c r="D775" s="6">
        <f>(Table2_1[[#This Row],[Constant Prices]]-C774)/C774</f>
        <v>-1.4602803738317755E-2</v>
      </c>
      <c r="E775" s="6">
        <f>(Table2_1[[#This Row],[Constant Prices]]-C771)/C771</f>
        <v>-2.8865131578947295E-2</v>
      </c>
      <c r="F775" s="2">
        <v>1197.2</v>
      </c>
      <c r="G775" s="7">
        <f>(Table2_1[[#This Row],[Current Prices]]-F774)/F774</f>
        <v>-4.3617191244607695E-2</v>
      </c>
      <c r="H775" s="7">
        <f>(Table2_1[[#This Row],[Current Prices]]-F771)/F771</f>
        <v>-1.0496735267377506E-2</v>
      </c>
      <c r="I775" s="2"/>
    </row>
    <row r="776" spans="1:9" x14ac:dyDescent="0.3">
      <c r="A776" s="2" t="s">
        <v>83</v>
      </c>
      <c r="B776" s="2" t="s">
        <v>40</v>
      </c>
      <c r="C776" s="2">
        <v>1195.2</v>
      </c>
      <c r="D776" s="6">
        <f>(Table2_1[[#This Row],[Constant Prices]]-C775)/C775</f>
        <v>1.2109408078584091E-2</v>
      </c>
      <c r="E776" s="6">
        <f>(Table2_1[[#This Row],[Constant Prices]]-C772)/C772</f>
        <v>-2.5869982475172403E-3</v>
      </c>
      <c r="F776" s="2">
        <v>1245.4000000000001</v>
      </c>
      <c r="G776" s="7">
        <f>(Table2_1[[#This Row],[Current Prices]]-F775)/F775</f>
        <v>4.0260608085532945E-2</v>
      </c>
      <c r="H776" s="7">
        <f>(Table2_1[[#This Row],[Current Prices]]-F772)/F772</f>
        <v>3.1216361679225011E-2</v>
      </c>
      <c r="I776" s="2"/>
    </row>
    <row r="777" spans="1:9" x14ac:dyDescent="0.3">
      <c r="A777" s="2" t="s">
        <v>83</v>
      </c>
      <c r="B777" s="2" t="s">
        <v>41</v>
      </c>
      <c r="C777" s="2">
        <v>1186.3</v>
      </c>
      <c r="D777" s="6">
        <f>(Table2_1[[#This Row],[Constant Prices]]-C776)/C776</f>
        <v>-7.4464524765730346E-3</v>
      </c>
      <c r="E777" s="6">
        <f>(Table2_1[[#This Row],[Constant Prices]]-C773)/C773</f>
        <v>-1.7719632359029635E-2</v>
      </c>
      <c r="F777" s="2">
        <v>1250.7</v>
      </c>
      <c r="G777" s="7">
        <f>(Table2_1[[#This Row],[Current Prices]]-F776)/F776</f>
        <v>4.2556608318612124E-3</v>
      </c>
      <c r="H777" s="7">
        <f>(Table2_1[[#This Row],[Current Prices]]-F773)/F773</f>
        <v>1.6994633273703114E-2</v>
      </c>
      <c r="I777" s="2">
        <v>7</v>
      </c>
    </row>
    <row r="778" spans="1:9" x14ac:dyDescent="0.3">
      <c r="A778" s="2" t="s">
        <v>83</v>
      </c>
      <c r="B778" s="2" t="s">
        <v>42</v>
      </c>
      <c r="C778" s="2">
        <v>1188.5999999999999</v>
      </c>
      <c r="D778" s="6">
        <f>(Table2_1[[#This Row],[Constant Prices]]-C777)/C777</f>
        <v>1.9388013150130276E-3</v>
      </c>
      <c r="E778" s="6">
        <f>(Table2_1[[#This Row],[Constant Prices]]-C774)/C774</f>
        <v>-8.1775700934580958E-3</v>
      </c>
      <c r="F778" s="2">
        <v>1278.5</v>
      </c>
      <c r="G778" s="7">
        <f>(Table2_1[[#This Row],[Current Prices]]-F777)/F777</f>
        <v>2.2227552570560451E-2</v>
      </c>
      <c r="H778" s="7">
        <f>(Table2_1[[#This Row],[Current Prices]]-F774)/F774</f>
        <v>2.1329285828407131E-2</v>
      </c>
      <c r="I778" s="2"/>
    </row>
    <row r="779" spans="1:9" x14ac:dyDescent="0.3">
      <c r="A779" s="2" t="s">
        <v>83</v>
      </c>
      <c r="B779" s="2" t="s">
        <v>43</v>
      </c>
      <c r="C779" s="2">
        <v>1203.8</v>
      </c>
      <c r="D779" s="6">
        <f>(Table2_1[[#This Row],[Constant Prices]]-C778)/C778</f>
        <v>1.2788154130910353E-2</v>
      </c>
      <c r="E779" s="6">
        <f>(Table2_1[[#This Row],[Constant Prices]]-C775)/C775</f>
        <v>1.9391989160809434E-2</v>
      </c>
      <c r="F779" s="2">
        <v>1313.2</v>
      </c>
      <c r="G779" s="7">
        <f>(Table2_1[[#This Row],[Current Prices]]-F778)/F778</f>
        <v>2.7141181071568279E-2</v>
      </c>
      <c r="H779" s="7">
        <f>(Table2_1[[#This Row],[Current Prices]]-F775)/F775</f>
        <v>9.6892749749415294E-2</v>
      </c>
      <c r="I779" s="2"/>
    </row>
    <row r="780" spans="1:9" x14ac:dyDescent="0.3">
      <c r="A780" s="2" t="s">
        <v>83</v>
      </c>
      <c r="B780" s="2" t="s">
        <v>44</v>
      </c>
      <c r="C780" s="2">
        <v>1198.7</v>
      </c>
      <c r="D780" s="6">
        <f>(Table2_1[[#This Row],[Constant Prices]]-C779)/C779</f>
        <v>-4.2365841501909862E-3</v>
      </c>
      <c r="E780" s="6">
        <f>(Table2_1[[#This Row],[Constant Prices]]-C776)/C776</f>
        <v>2.928380187416332E-3</v>
      </c>
      <c r="F780" s="2">
        <v>1341.9</v>
      </c>
      <c r="G780" s="7">
        <f>(Table2_1[[#This Row],[Current Prices]]-F779)/F779</f>
        <v>2.1855010660980844E-2</v>
      </c>
      <c r="H780" s="7">
        <f>(Table2_1[[#This Row],[Current Prices]]-F776)/F776</f>
        <v>7.7485145334832181E-2</v>
      </c>
      <c r="I780" s="2"/>
    </row>
    <row r="781" spans="1:9" x14ac:dyDescent="0.3">
      <c r="A781" s="2" t="s">
        <v>83</v>
      </c>
      <c r="B781" s="2" t="s">
        <v>45</v>
      </c>
      <c r="C781" s="2">
        <v>1192.5999999999999</v>
      </c>
      <c r="D781" s="6">
        <f>(Table2_1[[#This Row],[Constant Prices]]-C780)/C780</f>
        <v>-5.0888462501043931E-3</v>
      </c>
      <c r="E781" s="6">
        <f>(Table2_1[[#This Row],[Constant Prices]]-C777)/C777</f>
        <v>5.3106296889487946E-3</v>
      </c>
      <c r="F781" s="2">
        <v>1375.8</v>
      </c>
      <c r="G781" s="7">
        <f>(Table2_1[[#This Row],[Current Prices]]-F780)/F780</f>
        <v>2.5262687234518116E-2</v>
      </c>
      <c r="H781" s="7">
        <f>(Table2_1[[#This Row],[Current Prices]]-F777)/F777</f>
        <v>0.10002398656752211</v>
      </c>
      <c r="I781" s="2">
        <v>8</v>
      </c>
    </row>
    <row r="782" spans="1:9" x14ac:dyDescent="0.3">
      <c r="A782" s="2" t="s">
        <v>83</v>
      </c>
      <c r="B782" s="2" t="s">
        <v>46</v>
      </c>
      <c r="C782" s="2">
        <v>1197.5</v>
      </c>
      <c r="D782" s="6">
        <f>(Table2_1[[#This Row],[Constant Prices]]-C781)/C781</f>
        <v>4.1086701324837254E-3</v>
      </c>
      <c r="E782" s="6">
        <f>(Table2_1[[#This Row],[Constant Prices]]-C778)/C778</f>
        <v>7.4878007740199325E-3</v>
      </c>
      <c r="F782" s="2">
        <v>1420.3</v>
      </c>
      <c r="G782" s="7">
        <f>(Table2_1[[#This Row],[Current Prices]]-F781)/F781</f>
        <v>3.2344817560691963E-2</v>
      </c>
      <c r="H782" s="7">
        <f>(Table2_1[[#This Row],[Current Prices]]-F778)/F778</f>
        <v>0.11091122409073129</v>
      </c>
      <c r="I782" s="2"/>
    </row>
    <row r="783" spans="1:9" x14ac:dyDescent="0.3">
      <c r="A783" s="2" t="s">
        <v>83</v>
      </c>
      <c r="B783" s="2" t="s">
        <v>47</v>
      </c>
      <c r="C783" s="2">
        <v>1186.8</v>
      </c>
      <c r="D783" s="6">
        <f>(Table2_1[[#This Row],[Constant Prices]]-C782)/C782</f>
        <v>-8.9352818371607901E-3</v>
      </c>
      <c r="E783" s="6">
        <f>(Table2_1[[#This Row],[Constant Prices]]-C779)/C779</f>
        <v>-1.412194716730354E-2</v>
      </c>
      <c r="F783" s="2">
        <v>1429.5</v>
      </c>
      <c r="G783" s="7">
        <f>(Table2_1[[#This Row],[Current Prices]]-F782)/F782</f>
        <v>6.4775047525171062E-3</v>
      </c>
      <c r="H783" s="7">
        <f>(Table2_1[[#This Row],[Current Prices]]-F779)/F779</f>
        <v>8.8562290587876902E-2</v>
      </c>
      <c r="I783" s="2"/>
    </row>
    <row r="784" spans="1:9" x14ac:dyDescent="0.3">
      <c r="A784" s="2" t="s">
        <v>83</v>
      </c>
      <c r="B784" s="2" t="s">
        <v>48</v>
      </c>
      <c r="C784" s="2">
        <v>1183.5999999999999</v>
      </c>
      <c r="D784" s="6">
        <f>(Table2_1[[#This Row],[Constant Prices]]-C783)/C783</f>
        <v>-2.696326255476951E-3</v>
      </c>
      <c r="E784" s="6">
        <f>(Table2_1[[#This Row],[Constant Prices]]-C780)/C780</f>
        <v>-1.2596980061733659E-2</v>
      </c>
      <c r="F784" s="2">
        <v>1432.5</v>
      </c>
      <c r="G784" s="7">
        <f>(Table2_1[[#This Row],[Current Prices]]-F783)/F783</f>
        <v>2.0986358866736622E-3</v>
      </c>
      <c r="H784" s="7">
        <f>(Table2_1[[#This Row],[Current Prices]]-F780)/F780</f>
        <v>6.751620836127871E-2</v>
      </c>
      <c r="I784" s="2"/>
    </row>
    <row r="785" spans="1:9" x14ac:dyDescent="0.3">
      <c r="A785" s="2" t="s">
        <v>83</v>
      </c>
      <c r="B785" s="2" t="s">
        <v>49</v>
      </c>
      <c r="C785" s="2">
        <v>1192.7</v>
      </c>
      <c r="D785" s="6">
        <f>(Table2_1[[#This Row],[Constant Prices]]-C784)/C784</f>
        <v>7.6884082460291795E-3</v>
      </c>
      <c r="E785" s="6">
        <f>(Table2_1[[#This Row],[Constant Prices]]-C781)/C781</f>
        <v>8.3850410867127652E-5</v>
      </c>
      <c r="F785" s="2">
        <v>1418</v>
      </c>
      <c r="G785" s="7">
        <f>(Table2_1[[#This Row],[Current Prices]]-F784)/F784</f>
        <v>-1.0122164048865619E-2</v>
      </c>
      <c r="H785" s="7">
        <f>(Table2_1[[#This Row],[Current Prices]]-F781)/F781</f>
        <v>3.0673062945195558E-2</v>
      </c>
      <c r="I785" s="2">
        <v>9</v>
      </c>
    </row>
    <row r="786" spans="1:9" x14ac:dyDescent="0.3">
      <c r="A786" s="2" t="s">
        <v>83</v>
      </c>
      <c r="B786" s="2" t="s">
        <v>50</v>
      </c>
      <c r="C786" s="2">
        <v>1084.7</v>
      </c>
      <c r="D786" s="6">
        <f>(Table2_1[[#This Row],[Constant Prices]]-C785)/C785</f>
        <v>-9.0550851010312738E-2</v>
      </c>
      <c r="E786" s="6">
        <f>(Table2_1[[#This Row],[Constant Prices]]-C782)/C782</f>
        <v>-9.4196242171189937E-2</v>
      </c>
      <c r="F786" s="2">
        <v>1263.2</v>
      </c>
      <c r="G786" s="7">
        <f>(Table2_1[[#This Row],[Current Prices]]-F785)/F785</f>
        <v>-0.10916784203102958</v>
      </c>
      <c r="H786" s="7">
        <f>(Table2_1[[#This Row],[Current Prices]]-F782)/F782</f>
        <v>-0.11061043441526432</v>
      </c>
      <c r="I786" s="2"/>
    </row>
    <row r="787" spans="1:9" x14ac:dyDescent="0.3">
      <c r="A787" s="2" t="s">
        <v>83</v>
      </c>
      <c r="B787" s="2" t="s">
        <v>51</v>
      </c>
      <c r="C787" s="2">
        <v>717.4</v>
      </c>
      <c r="D787" s="6">
        <f>(Table2_1[[#This Row],[Constant Prices]]-C786)/C786</f>
        <v>-0.33861897298792298</v>
      </c>
      <c r="E787" s="6">
        <f>(Table2_1[[#This Row],[Constant Prices]]-C783)/C783</f>
        <v>-0.39551735760026963</v>
      </c>
      <c r="F787" s="2">
        <v>880.6</v>
      </c>
      <c r="G787" s="7">
        <f>(Table2_1[[#This Row],[Current Prices]]-F786)/F786</f>
        <v>-0.30288157061431287</v>
      </c>
      <c r="H787" s="7">
        <f>(Table2_1[[#This Row],[Current Prices]]-F783)/F783</f>
        <v>-0.38398041273172434</v>
      </c>
      <c r="I787" s="2"/>
    </row>
    <row r="788" spans="1:9" x14ac:dyDescent="0.3">
      <c r="A788" s="2" t="s">
        <v>83</v>
      </c>
      <c r="B788" s="2" t="s">
        <v>52</v>
      </c>
      <c r="C788" s="2">
        <v>1117.4000000000001</v>
      </c>
      <c r="D788" s="6">
        <f>(Table2_1[[#This Row],[Constant Prices]]-C787)/C787</f>
        <v>0.55756899916364666</v>
      </c>
      <c r="E788" s="6">
        <f>(Table2_1[[#This Row],[Constant Prices]]-C784)/C784</f>
        <v>-5.5931057789793702E-2</v>
      </c>
      <c r="F788" s="2">
        <v>1247.2</v>
      </c>
      <c r="G788" s="7">
        <f>(Table2_1[[#This Row],[Current Prices]]-F787)/F787</f>
        <v>0.41630706336588691</v>
      </c>
      <c r="H788" s="7">
        <f>(Table2_1[[#This Row],[Current Prices]]-F784)/F784</f>
        <v>-0.12935427574171027</v>
      </c>
      <c r="I788" s="2"/>
    </row>
    <row r="789" spans="1:9" x14ac:dyDescent="0.3">
      <c r="A789" s="2" t="s">
        <v>83</v>
      </c>
      <c r="B789" s="2" t="s">
        <v>53</v>
      </c>
      <c r="C789" s="2">
        <v>1154.9000000000001</v>
      </c>
      <c r="D789" s="6">
        <f>(Table2_1[[#This Row],[Constant Prices]]-C788)/C788</f>
        <v>3.3560050116341507E-2</v>
      </c>
      <c r="E789" s="6">
        <f>(Table2_1[[#This Row],[Constant Prices]]-C785)/C785</f>
        <v>-3.1692797853609421E-2</v>
      </c>
      <c r="F789" s="2">
        <v>1256.3</v>
      </c>
      <c r="G789" s="7">
        <f>(Table2_1[[#This Row],[Current Prices]]-F788)/F788</f>
        <v>7.2963438101346289E-3</v>
      </c>
      <c r="H789" s="7">
        <f>(Table2_1[[#This Row],[Current Prices]]-F785)/F785</f>
        <v>-0.11403385049365307</v>
      </c>
      <c r="I789" s="2">
        <v>10</v>
      </c>
    </row>
    <row r="790" spans="1:9" x14ac:dyDescent="0.3">
      <c r="A790" s="2" t="s">
        <v>83</v>
      </c>
      <c r="B790" s="2" t="s">
        <v>54</v>
      </c>
      <c r="C790" s="2">
        <v>1163.4000000000001</v>
      </c>
      <c r="D790" s="6">
        <f>(Table2_1[[#This Row],[Constant Prices]]-C789)/C789</f>
        <v>7.3599445839466612E-3</v>
      </c>
      <c r="E790" s="6">
        <f>(Table2_1[[#This Row],[Constant Prices]]-C786)/C786</f>
        <v>7.2554623398174645E-2</v>
      </c>
      <c r="F790" s="2">
        <v>1288.9000000000001</v>
      </c>
      <c r="G790" s="7">
        <f>(Table2_1[[#This Row],[Current Prices]]-F789)/F789</f>
        <v>2.5949215951604026E-2</v>
      </c>
      <c r="H790" s="7">
        <f>(Table2_1[[#This Row],[Current Prices]]-F786)/F786</f>
        <v>2.0345155161494651E-2</v>
      </c>
      <c r="I790" s="2"/>
    </row>
    <row r="791" spans="1:9" x14ac:dyDescent="0.3">
      <c r="A791" s="2" t="s">
        <v>83</v>
      </c>
      <c r="B791" s="2" t="s">
        <v>55</v>
      </c>
      <c r="C791" s="2">
        <v>1097.0999999999999</v>
      </c>
      <c r="D791" s="6">
        <f>(Table2_1[[#This Row],[Constant Prices]]-C790)/C790</f>
        <v>-5.698813821557519E-2</v>
      </c>
      <c r="E791" s="6">
        <f>(Table2_1[[#This Row],[Constant Prices]]-C787)/C787</f>
        <v>0.52927237245609138</v>
      </c>
      <c r="F791" s="2">
        <v>1301.5999999999999</v>
      </c>
      <c r="G791" s="7">
        <f>(Table2_1[[#This Row],[Current Prices]]-F790)/F790</f>
        <v>9.8533633330745735E-3</v>
      </c>
      <c r="H791" s="7">
        <f>(Table2_1[[#This Row],[Current Prices]]-F787)/F787</f>
        <v>0.47808312514194851</v>
      </c>
      <c r="I791" s="2"/>
    </row>
    <row r="792" spans="1:9" x14ac:dyDescent="0.3">
      <c r="A792" s="2" t="s">
        <v>83</v>
      </c>
      <c r="B792" s="2" t="s">
        <v>56</v>
      </c>
      <c r="C792" s="2">
        <v>1014.1</v>
      </c>
      <c r="D792" s="6">
        <f>(Table2_1[[#This Row],[Constant Prices]]-C791)/C791</f>
        <v>-7.5653996900920506E-2</v>
      </c>
      <c r="E792" s="6">
        <f>(Table2_1[[#This Row],[Constant Prices]]-C788)/C788</f>
        <v>-9.2446751387148793E-2</v>
      </c>
      <c r="F792" s="2">
        <v>1314.4</v>
      </c>
      <c r="G792" s="7">
        <f>(Table2_1[[#This Row],[Current Prices]]-F791)/F791</f>
        <v>9.8340503995084372E-3</v>
      </c>
      <c r="H792" s="7">
        <f>(Table2_1[[#This Row],[Current Prices]]-F788)/F788</f>
        <v>5.3880692751763985E-2</v>
      </c>
      <c r="I792" s="2"/>
    </row>
    <row r="793" spans="1:9" x14ac:dyDescent="0.3">
      <c r="A793" s="2" t="s">
        <v>83</v>
      </c>
      <c r="B793" s="2" t="s">
        <v>57</v>
      </c>
      <c r="C793" s="2">
        <v>1100.2</v>
      </c>
      <c r="D793" s="6">
        <f>(Table2_1[[#This Row],[Constant Prices]]-C792)/C792</f>
        <v>8.4902869539493164E-2</v>
      </c>
      <c r="E793" s="6">
        <f>(Table2_1[[#This Row],[Constant Prices]]-C789)/C789</f>
        <v>-4.7363408087280318E-2</v>
      </c>
      <c r="F793" s="2">
        <v>1319.4</v>
      </c>
      <c r="G793" s="7">
        <f>(Table2_1[[#This Row],[Current Prices]]-F792)/F792</f>
        <v>3.8040170419963481E-3</v>
      </c>
      <c r="H793" s="7">
        <f>(Table2_1[[#This Row],[Current Prices]]-F789)/F789</f>
        <v>5.02268566425218E-2</v>
      </c>
      <c r="I793" s="2">
        <v>11</v>
      </c>
    </row>
    <row r="794" spans="1:9" x14ac:dyDescent="0.3">
      <c r="A794" s="2" t="s">
        <v>83</v>
      </c>
      <c r="B794" s="2" t="s">
        <v>58</v>
      </c>
      <c r="C794" s="2">
        <v>1071</v>
      </c>
      <c r="D794" s="6">
        <f>(Table2_1[[#This Row],[Constant Prices]]-C793)/C793</f>
        <v>-2.6540628976549758E-2</v>
      </c>
      <c r="E794" s="6">
        <f>(Table2_1[[#This Row],[Constant Prices]]-C790)/C790</f>
        <v>-7.9422382671480218E-2</v>
      </c>
      <c r="F794" s="2">
        <v>1311.1</v>
      </c>
      <c r="G794" s="7">
        <f>(Table2_1[[#This Row],[Current Prices]]-F793)/F793</f>
        <v>-6.290738214339989E-3</v>
      </c>
      <c r="H794" s="7">
        <f>(Table2_1[[#This Row],[Current Prices]]-F790)/F790</f>
        <v>1.7223989448366683E-2</v>
      </c>
      <c r="I794" s="2"/>
    </row>
    <row r="795" spans="1:9" x14ac:dyDescent="0.3">
      <c r="A795" s="2" t="s">
        <v>83</v>
      </c>
      <c r="B795" s="2" t="s">
        <v>59</v>
      </c>
      <c r="C795" s="2">
        <v>1023.2</v>
      </c>
      <c r="D795" s="6">
        <f>(Table2_1[[#This Row],[Constant Prices]]-C794)/C794</f>
        <v>-4.4631185807656355E-2</v>
      </c>
      <c r="E795" s="6">
        <f>(Table2_1[[#This Row],[Constant Prices]]-C791)/C791</f>
        <v>-6.7359402059976176E-2</v>
      </c>
      <c r="F795" s="2">
        <v>1307.3</v>
      </c>
      <c r="G795" s="7">
        <f>(Table2_1[[#This Row],[Current Prices]]-F794)/F794</f>
        <v>-2.8983296468613794E-3</v>
      </c>
      <c r="H795" s="7">
        <f>(Table2_1[[#This Row],[Current Prices]]-F791)/F791</f>
        <v>4.3792255685310743E-3</v>
      </c>
      <c r="I795" s="2"/>
    </row>
    <row r="796" spans="1:9" x14ac:dyDescent="0.3">
      <c r="A796" s="2" t="s">
        <v>83</v>
      </c>
      <c r="B796" s="2" t="s">
        <v>60</v>
      </c>
      <c r="C796" s="2">
        <v>1021.5</v>
      </c>
      <c r="D796" s="6">
        <f>(Table2_1[[#This Row],[Constant Prices]]-C795)/C795</f>
        <v>-1.6614542611415612E-3</v>
      </c>
      <c r="E796" s="6">
        <f>(Table2_1[[#This Row],[Constant Prices]]-C792)/C792</f>
        <v>7.2971107385859154E-3</v>
      </c>
      <c r="F796" s="2">
        <v>1297.5</v>
      </c>
      <c r="G796" s="7">
        <f>(Table2_1[[#This Row],[Current Prices]]-F795)/F795</f>
        <v>-7.4963665570258967E-3</v>
      </c>
      <c r="H796" s="7">
        <f>(Table2_1[[#This Row],[Current Prices]]-F792)/F792</f>
        <v>-1.2857577601947725E-2</v>
      </c>
      <c r="I796" s="2"/>
    </row>
    <row r="797" spans="1:9" x14ac:dyDescent="0.3">
      <c r="A797" s="2" t="s">
        <v>83</v>
      </c>
      <c r="B797" s="2" t="s">
        <v>61</v>
      </c>
      <c r="C797" s="2">
        <v>1006.7</v>
      </c>
      <c r="D797" s="6">
        <f>(Table2_1[[#This Row],[Constant Prices]]-C796)/C796</f>
        <v>-1.4488497307880523E-2</v>
      </c>
      <c r="E797" s="6">
        <f>(Table2_1[[#This Row],[Constant Prices]]-C793)/C793</f>
        <v>-8.4984548263952006E-2</v>
      </c>
      <c r="F797" s="2">
        <v>1283.9000000000001</v>
      </c>
      <c r="G797" s="7">
        <f>(Table2_1[[#This Row],[Current Prices]]-F796)/F796</f>
        <v>-1.0481695568400701E-2</v>
      </c>
      <c r="H797" s="7">
        <f>(Table2_1[[#This Row],[Current Prices]]-F793)/F793</f>
        <v>-2.6906169470971651E-2</v>
      </c>
      <c r="I797" s="2">
        <v>12</v>
      </c>
    </row>
    <row r="798" spans="1:9" x14ac:dyDescent="0.3">
      <c r="A798" s="2" t="s">
        <v>83</v>
      </c>
      <c r="B798" s="2" t="s">
        <v>62</v>
      </c>
      <c r="C798" s="2">
        <v>1068.2</v>
      </c>
      <c r="D798" s="6">
        <f>(Table2_1[[#This Row],[Constant Prices]]-C797)/C797</f>
        <v>6.1090692361180088E-2</v>
      </c>
      <c r="E798" s="6">
        <f>(Table2_1[[#This Row],[Constant Prices]]-C794)/C794</f>
        <v>-2.614379084967278E-3</v>
      </c>
      <c r="F798" s="2">
        <v>1289.0999999999999</v>
      </c>
      <c r="G798" s="7">
        <f>(Table2_1[[#This Row],[Current Prices]]-F797)/F797</f>
        <v>4.0501596697560694E-3</v>
      </c>
      <c r="H798" s="7">
        <f>(Table2_1[[#This Row],[Current Prices]]-F794)/F794</f>
        <v>-1.6779803218671344E-2</v>
      </c>
      <c r="I798" s="2"/>
    </row>
    <row r="799" spans="1:9" x14ac:dyDescent="0.3">
      <c r="A799" s="2" t="s">
        <v>83</v>
      </c>
      <c r="B799" s="2" t="s">
        <v>63</v>
      </c>
      <c r="C799" s="2">
        <v>994.7</v>
      </c>
      <c r="D799" s="6">
        <f>(Table2_1[[#This Row],[Constant Prices]]-C798)/C798</f>
        <v>-6.8807339449541288E-2</v>
      </c>
      <c r="E799" s="6">
        <f>(Table2_1[[#This Row],[Constant Prices]]-C795)/C795</f>
        <v>-2.7853792025019544E-2</v>
      </c>
      <c r="F799" s="2">
        <v>1255.2</v>
      </c>
      <c r="G799" s="7">
        <f>(Table2_1[[#This Row],[Current Prices]]-F798)/F798</f>
        <v>-2.629741680242019E-2</v>
      </c>
      <c r="H799" s="7">
        <f>(Table2_1[[#This Row],[Current Prices]]-F795)/F795</f>
        <v>-3.9853132410311264E-2</v>
      </c>
      <c r="I799" s="2"/>
    </row>
    <row r="800" spans="1:9" x14ac:dyDescent="0.3">
      <c r="A800" s="2" t="s">
        <v>83</v>
      </c>
      <c r="B800" s="2" t="s">
        <v>64</v>
      </c>
      <c r="C800" s="2">
        <v>1001.2</v>
      </c>
      <c r="D800" s="6">
        <f>(Table2_1[[#This Row],[Constant Prices]]-C799)/C799</f>
        <v>6.53463355785664E-3</v>
      </c>
      <c r="E800" s="6">
        <f>(Table2_1[[#This Row],[Constant Prices]]-C796)/C796</f>
        <v>-1.98727361722956E-2</v>
      </c>
      <c r="F800" s="2">
        <v>1236.3</v>
      </c>
      <c r="G800" s="7">
        <f>(Table2_1[[#This Row],[Current Prices]]-F799)/F799</f>
        <v>-1.5057361376673113E-2</v>
      </c>
      <c r="H800" s="7">
        <f>(Table2_1[[#This Row],[Current Prices]]-F796)/F796</f>
        <v>-4.71676300578035E-2</v>
      </c>
      <c r="I800" s="2"/>
    </row>
    <row r="801" spans="1:9" x14ac:dyDescent="0.3">
      <c r="A801" s="2" t="s">
        <v>83</v>
      </c>
      <c r="B801" s="2" t="s">
        <v>65</v>
      </c>
      <c r="C801" s="2">
        <v>1000.2</v>
      </c>
      <c r="D801" s="6">
        <f>(Table2_1[[#This Row],[Constant Prices]]-C800)/C800</f>
        <v>-9.9880143827407101E-4</v>
      </c>
      <c r="E801" s="6">
        <f>(Table2_1[[#This Row],[Constant Prices]]-C797)/C797</f>
        <v>-6.4567398430515543E-3</v>
      </c>
      <c r="F801" s="2">
        <v>1227.5999999999999</v>
      </c>
      <c r="G801" s="7">
        <f>(Table2_1[[#This Row],[Current Prices]]-F800)/F800</f>
        <v>-7.0371269109439829E-3</v>
      </c>
      <c r="H801" s="7">
        <f>(Table2_1[[#This Row],[Current Prices]]-F797)/F797</f>
        <v>-4.3850767193706813E-2</v>
      </c>
      <c r="I801" s="2">
        <v>13</v>
      </c>
    </row>
    <row r="802" spans="1:9" x14ac:dyDescent="0.3">
      <c r="A802" s="2" t="s">
        <v>83</v>
      </c>
      <c r="B802" s="2" t="s">
        <v>66</v>
      </c>
      <c r="C802" s="2">
        <v>1013.2</v>
      </c>
      <c r="D802" s="6">
        <f>(Table2_1[[#This Row],[Constant Prices]]-C801)/C801</f>
        <v>1.299740051989602E-2</v>
      </c>
      <c r="E802" s="6">
        <f>(Table2_1[[#This Row],[Constant Prices]]-C798)/C798</f>
        <v>-5.1488485302377832E-2</v>
      </c>
      <c r="F802" s="2">
        <v>1241.5</v>
      </c>
      <c r="G802" s="7">
        <f>(Table2_1[[#This Row],[Current Prices]]-F801)/F801</f>
        <v>1.1322906484196881E-2</v>
      </c>
      <c r="H802" s="7">
        <f>(Table2_1[[#This Row],[Current Prices]]-F798)/F798</f>
        <v>-3.6924986424637277E-2</v>
      </c>
      <c r="I802" s="2"/>
    </row>
    <row r="803" spans="1:9" x14ac:dyDescent="0.3">
      <c r="A803" s="2" t="s">
        <v>83</v>
      </c>
      <c r="B803" s="2" t="s">
        <v>67</v>
      </c>
      <c r="C803" s="2">
        <v>991.3</v>
      </c>
      <c r="D803" s="6">
        <f>(Table2_1[[#This Row],[Constant Prices]]-C802)/C802</f>
        <v>-2.161468614291363E-2</v>
      </c>
      <c r="E803" s="6">
        <f>(Table2_1[[#This Row],[Constant Prices]]-C799)/C799</f>
        <v>-3.4181160148789493E-3</v>
      </c>
      <c r="F803" s="2">
        <v>1235.4000000000001</v>
      </c>
      <c r="G803" s="7">
        <f>(Table2_1[[#This Row],[Current Prices]]-F802)/F802</f>
        <v>-4.9134111961336357E-3</v>
      </c>
      <c r="H803" s="7">
        <f>(Table2_1[[#This Row],[Current Prices]]-F799)/F799</f>
        <v>-1.5774378585086006E-2</v>
      </c>
      <c r="I803" s="2"/>
    </row>
    <row r="804" spans="1:9" x14ac:dyDescent="0.3">
      <c r="A804" s="2" t="s">
        <v>83</v>
      </c>
      <c r="B804" s="2" t="s">
        <v>68</v>
      </c>
      <c r="C804" s="2">
        <v>994.7</v>
      </c>
      <c r="D804" s="6">
        <f>(Table2_1[[#This Row],[Constant Prices]]-C803)/C803</f>
        <v>3.4298396045597608E-3</v>
      </c>
      <c r="E804" s="6">
        <f>(Table2_1[[#This Row],[Constant Prices]]-C800)/C800</f>
        <v>-6.4922093487814617E-3</v>
      </c>
      <c r="F804" s="2">
        <v>1244.4000000000001</v>
      </c>
      <c r="G804" s="7">
        <f>(Table2_1[[#This Row],[Current Prices]]-F803)/F803</f>
        <v>7.2850898494414762E-3</v>
      </c>
      <c r="H804" s="7">
        <f>(Table2_1[[#This Row],[Current Prices]]-F800)/F800</f>
        <v>6.5518078136375772E-3</v>
      </c>
      <c r="I804" s="2"/>
    </row>
    <row r="805" spans="1:9" x14ac:dyDescent="0.3">
      <c r="A805" s="2" t="s">
        <v>83</v>
      </c>
      <c r="B805" s="2" t="s">
        <v>69</v>
      </c>
      <c r="C805" s="2">
        <v>1018.8</v>
      </c>
      <c r="D805" s="6">
        <f>(Table2_1[[#This Row],[Constant Prices]]-C804)/C804</f>
        <v>2.4228410576052989E-2</v>
      </c>
      <c r="E805" s="6">
        <f>(Table2_1[[#This Row],[Constant Prices]]-C801)/C801</f>
        <v>1.8596280743851137E-2</v>
      </c>
      <c r="F805" s="5">
        <f>Table2_1[[#This Row],[Constant Prices]]*AVERAGE(Inflation!$C$72:$C$74)*0.01</f>
        <v>1844.3675999999998</v>
      </c>
      <c r="G805" s="7">
        <f>(Table2_1[[#This Row],[Current Prices]]-F804)/F804</f>
        <v>0.4821340405014462</v>
      </c>
      <c r="H805" s="7">
        <f>(Table2_1[[#This Row],[Current Prices]]-F801)/F801</f>
        <v>0.50241739980449651</v>
      </c>
      <c r="I805" s="2">
        <v>14</v>
      </c>
    </row>
    <row r="806" spans="1:9" x14ac:dyDescent="0.3">
      <c r="A806" s="2" t="s">
        <v>83</v>
      </c>
      <c r="B806" s="2" t="s">
        <v>70</v>
      </c>
      <c r="C806" s="2">
        <v>1044</v>
      </c>
      <c r="D806" s="6">
        <f>(Table2_1[[#This Row],[Constant Prices]]-C805)/C805</f>
        <v>2.4734982332155524E-2</v>
      </c>
      <c r="E806" s="6">
        <f>(Table2_1[[#This Row],[Constant Prices]]-C802)/C802</f>
        <v>3.0398736675878359E-2</v>
      </c>
      <c r="F806" s="5">
        <f>Table2_1[[#This Row],[Constant Prices]]*AVERAGE(Inflation!$C$75:$C$77)*0.01</f>
        <v>1904.6039999999996</v>
      </c>
      <c r="G806" s="7">
        <f>(Table2_1[[#This Row],[Current Prices]]-F805)/F805</f>
        <v>3.2659649844206641E-2</v>
      </c>
      <c r="H806" s="7">
        <f>(Table2_1[[#This Row],[Current Prices]]-F802)/F802</f>
        <v>0.53411518324607299</v>
      </c>
      <c r="I806" s="2"/>
    </row>
    <row r="807" spans="1:9" x14ac:dyDescent="0.3">
      <c r="A807" s="2" t="s">
        <v>83</v>
      </c>
      <c r="B807" s="2" t="s">
        <v>71</v>
      </c>
      <c r="C807" s="2">
        <v>1086.7</v>
      </c>
      <c r="D807" s="6">
        <f>(Table2_1[[#This Row],[Constant Prices]]-C806)/C806</f>
        <v>4.0900383141762496E-2</v>
      </c>
      <c r="E807" s="6">
        <f>(Table2_1[[#This Row],[Constant Prices]]-C803)/C803</f>
        <v>9.6237264198527281E-2</v>
      </c>
      <c r="F807" s="5">
        <f>Table2_1[[#This Row],[Constant Prices]]*AVERAGE(Inflation!$C$78:$C$80)*0.01</f>
        <v>2014.0173333333337</v>
      </c>
      <c r="G807" s="7">
        <f>(Table2_1[[#This Row],[Current Prices]]-F806)/F806</f>
        <v>5.7446762336598116E-2</v>
      </c>
      <c r="H807" s="7">
        <f>(Table2_1[[#This Row],[Current Prices]]-F803)/F803</f>
        <v>0.63025524796287313</v>
      </c>
      <c r="I807" s="2"/>
    </row>
    <row r="808" spans="1:9" x14ac:dyDescent="0.3">
      <c r="A808" s="2" t="s">
        <v>84</v>
      </c>
      <c r="B808" s="2" t="s">
        <v>10</v>
      </c>
      <c r="C808" s="2">
        <v>2237.6999999999998</v>
      </c>
      <c r="D808" s="6"/>
      <c r="E808" s="6"/>
      <c r="F808" s="2">
        <v>1528.5</v>
      </c>
      <c r="G808" s="7"/>
      <c r="H808" s="7"/>
      <c r="I808" s="2"/>
    </row>
    <row r="809" spans="1:9" x14ac:dyDescent="0.3">
      <c r="A809" s="2" t="s">
        <v>84</v>
      </c>
      <c r="B809" s="2" t="s">
        <v>11</v>
      </c>
      <c r="C809" s="2">
        <v>2263.8000000000002</v>
      </c>
      <c r="D809" s="6">
        <f>(Table2_1[[#This Row],[Constant Prices]]-C808)/C808</f>
        <v>1.1663761898377962E-2</v>
      </c>
      <c r="E809" s="6"/>
      <c r="F809" s="2">
        <v>1574.9</v>
      </c>
      <c r="G809" s="7">
        <f>(Table2_1[[#This Row],[Current Prices]]-F808)/F808</f>
        <v>3.0356558717697147E-2</v>
      </c>
      <c r="H809" s="7"/>
      <c r="I809" s="2"/>
    </row>
    <row r="810" spans="1:9" x14ac:dyDescent="0.3">
      <c r="A810" s="2" t="s">
        <v>84</v>
      </c>
      <c r="B810" s="2" t="s">
        <v>12</v>
      </c>
      <c r="C810" s="2">
        <v>2266.1</v>
      </c>
      <c r="D810" s="6">
        <f>(Table2_1[[#This Row],[Constant Prices]]-C809)/C809</f>
        <v>1.0159908119090587E-3</v>
      </c>
      <c r="E810" s="6"/>
      <c r="F810" s="2">
        <v>1614.7</v>
      </c>
      <c r="G810" s="7">
        <f>(Table2_1[[#This Row],[Current Prices]]-F809)/F809</f>
        <v>2.5271445806082895E-2</v>
      </c>
      <c r="H810" s="7"/>
      <c r="I810" s="2"/>
    </row>
    <row r="811" spans="1:9" x14ac:dyDescent="0.3">
      <c r="A811" s="2" t="s">
        <v>84</v>
      </c>
      <c r="B811" s="2" t="s">
        <v>13</v>
      </c>
      <c r="C811" s="2">
        <v>2299.6999999999998</v>
      </c>
      <c r="D811" s="6">
        <f>(Table2_1[[#This Row],[Constant Prices]]-C810)/C810</f>
        <v>1.4827236220819872E-2</v>
      </c>
      <c r="E811" s="6"/>
      <c r="F811" s="2">
        <v>1727</v>
      </c>
      <c r="G811" s="7">
        <f>(Table2_1[[#This Row],[Current Prices]]-F810)/F810</f>
        <v>6.9548522945438757E-2</v>
      </c>
      <c r="H811" s="7"/>
      <c r="I811" s="2"/>
    </row>
    <row r="812" spans="1:9" x14ac:dyDescent="0.3">
      <c r="A812" s="2" t="s">
        <v>84</v>
      </c>
      <c r="B812" s="2" t="s">
        <v>14</v>
      </c>
      <c r="C812" s="2">
        <v>2278.9</v>
      </c>
      <c r="D812" s="6">
        <f>(Table2_1[[#This Row],[Constant Prices]]-C811)/C811</f>
        <v>-9.0446579988692991E-3</v>
      </c>
      <c r="E812" s="6">
        <f>(Table2_1[[#This Row],[Constant Prices]]-C808)/C808</f>
        <v>1.8411762077132892E-2</v>
      </c>
      <c r="F812" s="2">
        <v>1724.1</v>
      </c>
      <c r="G812" s="7">
        <f>(Table2_1[[#This Row],[Current Prices]]-F811)/F811</f>
        <v>-1.6792125072380376E-3</v>
      </c>
      <c r="H812" s="7">
        <f>(Table2_1[[#This Row],[Current Prices]]-F808)/F808</f>
        <v>0.12796859666339544</v>
      </c>
      <c r="I812" s="2"/>
    </row>
    <row r="813" spans="1:9" x14ac:dyDescent="0.3">
      <c r="A813" s="2" t="s">
        <v>84</v>
      </c>
      <c r="B813" s="2" t="s">
        <v>15</v>
      </c>
      <c r="C813" s="2">
        <v>2343.5</v>
      </c>
      <c r="D813" s="6">
        <f>(Table2_1[[#This Row],[Constant Prices]]-C812)/C812</f>
        <v>2.8347009522137832E-2</v>
      </c>
      <c r="E813" s="6">
        <f>(Table2_1[[#This Row],[Constant Prices]]-C809)/C809</f>
        <v>3.5206290308331042E-2</v>
      </c>
      <c r="F813" s="2">
        <v>1775.4</v>
      </c>
      <c r="G813" s="7">
        <f>(Table2_1[[#This Row],[Current Prices]]-F812)/F812</f>
        <v>2.975465460240136E-2</v>
      </c>
      <c r="H813" s="7">
        <f>(Table2_1[[#This Row],[Current Prices]]-F809)/F809</f>
        <v>0.127309670455267</v>
      </c>
      <c r="I813" s="2"/>
    </row>
    <row r="814" spans="1:9" x14ac:dyDescent="0.3">
      <c r="A814" s="2" t="s">
        <v>84</v>
      </c>
      <c r="B814" s="2" t="s">
        <v>16</v>
      </c>
      <c r="C814" s="2">
        <v>2295.9</v>
      </c>
      <c r="D814" s="6">
        <f>(Table2_1[[#This Row],[Constant Prices]]-C813)/C813</f>
        <v>-2.0311499893321917E-2</v>
      </c>
      <c r="E814" s="6">
        <f>(Table2_1[[#This Row],[Constant Prices]]-C810)/C810</f>
        <v>1.3150346410132026E-2</v>
      </c>
      <c r="F814" s="2">
        <v>1818</v>
      </c>
      <c r="G814" s="7">
        <f>(Table2_1[[#This Row],[Current Prices]]-F813)/F813</f>
        <v>2.3994592767826915E-2</v>
      </c>
      <c r="H814" s="7">
        <f>(Table2_1[[#This Row],[Current Prices]]-F810)/F810</f>
        <v>0.12590574100452093</v>
      </c>
      <c r="I814" s="2"/>
    </row>
    <row r="815" spans="1:9" x14ac:dyDescent="0.3">
      <c r="A815" s="2" t="s">
        <v>84</v>
      </c>
      <c r="B815" s="2" t="s">
        <v>17</v>
      </c>
      <c r="C815" s="2">
        <v>2295.3000000000002</v>
      </c>
      <c r="D815" s="6">
        <f>(Table2_1[[#This Row],[Constant Prices]]-C814)/C814</f>
        <v>-2.6133542401668582E-4</v>
      </c>
      <c r="E815" s="6">
        <f>(Table2_1[[#This Row],[Constant Prices]]-C811)/C811</f>
        <v>-1.9132930382222187E-3</v>
      </c>
      <c r="F815" s="2">
        <v>1855.5</v>
      </c>
      <c r="G815" s="7">
        <f>(Table2_1[[#This Row],[Current Prices]]-F814)/F814</f>
        <v>2.0627062706270627E-2</v>
      </c>
      <c r="H815" s="7">
        <f>(Table2_1[[#This Row],[Current Prices]]-F811)/F811</f>
        <v>7.4406485234510711E-2</v>
      </c>
      <c r="I815" s="2">
        <v>1</v>
      </c>
    </row>
    <row r="816" spans="1:9" x14ac:dyDescent="0.3">
      <c r="A816" s="2" t="s">
        <v>84</v>
      </c>
      <c r="B816" s="2" t="s">
        <v>18</v>
      </c>
      <c r="C816" s="2">
        <v>2332.3000000000002</v>
      </c>
      <c r="D816" s="6">
        <f>(Table2_1[[#This Row],[Constant Prices]]-C815)/C815</f>
        <v>1.6119897181196358E-2</v>
      </c>
      <c r="E816" s="6">
        <f>(Table2_1[[#This Row],[Constant Prices]]-C812)/C812</f>
        <v>2.3432357716442181E-2</v>
      </c>
      <c r="F816" s="2">
        <v>1886.3</v>
      </c>
      <c r="G816" s="7">
        <f>(Table2_1[[#This Row],[Current Prices]]-F815)/F815</f>
        <v>1.6599299380220939E-2</v>
      </c>
      <c r="H816" s="7">
        <f>(Table2_1[[#This Row],[Current Prices]]-F812)/F812</f>
        <v>9.407806971753381E-2</v>
      </c>
      <c r="I816" s="2"/>
    </row>
    <row r="817" spans="1:9" x14ac:dyDescent="0.3">
      <c r="A817" s="2" t="s">
        <v>84</v>
      </c>
      <c r="B817" s="2" t="s">
        <v>19</v>
      </c>
      <c r="C817" s="2">
        <v>2350.8000000000002</v>
      </c>
      <c r="D817" s="6">
        <f>(Table2_1[[#This Row],[Constant Prices]]-C816)/C816</f>
        <v>7.9320842087210047E-3</v>
      </c>
      <c r="E817" s="6">
        <f>(Table2_1[[#This Row],[Constant Prices]]-C813)/C813</f>
        <v>3.1149989332196208E-3</v>
      </c>
      <c r="F817" s="2">
        <v>1926.1</v>
      </c>
      <c r="G817" s="7">
        <f>(Table2_1[[#This Row],[Current Prices]]-F816)/F816</f>
        <v>2.1099506971319491E-2</v>
      </c>
      <c r="H817" s="7">
        <f>(Table2_1[[#This Row],[Current Prices]]-F813)/F813</f>
        <v>8.4882280049566189E-2</v>
      </c>
      <c r="I817" s="2"/>
    </row>
    <row r="818" spans="1:9" x14ac:dyDescent="0.3">
      <c r="A818" s="2" t="s">
        <v>84</v>
      </c>
      <c r="B818" s="2" t="s">
        <v>20</v>
      </c>
      <c r="C818" s="2">
        <v>2385.6</v>
      </c>
      <c r="D818" s="6">
        <f>(Table2_1[[#This Row],[Constant Prices]]-C817)/C817</f>
        <v>1.4803471158754349E-2</v>
      </c>
      <c r="E818" s="6">
        <f>(Table2_1[[#This Row],[Constant Prices]]-C814)/C814</f>
        <v>3.9069645890500375E-2</v>
      </c>
      <c r="F818" s="2">
        <v>1984.6</v>
      </c>
      <c r="G818" s="7">
        <f>(Table2_1[[#This Row],[Current Prices]]-F817)/F817</f>
        <v>3.0372254815430145E-2</v>
      </c>
      <c r="H818" s="7">
        <f>(Table2_1[[#This Row],[Current Prices]]-F814)/F814</f>
        <v>9.1639163916391583E-2</v>
      </c>
      <c r="I818" s="2"/>
    </row>
    <row r="819" spans="1:9" x14ac:dyDescent="0.3">
      <c r="A819" s="2" t="s">
        <v>84</v>
      </c>
      <c r="B819" s="2" t="s">
        <v>21</v>
      </c>
      <c r="C819" s="2">
        <v>2412.6999999999998</v>
      </c>
      <c r="D819" s="6">
        <f>(Table2_1[[#This Row],[Constant Prices]]-C818)/C818</f>
        <v>1.1359825620388963E-2</v>
      </c>
      <c r="E819" s="6">
        <f>(Table2_1[[#This Row],[Constant Prices]]-C815)/C815</f>
        <v>5.114799808303909E-2</v>
      </c>
      <c r="F819" s="2">
        <v>2034.8</v>
      </c>
      <c r="G819" s="7">
        <f>(Table2_1[[#This Row],[Current Prices]]-F818)/F818</f>
        <v>2.5294769726897131E-2</v>
      </c>
      <c r="H819" s="7">
        <f>(Table2_1[[#This Row],[Current Prices]]-F815)/F815</f>
        <v>9.6631635677714878E-2</v>
      </c>
      <c r="I819" s="2">
        <v>2</v>
      </c>
    </row>
    <row r="820" spans="1:9" x14ac:dyDescent="0.3">
      <c r="A820" s="2" t="s">
        <v>84</v>
      </c>
      <c r="B820" s="2" t="s">
        <v>22</v>
      </c>
      <c r="C820" s="2">
        <v>2451</v>
      </c>
      <c r="D820" s="6">
        <f>(Table2_1[[#This Row],[Constant Prices]]-C819)/C819</f>
        <v>1.5874331661623983E-2</v>
      </c>
      <c r="E820" s="6">
        <f>(Table2_1[[#This Row],[Constant Prices]]-C816)/C816</f>
        <v>5.0893967328388204E-2</v>
      </c>
      <c r="F820" s="2">
        <v>2114.8000000000002</v>
      </c>
      <c r="G820" s="7">
        <f>(Table2_1[[#This Row],[Current Prices]]-F819)/F819</f>
        <v>3.931590328287804E-2</v>
      </c>
      <c r="H820" s="7">
        <f>(Table2_1[[#This Row],[Current Prices]]-F816)/F816</f>
        <v>0.12113661665694758</v>
      </c>
      <c r="I820" s="2"/>
    </row>
    <row r="821" spans="1:9" x14ac:dyDescent="0.3">
      <c r="A821" s="2" t="s">
        <v>84</v>
      </c>
      <c r="B821" s="2" t="s">
        <v>23</v>
      </c>
      <c r="C821" s="2">
        <v>2466.9</v>
      </c>
      <c r="D821" s="6">
        <f>(Table2_1[[#This Row],[Constant Prices]]-C820)/C820</f>
        <v>6.4871481028152145E-3</v>
      </c>
      <c r="E821" s="6">
        <f>(Table2_1[[#This Row],[Constant Prices]]-C817)/C817</f>
        <v>4.938744257274115E-2</v>
      </c>
      <c r="F821" s="2">
        <v>2151.1999999999998</v>
      </c>
      <c r="G821" s="7">
        <f>(Table2_1[[#This Row],[Current Prices]]-F820)/F820</f>
        <v>1.7212029506336123E-2</v>
      </c>
      <c r="H821" s="7">
        <f>(Table2_1[[#This Row],[Current Prices]]-F817)/F817</f>
        <v>0.11686828305903116</v>
      </c>
      <c r="I821" s="2"/>
    </row>
    <row r="822" spans="1:9" x14ac:dyDescent="0.3">
      <c r="A822" s="2" t="s">
        <v>84</v>
      </c>
      <c r="B822" s="2" t="s">
        <v>24</v>
      </c>
      <c r="C822" s="2">
        <v>2490.5</v>
      </c>
      <c r="D822" s="6">
        <f>(Table2_1[[#This Row],[Constant Prices]]-C821)/C821</f>
        <v>9.5666626129960308E-3</v>
      </c>
      <c r="E822" s="6">
        <f>(Table2_1[[#This Row],[Constant Prices]]-C818)/C818</f>
        <v>4.3972166331321304E-2</v>
      </c>
      <c r="F822" s="2">
        <v>2195.3000000000002</v>
      </c>
      <c r="G822" s="7">
        <f>(Table2_1[[#This Row],[Current Prices]]-F821)/F821</f>
        <v>2.0500185942729812E-2</v>
      </c>
      <c r="H822" s="7">
        <f>(Table2_1[[#This Row],[Current Prices]]-F818)/F818</f>
        <v>0.1061674896704627</v>
      </c>
      <c r="I822" s="2"/>
    </row>
    <row r="823" spans="1:9" x14ac:dyDescent="0.3">
      <c r="A823" s="2" t="s">
        <v>84</v>
      </c>
      <c r="B823" s="2" t="s">
        <v>25</v>
      </c>
      <c r="C823" s="2">
        <v>2510.1999999999998</v>
      </c>
      <c r="D823" s="6">
        <f>(Table2_1[[#This Row],[Constant Prices]]-C822)/C822</f>
        <v>7.9100582212406415E-3</v>
      </c>
      <c r="E823" s="6">
        <f>(Table2_1[[#This Row],[Constant Prices]]-C819)/C819</f>
        <v>4.0411157624238407E-2</v>
      </c>
      <c r="F823" s="2">
        <v>2239.6999999999998</v>
      </c>
      <c r="G823" s="7">
        <f>(Table2_1[[#This Row],[Current Prices]]-F822)/F822</f>
        <v>2.0225026192319789E-2</v>
      </c>
      <c r="H823" s="7">
        <f>(Table2_1[[#This Row],[Current Prices]]-F819)/F819</f>
        <v>0.10069785728327102</v>
      </c>
      <c r="I823" s="2">
        <v>3</v>
      </c>
    </row>
    <row r="824" spans="1:9" x14ac:dyDescent="0.3">
      <c r="A824" s="2" t="s">
        <v>84</v>
      </c>
      <c r="B824" s="2" t="s">
        <v>26</v>
      </c>
      <c r="C824" s="2">
        <v>2528</v>
      </c>
      <c r="D824" s="6">
        <f>(Table2_1[[#This Row],[Constant Prices]]-C823)/C823</f>
        <v>7.0910684407617655E-3</v>
      </c>
      <c r="E824" s="6">
        <f>(Table2_1[[#This Row],[Constant Prices]]-C820)/C820</f>
        <v>3.1415748674010605E-2</v>
      </c>
      <c r="F824" s="2">
        <v>2263.9</v>
      </c>
      <c r="G824" s="7">
        <f>(Table2_1[[#This Row],[Current Prices]]-F823)/F823</f>
        <v>1.0805018529267435E-2</v>
      </c>
      <c r="H824" s="7">
        <f>(Table2_1[[#This Row],[Current Prices]]-F820)/F820</f>
        <v>7.0503120862492857E-2</v>
      </c>
      <c r="I824" s="2"/>
    </row>
    <row r="825" spans="1:9" x14ac:dyDescent="0.3">
      <c r="A825" s="2" t="s">
        <v>84</v>
      </c>
      <c r="B825" s="2" t="s">
        <v>27</v>
      </c>
      <c r="C825" s="2">
        <v>2550.1999999999998</v>
      </c>
      <c r="D825" s="6">
        <f>(Table2_1[[#This Row],[Constant Prices]]-C824)/C824</f>
        <v>8.781645569620182E-3</v>
      </c>
      <c r="E825" s="6">
        <f>(Table2_1[[#This Row],[Constant Prices]]-C821)/C821</f>
        <v>3.3767076087397027E-2</v>
      </c>
      <c r="F825" s="2">
        <v>2317.1999999999998</v>
      </c>
      <c r="G825" s="7">
        <f>(Table2_1[[#This Row],[Current Prices]]-F824)/F824</f>
        <v>2.3543442731569292E-2</v>
      </c>
      <c r="H825" s="7">
        <f>(Table2_1[[#This Row],[Current Prices]]-F821)/F821</f>
        <v>7.716623280029751E-2</v>
      </c>
      <c r="I825" s="2"/>
    </row>
    <row r="826" spans="1:9" x14ac:dyDescent="0.3">
      <c r="A826" s="2" t="s">
        <v>84</v>
      </c>
      <c r="B826" s="2" t="s">
        <v>28</v>
      </c>
      <c r="C826" s="2">
        <v>2560.6999999999998</v>
      </c>
      <c r="D826" s="6">
        <f>(Table2_1[[#This Row],[Constant Prices]]-C825)/C825</f>
        <v>4.117324131440672E-3</v>
      </c>
      <c r="E826" s="6">
        <f>(Table2_1[[#This Row],[Constant Prices]]-C822)/C822</f>
        <v>2.8187111021883083E-2</v>
      </c>
      <c r="F826" s="2">
        <v>2366.8000000000002</v>
      </c>
      <c r="G826" s="7">
        <f>(Table2_1[[#This Row],[Current Prices]]-F825)/F825</f>
        <v>2.1405144139478839E-2</v>
      </c>
      <c r="H826" s="7">
        <f>(Table2_1[[#This Row],[Current Prices]]-F822)/F822</f>
        <v>7.8121441260875502E-2</v>
      </c>
      <c r="I826" s="2"/>
    </row>
    <row r="827" spans="1:9" x14ac:dyDescent="0.3">
      <c r="A827" s="2" t="s">
        <v>84</v>
      </c>
      <c r="B827" s="2" t="s">
        <v>29</v>
      </c>
      <c r="C827" s="2">
        <v>2575.8000000000002</v>
      </c>
      <c r="D827" s="6">
        <f>(Table2_1[[#This Row],[Constant Prices]]-C826)/C826</f>
        <v>5.8968250868904459E-3</v>
      </c>
      <c r="E827" s="6">
        <f>(Table2_1[[#This Row],[Constant Prices]]-C823)/C823</f>
        <v>2.6133375826627506E-2</v>
      </c>
      <c r="F827" s="2">
        <v>2403.5</v>
      </c>
      <c r="G827" s="7">
        <f>(Table2_1[[#This Row],[Current Prices]]-F826)/F826</f>
        <v>1.5506168666553919E-2</v>
      </c>
      <c r="H827" s="7">
        <f>(Table2_1[[#This Row],[Current Prices]]-F823)/F823</f>
        <v>7.3134794838594544E-2</v>
      </c>
      <c r="I827" s="2">
        <v>4</v>
      </c>
    </row>
    <row r="828" spans="1:9" x14ac:dyDescent="0.3">
      <c r="A828" s="2" t="s">
        <v>84</v>
      </c>
      <c r="B828" s="2" t="s">
        <v>30</v>
      </c>
      <c r="C828" s="2">
        <v>2568.8000000000002</v>
      </c>
      <c r="D828" s="6">
        <f>(Table2_1[[#This Row],[Constant Prices]]-C827)/C827</f>
        <v>-2.7176022983150866E-3</v>
      </c>
      <c r="E828" s="6">
        <f>(Table2_1[[#This Row],[Constant Prices]]-C824)/C824</f>
        <v>1.6139240506329186E-2</v>
      </c>
      <c r="F828" s="2">
        <v>2533</v>
      </c>
      <c r="G828" s="7">
        <f>(Table2_1[[#This Row],[Current Prices]]-F827)/F827</f>
        <v>5.3879758685250675E-2</v>
      </c>
      <c r="H828" s="7">
        <f>(Table2_1[[#This Row],[Current Prices]]-F824)/F824</f>
        <v>0.1188656742788992</v>
      </c>
      <c r="I828" s="2"/>
    </row>
    <row r="829" spans="1:9" x14ac:dyDescent="0.3">
      <c r="A829" s="2" t="s">
        <v>84</v>
      </c>
      <c r="B829" s="2" t="s">
        <v>31</v>
      </c>
      <c r="C829" s="2">
        <v>2577.8000000000002</v>
      </c>
      <c r="D829" s="6">
        <f>(Table2_1[[#This Row],[Constant Prices]]-C828)/C828</f>
        <v>3.5035814388041106E-3</v>
      </c>
      <c r="E829" s="6">
        <f>(Table2_1[[#This Row],[Constant Prices]]-C825)/C825</f>
        <v>1.0822680574072764E-2</v>
      </c>
      <c r="F829" s="2">
        <v>2563.4</v>
      </c>
      <c r="G829" s="7">
        <f>(Table2_1[[#This Row],[Current Prices]]-F828)/F828</f>
        <v>1.200157915515203E-2</v>
      </c>
      <c r="H829" s="7">
        <f>(Table2_1[[#This Row],[Current Prices]]-F825)/F825</f>
        <v>0.10624892111168664</v>
      </c>
      <c r="I829" s="2"/>
    </row>
    <row r="830" spans="1:9" x14ac:dyDescent="0.3">
      <c r="A830" s="2" t="s">
        <v>84</v>
      </c>
      <c r="B830" s="2" t="s">
        <v>32</v>
      </c>
      <c r="C830" s="2">
        <v>2591</v>
      </c>
      <c r="D830" s="6">
        <f>(Table2_1[[#This Row],[Constant Prices]]-C829)/C829</f>
        <v>5.1206455116765527E-3</v>
      </c>
      <c r="E830" s="6">
        <f>(Table2_1[[#This Row],[Constant Prices]]-C826)/C826</f>
        <v>1.1832701995548164E-2</v>
      </c>
      <c r="F830" s="2">
        <v>2597.5</v>
      </c>
      <c r="G830" s="7">
        <f>(Table2_1[[#This Row],[Current Prices]]-F829)/F829</f>
        <v>1.3302644924709334E-2</v>
      </c>
      <c r="H830" s="7">
        <f>(Table2_1[[#This Row],[Current Prices]]-F826)/F826</f>
        <v>9.7473381781308016E-2</v>
      </c>
      <c r="I830" s="2"/>
    </row>
    <row r="831" spans="1:9" x14ac:dyDescent="0.3">
      <c r="A831" s="2" t="s">
        <v>84</v>
      </c>
      <c r="B831" s="2" t="s">
        <v>33</v>
      </c>
      <c r="C831" s="2">
        <v>2604.8000000000002</v>
      </c>
      <c r="D831" s="6">
        <f>(Table2_1[[#This Row],[Constant Prices]]-C830)/C830</f>
        <v>5.3261289077576931E-3</v>
      </c>
      <c r="E831" s="6">
        <f>(Table2_1[[#This Row],[Constant Prices]]-C827)/C827</f>
        <v>1.1258638093019644E-2</v>
      </c>
      <c r="F831" s="2">
        <v>2648.5</v>
      </c>
      <c r="G831" s="7">
        <f>(Table2_1[[#This Row],[Current Prices]]-F830)/F830</f>
        <v>1.9634263715110685E-2</v>
      </c>
      <c r="H831" s="7">
        <f>(Table2_1[[#This Row],[Current Prices]]-F827)/F827</f>
        <v>0.10193467859371749</v>
      </c>
      <c r="I831" s="2">
        <v>5</v>
      </c>
    </row>
    <row r="832" spans="1:9" x14ac:dyDescent="0.3">
      <c r="A832" s="2" t="s">
        <v>84</v>
      </c>
      <c r="B832" s="2" t="s">
        <v>34</v>
      </c>
      <c r="C832" s="2">
        <v>2642</v>
      </c>
      <c r="D832" s="6">
        <f>(Table2_1[[#This Row],[Constant Prices]]-C831)/C831</f>
        <v>1.428132678132671E-2</v>
      </c>
      <c r="E832" s="6">
        <f>(Table2_1[[#This Row],[Constant Prices]]-C828)/C828</f>
        <v>2.8495795702273362E-2</v>
      </c>
      <c r="F832" s="2">
        <v>2691.5</v>
      </c>
      <c r="G832" s="7">
        <f>(Table2_1[[#This Row],[Current Prices]]-F831)/F831</f>
        <v>1.6235605059467622E-2</v>
      </c>
      <c r="H832" s="7">
        <f>(Table2_1[[#This Row],[Current Prices]]-F828)/F828</f>
        <v>6.2574022897749701E-2</v>
      </c>
      <c r="I832" s="2"/>
    </row>
    <row r="833" spans="1:9" x14ac:dyDescent="0.3">
      <c r="A833" s="2" t="s">
        <v>84</v>
      </c>
      <c r="B833" s="2" t="s">
        <v>35</v>
      </c>
      <c r="C833" s="2">
        <v>2645.7</v>
      </c>
      <c r="D833" s="6">
        <f>(Table2_1[[#This Row],[Constant Prices]]-C832)/C832</f>
        <v>1.4004542013625351E-3</v>
      </c>
      <c r="E833" s="6">
        <f>(Table2_1[[#This Row],[Constant Prices]]-C829)/C829</f>
        <v>2.6340290169912184E-2</v>
      </c>
      <c r="F833" s="2">
        <v>2729.7</v>
      </c>
      <c r="G833" s="7">
        <f>(Table2_1[[#This Row],[Current Prices]]-F832)/F832</f>
        <v>1.4192829277354567E-2</v>
      </c>
      <c r="H833" s="7">
        <f>(Table2_1[[#This Row],[Current Prices]]-F829)/F829</f>
        <v>6.4874775688538555E-2</v>
      </c>
      <c r="I833" s="2"/>
    </row>
    <row r="834" spans="1:9" x14ac:dyDescent="0.3">
      <c r="A834" s="2" t="s">
        <v>84</v>
      </c>
      <c r="B834" s="2" t="s">
        <v>36</v>
      </c>
      <c r="C834" s="2">
        <v>2650.5</v>
      </c>
      <c r="D834" s="6">
        <f>(Table2_1[[#This Row],[Constant Prices]]-C833)/C833</f>
        <v>1.8142646558567421E-3</v>
      </c>
      <c r="E834" s="6">
        <f>(Table2_1[[#This Row],[Constant Prices]]-C830)/C830</f>
        <v>2.2964106522578156E-2</v>
      </c>
      <c r="F834" s="2">
        <v>2767.8</v>
      </c>
      <c r="G834" s="7">
        <f>(Table2_1[[#This Row],[Current Prices]]-F833)/F833</f>
        <v>1.3957577755797474E-2</v>
      </c>
      <c r="H834" s="7">
        <f>(Table2_1[[#This Row],[Current Prices]]-F830)/F830</f>
        <v>6.5563041385948095E-2</v>
      </c>
      <c r="I834" s="2"/>
    </row>
    <row r="835" spans="1:9" x14ac:dyDescent="0.3">
      <c r="A835" s="2" t="s">
        <v>84</v>
      </c>
      <c r="B835" s="2" t="s">
        <v>37</v>
      </c>
      <c r="C835" s="2">
        <v>2662.3</v>
      </c>
      <c r="D835" s="6">
        <f>(Table2_1[[#This Row],[Constant Prices]]-C834)/C834</f>
        <v>4.451990190530157E-3</v>
      </c>
      <c r="E835" s="6">
        <f>(Table2_1[[#This Row],[Constant Prices]]-C831)/C831</f>
        <v>2.2074631449631447E-2</v>
      </c>
      <c r="F835" s="2">
        <v>2816.9</v>
      </c>
      <c r="G835" s="7">
        <f>(Table2_1[[#This Row],[Current Prices]]-F834)/F834</f>
        <v>1.7739721078112548E-2</v>
      </c>
      <c r="H835" s="7">
        <f>(Table2_1[[#This Row],[Current Prices]]-F831)/F831</f>
        <v>6.3583160279403472E-2</v>
      </c>
      <c r="I835" s="2">
        <v>6</v>
      </c>
    </row>
    <row r="836" spans="1:9" x14ac:dyDescent="0.3">
      <c r="A836" s="2" t="s">
        <v>84</v>
      </c>
      <c r="B836" s="2" t="s">
        <v>38</v>
      </c>
      <c r="C836" s="2">
        <v>2657.2</v>
      </c>
      <c r="D836" s="6">
        <f>(Table2_1[[#This Row],[Constant Prices]]-C835)/C835</f>
        <v>-1.9156368553507731E-3</v>
      </c>
      <c r="E836" s="6">
        <f>(Table2_1[[#This Row],[Constant Prices]]-C832)/C832</f>
        <v>5.7532172596517104E-3</v>
      </c>
      <c r="F836" s="2">
        <v>2872.2</v>
      </c>
      <c r="G836" s="7">
        <f>(Table2_1[[#This Row],[Current Prices]]-F835)/F835</f>
        <v>1.9631509815754809E-2</v>
      </c>
      <c r="H836" s="7">
        <f>(Table2_1[[#This Row],[Current Prices]]-F832)/F832</f>
        <v>6.71372840423555E-2</v>
      </c>
      <c r="I836" s="2"/>
    </row>
    <row r="837" spans="1:9" x14ac:dyDescent="0.3">
      <c r="A837" s="2" t="s">
        <v>84</v>
      </c>
      <c r="B837" s="2" t="s">
        <v>39</v>
      </c>
      <c r="C837" s="2">
        <v>2681.2</v>
      </c>
      <c r="D837" s="6">
        <f>(Table2_1[[#This Row],[Constant Prices]]-C836)/C836</f>
        <v>9.0320638265843755E-3</v>
      </c>
      <c r="E837" s="6">
        <f>(Table2_1[[#This Row],[Constant Prices]]-C833)/C833</f>
        <v>1.3417999017273313E-2</v>
      </c>
      <c r="F837" s="2">
        <v>2943.9</v>
      </c>
      <c r="G837" s="7">
        <f>(Table2_1[[#This Row],[Current Prices]]-F836)/F836</f>
        <v>2.4963442657196671E-2</v>
      </c>
      <c r="H837" s="7">
        <f>(Table2_1[[#This Row],[Current Prices]]-F833)/F833</f>
        <v>7.8470161556215071E-2</v>
      </c>
      <c r="I837" s="2"/>
    </row>
    <row r="838" spans="1:9" x14ac:dyDescent="0.3">
      <c r="A838" s="2" t="s">
        <v>84</v>
      </c>
      <c r="B838" s="2" t="s">
        <v>40</v>
      </c>
      <c r="C838" s="2">
        <v>2688.7</v>
      </c>
      <c r="D838" s="6">
        <f>(Table2_1[[#This Row],[Constant Prices]]-C837)/C837</f>
        <v>2.7972549604654636E-3</v>
      </c>
      <c r="E838" s="6">
        <f>(Table2_1[[#This Row],[Constant Prices]]-C834)/C834</f>
        <v>1.4412375023580387E-2</v>
      </c>
      <c r="F838" s="2">
        <v>3012.8</v>
      </c>
      <c r="G838" s="7">
        <f>(Table2_1[[#This Row],[Current Prices]]-F837)/F837</f>
        <v>2.3404327592649238E-2</v>
      </c>
      <c r="H838" s="7">
        <f>(Table2_1[[#This Row],[Current Prices]]-F834)/F834</f>
        <v>8.8517956499747086E-2</v>
      </c>
      <c r="I838" s="2"/>
    </row>
    <row r="839" spans="1:9" x14ac:dyDescent="0.3">
      <c r="A839" s="2" t="s">
        <v>84</v>
      </c>
      <c r="B839" s="2" t="s">
        <v>41</v>
      </c>
      <c r="C839" s="2">
        <v>2691.8</v>
      </c>
      <c r="D839" s="6">
        <f>(Table2_1[[#This Row],[Constant Prices]]-C838)/C838</f>
        <v>1.1529735559937383E-3</v>
      </c>
      <c r="E839" s="6">
        <f>(Table2_1[[#This Row],[Constant Prices]]-C835)/C835</f>
        <v>1.1080644555459564E-2</v>
      </c>
      <c r="F839" s="2">
        <v>3078.1</v>
      </c>
      <c r="G839" s="7">
        <f>(Table2_1[[#This Row],[Current Prices]]-F838)/F838</f>
        <v>2.1674190122145422E-2</v>
      </c>
      <c r="H839" s="7">
        <f>(Table2_1[[#This Row],[Current Prices]]-F835)/F835</f>
        <v>9.2726046363023118E-2</v>
      </c>
      <c r="I839" s="2">
        <v>7</v>
      </c>
    </row>
    <row r="840" spans="1:9" x14ac:dyDescent="0.3">
      <c r="A840" s="2" t="s">
        <v>84</v>
      </c>
      <c r="B840" s="2" t="s">
        <v>42</v>
      </c>
      <c r="C840" s="2">
        <v>2692.9</v>
      </c>
      <c r="D840" s="6">
        <f>(Table2_1[[#This Row],[Constant Prices]]-C839)/C839</f>
        <v>4.086484880005606E-4</v>
      </c>
      <c r="E840" s="6">
        <f>(Table2_1[[#This Row],[Constant Prices]]-C836)/C836</f>
        <v>1.343519494204436E-2</v>
      </c>
      <c r="F840" s="2">
        <v>3140.1</v>
      </c>
      <c r="G840" s="7">
        <f>(Table2_1[[#This Row],[Current Prices]]-F839)/F839</f>
        <v>2.0142295571943733E-2</v>
      </c>
      <c r="H840" s="7">
        <f>(Table2_1[[#This Row],[Current Prices]]-F836)/F836</f>
        <v>9.3273448924169666E-2</v>
      </c>
      <c r="I840" s="2"/>
    </row>
    <row r="841" spans="1:9" x14ac:dyDescent="0.3">
      <c r="A841" s="2" t="s">
        <v>84</v>
      </c>
      <c r="B841" s="2" t="s">
        <v>43</v>
      </c>
      <c r="C841" s="2">
        <v>2697.5</v>
      </c>
      <c r="D841" s="6">
        <f>(Table2_1[[#This Row],[Constant Prices]]-C840)/C840</f>
        <v>1.7081956255337774E-3</v>
      </c>
      <c r="E841" s="6">
        <f>(Table2_1[[#This Row],[Constant Prices]]-C837)/C837</f>
        <v>6.079367447411675E-3</v>
      </c>
      <c r="F841" s="2">
        <v>3205</v>
      </c>
      <c r="G841" s="7">
        <f>(Table2_1[[#This Row],[Current Prices]]-F840)/F840</f>
        <v>2.0668131588166012E-2</v>
      </c>
      <c r="H841" s="7">
        <f>(Table2_1[[#This Row],[Current Prices]]-F837)/F837</f>
        <v>8.869187132715102E-2</v>
      </c>
      <c r="I841" s="2"/>
    </row>
    <row r="842" spans="1:9" x14ac:dyDescent="0.3">
      <c r="A842" s="2" t="s">
        <v>84</v>
      </c>
      <c r="B842" s="2" t="s">
        <v>44</v>
      </c>
      <c r="C842" s="2">
        <v>2718.5</v>
      </c>
      <c r="D842" s="6">
        <f>(Table2_1[[#This Row],[Constant Prices]]-C841)/C841</f>
        <v>7.7849860982391102E-3</v>
      </c>
      <c r="E842" s="6">
        <f>(Table2_1[[#This Row],[Constant Prices]]-C838)/C838</f>
        <v>1.1083423215680508E-2</v>
      </c>
      <c r="F842" s="2">
        <v>3277.9</v>
      </c>
      <c r="G842" s="7">
        <f>(Table2_1[[#This Row],[Current Prices]]-F841)/F841</f>
        <v>2.2745709828393162E-2</v>
      </c>
      <c r="H842" s="7">
        <f>(Table2_1[[#This Row],[Current Prices]]-F838)/F838</f>
        <v>8.7991237387148133E-2</v>
      </c>
      <c r="I842" s="2"/>
    </row>
    <row r="843" spans="1:9" x14ac:dyDescent="0.3">
      <c r="A843" s="2" t="s">
        <v>84</v>
      </c>
      <c r="B843" s="2" t="s">
        <v>45</v>
      </c>
      <c r="C843" s="2">
        <v>2735.8</v>
      </c>
      <c r="D843" s="6">
        <f>(Table2_1[[#This Row],[Constant Prices]]-C842)/C842</f>
        <v>6.3638035681442637E-3</v>
      </c>
      <c r="E843" s="6">
        <f>(Table2_1[[#This Row],[Constant Prices]]-C839)/C839</f>
        <v>1.6345939520023774E-2</v>
      </c>
      <c r="F843" s="2">
        <v>3334.5</v>
      </c>
      <c r="G843" s="7">
        <f>(Table2_1[[#This Row],[Current Prices]]-F842)/F842</f>
        <v>1.7267152750236405E-2</v>
      </c>
      <c r="H843" s="7">
        <f>(Table2_1[[#This Row],[Current Prices]]-F839)/F839</f>
        <v>8.3298138462038304E-2</v>
      </c>
      <c r="I843" s="2">
        <v>8</v>
      </c>
    </row>
    <row r="844" spans="1:9" x14ac:dyDescent="0.3">
      <c r="A844" s="2" t="s">
        <v>84</v>
      </c>
      <c r="B844" s="2" t="s">
        <v>46</v>
      </c>
      <c r="C844" s="2">
        <v>2740.3</v>
      </c>
      <c r="D844" s="6">
        <f>(Table2_1[[#This Row],[Constant Prices]]-C843)/C843</f>
        <v>1.6448570801959207E-3</v>
      </c>
      <c r="E844" s="6">
        <f>(Table2_1[[#This Row],[Constant Prices]]-C840)/C840</f>
        <v>1.760184188050061E-2</v>
      </c>
      <c r="F844" s="2">
        <v>3392.7</v>
      </c>
      <c r="G844" s="7">
        <f>(Table2_1[[#This Row],[Current Prices]]-F843)/F843</f>
        <v>1.7453891138101609E-2</v>
      </c>
      <c r="H844" s="7">
        <f>(Table2_1[[#This Row],[Current Prices]]-F840)/F840</f>
        <v>8.0443297984140599E-2</v>
      </c>
      <c r="I844" s="2"/>
    </row>
    <row r="845" spans="1:9" x14ac:dyDescent="0.3">
      <c r="A845" s="2" t="s">
        <v>84</v>
      </c>
      <c r="B845" s="2" t="s">
        <v>47</v>
      </c>
      <c r="C845" s="2">
        <v>2746.6</v>
      </c>
      <c r="D845" s="6">
        <f>(Table2_1[[#This Row],[Constant Prices]]-C844)/C844</f>
        <v>2.2990183556543908E-3</v>
      </c>
      <c r="E845" s="6">
        <f>(Table2_1[[#This Row],[Constant Prices]]-C841)/C841</f>
        <v>1.8202038924930459E-2</v>
      </c>
      <c r="F845" s="2">
        <v>3456.3</v>
      </c>
      <c r="G845" s="7">
        <f>(Table2_1[[#This Row],[Current Prices]]-F844)/F844</f>
        <v>1.8746131399770202E-2</v>
      </c>
      <c r="H845" s="7">
        <f>(Table2_1[[#This Row],[Current Prices]]-F841)/F841</f>
        <v>7.8408736349454042E-2</v>
      </c>
      <c r="I845" s="2"/>
    </row>
    <row r="846" spans="1:9" x14ac:dyDescent="0.3">
      <c r="A846" s="2" t="s">
        <v>84</v>
      </c>
      <c r="B846" s="2" t="s">
        <v>48</v>
      </c>
      <c r="C846" s="2">
        <v>2744.9</v>
      </c>
      <c r="D846" s="6">
        <f>(Table2_1[[#This Row],[Constant Prices]]-C845)/C845</f>
        <v>-6.1894706182182263E-4</v>
      </c>
      <c r="E846" s="6">
        <f>(Table2_1[[#This Row],[Constant Prices]]-C842)/C842</f>
        <v>9.7112378149715253E-3</v>
      </c>
      <c r="F846" s="2">
        <v>3531.8</v>
      </c>
      <c r="G846" s="7">
        <f>(Table2_1[[#This Row],[Current Prices]]-F845)/F845</f>
        <v>2.1844168619622139E-2</v>
      </c>
      <c r="H846" s="7">
        <f>(Table2_1[[#This Row],[Current Prices]]-F842)/F842</f>
        <v>7.7458128679947558E-2</v>
      </c>
      <c r="I846" s="2"/>
    </row>
    <row r="847" spans="1:9" x14ac:dyDescent="0.3">
      <c r="A847" s="2" t="s">
        <v>84</v>
      </c>
      <c r="B847" s="2" t="s">
        <v>49</v>
      </c>
      <c r="C847" s="2">
        <v>2750.9</v>
      </c>
      <c r="D847" s="6">
        <f>(Table2_1[[#This Row],[Constant Prices]]-C846)/C846</f>
        <v>2.1858719807643263E-3</v>
      </c>
      <c r="E847" s="6">
        <f>(Table2_1[[#This Row],[Constant Prices]]-C843)/C843</f>
        <v>5.5194093135462786E-3</v>
      </c>
      <c r="F847" s="2">
        <v>3632.8</v>
      </c>
      <c r="G847" s="7">
        <f>(Table2_1[[#This Row],[Current Prices]]-F846)/F846</f>
        <v>2.8597315816297639E-2</v>
      </c>
      <c r="H847" s="7">
        <f>(Table2_1[[#This Row],[Current Prices]]-F843)/F843</f>
        <v>8.9458689458689511E-2</v>
      </c>
      <c r="I847" s="2">
        <v>9</v>
      </c>
    </row>
    <row r="848" spans="1:9" x14ac:dyDescent="0.3">
      <c r="A848" s="2" t="s">
        <v>84</v>
      </c>
      <c r="B848" s="2" t="s">
        <v>50</v>
      </c>
      <c r="C848" s="2">
        <v>2716.4</v>
      </c>
      <c r="D848" s="6">
        <f>(Table2_1[[#This Row],[Constant Prices]]-C847)/C847</f>
        <v>-1.2541350103602456E-2</v>
      </c>
      <c r="E848" s="6">
        <f>(Table2_1[[#This Row],[Constant Prices]]-C844)/C844</f>
        <v>-8.7216728095464331E-3</v>
      </c>
      <c r="F848" s="2">
        <v>3658.7</v>
      </c>
      <c r="G848" s="7">
        <f>(Table2_1[[#This Row],[Current Prices]]-F847)/F847</f>
        <v>7.1294868971591152E-3</v>
      </c>
      <c r="H848" s="7">
        <f>(Table2_1[[#This Row],[Current Prices]]-F844)/F844</f>
        <v>7.8403631326082482E-2</v>
      </c>
      <c r="I848" s="2"/>
    </row>
    <row r="849" spans="1:9" x14ac:dyDescent="0.3">
      <c r="A849" s="2" t="s">
        <v>84</v>
      </c>
      <c r="B849" s="2" t="s">
        <v>51</v>
      </c>
      <c r="C849" s="2">
        <v>2327.1</v>
      </c>
      <c r="D849" s="6">
        <f>(Table2_1[[#This Row],[Constant Prices]]-C848)/C848</f>
        <v>-0.14331468119570026</v>
      </c>
      <c r="E849" s="6">
        <f>(Table2_1[[#This Row],[Constant Prices]]-C845)/C845</f>
        <v>-0.15273428966722494</v>
      </c>
      <c r="F849" s="2">
        <v>2912.3</v>
      </c>
      <c r="G849" s="7">
        <f>(Table2_1[[#This Row],[Current Prices]]-F848)/F848</f>
        <v>-0.20400688769234965</v>
      </c>
      <c r="H849" s="7">
        <f>(Table2_1[[#This Row],[Current Prices]]-F845)/F845</f>
        <v>-0.15739374475595289</v>
      </c>
      <c r="I849" s="2"/>
    </row>
    <row r="850" spans="1:9" x14ac:dyDescent="0.3">
      <c r="A850" s="2" t="s">
        <v>84</v>
      </c>
      <c r="B850" s="2" t="s">
        <v>52</v>
      </c>
      <c r="C850" s="2">
        <v>2682.7</v>
      </c>
      <c r="D850" s="6">
        <f>(Table2_1[[#This Row],[Constant Prices]]-C849)/C849</f>
        <v>0.15280821623479865</v>
      </c>
      <c r="E850" s="6">
        <f>(Table2_1[[#This Row],[Constant Prices]]-C846)/C846</f>
        <v>-2.2660206200590283E-2</v>
      </c>
      <c r="F850" s="2">
        <v>3687.9</v>
      </c>
      <c r="G850" s="7">
        <f>(Table2_1[[#This Row],[Current Prices]]-F849)/F849</f>
        <v>0.26631871716512717</v>
      </c>
      <c r="H850" s="7">
        <f>(Table2_1[[#This Row],[Current Prices]]-F846)/F846</f>
        <v>4.419842573192137E-2</v>
      </c>
      <c r="I850" s="2"/>
    </row>
    <row r="851" spans="1:9" x14ac:dyDescent="0.3">
      <c r="A851" s="2" t="s">
        <v>84</v>
      </c>
      <c r="B851" s="2" t="s">
        <v>53</v>
      </c>
      <c r="C851" s="2">
        <v>2732.7</v>
      </c>
      <c r="D851" s="6">
        <f>(Table2_1[[#This Row],[Constant Prices]]-C850)/C850</f>
        <v>1.8637939389421106E-2</v>
      </c>
      <c r="E851" s="6">
        <f>(Table2_1[[#This Row],[Constant Prices]]-C847)/C847</f>
        <v>-6.6160165763932792E-3</v>
      </c>
      <c r="F851" s="2">
        <v>3745.4</v>
      </c>
      <c r="G851" s="7">
        <f>(Table2_1[[#This Row],[Current Prices]]-F850)/F850</f>
        <v>1.5591529054475447E-2</v>
      </c>
      <c r="H851" s="7">
        <f>(Table2_1[[#This Row],[Current Prices]]-F847)/F847</f>
        <v>3.0995375467958573E-2</v>
      </c>
      <c r="I851" s="2">
        <v>10</v>
      </c>
    </row>
    <row r="852" spans="1:9" x14ac:dyDescent="0.3">
      <c r="A852" s="2" t="s">
        <v>84</v>
      </c>
      <c r="B852" s="2" t="s">
        <v>54</v>
      </c>
      <c r="C852" s="2">
        <v>2706.3</v>
      </c>
      <c r="D852" s="6">
        <f>(Table2_1[[#This Row],[Constant Prices]]-C851)/C851</f>
        <v>-9.6607750576351726E-3</v>
      </c>
      <c r="E852" s="6">
        <f>(Table2_1[[#This Row],[Constant Prices]]-C848)/C848</f>
        <v>-3.7181563834486485E-3</v>
      </c>
      <c r="F852" s="2">
        <v>3838.9</v>
      </c>
      <c r="G852" s="7">
        <f>(Table2_1[[#This Row],[Current Prices]]-F851)/F851</f>
        <v>2.496395578576387E-2</v>
      </c>
      <c r="H852" s="7">
        <f>(Table2_1[[#This Row],[Current Prices]]-F848)/F848</f>
        <v>4.9252466723153109E-2</v>
      </c>
      <c r="I852" s="2"/>
    </row>
    <row r="853" spans="1:9" x14ac:dyDescent="0.3">
      <c r="A853" s="2" t="s">
        <v>84</v>
      </c>
      <c r="B853" s="2" t="s">
        <v>55</v>
      </c>
      <c r="C853" s="2">
        <v>2717.9</v>
      </c>
      <c r="D853" s="6">
        <f>(Table2_1[[#This Row],[Constant Prices]]-C852)/C852</f>
        <v>4.286294941432919E-3</v>
      </c>
      <c r="E853" s="6">
        <f>(Table2_1[[#This Row],[Constant Prices]]-C849)/C849</f>
        <v>0.16793433887671358</v>
      </c>
      <c r="F853" s="2">
        <v>3757.4</v>
      </c>
      <c r="G853" s="7">
        <f>(Table2_1[[#This Row],[Current Prices]]-F852)/F852</f>
        <v>-2.1230039855166843E-2</v>
      </c>
      <c r="H853" s="7">
        <f>(Table2_1[[#This Row],[Current Prices]]-F849)/F849</f>
        <v>0.2901830168595268</v>
      </c>
      <c r="I853" s="2"/>
    </row>
    <row r="854" spans="1:9" x14ac:dyDescent="0.3">
      <c r="A854" s="2" t="s">
        <v>84</v>
      </c>
      <c r="B854" s="2" t="s">
        <v>56</v>
      </c>
      <c r="C854" s="2">
        <v>2689.1</v>
      </c>
      <c r="D854" s="6">
        <f>(Table2_1[[#This Row],[Constant Prices]]-C853)/C853</f>
        <v>-1.0596416350859186E-2</v>
      </c>
      <c r="E854" s="6">
        <f>(Table2_1[[#This Row],[Constant Prices]]-C850)/C850</f>
        <v>2.3856562418459355E-3</v>
      </c>
      <c r="F854" s="2">
        <v>3877.9</v>
      </c>
      <c r="G854" s="7">
        <f>(Table2_1[[#This Row],[Current Prices]]-F853)/F853</f>
        <v>3.2070048437749507E-2</v>
      </c>
      <c r="H854" s="7">
        <f>(Table2_1[[#This Row],[Current Prices]]-F850)/F850</f>
        <v>5.151983513652756E-2</v>
      </c>
      <c r="I854" s="2"/>
    </row>
    <row r="855" spans="1:9" x14ac:dyDescent="0.3">
      <c r="A855" s="2" t="s">
        <v>84</v>
      </c>
      <c r="B855" s="2" t="s">
        <v>57</v>
      </c>
      <c r="C855" s="2">
        <v>2723.1</v>
      </c>
      <c r="D855" s="6">
        <f>(Table2_1[[#This Row],[Constant Prices]]-C854)/C854</f>
        <v>1.2643635417054034E-2</v>
      </c>
      <c r="E855" s="6">
        <f>(Table2_1[[#This Row],[Constant Prices]]-C851)/C851</f>
        <v>-3.513009111867351E-3</v>
      </c>
      <c r="F855" s="2">
        <v>3921.5</v>
      </c>
      <c r="G855" s="7">
        <f>(Table2_1[[#This Row],[Current Prices]]-F854)/F854</f>
        <v>1.1243198638438307E-2</v>
      </c>
      <c r="H855" s="7">
        <f>(Table2_1[[#This Row],[Current Prices]]-F851)/F851</f>
        <v>4.7017675014684651E-2</v>
      </c>
      <c r="I855" s="2">
        <v>11</v>
      </c>
    </row>
    <row r="856" spans="1:9" x14ac:dyDescent="0.3">
      <c r="A856" s="2" t="s">
        <v>84</v>
      </c>
      <c r="B856" s="2" t="s">
        <v>58</v>
      </c>
      <c r="C856" s="2">
        <v>2734.5</v>
      </c>
      <c r="D856" s="6">
        <f>(Table2_1[[#This Row],[Constant Prices]]-C855)/C855</f>
        <v>4.1864051999559665E-3</v>
      </c>
      <c r="E856" s="6">
        <f>(Table2_1[[#This Row],[Constant Prices]]-C852)/C852</f>
        <v>1.0420130805897283E-2</v>
      </c>
      <c r="F856" s="2">
        <v>4188.3</v>
      </c>
      <c r="G856" s="7">
        <f>(Table2_1[[#This Row],[Current Prices]]-F855)/F855</f>
        <v>6.8035190615835822E-2</v>
      </c>
      <c r="H856" s="7">
        <f>(Table2_1[[#This Row],[Current Prices]]-F852)/F852</f>
        <v>9.1015655526322667E-2</v>
      </c>
      <c r="I856" s="2"/>
    </row>
    <row r="857" spans="1:9" x14ac:dyDescent="0.3">
      <c r="A857" s="2" t="s">
        <v>84</v>
      </c>
      <c r="B857" s="2" t="s">
        <v>59</v>
      </c>
      <c r="C857" s="2">
        <v>2723.2</v>
      </c>
      <c r="D857" s="6">
        <f>(Table2_1[[#This Row],[Constant Prices]]-C856)/C856</f>
        <v>-4.1323825196563106E-3</v>
      </c>
      <c r="E857" s="6">
        <f>(Table2_1[[#This Row],[Constant Prices]]-C853)/C853</f>
        <v>1.9500349534566125E-3</v>
      </c>
      <c r="F857" s="2">
        <v>4076.6</v>
      </c>
      <c r="G857" s="7">
        <f>(Table2_1[[#This Row],[Current Prices]]-F856)/F856</f>
        <v>-2.6669531790941496E-2</v>
      </c>
      <c r="H857" s="7">
        <f>(Table2_1[[#This Row],[Current Prices]]-F853)/F853</f>
        <v>8.4952360674934752E-2</v>
      </c>
      <c r="I857" s="2"/>
    </row>
    <row r="858" spans="1:9" x14ac:dyDescent="0.3">
      <c r="A858" s="2" t="s">
        <v>84</v>
      </c>
      <c r="B858" s="2" t="s">
        <v>60</v>
      </c>
      <c r="C858" s="2">
        <v>2778.7</v>
      </c>
      <c r="D858" s="6">
        <f>(Table2_1[[#This Row],[Constant Prices]]-C857)/C857</f>
        <v>2.0380434782608696E-2</v>
      </c>
      <c r="E858" s="6">
        <f>(Table2_1[[#This Row],[Constant Prices]]-C854)/C854</f>
        <v>3.3319698040236476E-2</v>
      </c>
      <c r="F858" s="2">
        <v>4378.8999999999996</v>
      </c>
      <c r="G858" s="7">
        <f>(Table2_1[[#This Row],[Current Prices]]-F857)/F857</f>
        <v>7.4154933032428913E-2</v>
      </c>
      <c r="H858" s="7">
        <f>(Table2_1[[#This Row],[Current Prices]]-F854)/F854</f>
        <v>0.12919363573067885</v>
      </c>
      <c r="I858" s="2"/>
    </row>
    <row r="859" spans="1:9" x14ac:dyDescent="0.3">
      <c r="A859" s="2" t="s">
        <v>84</v>
      </c>
      <c r="B859" s="2" t="s">
        <v>61</v>
      </c>
      <c r="C859" s="2">
        <v>2790.3</v>
      </c>
      <c r="D859" s="6">
        <f>(Table2_1[[#This Row],[Constant Prices]]-C858)/C858</f>
        <v>4.1746140281427877E-3</v>
      </c>
      <c r="E859" s="6">
        <f>(Table2_1[[#This Row],[Constant Prices]]-C855)/C855</f>
        <v>2.4677756968161386E-2</v>
      </c>
      <c r="F859" s="2">
        <v>4399.8999999999996</v>
      </c>
      <c r="G859" s="7">
        <f>(Table2_1[[#This Row],[Current Prices]]-F858)/F858</f>
        <v>4.7957249537555098E-3</v>
      </c>
      <c r="H859" s="7">
        <f>(Table2_1[[#This Row],[Current Prices]]-F855)/F855</f>
        <v>0.12199413489736061</v>
      </c>
      <c r="I859" s="2">
        <v>12</v>
      </c>
    </row>
    <row r="860" spans="1:9" x14ac:dyDescent="0.3">
      <c r="A860" s="2" t="s">
        <v>84</v>
      </c>
      <c r="B860" s="2" t="s">
        <v>62</v>
      </c>
      <c r="C860" s="2">
        <v>2792.4</v>
      </c>
      <c r="D860" s="6">
        <f>(Table2_1[[#This Row],[Constant Prices]]-C859)/C859</f>
        <v>7.5260724653259824E-4</v>
      </c>
      <c r="E860" s="6">
        <f>(Table2_1[[#This Row],[Constant Prices]]-C856)/C856</f>
        <v>2.1173889193636896E-2</v>
      </c>
      <c r="F860" s="2">
        <v>4717.1000000000004</v>
      </c>
      <c r="G860" s="7">
        <f>(Table2_1[[#This Row],[Current Prices]]-F859)/F859</f>
        <v>7.209254755789922E-2</v>
      </c>
      <c r="H860" s="7">
        <f>(Table2_1[[#This Row],[Current Prices]]-F856)/F856</f>
        <v>0.12625647637466278</v>
      </c>
      <c r="I860" s="2"/>
    </row>
    <row r="861" spans="1:9" x14ac:dyDescent="0.3">
      <c r="A861" s="2" t="s">
        <v>84</v>
      </c>
      <c r="B861" s="2" t="s">
        <v>63</v>
      </c>
      <c r="C861" s="2">
        <v>2787.4</v>
      </c>
      <c r="D861" s="6">
        <f>(Table2_1[[#This Row],[Constant Prices]]-C860)/C860</f>
        <v>-1.7905744162727403E-3</v>
      </c>
      <c r="E861" s="6">
        <f>(Table2_1[[#This Row],[Constant Prices]]-C857)/C857</f>
        <v>2.3575205640423133E-2</v>
      </c>
      <c r="F861" s="2">
        <v>4491.3</v>
      </c>
      <c r="G861" s="7">
        <f>(Table2_1[[#This Row],[Current Prices]]-F860)/F860</f>
        <v>-4.7868393716478379E-2</v>
      </c>
      <c r="H861" s="7">
        <f>(Table2_1[[#This Row],[Current Prices]]-F857)/F857</f>
        <v>0.10172692930383169</v>
      </c>
      <c r="I861" s="2"/>
    </row>
    <row r="862" spans="1:9" x14ac:dyDescent="0.3">
      <c r="A862" s="2" t="s">
        <v>84</v>
      </c>
      <c r="B862" s="2" t="s">
        <v>64</v>
      </c>
      <c r="C862" s="2">
        <v>2792.8</v>
      </c>
      <c r="D862" s="6">
        <f>(Table2_1[[#This Row],[Constant Prices]]-C861)/C861</f>
        <v>1.9372892301069422E-3</v>
      </c>
      <c r="E862" s="6">
        <f>(Table2_1[[#This Row],[Constant Prices]]-C858)/C858</f>
        <v>5.0743153273114638E-3</v>
      </c>
      <c r="F862" s="2">
        <v>4733.3999999999996</v>
      </c>
      <c r="G862" s="7">
        <f>(Table2_1[[#This Row],[Current Prices]]-F861)/F861</f>
        <v>5.3904214815309472E-2</v>
      </c>
      <c r="H862" s="7">
        <f>(Table2_1[[#This Row],[Current Prices]]-F858)/F858</f>
        <v>8.0956404576491822E-2</v>
      </c>
      <c r="I862" s="2"/>
    </row>
    <row r="863" spans="1:9" x14ac:dyDescent="0.3">
      <c r="A863" s="2" t="s">
        <v>84</v>
      </c>
      <c r="B863" s="2" t="s">
        <v>65</v>
      </c>
      <c r="C863" s="2">
        <v>2805</v>
      </c>
      <c r="D863" s="6">
        <f>(Table2_1[[#This Row],[Constant Prices]]-C862)/C862</f>
        <v>4.3683758235461964E-3</v>
      </c>
      <c r="E863" s="6">
        <f>(Table2_1[[#This Row],[Constant Prices]]-C859)/C859</f>
        <v>5.268250725728351E-3</v>
      </c>
      <c r="F863" s="2">
        <v>4708.1000000000004</v>
      </c>
      <c r="G863" s="7">
        <f>(Table2_1[[#This Row],[Current Prices]]-F862)/F862</f>
        <v>-5.3449951409133547E-3</v>
      </c>
      <c r="H863" s="7">
        <f>(Table2_1[[#This Row],[Current Prices]]-F859)/F859</f>
        <v>7.0047046523784809E-2</v>
      </c>
      <c r="I863" s="2">
        <v>13</v>
      </c>
    </row>
    <row r="864" spans="1:9" x14ac:dyDescent="0.3">
      <c r="A864" s="2" t="s">
        <v>84</v>
      </c>
      <c r="B864" s="2" t="s">
        <v>66</v>
      </c>
      <c r="C864" s="2">
        <v>2795.4</v>
      </c>
      <c r="D864" s="6">
        <f>(Table2_1[[#This Row],[Constant Prices]]-C863)/C863</f>
        <v>-3.4224598930480961E-3</v>
      </c>
      <c r="E864" s="6">
        <f>(Table2_1[[#This Row],[Constant Prices]]-C860)/C860</f>
        <v>1.0743446497636442E-3</v>
      </c>
      <c r="F864" s="2">
        <v>5049.3999999999996</v>
      </c>
      <c r="G864" s="7">
        <f>(Table2_1[[#This Row],[Current Prices]]-F863)/F863</f>
        <v>7.2492088103481081E-2</v>
      </c>
      <c r="H864" s="7">
        <f>(Table2_1[[#This Row],[Current Prices]]-F860)/F860</f>
        <v>7.0445824765215756E-2</v>
      </c>
      <c r="I864" s="2"/>
    </row>
    <row r="865" spans="1:9" x14ac:dyDescent="0.3">
      <c r="A865" s="2" t="s">
        <v>84</v>
      </c>
      <c r="B865" s="2" t="s">
        <v>67</v>
      </c>
      <c r="C865" s="2">
        <v>2797.5</v>
      </c>
      <c r="D865" s="6">
        <f>(Table2_1[[#This Row],[Constant Prices]]-C864)/C864</f>
        <v>7.5123417042280492E-4</v>
      </c>
      <c r="E865" s="6">
        <f>(Table2_1[[#This Row],[Constant Prices]]-C861)/C861</f>
        <v>3.6234483748295576E-3</v>
      </c>
      <c r="F865" s="2">
        <v>4801.5</v>
      </c>
      <c r="G865" s="7">
        <f>(Table2_1[[#This Row],[Current Prices]]-F864)/F864</f>
        <v>-4.9094941973303691E-2</v>
      </c>
      <c r="H865" s="7">
        <f>(Table2_1[[#This Row],[Current Prices]]-F861)/F861</f>
        <v>6.9066862601028609E-2</v>
      </c>
      <c r="I865" s="2"/>
    </row>
    <row r="866" spans="1:9" x14ac:dyDescent="0.3">
      <c r="A866" s="2" t="s">
        <v>84</v>
      </c>
      <c r="B866" s="2" t="s">
        <v>68</v>
      </c>
      <c r="C866" s="2">
        <v>2834.2</v>
      </c>
      <c r="D866" s="6">
        <f>(Table2_1[[#This Row],[Constant Prices]]-C865)/C865</f>
        <v>1.3118856121537022E-2</v>
      </c>
      <c r="E866" s="6">
        <f>(Table2_1[[#This Row],[Constant Prices]]-C862)/C862</f>
        <v>1.4823832712689642E-2</v>
      </c>
      <c r="F866" s="2">
        <v>5090.7</v>
      </c>
      <c r="G866" s="7">
        <f>(Table2_1[[#This Row],[Current Prices]]-F865)/F865</f>
        <v>6.0231177756950915E-2</v>
      </c>
      <c r="H866" s="7">
        <f>(Table2_1[[#This Row],[Current Prices]]-F862)/F862</f>
        <v>7.5484852326023616E-2</v>
      </c>
      <c r="I866" s="2"/>
    </row>
    <row r="867" spans="1:9" x14ac:dyDescent="0.3">
      <c r="A867" s="2" t="s">
        <v>84</v>
      </c>
      <c r="B867" s="2" t="s">
        <v>69</v>
      </c>
      <c r="C867" s="2">
        <v>2878.6</v>
      </c>
      <c r="D867" s="6">
        <f>(Table2_1[[#This Row],[Constant Prices]]-C866)/C866</f>
        <v>1.5665796344647553E-2</v>
      </c>
      <c r="E867" s="6">
        <f>(Table2_1[[#This Row],[Constant Prices]]-C863)/C863</f>
        <v>2.6238859180035618E-2</v>
      </c>
      <c r="F867" s="5">
        <f>Table2_1[[#This Row],[Constant Prices]]*AVERAGE(Inflation!$C$72:$C$74)*0.01</f>
        <v>5211.2255333333333</v>
      </c>
      <c r="G867" s="7">
        <f>(Table2_1[[#This Row],[Current Prices]]-F866)/F866</f>
        <v>2.3675630725309572E-2</v>
      </c>
      <c r="H867" s="7">
        <f>(Table2_1[[#This Row],[Current Prices]]-F863)/F863</f>
        <v>0.10686381625992074</v>
      </c>
      <c r="I867" s="2">
        <v>14</v>
      </c>
    </row>
    <row r="868" spans="1:9" x14ac:dyDescent="0.3">
      <c r="A868" s="2" t="s">
        <v>84</v>
      </c>
      <c r="B868" s="2" t="s">
        <v>70</v>
      </c>
      <c r="C868" s="2">
        <v>2849.3</v>
      </c>
      <c r="D868" s="6">
        <f>(Table2_1[[#This Row],[Constant Prices]]-C867)/C867</f>
        <v>-1.0178559021746587E-2</v>
      </c>
      <c r="E868" s="6">
        <f>(Table2_1[[#This Row],[Constant Prices]]-C864)/C864</f>
        <v>1.928167704085286E-2</v>
      </c>
      <c r="F868" s="5">
        <f>Table2_1[[#This Row],[Constant Prices]]*AVERAGE(Inflation!$C$75:$C$77)*0.01</f>
        <v>5198.0729666666666</v>
      </c>
      <c r="G868" s="7">
        <f>(Table2_1[[#This Row],[Current Prices]]-F867)/F867</f>
        <v>-2.5238912771164738E-3</v>
      </c>
      <c r="H868" s="7">
        <f>(Table2_1[[#This Row],[Current Prices]]-F864)/F864</f>
        <v>2.9443689679301895E-2</v>
      </c>
      <c r="I868" s="2"/>
    </row>
    <row r="869" spans="1:9" x14ac:dyDescent="0.3">
      <c r="A869" s="2" t="s">
        <v>84</v>
      </c>
      <c r="B869" s="2" t="s">
        <v>71</v>
      </c>
      <c r="C869" s="2">
        <v>2875.3</v>
      </c>
      <c r="D869" s="6">
        <f>(Table2_1[[#This Row],[Constant Prices]]-C868)/C868</f>
        <v>9.125048257466746E-3</v>
      </c>
      <c r="E869" s="6">
        <f>(Table2_1[[#This Row],[Constant Prices]]-C865)/C865</f>
        <v>2.7810545129580047E-2</v>
      </c>
      <c r="F869" s="5">
        <f>Table2_1[[#This Row],[Constant Prices]]*AVERAGE(Inflation!$C$78:$C$80)*0.01</f>
        <v>5328.8893333333335</v>
      </c>
      <c r="G869" s="7">
        <f>(Table2_1[[#This Row],[Current Prices]]-F868)/F868</f>
        <v>2.5166319808425975E-2</v>
      </c>
      <c r="H869" s="7">
        <f>(Table2_1[[#This Row],[Current Prices]]-F865)/F865</f>
        <v>0.10983845326113371</v>
      </c>
      <c r="I869" s="2"/>
    </row>
    <row r="870" spans="1:9" x14ac:dyDescent="0.3">
      <c r="A870" s="2" t="s">
        <v>85</v>
      </c>
      <c r="B870" s="2" t="s">
        <v>10</v>
      </c>
      <c r="C870" s="2">
        <v>1418.6</v>
      </c>
      <c r="D870" s="6"/>
      <c r="E870" s="6"/>
      <c r="F870" s="2">
        <v>1205.2</v>
      </c>
      <c r="G870" s="7"/>
      <c r="H870" s="7"/>
      <c r="I870" s="2"/>
    </row>
    <row r="871" spans="1:9" x14ac:dyDescent="0.3">
      <c r="A871" s="2" t="s">
        <v>85</v>
      </c>
      <c r="B871" s="2" t="s">
        <v>11</v>
      </c>
      <c r="C871" s="2">
        <v>1436.8</v>
      </c>
      <c r="D871" s="6">
        <f>(Table2_1[[#This Row],[Constant Prices]]-C870)/C870</f>
        <v>1.282955026082056E-2</v>
      </c>
      <c r="E871" s="6"/>
      <c r="F871" s="2">
        <v>1163.5</v>
      </c>
      <c r="G871" s="7">
        <f>(Table2_1[[#This Row],[Current Prices]]-F870)/F870</f>
        <v>-3.4600066379024262E-2</v>
      </c>
      <c r="H871" s="7"/>
      <c r="I871" s="2"/>
    </row>
    <row r="872" spans="1:9" x14ac:dyDescent="0.3">
      <c r="A872" s="2" t="s">
        <v>85</v>
      </c>
      <c r="B872" s="2" t="s">
        <v>12</v>
      </c>
      <c r="C872" s="2">
        <v>1431.3</v>
      </c>
      <c r="D872" s="6">
        <f>(Table2_1[[#This Row],[Constant Prices]]-C871)/C871</f>
        <v>-3.8279510022271716E-3</v>
      </c>
      <c r="E872" s="6"/>
      <c r="F872" s="2">
        <v>1125.7</v>
      </c>
      <c r="G872" s="7">
        <f>(Table2_1[[#This Row],[Current Prices]]-F871)/F871</f>
        <v>-3.2488182208852558E-2</v>
      </c>
      <c r="H872" s="7"/>
      <c r="I872" s="2"/>
    </row>
    <row r="873" spans="1:9" x14ac:dyDescent="0.3">
      <c r="A873" s="2" t="s">
        <v>85</v>
      </c>
      <c r="B873" s="2" t="s">
        <v>13</v>
      </c>
      <c r="C873" s="2">
        <v>1411.1</v>
      </c>
      <c r="D873" s="6">
        <f>(Table2_1[[#This Row],[Constant Prices]]-C872)/C872</f>
        <v>-1.4113044085796162E-2</v>
      </c>
      <c r="E873" s="6"/>
      <c r="F873" s="2">
        <v>1065.7</v>
      </c>
      <c r="G873" s="7">
        <f>(Table2_1[[#This Row],[Current Prices]]-F872)/F872</f>
        <v>-5.3300168783867813E-2</v>
      </c>
      <c r="H873" s="7"/>
      <c r="I873" s="2"/>
    </row>
    <row r="874" spans="1:9" x14ac:dyDescent="0.3">
      <c r="A874" s="2" t="s">
        <v>85</v>
      </c>
      <c r="B874" s="2" t="s">
        <v>14</v>
      </c>
      <c r="C874" s="2">
        <v>1250.0999999999999</v>
      </c>
      <c r="D874" s="6">
        <f>(Table2_1[[#This Row],[Constant Prices]]-C873)/C873</f>
        <v>-0.11409538657784708</v>
      </c>
      <c r="E874" s="6">
        <f>(Table2_1[[#This Row],[Constant Prices]]-C870)/C870</f>
        <v>-0.11877907796419006</v>
      </c>
      <c r="F874" s="2">
        <v>990.5</v>
      </c>
      <c r="G874" s="7">
        <f>(Table2_1[[#This Row],[Current Prices]]-F873)/F873</f>
        <v>-7.0563948578399219E-2</v>
      </c>
      <c r="H874" s="7">
        <f>(Table2_1[[#This Row],[Current Prices]]-F870)/F870</f>
        <v>-0.17814470627281781</v>
      </c>
      <c r="I874" s="2"/>
    </row>
    <row r="875" spans="1:9" x14ac:dyDescent="0.3">
      <c r="A875" s="2" t="s">
        <v>85</v>
      </c>
      <c r="B875" s="2" t="s">
        <v>15</v>
      </c>
      <c r="C875" s="2">
        <v>1228.2</v>
      </c>
      <c r="D875" s="6">
        <f>(Table2_1[[#This Row],[Constant Prices]]-C874)/C874</f>
        <v>-1.7518598512118923E-2</v>
      </c>
      <c r="E875" s="6">
        <f>(Table2_1[[#This Row],[Constant Prices]]-C871)/C871</f>
        <v>-0.14518374164810685</v>
      </c>
      <c r="F875" s="2">
        <v>1008.1</v>
      </c>
      <c r="G875" s="7">
        <f>(Table2_1[[#This Row],[Current Prices]]-F874)/F874</f>
        <v>1.7768803634528037E-2</v>
      </c>
      <c r="H875" s="7">
        <f>(Table2_1[[#This Row],[Current Prices]]-F871)/F871</f>
        <v>-0.13356252685861622</v>
      </c>
      <c r="I875" s="2"/>
    </row>
    <row r="876" spans="1:9" x14ac:dyDescent="0.3">
      <c r="A876" s="2" t="s">
        <v>85</v>
      </c>
      <c r="B876" s="2" t="s">
        <v>16</v>
      </c>
      <c r="C876" s="2">
        <v>1222.3</v>
      </c>
      <c r="D876" s="6">
        <f>(Table2_1[[#This Row],[Constant Prices]]-C875)/C875</f>
        <v>-4.8037778863378039E-3</v>
      </c>
      <c r="E876" s="6">
        <f>(Table2_1[[#This Row],[Constant Prices]]-C872)/C872</f>
        <v>-0.14602109969957383</v>
      </c>
      <c r="F876" s="2">
        <v>927.6</v>
      </c>
      <c r="G876" s="7">
        <f>(Table2_1[[#This Row],[Current Prices]]-F875)/F875</f>
        <v>-7.9853189167741298E-2</v>
      </c>
      <c r="H876" s="7">
        <f>(Table2_1[[#This Row],[Current Prices]]-F872)/F872</f>
        <v>-0.17597939060140358</v>
      </c>
      <c r="I876" s="2"/>
    </row>
    <row r="877" spans="1:9" x14ac:dyDescent="0.3">
      <c r="A877" s="2" t="s">
        <v>85</v>
      </c>
      <c r="B877" s="2" t="s">
        <v>17</v>
      </c>
      <c r="C877" s="2">
        <v>1260.4000000000001</v>
      </c>
      <c r="D877" s="6">
        <f>(Table2_1[[#This Row],[Constant Prices]]-C876)/C876</f>
        <v>3.1170743679947752E-2</v>
      </c>
      <c r="E877" s="6">
        <f>(Table2_1[[#This Row],[Constant Prices]]-C873)/C873</f>
        <v>-0.10679611650485425</v>
      </c>
      <c r="F877" s="2">
        <v>962.6</v>
      </c>
      <c r="G877" s="7">
        <f>(Table2_1[[#This Row],[Current Prices]]-F876)/F876</f>
        <v>3.7731780940060369E-2</v>
      </c>
      <c r="H877" s="7">
        <f>(Table2_1[[#This Row],[Current Prices]]-F873)/F873</f>
        <v>-9.6743924181289312E-2</v>
      </c>
      <c r="I877" s="2">
        <v>1</v>
      </c>
    </row>
    <row r="878" spans="1:9" x14ac:dyDescent="0.3">
      <c r="A878" s="2" t="s">
        <v>85</v>
      </c>
      <c r="B878" s="2" t="s">
        <v>18</v>
      </c>
      <c r="C878" s="2">
        <v>1316.6</v>
      </c>
      <c r="D878" s="6">
        <f>(Table2_1[[#This Row],[Constant Prices]]-C877)/C877</f>
        <v>4.4589019358933522E-2</v>
      </c>
      <c r="E878" s="6">
        <f>(Table2_1[[#This Row],[Constant Prices]]-C874)/C874</f>
        <v>5.3195744340452766E-2</v>
      </c>
      <c r="F878" s="2">
        <v>1012.4</v>
      </c>
      <c r="G878" s="7">
        <f>(Table2_1[[#This Row],[Current Prices]]-F877)/F877</f>
        <v>5.1734884687305166E-2</v>
      </c>
      <c r="H878" s="7">
        <f>(Table2_1[[#This Row],[Current Prices]]-F874)/F874</f>
        <v>2.2110045431600178E-2</v>
      </c>
      <c r="I878" s="2"/>
    </row>
    <row r="879" spans="1:9" x14ac:dyDescent="0.3">
      <c r="A879" s="2" t="s">
        <v>85</v>
      </c>
      <c r="B879" s="2" t="s">
        <v>19</v>
      </c>
      <c r="C879" s="2">
        <v>1328.5</v>
      </c>
      <c r="D879" s="6">
        <f>(Table2_1[[#This Row],[Constant Prices]]-C878)/C878</f>
        <v>9.0384323256874465E-3</v>
      </c>
      <c r="E879" s="6">
        <f>(Table2_1[[#This Row],[Constant Prices]]-C875)/C875</f>
        <v>8.1664224067741376E-2</v>
      </c>
      <c r="F879" s="2">
        <v>1019.9</v>
      </c>
      <c r="G879" s="7">
        <f>(Table2_1[[#This Row],[Current Prices]]-F878)/F878</f>
        <v>7.4081390754642436E-3</v>
      </c>
      <c r="H879" s="7">
        <f>(Table2_1[[#This Row],[Current Prices]]-F875)/F875</f>
        <v>1.1705187977383151E-2</v>
      </c>
      <c r="I879" s="2"/>
    </row>
    <row r="880" spans="1:9" x14ac:dyDescent="0.3">
      <c r="A880" s="2" t="s">
        <v>85</v>
      </c>
      <c r="B880" s="2" t="s">
        <v>20</v>
      </c>
      <c r="C880" s="2">
        <v>1342.2</v>
      </c>
      <c r="D880" s="6">
        <f>(Table2_1[[#This Row],[Constant Prices]]-C879)/C879</f>
        <v>1.0312382386149828E-2</v>
      </c>
      <c r="E880" s="6">
        <f>(Table2_1[[#This Row],[Constant Prices]]-C876)/C876</f>
        <v>9.809375766996653E-2</v>
      </c>
      <c r="F880" s="2">
        <v>1127.2</v>
      </c>
      <c r="G880" s="7">
        <f>(Table2_1[[#This Row],[Current Prices]]-F879)/F879</f>
        <v>0.1052063927836063</v>
      </c>
      <c r="H880" s="7">
        <f>(Table2_1[[#This Row],[Current Prices]]-F876)/F876</f>
        <v>0.21517895644674431</v>
      </c>
      <c r="I880" s="2"/>
    </row>
    <row r="881" spans="1:9" x14ac:dyDescent="0.3">
      <c r="A881" s="2" t="s">
        <v>85</v>
      </c>
      <c r="B881" s="2" t="s">
        <v>21</v>
      </c>
      <c r="C881" s="2">
        <v>1336.4</v>
      </c>
      <c r="D881" s="6">
        <f>(Table2_1[[#This Row],[Constant Prices]]-C880)/C880</f>
        <v>-4.3212635970793882E-3</v>
      </c>
      <c r="E881" s="6">
        <f>(Table2_1[[#This Row],[Constant Prices]]-C877)/C877</f>
        <v>6.0298317994287524E-2</v>
      </c>
      <c r="F881" s="2">
        <v>1107.5999999999999</v>
      </c>
      <c r="G881" s="7">
        <f>(Table2_1[[#This Row],[Current Prices]]-F880)/F880</f>
        <v>-1.7388218594748168E-2</v>
      </c>
      <c r="H881" s="7">
        <f>(Table2_1[[#This Row],[Current Prices]]-F877)/F877</f>
        <v>0.15063370039476406</v>
      </c>
      <c r="I881" s="2">
        <v>2</v>
      </c>
    </row>
    <row r="882" spans="1:9" x14ac:dyDescent="0.3">
      <c r="A882" s="2" t="s">
        <v>85</v>
      </c>
      <c r="B882" s="2" t="s">
        <v>22</v>
      </c>
      <c r="C882" s="2">
        <v>1318.7</v>
      </c>
      <c r="D882" s="6">
        <f>(Table2_1[[#This Row],[Constant Prices]]-C881)/C881</f>
        <v>-1.3244537563603744E-2</v>
      </c>
      <c r="E882" s="6">
        <f>(Table2_1[[#This Row],[Constant Prices]]-C878)/C878</f>
        <v>1.5950174692390526E-3</v>
      </c>
      <c r="F882" s="2">
        <v>1122.9000000000001</v>
      </c>
      <c r="G882" s="7">
        <f>(Table2_1[[#This Row],[Current Prices]]-F881)/F881</f>
        <v>1.3813651137594965E-2</v>
      </c>
      <c r="H882" s="7">
        <f>(Table2_1[[#This Row],[Current Prices]]-F878)/F878</f>
        <v>0.10914658237850663</v>
      </c>
      <c r="I882" s="2"/>
    </row>
    <row r="883" spans="1:9" x14ac:dyDescent="0.3">
      <c r="A883" s="2" t="s">
        <v>85</v>
      </c>
      <c r="B883" s="2" t="s">
        <v>23</v>
      </c>
      <c r="C883" s="2">
        <v>1339.2</v>
      </c>
      <c r="D883" s="6">
        <f>(Table2_1[[#This Row],[Constant Prices]]-C882)/C882</f>
        <v>1.5545613103814361E-2</v>
      </c>
      <c r="E883" s="6">
        <f>(Table2_1[[#This Row],[Constant Prices]]-C879)/C879</f>
        <v>8.0541964621754208E-3</v>
      </c>
      <c r="F883" s="2">
        <v>1147.3</v>
      </c>
      <c r="G883" s="7">
        <f>(Table2_1[[#This Row],[Current Prices]]-F882)/F882</f>
        <v>2.1729450529877872E-2</v>
      </c>
      <c r="H883" s="7">
        <f>(Table2_1[[#This Row],[Current Prices]]-F879)/F879</f>
        <v>0.12491420727522304</v>
      </c>
      <c r="I883" s="2"/>
    </row>
    <row r="884" spans="1:9" x14ac:dyDescent="0.3">
      <c r="A884" s="2" t="s">
        <v>85</v>
      </c>
      <c r="B884" s="2" t="s">
        <v>24</v>
      </c>
      <c r="C884" s="2">
        <v>1339.8</v>
      </c>
      <c r="D884" s="6">
        <f>(Table2_1[[#This Row],[Constant Prices]]-C883)/C883</f>
        <v>4.4802867383505752E-4</v>
      </c>
      <c r="E884" s="6">
        <f>(Table2_1[[#This Row],[Constant Prices]]-C880)/C880</f>
        <v>-1.7881090746536216E-3</v>
      </c>
      <c r="F884" s="2">
        <v>1157.8</v>
      </c>
      <c r="G884" s="7">
        <f>(Table2_1[[#This Row],[Current Prices]]-F883)/F883</f>
        <v>9.1519219035997561E-3</v>
      </c>
      <c r="H884" s="7">
        <f>(Table2_1[[#This Row],[Current Prices]]-F880)/F880</f>
        <v>2.7146912704045342E-2</v>
      </c>
      <c r="I884" s="2"/>
    </row>
    <row r="885" spans="1:9" x14ac:dyDescent="0.3">
      <c r="A885" s="2" t="s">
        <v>85</v>
      </c>
      <c r="B885" s="2" t="s">
        <v>25</v>
      </c>
      <c r="C885" s="2">
        <v>1369.3</v>
      </c>
      <c r="D885" s="6">
        <f>(Table2_1[[#This Row],[Constant Prices]]-C884)/C884</f>
        <v>2.2018211673384087E-2</v>
      </c>
      <c r="E885" s="6">
        <f>(Table2_1[[#This Row],[Constant Prices]]-C881)/C881</f>
        <v>2.4618377731218093E-2</v>
      </c>
      <c r="F885" s="2">
        <v>1187.3</v>
      </c>
      <c r="G885" s="7">
        <f>(Table2_1[[#This Row],[Current Prices]]-F884)/F884</f>
        <v>2.5479357401969254E-2</v>
      </c>
      <c r="H885" s="7">
        <f>(Table2_1[[#This Row],[Current Prices]]-F881)/F881</f>
        <v>7.1957385337667074E-2</v>
      </c>
      <c r="I885" s="2">
        <v>3</v>
      </c>
    </row>
    <row r="886" spans="1:9" x14ac:dyDescent="0.3">
      <c r="A886" s="2" t="s">
        <v>85</v>
      </c>
      <c r="B886" s="2" t="s">
        <v>26</v>
      </c>
      <c r="C886" s="2">
        <v>1340.3</v>
      </c>
      <c r="D886" s="6">
        <f>(Table2_1[[#This Row],[Constant Prices]]-C885)/C885</f>
        <v>-2.1178704447527934E-2</v>
      </c>
      <c r="E886" s="6">
        <f>(Table2_1[[#This Row],[Constant Prices]]-C882)/C882</f>
        <v>1.6379767953287258E-2</v>
      </c>
      <c r="F886" s="2">
        <v>1207.5999999999999</v>
      </c>
      <c r="G886" s="7">
        <f>(Table2_1[[#This Row],[Current Prices]]-F885)/F885</f>
        <v>1.7097616440663654E-2</v>
      </c>
      <c r="H886" s="7">
        <f>(Table2_1[[#This Row],[Current Prices]]-F882)/F882</f>
        <v>7.5429690978715658E-2</v>
      </c>
      <c r="I886" s="2"/>
    </row>
    <row r="887" spans="1:9" x14ac:dyDescent="0.3">
      <c r="A887" s="2" t="s">
        <v>85</v>
      </c>
      <c r="B887" s="2" t="s">
        <v>27</v>
      </c>
      <c r="C887" s="2">
        <v>1356.4</v>
      </c>
      <c r="D887" s="6">
        <f>(Table2_1[[#This Row],[Constant Prices]]-C886)/C886</f>
        <v>1.2012236066552367E-2</v>
      </c>
      <c r="E887" s="6">
        <f>(Table2_1[[#This Row],[Constant Prices]]-C883)/C883</f>
        <v>1.2843488649940296E-2</v>
      </c>
      <c r="F887" s="2">
        <v>1213.2</v>
      </c>
      <c r="G887" s="7">
        <f>(Table2_1[[#This Row],[Current Prices]]-F886)/F886</f>
        <v>4.6372971182511895E-3</v>
      </c>
      <c r="H887" s="7">
        <f>(Table2_1[[#This Row],[Current Prices]]-F883)/F883</f>
        <v>5.743920509021188E-2</v>
      </c>
      <c r="I887" s="2"/>
    </row>
    <row r="888" spans="1:9" x14ac:dyDescent="0.3">
      <c r="A888" s="2" t="s">
        <v>85</v>
      </c>
      <c r="B888" s="2" t="s">
        <v>28</v>
      </c>
      <c r="C888" s="2">
        <v>1369.3</v>
      </c>
      <c r="D888" s="6">
        <f>(Table2_1[[#This Row],[Constant Prices]]-C887)/C887</f>
        <v>9.5104688882334584E-3</v>
      </c>
      <c r="E888" s="6">
        <f>(Table2_1[[#This Row],[Constant Prices]]-C884)/C884</f>
        <v>2.2018211673384087E-2</v>
      </c>
      <c r="F888" s="2">
        <v>1249.8</v>
      </c>
      <c r="G888" s="7">
        <f>(Table2_1[[#This Row],[Current Prices]]-F887)/F887</f>
        <v>3.0168150346191813E-2</v>
      </c>
      <c r="H888" s="7">
        <f>(Table2_1[[#This Row],[Current Prices]]-F884)/F884</f>
        <v>7.9461046812921057E-2</v>
      </c>
      <c r="I888" s="2"/>
    </row>
    <row r="889" spans="1:9" x14ac:dyDescent="0.3">
      <c r="A889" s="2" t="s">
        <v>85</v>
      </c>
      <c r="B889" s="2" t="s">
        <v>29</v>
      </c>
      <c r="C889" s="2">
        <v>1369.6</v>
      </c>
      <c r="D889" s="6">
        <f>(Table2_1[[#This Row],[Constant Prices]]-C888)/C888</f>
        <v>2.1909004600887647E-4</v>
      </c>
      <c r="E889" s="6">
        <f>(Table2_1[[#This Row],[Constant Prices]]-C885)/C885</f>
        <v>2.1909004600887647E-4</v>
      </c>
      <c r="F889" s="2">
        <v>1297.3</v>
      </c>
      <c r="G889" s="7">
        <f>(Table2_1[[#This Row],[Current Prices]]-F888)/F888</f>
        <v>3.8006080972955672E-2</v>
      </c>
      <c r="H889" s="7">
        <f>(Table2_1[[#This Row],[Current Prices]]-F885)/F885</f>
        <v>9.2647182683399318E-2</v>
      </c>
      <c r="I889" s="2">
        <v>4</v>
      </c>
    </row>
    <row r="890" spans="1:9" x14ac:dyDescent="0.3">
      <c r="A890" s="2" t="s">
        <v>85</v>
      </c>
      <c r="B890" s="2" t="s">
        <v>30</v>
      </c>
      <c r="C890" s="2">
        <v>1342.3</v>
      </c>
      <c r="D890" s="6">
        <f>(Table2_1[[#This Row],[Constant Prices]]-C889)/C889</f>
        <v>-1.9932827102803707E-2</v>
      </c>
      <c r="E890" s="6">
        <f>(Table2_1[[#This Row],[Constant Prices]]-C886)/C886</f>
        <v>1.4922032380810268E-3</v>
      </c>
      <c r="F890" s="2">
        <v>1306.3</v>
      </c>
      <c r="G890" s="7">
        <f>(Table2_1[[#This Row],[Current Prices]]-F889)/F889</f>
        <v>6.9374855469051108E-3</v>
      </c>
      <c r="H890" s="7">
        <f>(Table2_1[[#This Row],[Current Prices]]-F886)/F886</f>
        <v>8.1732361709175264E-2</v>
      </c>
      <c r="I890" s="2"/>
    </row>
    <row r="891" spans="1:9" x14ac:dyDescent="0.3">
      <c r="A891" s="2" t="s">
        <v>85</v>
      </c>
      <c r="B891" s="2" t="s">
        <v>31</v>
      </c>
      <c r="C891" s="2">
        <v>1342.1</v>
      </c>
      <c r="D891" s="6">
        <f>(Table2_1[[#This Row],[Constant Prices]]-C890)/C890</f>
        <v>-1.4899798852718876E-4</v>
      </c>
      <c r="E891" s="6">
        <f>(Table2_1[[#This Row],[Constant Prices]]-C887)/C887</f>
        <v>-1.0542612798584622E-2</v>
      </c>
      <c r="F891" s="2">
        <v>1340.5</v>
      </c>
      <c r="G891" s="7">
        <f>(Table2_1[[#This Row],[Current Prices]]-F890)/F890</f>
        <v>2.6180816045318876E-2</v>
      </c>
      <c r="H891" s="7">
        <f>(Table2_1[[#This Row],[Current Prices]]-F887)/F887</f>
        <v>0.10492911308935043</v>
      </c>
      <c r="I891" s="2"/>
    </row>
    <row r="892" spans="1:9" x14ac:dyDescent="0.3">
      <c r="A892" s="2" t="s">
        <v>85</v>
      </c>
      <c r="B892" s="2" t="s">
        <v>32</v>
      </c>
      <c r="C892" s="2">
        <v>1312.1</v>
      </c>
      <c r="D892" s="6">
        <f>(Table2_1[[#This Row],[Constant Prices]]-C891)/C891</f>
        <v>-2.2353028835407199E-2</v>
      </c>
      <c r="E892" s="6">
        <f>(Table2_1[[#This Row],[Constant Prices]]-C888)/C888</f>
        <v>-4.1773168772365477E-2</v>
      </c>
      <c r="F892" s="2">
        <v>1325.4</v>
      </c>
      <c r="G892" s="7">
        <f>(Table2_1[[#This Row],[Current Prices]]-F891)/F891</f>
        <v>-1.1264453562103625E-2</v>
      </c>
      <c r="H892" s="7">
        <f>(Table2_1[[#This Row],[Current Prices]]-F888)/F888</f>
        <v>6.0489678348535879E-2</v>
      </c>
      <c r="I892" s="2"/>
    </row>
    <row r="893" spans="1:9" x14ac:dyDescent="0.3">
      <c r="A893" s="2" t="s">
        <v>85</v>
      </c>
      <c r="B893" s="2" t="s">
        <v>33</v>
      </c>
      <c r="C893" s="2">
        <v>1313.7</v>
      </c>
      <c r="D893" s="6">
        <f>(Table2_1[[#This Row],[Constant Prices]]-C892)/C892</f>
        <v>1.2194192515815384E-3</v>
      </c>
      <c r="E893" s="6">
        <f>(Table2_1[[#This Row],[Constant Prices]]-C889)/C889</f>
        <v>-4.0814836448598034E-2</v>
      </c>
      <c r="F893" s="2">
        <v>1337.9</v>
      </c>
      <c r="G893" s="7">
        <f>(Table2_1[[#This Row],[Current Prices]]-F892)/F892</f>
        <v>9.4311151350535676E-3</v>
      </c>
      <c r="H893" s="7">
        <f>(Table2_1[[#This Row],[Current Prices]]-F889)/F889</f>
        <v>3.1295768133816494E-2</v>
      </c>
      <c r="I893" s="2">
        <v>5</v>
      </c>
    </row>
    <row r="894" spans="1:9" x14ac:dyDescent="0.3">
      <c r="A894" s="2" t="s">
        <v>85</v>
      </c>
      <c r="B894" s="2" t="s">
        <v>34</v>
      </c>
      <c r="C894" s="2">
        <v>1365.2</v>
      </c>
      <c r="D894" s="6">
        <f>(Table2_1[[#This Row],[Constant Prices]]-C893)/C893</f>
        <v>3.9202253178046736E-2</v>
      </c>
      <c r="E894" s="6">
        <f>(Table2_1[[#This Row],[Constant Prices]]-C890)/C890</f>
        <v>1.7060269686359302E-2</v>
      </c>
      <c r="F894" s="2">
        <v>1392.6</v>
      </c>
      <c r="G894" s="7">
        <f>(Table2_1[[#This Row],[Current Prices]]-F893)/F893</f>
        <v>4.0884968981239118E-2</v>
      </c>
      <c r="H894" s="7">
        <f>(Table2_1[[#This Row],[Current Prices]]-F890)/F890</f>
        <v>6.6064456862895166E-2</v>
      </c>
      <c r="I894" s="2"/>
    </row>
    <row r="895" spans="1:9" x14ac:dyDescent="0.3">
      <c r="A895" s="2" t="s">
        <v>85</v>
      </c>
      <c r="B895" s="2" t="s">
        <v>35</v>
      </c>
      <c r="C895" s="2">
        <v>1325.2</v>
      </c>
      <c r="D895" s="6">
        <f>(Table2_1[[#This Row],[Constant Prices]]-C894)/C894</f>
        <v>-2.9299736302373279E-2</v>
      </c>
      <c r="E895" s="6">
        <f>(Table2_1[[#This Row],[Constant Prices]]-C891)/C891</f>
        <v>-1.2592206243945954E-2</v>
      </c>
      <c r="F895" s="2">
        <v>1364.5</v>
      </c>
      <c r="G895" s="7">
        <f>(Table2_1[[#This Row],[Current Prices]]-F894)/F894</f>
        <v>-2.0178084159126749E-2</v>
      </c>
      <c r="H895" s="7">
        <f>(Table2_1[[#This Row],[Current Prices]]-F891)/F891</f>
        <v>1.7903767251025736E-2</v>
      </c>
      <c r="I895" s="2"/>
    </row>
    <row r="896" spans="1:9" x14ac:dyDescent="0.3">
      <c r="A896" s="2" t="s">
        <v>85</v>
      </c>
      <c r="B896" s="2" t="s">
        <v>36</v>
      </c>
      <c r="C896" s="2">
        <v>1350.7</v>
      </c>
      <c r="D896" s="6">
        <f>(Table2_1[[#This Row],[Constant Prices]]-C895)/C895</f>
        <v>1.9242378508904315E-2</v>
      </c>
      <c r="E896" s="6">
        <f>(Table2_1[[#This Row],[Constant Prices]]-C892)/C892</f>
        <v>2.9418489444402209E-2</v>
      </c>
      <c r="F896" s="2">
        <v>1357.5</v>
      </c>
      <c r="G896" s="7">
        <f>(Table2_1[[#This Row],[Current Prices]]-F895)/F895</f>
        <v>-5.130084279956028E-3</v>
      </c>
      <c r="H896" s="7">
        <f>(Table2_1[[#This Row],[Current Prices]]-F892)/F892</f>
        <v>2.4219103666817496E-2</v>
      </c>
      <c r="I896" s="2"/>
    </row>
    <row r="897" spans="1:9" x14ac:dyDescent="0.3">
      <c r="A897" s="2" t="s">
        <v>85</v>
      </c>
      <c r="B897" s="2" t="s">
        <v>37</v>
      </c>
      <c r="C897" s="2">
        <v>1383.3</v>
      </c>
      <c r="D897" s="6">
        <f>(Table2_1[[#This Row],[Constant Prices]]-C896)/C896</f>
        <v>2.4135633375286819E-2</v>
      </c>
      <c r="E897" s="6">
        <f>(Table2_1[[#This Row],[Constant Prices]]-C893)/C893</f>
        <v>5.2980132450331056E-2</v>
      </c>
      <c r="F897" s="2">
        <v>1375.4</v>
      </c>
      <c r="G897" s="7">
        <f>(Table2_1[[#This Row],[Current Prices]]-F896)/F896</f>
        <v>1.3186003683241319E-2</v>
      </c>
      <c r="H897" s="7">
        <f>(Table2_1[[#This Row],[Current Prices]]-F893)/F893</f>
        <v>2.8029000672696015E-2</v>
      </c>
      <c r="I897" s="2">
        <v>6</v>
      </c>
    </row>
    <row r="898" spans="1:9" x14ac:dyDescent="0.3">
      <c r="A898" s="2" t="s">
        <v>85</v>
      </c>
      <c r="B898" s="2" t="s">
        <v>38</v>
      </c>
      <c r="C898" s="2">
        <v>1414.2</v>
      </c>
      <c r="D898" s="6">
        <f>(Table2_1[[#This Row],[Constant Prices]]-C897)/C897</f>
        <v>2.233788765994368E-2</v>
      </c>
      <c r="E898" s="6">
        <f>(Table2_1[[#This Row],[Constant Prices]]-C894)/C894</f>
        <v>3.5892176970407266E-2</v>
      </c>
      <c r="F898" s="2">
        <v>1388</v>
      </c>
      <c r="G898" s="7">
        <f>(Table2_1[[#This Row],[Current Prices]]-F897)/F897</f>
        <v>9.160971353787923E-3</v>
      </c>
      <c r="H898" s="7">
        <f>(Table2_1[[#This Row],[Current Prices]]-F894)/F894</f>
        <v>-3.3031739192875983E-3</v>
      </c>
      <c r="I898" s="2"/>
    </row>
    <row r="899" spans="1:9" x14ac:dyDescent="0.3">
      <c r="A899" s="2" t="s">
        <v>85</v>
      </c>
      <c r="B899" s="2" t="s">
        <v>39</v>
      </c>
      <c r="C899" s="2">
        <v>1417.9</v>
      </c>
      <c r="D899" s="6">
        <f>(Table2_1[[#This Row],[Constant Prices]]-C898)/C898</f>
        <v>2.616320181021104E-3</v>
      </c>
      <c r="E899" s="6">
        <f>(Table2_1[[#This Row],[Constant Prices]]-C895)/C895</f>
        <v>6.9951705402958073E-2</v>
      </c>
      <c r="F899" s="2">
        <v>1402.7</v>
      </c>
      <c r="G899" s="7">
        <f>(Table2_1[[#This Row],[Current Prices]]-F898)/F898</f>
        <v>1.0590778097982742E-2</v>
      </c>
      <c r="H899" s="7">
        <f>(Table2_1[[#This Row],[Current Prices]]-F895)/F895</f>
        <v>2.7995602784902929E-2</v>
      </c>
      <c r="I899" s="2"/>
    </row>
    <row r="900" spans="1:9" x14ac:dyDescent="0.3">
      <c r="A900" s="2" t="s">
        <v>85</v>
      </c>
      <c r="B900" s="2" t="s">
        <v>40</v>
      </c>
      <c r="C900" s="2">
        <v>1459.4</v>
      </c>
      <c r="D900" s="6">
        <f>(Table2_1[[#This Row],[Constant Prices]]-C899)/C899</f>
        <v>2.926863671627054E-2</v>
      </c>
      <c r="E900" s="6">
        <f>(Table2_1[[#This Row],[Constant Prices]]-C896)/C896</f>
        <v>8.0476789812689742E-2</v>
      </c>
      <c r="F900" s="2">
        <v>1433.1</v>
      </c>
      <c r="G900" s="7">
        <f>(Table2_1[[#This Row],[Current Prices]]-F899)/F899</f>
        <v>2.1672488771654567E-2</v>
      </c>
      <c r="H900" s="7">
        <f>(Table2_1[[#This Row],[Current Prices]]-F896)/F896</f>
        <v>5.5690607734806566E-2</v>
      </c>
      <c r="I900" s="2"/>
    </row>
    <row r="901" spans="1:9" x14ac:dyDescent="0.3">
      <c r="A901" s="2" t="s">
        <v>85</v>
      </c>
      <c r="B901" s="2" t="s">
        <v>41</v>
      </c>
      <c r="C901" s="2">
        <v>1471.7</v>
      </c>
      <c r="D901" s="6">
        <f>(Table2_1[[#This Row],[Constant Prices]]-C900)/C900</f>
        <v>8.4281211456762734E-3</v>
      </c>
      <c r="E901" s="6">
        <f>(Table2_1[[#This Row],[Constant Prices]]-C897)/C897</f>
        <v>6.3905154341068526E-2</v>
      </c>
      <c r="F901" s="2">
        <v>1437.1</v>
      </c>
      <c r="G901" s="7">
        <f>(Table2_1[[#This Row],[Current Prices]]-F900)/F900</f>
        <v>2.7911520480078155E-3</v>
      </c>
      <c r="H901" s="7">
        <f>(Table2_1[[#This Row],[Current Prices]]-F897)/F897</f>
        <v>4.4859677184818827E-2</v>
      </c>
      <c r="I901" s="2">
        <v>7</v>
      </c>
    </row>
    <row r="902" spans="1:9" x14ac:dyDescent="0.3">
      <c r="A902" s="2" t="s">
        <v>85</v>
      </c>
      <c r="B902" s="2" t="s">
        <v>42</v>
      </c>
      <c r="C902" s="2">
        <v>1455.4</v>
      </c>
      <c r="D902" s="6">
        <f>(Table2_1[[#This Row],[Constant Prices]]-C901)/C901</f>
        <v>-1.1075626826119423E-2</v>
      </c>
      <c r="E902" s="6">
        <f>(Table2_1[[#This Row],[Constant Prices]]-C898)/C898</f>
        <v>2.9133078772450888E-2</v>
      </c>
      <c r="F902" s="2">
        <v>1493.1</v>
      </c>
      <c r="G902" s="7">
        <f>(Table2_1[[#This Row],[Current Prices]]-F901)/F901</f>
        <v>3.896736483195324E-2</v>
      </c>
      <c r="H902" s="7">
        <f>(Table2_1[[#This Row],[Current Prices]]-F898)/F898</f>
        <v>7.5720461095100805E-2</v>
      </c>
      <c r="I902" s="2"/>
    </row>
    <row r="903" spans="1:9" x14ac:dyDescent="0.3">
      <c r="A903" s="2" t="s">
        <v>85</v>
      </c>
      <c r="B903" s="2" t="s">
        <v>43</v>
      </c>
      <c r="C903" s="2">
        <v>1494.5</v>
      </c>
      <c r="D903" s="6">
        <f>(Table2_1[[#This Row],[Constant Prices]]-C902)/C902</f>
        <v>2.6865466538408621E-2</v>
      </c>
      <c r="E903" s="6">
        <f>(Table2_1[[#This Row],[Constant Prices]]-C899)/C899</f>
        <v>5.4023555963043868E-2</v>
      </c>
      <c r="F903" s="2">
        <v>1542.3</v>
      </c>
      <c r="G903" s="7">
        <f>(Table2_1[[#This Row],[Current Prices]]-F902)/F902</f>
        <v>3.2951577255374759E-2</v>
      </c>
      <c r="H903" s="7">
        <f>(Table2_1[[#This Row],[Current Prices]]-F899)/F899</f>
        <v>9.9522349754045697E-2</v>
      </c>
      <c r="I903" s="2"/>
    </row>
    <row r="904" spans="1:9" x14ac:dyDescent="0.3">
      <c r="A904" s="2" t="s">
        <v>85</v>
      </c>
      <c r="B904" s="2" t="s">
        <v>44</v>
      </c>
      <c r="C904" s="2">
        <v>1507.3</v>
      </c>
      <c r="D904" s="6">
        <f>(Table2_1[[#This Row],[Constant Prices]]-C903)/C903</f>
        <v>8.5647373703579485E-3</v>
      </c>
      <c r="E904" s="6">
        <f>(Table2_1[[#This Row],[Constant Prices]]-C900)/C900</f>
        <v>3.2821707551048282E-2</v>
      </c>
      <c r="F904" s="2">
        <v>1623.3</v>
      </c>
      <c r="G904" s="7">
        <f>(Table2_1[[#This Row],[Current Prices]]-F903)/F903</f>
        <v>5.2518965181871234E-2</v>
      </c>
      <c r="H904" s="7">
        <f>(Table2_1[[#This Row],[Current Prices]]-F900)/F900</f>
        <v>0.13271927988277166</v>
      </c>
      <c r="I904" s="2"/>
    </row>
    <row r="905" spans="1:9" x14ac:dyDescent="0.3">
      <c r="A905" s="2" t="s">
        <v>85</v>
      </c>
      <c r="B905" s="2" t="s">
        <v>45</v>
      </c>
      <c r="C905" s="2">
        <v>1516.3</v>
      </c>
      <c r="D905" s="6">
        <f>(Table2_1[[#This Row],[Constant Prices]]-C904)/C904</f>
        <v>5.9709414184303056E-3</v>
      </c>
      <c r="E905" s="6">
        <f>(Table2_1[[#This Row],[Constant Prices]]-C901)/C901</f>
        <v>3.0305089352449487E-2</v>
      </c>
      <c r="F905" s="2">
        <v>1652.9</v>
      </c>
      <c r="G905" s="7">
        <f>(Table2_1[[#This Row],[Current Prices]]-F904)/F904</f>
        <v>1.8234460666543547E-2</v>
      </c>
      <c r="H905" s="7">
        <f>(Table2_1[[#This Row],[Current Prices]]-F901)/F901</f>
        <v>0.15016352376313422</v>
      </c>
      <c r="I905" s="2">
        <v>8</v>
      </c>
    </row>
    <row r="906" spans="1:9" x14ac:dyDescent="0.3">
      <c r="A906" s="2" t="s">
        <v>85</v>
      </c>
      <c r="B906" s="2" t="s">
        <v>46</v>
      </c>
      <c r="C906" s="2">
        <v>1495.7</v>
      </c>
      <c r="D906" s="6">
        <f>(Table2_1[[#This Row],[Constant Prices]]-C905)/C905</f>
        <v>-1.3585702037855247E-2</v>
      </c>
      <c r="E906" s="6">
        <f>(Table2_1[[#This Row],[Constant Prices]]-C902)/C902</f>
        <v>2.7689982135495363E-2</v>
      </c>
      <c r="F906" s="2">
        <v>1680.6</v>
      </c>
      <c r="G906" s="7">
        <f>(Table2_1[[#This Row],[Current Prices]]-F905)/F905</f>
        <v>1.6758424587089246E-2</v>
      </c>
      <c r="H906" s="7">
        <f>(Table2_1[[#This Row],[Current Prices]]-F902)/F902</f>
        <v>0.12557765722322686</v>
      </c>
      <c r="I906" s="2"/>
    </row>
    <row r="907" spans="1:9" x14ac:dyDescent="0.3">
      <c r="A907" s="2" t="s">
        <v>85</v>
      </c>
      <c r="B907" s="2" t="s">
        <v>47</v>
      </c>
      <c r="C907" s="2">
        <v>1493.3</v>
      </c>
      <c r="D907" s="6">
        <f>(Table2_1[[#This Row],[Constant Prices]]-C906)/C906</f>
        <v>-1.604599852911741E-3</v>
      </c>
      <c r="E907" s="6">
        <f>(Table2_1[[#This Row],[Constant Prices]]-C903)/C903</f>
        <v>-8.0294412847109096E-4</v>
      </c>
      <c r="F907" s="2">
        <v>1693</v>
      </c>
      <c r="G907" s="7">
        <f>(Table2_1[[#This Row],[Current Prices]]-F906)/F906</f>
        <v>7.3783172676425632E-3</v>
      </c>
      <c r="H907" s="7">
        <f>(Table2_1[[#This Row],[Current Prices]]-F903)/F903</f>
        <v>9.7711210529728365E-2</v>
      </c>
      <c r="I907" s="2"/>
    </row>
    <row r="908" spans="1:9" x14ac:dyDescent="0.3">
      <c r="A908" s="2" t="s">
        <v>85</v>
      </c>
      <c r="B908" s="2" t="s">
        <v>48</v>
      </c>
      <c r="C908" s="2">
        <v>1490.7</v>
      </c>
      <c r="D908" s="6">
        <f>(Table2_1[[#This Row],[Constant Prices]]-C907)/C907</f>
        <v>-1.7411102926403999E-3</v>
      </c>
      <c r="E908" s="6">
        <f>(Table2_1[[#This Row],[Constant Prices]]-C904)/C904</f>
        <v>-1.1013069727326949E-2</v>
      </c>
      <c r="F908" s="2">
        <v>1657.2</v>
      </c>
      <c r="G908" s="7">
        <f>(Table2_1[[#This Row],[Current Prices]]-F907)/F907</f>
        <v>-2.1145894861193122E-2</v>
      </c>
      <c r="H908" s="7">
        <f>(Table2_1[[#This Row],[Current Prices]]-F904)/F904</f>
        <v>2.0883385695804897E-2</v>
      </c>
      <c r="I908" s="2"/>
    </row>
    <row r="909" spans="1:9" x14ac:dyDescent="0.3">
      <c r="A909" s="2" t="s">
        <v>85</v>
      </c>
      <c r="B909" s="2" t="s">
        <v>49</v>
      </c>
      <c r="C909" s="2">
        <v>1472.9</v>
      </c>
      <c r="D909" s="6">
        <f>(Table2_1[[#This Row],[Constant Prices]]-C908)/C908</f>
        <v>-1.1940699000469547E-2</v>
      </c>
      <c r="E909" s="6">
        <f>(Table2_1[[#This Row],[Constant Prices]]-C905)/C905</f>
        <v>-2.8622304293345554E-2</v>
      </c>
      <c r="F909" s="2">
        <v>1648.8</v>
      </c>
      <c r="G909" s="7">
        <f>(Table2_1[[#This Row],[Current Prices]]-F908)/F908</f>
        <v>-5.0687907313541457E-3</v>
      </c>
      <c r="H909" s="7">
        <f>(Table2_1[[#This Row],[Current Prices]]-F905)/F905</f>
        <v>-2.4804888378003125E-3</v>
      </c>
      <c r="I909" s="2">
        <v>9</v>
      </c>
    </row>
    <row r="910" spans="1:9" x14ac:dyDescent="0.3">
      <c r="A910" s="2" t="s">
        <v>85</v>
      </c>
      <c r="B910" s="2" t="s">
        <v>50</v>
      </c>
      <c r="C910" s="2">
        <v>1313.2</v>
      </c>
      <c r="D910" s="6">
        <f>(Table2_1[[#This Row],[Constant Prices]]-C909)/C909</f>
        <v>-0.1084255550274968</v>
      </c>
      <c r="E910" s="6">
        <f>(Table2_1[[#This Row],[Constant Prices]]-C906)/C906</f>
        <v>-0.12201644714849234</v>
      </c>
      <c r="F910" s="2">
        <v>1515.6</v>
      </c>
      <c r="G910" s="7">
        <f>(Table2_1[[#This Row],[Current Prices]]-F909)/F909</f>
        <v>-8.0786026200873398E-2</v>
      </c>
      <c r="H910" s="7">
        <f>(Table2_1[[#This Row],[Current Prices]]-F906)/F906</f>
        <v>-9.8179221706533384E-2</v>
      </c>
      <c r="I910" s="2"/>
    </row>
    <row r="911" spans="1:9" x14ac:dyDescent="0.3">
      <c r="A911" s="2" t="s">
        <v>85</v>
      </c>
      <c r="B911" s="2" t="s">
        <v>51</v>
      </c>
      <c r="C911" s="2">
        <v>735.5</v>
      </c>
      <c r="D911" s="6">
        <f>(Table2_1[[#This Row],[Constant Prices]]-C910)/C910</f>
        <v>-0.43991775814803535</v>
      </c>
      <c r="E911" s="6">
        <f>(Table2_1[[#This Row],[Constant Prices]]-C907)/C907</f>
        <v>-0.50746668452420807</v>
      </c>
      <c r="F911" s="2">
        <v>862</v>
      </c>
      <c r="G911" s="7">
        <f>(Table2_1[[#This Row],[Current Prices]]-F910)/F910</f>
        <v>-0.43124835048825544</v>
      </c>
      <c r="H911" s="7">
        <f>(Table2_1[[#This Row],[Current Prices]]-F907)/F907</f>
        <v>-0.49084465445953929</v>
      </c>
      <c r="I911" s="2"/>
    </row>
    <row r="912" spans="1:9" x14ac:dyDescent="0.3">
      <c r="A912" s="2" t="s">
        <v>85</v>
      </c>
      <c r="B912" s="2" t="s">
        <v>52</v>
      </c>
      <c r="C912" s="2">
        <v>1093.2</v>
      </c>
      <c r="D912" s="6">
        <f>(Table2_1[[#This Row],[Constant Prices]]-C911)/C911</f>
        <v>0.48633582596872882</v>
      </c>
      <c r="E912" s="6">
        <f>(Table2_1[[#This Row],[Constant Prices]]-C908)/C908</f>
        <v>-0.26665325015093577</v>
      </c>
      <c r="F912" s="2">
        <v>1183.8</v>
      </c>
      <c r="G912" s="7">
        <f>(Table2_1[[#This Row],[Current Prices]]-F911)/F911</f>
        <v>0.37331786542923429</v>
      </c>
      <c r="H912" s="7">
        <f>(Table2_1[[#This Row],[Current Prices]]-F908)/F908</f>
        <v>-0.28566256335988421</v>
      </c>
      <c r="I912" s="2"/>
    </row>
    <row r="913" spans="1:9" x14ac:dyDescent="0.3">
      <c r="A913" s="2" t="s">
        <v>85</v>
      </c>
      <c r="B913" s="2" t="s">
        <v>53</v>
      </c>
      <c r="C913" s="2">
        <v>1112.2</v>
      </c>
      <c r="D913" s="6">
        <f>(Table2_1[[#This Row],[Constant Prices]]-C912)/C912</f>
        <v>1.7380168313208925E-2</v>
      </c>
      <c r="E913" s="6">
        <f>(Table2_1[[#This Row],[Constant Prices]]-C909)/C909</f>
        <v>-0.2448910312987983</v>
      </c>
      <c r="F913" s="2">
        <v>1172.5999999999999</v>
      </c>
      <c r="G913" s="7">
        <f>(Table2_1[[#This Row],[Current Prices]]-F912)/F912</f>
        <v>-9.4610576110829916E-3</v>
      </c>
      <c r="H913" s="7">
        <f>(Table2_1[[#This Row],[Current Prices]]-F909)/F909</f>
        <v>-0.28881610868510438</v>
      </c>
      <c r="I913" s="2">
        <v>10</v>
      </c>
    </row>
    <row r="914" spans="1:9" x14ac:dyDescent="0.3">
      <c r="A914" s="2" t="s">
        <v>85</v>
      </c>
      <c r="B914" s="2" t="s">
        <v>54</v>
      </c>
      <c r="C914" s="2">
        <v>1127.3</v>
      </c>
      <c r="D914" s="6">
        <f>(Table2_1[[#This Row],[Constant Prices]]-C913)/C913</f>
        <v>1.3576694839057641E-2</v>
      </c>
      <c r="E914" s="6">
        <f>(Table2_1[[#This Row],[Constant Prices]]-C910)/C910</f>
        <v>-0.14156259518732872</v>
      </c>
      <c r="F914" s="2">
        <v>1291.8</v>
      </c>
      <c r="G914" s="7">
        <f>(Table2_1[[#This Row],[Current Prices]]-F913)/F913</f>
        <v>0.1016544431178578</v>
      </c>
      <c r="H914" s="7">
        <f>(Table2_1[[#This Row],[Current Prices]]-F910)/F910</f>
        <v>-0.14766429136975454</v>
      </c>
      <c r="I914" s="2"/>
    </row>
    <row r="915" spans="1:9" x14ac:dyDescent="0.3">
      <c r="A915" s="2" t="s">
        <v>85</v>
      </c>
      <c r="B915" s="2" t="s">
        <v>55</v>
      </c>
      <c r="C915" s="2">
        <v>1061.4000000000001</v>
      </c>
      <c r="D915" s="6">
        <f>(Table2_1[[#This Row],[Constant Prices]]-C914)/C914</f>
        <v>-5.8458263106537629E-2</v>
      </c>
      <c r="E915" s="6">
        <f>(Table2_1[[#This Row],[Constant Prices]]-C911)/C911</f>
        <v>0.4430999320190348</v>
      </c>
      <c r="F915" s="2">
        <v>1293.2</v>
      </c>
      <c r="G915" s="7">
        <f>(Table2_1[[#This Row],[Current Prices]]-F914)/F914</f>
        <v>1.0837590958353391E-3</v>
      </c>
      <c r="H915" s="7">
        <f>(Table2_1[[#This Row],[Current Prices]]-F911)/F911</f>
        <v>0.50023201856148503</v>
      </c>
      <c r="I915" s="2"/>
    </row>
    <row r="916" spans="1:9" x14ac:dyDescent="0.3">
      <c r="A916" s="2" t="s">
        <v>85</v>
      </c>
      <c r="B916" s="2" t="s">
        <v>56</v>
      </c>
      <c r="C916" s="2">
        <v>1095.3</v>
      </c>
      <c r="D916" s="6">
        <f>(Table2_1[[#This Row],[Constant Prices]]-C915)/C915</f>
        <v>3.1938948558507499E-2</v>
      </c>
      <c r="E916" s="6">
        <f>(Table2_1[[#This Row],[Constant Prices]]-C912)/C912</f>
        <v>1.9209659714598509E-3</v>
      </c>
      <c r="F916" s="2">
        <v>1360.3</v>
      </c>
      <c r="G916" s="7">
        <f>(Table2_1[[#This Row],[Current Prices]]-F915)/F915</f>
        <v>5.1886792452830115E-2</v>
      </c>
      <c r="H916" s="7">
        <f>(Table2_1[[#This Row],[Current Prices]]-F912)/F912</f>
        <v>0.14909613110322689</v>
      </c>
      <c r="I916" s="2"/>
    </row>
    <row r="917" spans="1:9" x14ac:dyDescent="0.3">
      <c r="A917" s="2" t="s">
        <v>85</v>
      </c>
      <c r="B917" s="2" t="s">
        <v>57</v>
      </c>
      <c r="C917" s="2">
        <v>1283.0999999999999</v>
      </c>
      <c r="D917" s="6">
        <f>(Table2_1[[#This Row],[Constant Prices]]-C916)/C916</f>
        <v>0.17145987400712132</v>
      </c>
      <c r="E917" s="6">
        <f>(Table2_1[[#This Row],[Constant Prices]]-C913)/C913</f>
        <v>0.15365941377450085</v>
      </c>
      <c r="F917" s="2">
        <v>1365.7</v>
      </c>
      <c r="G917" s="7">
        <f>(Table2_1[[#This Row],[Current Prices]]-F916)/F916</f>
        <v>3.9697125634051986E-3</v>
      </c>
      <c r="H917" s="7">
        <f>(Table2_1[[#This Row],[Current Prices]]-F913)/F913</f>
        <v>0.16467678662800628</v>
      </c>
      <c r="I917" s="2">
        <v>11</v>
      </c>
    </row>
    <row r="918" spans="1:9" x14ac:dyDescent="0.3">
      <c r="A918" s="2" t="s">
        <v>85</v>
      </c>
      <c r="B918" s="2" t="s">
        <v>58</v>
      </c>
      <c r="C918" s="2">
        <v>1254.0999999999999</v>
      </c>
      <c r="D918" s="6">
        <f>(Table2_1[[#This Row],[Constant Prices]]-C917)/C917</f>
        <v>-2.2601511963214093E-2</v>
      </c>
      <c r="E918" s="6">
        <f>(Table2_1[[#This Row],[Constant Prices]]-C914)/C914</f>
        <v>0.11248114964960522</v>
      </c>
      <c r="F918" s="2">
        <v>1514.1</v>
      </c>
      <c r="G918" s="7">
        <f>(Table2_1[[#This Row],[Current Prices]]-F917)/F917</f>
        <v>0.10866222450025617</v>
      </c>
      <c r="H918" s="7">
        <f>(Table2_1[[#This Row],[Current Prices]]-F914)/F914</f>
        <v>0.17208546214584297</v>
      </c>
      <c r="I918" s="2"/>
    </row>
    <row r="919" spans="1:9" x14ac:dyDescent="0.3">
      <c r="A919" s="2" t="s">
        <v>85</v>
      </c>
      <c r="B919" s="2" t="s">
        <v>59</v>
      </c>
      <c r="C919" s="2">
        <v>1273.8</v>
      </c>
      <c r="D919" s="6">
        <f>(Table2_1[[#This Row],[Constant Prices]]-C918)/C918</f>
        <v>1.5708476198070368E-2</v>
      </c>
      <c r="E919" s="6">
        <f>(Table2_1[[#This Row],[Constant Prices]]-C915)/C915</f>
        <v>0.20011305822498573</v>
      </c>
      <c r="F919" s="2">
        <v>1567.9</v>
      </c>
      <c r="G919" s="7">
        <f>(Table2_1[[#This Row],[Current Prices]]-F918)/F918</f>
        <v>3.5532659665808194E-2</v>
      </c>
      <c r="H919" s="7">
        <f>(Table2_1[[#This Row],[Current Prices]]-F915)/F915</f>
        <v>0.2124188060624807</v>
      </c>
      <c r="I919" s="2"/>
    </row>
    <row r="920" spans="1:9" x14ac:dyDescent="0.3">
      <c r="A920" s="2" t="s">
        <v>85</v>
      </c>
      <c r="B920" s="2" t="s">
        <v>60</v>
      </c>
      <c r="C920" s="2">
        <v>1337.3</v>
      </c>
      <c r="D920" s="6">
        <f>(Table2_1[[#This Row],[Constant Prices]]-C919)/C919</f>
        <v>4.9850840006280421E-2</v>
      </c>
      <c r="E920" s="6">
        <f>(Table2_1[[#This Row],[Constant Prices]]-C916)/C916</f>
        <v>0.220944033598101</v>
      </c>
      <c r="F920" s="2">
        <v>1657</v>
      </c>
      <c r="G920" s="7">
        <f>(Table2_1[[#This Row],[Current Prices]]-F919)/F919</f>
        <v>5.6827603801262776E-2</v>
      </c>
      <c r="H920" s="7">
        <f>(Table2_1[[#This Row],[Current Prices]]-F916)/F916</f>
        <v>0.21811365140042641</v>
      </c>
      <c r="I920" s="2"/>
    </row>
    <row r="921" spans="1:9" x14ac:dyDescent="0.3">
      <c r="A921" s="2" t="s">
        <v>85</v>
      </c>
      <c r="B921" s="2" t="s">
        <v>61</v>
      </c>
      <c r="C921" s="2">
        <v>1347.9</v>
      </c>
      <c r="D921" s="6">
        <f>(Table2_1[[#This Row],[Constant Prices]]-C920)/C920</f>
        <v>7.9264189037614122E-3</v>
      </c>
      <c r="E921" s="6">
        <f>(Table2_1[[#This Row],[Constant Prices]]-C917)/C917</f>
        <v>5.0502688800561288E-2</v>
      </c>
      <c r="F921" s="2">
        <v>1658.7</v>
      </c>
      <c r="G921" s="7">
        <f>(Table2_1[[#This Row],[Current Prices]]-F920)/F920</f>
        <v>1.0259505129752839E-3</v>
      </c>
      <c r="H921" s="7">
        <f>(Table2_1[[#This Row],[Current Prices]]-F917)/F917</f>
        <v>0.2145419931170828</v>
      </c>
      <c r="I921" s="2">
        <v>12</v>
      </c>
    </row>
    <row r="922" spans="1:9" x14ac:dyDescent="0.3">
      <c r="A922" s="2" t="s">
        <v>85</v>
      </c>
      <c r="B922" s="2" t="s">
        <v>62</v>
      </c>
      <c r="C922" s="2">
        <v>1367.5</v>
      </c>
      <c r="D922" s="6">
        <f>(Table2_1[[#This Row],[Constant Prices]]-C921)/C921</f>
        <v>1.4541138066622085E-2</v>
      </c>
      <c r="E922" s="6">
        <f>(Table2_1[[#This Row],[Constant Prices]]-C918)/C918</f>
        <v>9.0423411211227253E-2</v>
      </c>
      <c r="F922" s="2">
        <v>1847.6</v>
      </c>
      <c r="G922" s="7">
        <f>(Table2_1[[#This Row],[Current Prices]]-F921)/F921</f>
        <v>0.11388436727557717</v>
      </c>
      <c r="H922" s="7">
        <f>(Table2_1[[#This Row],[Current Prices]]-F918)/F918</f>
        <v>0.22026286242652401</v>
      </c>
      <c r="I922" s="2"/>
    </row>
    <row r="923" spans="1:9" x14ac:dyDescent="0.3">
      <c r="A923" s="2" t="s">
        <v>85</v>
      </c>
      <c r="B923" s="2" t="s">
        <v>63</v>
      </c>
      <c r="C923" s="2">
        <v>1394.4</v>
      </c>
      <c r="D923" s="6">
        <f>(Table2_1[[#This Row],[Constant Prices]]-C922)/C922</f>
        <v>1.9670932358318165E-2</v>
      </c>
      <c r="E923" s="6">
        <f>(Table2_1[[#This Row],[Constant Prices]]-C919)/C919</f>
        <v>9.4677343382006701E-2</v>
      </c>
      <c r="F923" s="2">
        <v>1888.7</v>
      </c>
      <c r="G923" s="7">
        <f>(Table2_1[[#This Row],[Current Prices]]-F922)/F922</f>
        <v>2.2245074691491739E-2</v>
      </c>
      <c r="H923" s="7">
        <f>(Table2_1[[#This Row],[Current Prices]]-F919)/F919</f>
        <v>0.20460488551565784</v>
      </c>
      <c r="I923" s="2"/>
    </row>
    <row r="924" spans="1:9" x14ac:dyDescent="0.3">
      <c r="A924" s="2" t="s">
        <v>85</v>
      </c>
      <c r="B924" s="2" t="s">
        <v>64</v>
      </c>
      <c r="C924" s="2">
        <v>1402.9</v>
      </c>
      <c r="D924" s="6">
        <f>(Table2_1[[#This Row],[Constant Prices]]-C923)/C923</f>
        <v>6.0958118187033842E-3</v>
      </c>
      <c r="E924" s="6">
        <f>(Table2_1[[#This Row],[Constant Prices]]-C920)/C920</f>
        <v>4.9054064159126699E-2</v>
      </c>
      <c r="F924" s="2">
        <v>1887.9</v>
      </c>
      <c r="G924" s="7">
        <f>(Table2_1[[#This Row],[Current Prices]]-F923)/F923</f>
        <v>-4.2357176894157597E-4</v>
      </c>
      <c r="H924" s="7">
        <f>(Table2_1[[#This Row],[Current Prices]]-F920)/F920</f>
        <v>0.1393482196741099</v>
      </c>
      <c r="I924" s="2"/>
    </row>
    <row r="925" spans="1:9" x14ac:dyDescent="0.3">
      <c r="A925" s="2" t="s">
        <v>85</v>
      </c>
      <c r="B925" s="2" t="s">
        <v>65</v>
      </c>
      <c r="C925" s="2">
        <v>1336.2</v>
      </c>
      <c r="D925" s="6">
        <f>(Table2_1[[#This Row],[Constant Prices]]-C924)/C924</f>
        <v>-4.7544372371516173E-2</v>
      </c>
      <c r="E925" s="6">
        <f>(Table2_1[[#This Row],[Constant Prices]]-C921)/C921</f>
        <v>-8.6801691520142776E-3</v>
      </c>
      <c r="F925" s="2">
        <v>1789.1</v>
      </c>
      <c r="G925" s="7">
        <f>(Table2_1[[#This Row],[Current Prices]]-F924)/F924</f>
        <v>-5.2333280364426173E-2</v>
      </c>
      <c r="H925" s="7">
        <f>(Table2_1[[#This Row],[Current Prices]]-F921)/F921</f>
        <v>7.8615783444866374E-2</v>
      </c>
      <c r="I925" s="2">
        <v>13</v>
      </c>
    </row>
    <row r="926" spans="1:9" x14ac:dyDescent="0.3">
      <c r="A926" s="2" t="s">
        <v>85</v>
      </c>
      <c r="B926" s="2" t="s">
        <v>66</v>
      </c>
      <c r="C926" s="2">
        <v>1393.9</v>
      </c>
      <c r="D926" s="6">
        <f>(Table2_1[[#This Row],[Constant Prices]]-C925)/C925</f>
        <v>4.3182158359527052E-2</v>
      </c>
      <c r="E926" s="6">
        <f>(Table2_1[[#This Row],[Constant Prices]]-C922)/C922</f>
        <v>1.9305301645338276E-2</v>
      </c>
      <c r="F926" s="2">
        <v>1930.3</v>
      </c>
      <c r="G926" s="7">
        <f>(Table2_1[[#This Row],[Current Prices]]-F925)/F925</f>
        <v>7.8922363199374013E-2</v>
      </c>
      <c r="H926" s="7">
        <f>(Table2_1[[#This Row],[Current Prices]]-F922)/F922</f>
        <v>4.4760770729595174E-2</v>
      </c>
      <c r="I926" s="2"/>
    </row>
    <row r="927" spans="1:9" x14ac:dyDescent="0.3">
      <c r="A927" s="2" t="s">
        <v>85</v>
      </c>
      <c r="B927" s="2" t="s">
        <v>67</v>
      </c>
      <c r="C927" s="2">
        <v>1422.7</v>
      </c>
      <c r="D927" s="6">
        <f>(Table2_1[[#This Row],[Constant Prices]]-C926)/C926</f>
        <v>2.0661453475859067E-2</v>
      </c>
      <c r="E927" s="6">
        <f>(Table2_1[[#This Row],[Constant Prices]]-C923)/C923</f>
        <v>2.0295467584624177E-2</v>
      </c>
      <c r="F927" s="2">
        <v>1972</v>
      </c>
      <c r="G927" s="7">
        <f>(Table2_1[[#This Row],[Current Prices]]-F926)/F926</f>
        <v>2.1602859659120368E-2</v>
      </c>
      <c r="H927" s="7">
        <f>(Table2_1[[#This Row],[Current Prices]]-F923)/F923</f>
        <v>4.410441044104408E-2</v>
      </c>
      <c r="I927" s="2"/>
    </row>
    <row r="928" spans="1:9" x14ac:dyDescent="0.3">
      <c r="A928" s="2" t="s">
        <v>85</v>
      </c>
      <c r="B928" s="2" t="s">
        <v>68</v>
      </c>
      <c r="C928" s="2">
        <v>1428.7</v>
      </c>
      <c r="D928" s="6">
        <f>(Table2_1[[#This Row],[Constant Prices]]-C927)/C927</f>
        <v>4.2173332396148169E-3</v>
      </c>
      <c r="E928" s="6">
        <f>(Table2_1[[#This Row],[Constant Prices]]-C924)/C924</f>
        <v>1.8390476869342042E-2</v>
      </c>
      <c r="F928" s="2">
        <v>1974</v>
      </c>
      <c r="G928" s="7">
        <f>(Table2_1[[#This Row],[Current Prices]]-F927)/F927</f>
        <v>1.0141987829614604E-3</v>
      </c>
      <c r="H928" s="7">
        <f>(Table2_1[[#This Row],[Current Prices]]-F924)/F924</f>
        <v>4.5606229143492723E-2</v>
      </c>
      <c r="I928" s="2"/>
    </row>
    <row r="929" spans="1:9" x14ac:dyDescent="0.3">
      <c r="A929" s="2" t="s">
        <v>85</v>
      </c>
      <c r="B929" s="2" t="s">
        <v>69</v>
      </c>
      <c r="C929" s="2">
        <v>1405.2</v>
      </c>
      <c r="D929" s="6">
        <f>(Table2_1[[#This Row],[Constant Prices]]-C928)/C928</f>
        <v>-1.6448519633233009E-2</v>
      </c>
      <c r="E929" s="6">
        <f>(Table2_1[[#This Row],[Constant Prices]]-C925)/C925</f>
        <v>5.1638976201167489E-2</v>
      </c>
      <c r="F929" s="5">
        <f>Table2_1[[#This Row],[Constant Prices]]*AVERAGE(Inflation!$C$72:$C$74)*0.01</f>
        <v>2543.8804</v>
      </c>
      <c r="G929" s="7">
        <f>(Table2_1[[#This Row],[Current Prices]]-F928)/F928</f>
        <v>0.28869321175278623</v>
      </c>
      <c r="H929" s="7">
        <f>(Table2_1[[#This Row],[Current Prices]]-F925)/F925</f>
        <v>0.42187714493320672</v>
      </c>
      <c r="I929" s="2">
        <v>14</v>
      </c>
    </row>
    <row r="930" spans="1:9" x14ac:dyDescent="0.3">
      <c r="A930" s="2" t="s">
        <v>85</v>
      </c>
      <c r="B930" s="2" t="s">
        <v>70</v>
      </c>
      <c r="C930" s="2">
        <v>1384.3</v>
      </c>
      <c r="D930" s="6">
        <f>(Table2_1[[#This Row],[Constant Prices]]-C929)/C929</f>
        <v>-1.4873327640193631E-2</v>
      </c>
      <c r="E930" s="6">
        <f>(Table2_1[[#This Row],[Constant Prices]]-C926)/C926</f>
        <v>-6.8871511586197972E-3</v>
      </c>
      <c r="F930" s="5">
        <f>Table2_1[[#This Row],[Constant Prices]]*AVERAGE(Inflation!$C$75:$C$77)*0.01</f>
        <v>2525.4246333333331</v>
      </c>
      <c r="G930" s="7">
        <f>(Table2_1[[#This Row],[Current Prices]]-F929)/F929</f>
        <v>-7.2549663367298765E-3</v>
      </c>
      <c r="H930" s="7">
        <f>(Table2_1[[#This Row],[Current Prices]]-F926)/F926</f>
        <v>0.30830680895888368</v>
      </c>
      <c r="I930" s="2"/>
    </row>
    <row r="931" spans="1:9" x14ac:dyDescent="0.3">
      <c r="A931" s="2" t="s">
        <v>85</v>
      </c>
      <c r="B931" s="2" t="s">
        <v>71</v>
      </c>
      <c r="C931" s="2">
        <v>1464.9</v>
      </c>
      <c r="D931" s="6">
        <f>(Table2_1[[#This Row],[Constant Prices]]-C930)/C930</f>
        <v>5.8224373329480703E-2</v>
      </c>
      <c r="E931" s="6">
        <f>(Table2_1[[#This Row],[Constant Prices]]-C927)/C927</f>
        <v>2.9661910451957575E-2</v>
      </c>
      <c r="F931" s="5">
        <f>Table2_1[[#This Row],[Constant Prices]]*AVERAGE(Inflation!$C$78:$C$80)*0.01</f>
        <v>2714.9480000000003</v>
      </c>
      <c r="G931" s="7">
        <f>(Table2_1[[#This Row],[Current Prices]]-F930)/F930</f>
        <v>7.5046138445443708E-2</v>
      </c>
      <c r="H931" s="7">
        <f>(Table2_1[[#This Row],[Current Prices]]-F927)/F927</f>
        <v>0.37674847870182571</v>
      </c>
      <c r="I931" s="2"/>
    </row>
    <row r="932" spans="1:9" x14ac:dyDescent="0.3">
      <c r="A932" s="2" t="s">
        <v>86</v>
      </c>
      <c r="B932" s="2" t="s">
        <v>10</v>
      </c>
      <c r="C932" s="2">
        <v>1067.0999999999999</v>
      </c>
      <c r="D932" s="6"/>
      <c r="E932" s="6"/>
      <c r="F932" s="2">
        <v>734.8</v>
      </c>
      <c r="G932" s="7"/>
      <c r="H932" s="7"/>
      <c r="I932" s="2"/>
    </row>
    <row r="933" spans="1:9" x14ac:dyDescent="0.3">
      <c r="A933" s="2" t="s">
        <v>86</v>
      </c>
      <c r="B933" s="2" t="s">
        <v>11</v>
      </c>
      <c r="C933" s="2">
        <v>1076.8</v>
      </c>
      <c r="D933" s="6">
        <f>(Table2_1[[#This Row],[Constant Prices]]-C932)/C932</f>
        <v>9.0900571642770558E-3</v>
      </c>
      <c r="E933" s="6"/>
      <c r="F933" s="2">
        <v>741.3</v>
      </c>
      <c r="G933" s="7">
        <f>(Table2_1[[#This Row],[Current Prices]]-F932)/F932</f>
        <v>8.8459444746869908E-3</v>
      </c>
      <c r="H933" s="7"/>
      <c r="I933" s="2"/>
    </row>
    <row r="934" spans="1:9" x14ac:dyDescent="0.3">
      <c r="A934" s="2" t="s">
        <v>86</v>
      </c>
      <c r="B934" s="2" t="s">
        <v>12</v>
      </c>
      <c r="C934" s="2">
        <v>1065</v>
      </c>
      <c r="D934" s="6">
        <f>(Table2_1[[#This Row],[Constant Prices]]-C933)/C933</f>
        <v>-1.0958395245170834E-2</v>
      </c>
      <c r="E934" s="6"/>
      <c r="F934" s="2">
        <v>744</v>
      </c>
      <c r="G934" s="7">
        <f>(Table2_1[[#This Row],[Current Prices]]-F933)/F933</f>
        <v>3.6422501011736754E-3</v>
      </c>
      <c r="H934" s="7"/>
      <c r="I934" s="2"/>
    </row>
    <row r="935" spans="1:9" x14ac:dyDescent="0.3">
      <c r="A935" s="2" t="s">
        <v>86</v>
      </c>
      <c r="B935" s="2" t="s">
        <v>13</v>
      </c>
      <c r="C935" s="2">
        <v>1008</v>
      </c>
      <c r="D935" s="6">
        <f>(Table2_1[[#This Row],[Constant Prices]]-C934)/C934</f>
        <v>-5.3521126760563378E-2</v>
      </c>
      <c r="E935" s="6"/>
      <c r="F935" s="2">
        <v>707.4</v>
      </c>
      <c r="G935" s="7">
        <f>(Table2_1[[#This Row],[Current Prices]]-F934)/F934</f>
        <v>-4.9193548387096803E-2</v>
      </c>
      <c r="H935" s="7"/>
      <c r="I935" s="2"/>
    </row>
    <row r="936" spans="1:9" x14ac:dyDescent="0.3">
      <c r="A936" s="2" t="s">
        <v>86</v>
      </c>
      <c r="B936" s="2" t="s">
        <v>14</v>
      </c>
      <c r="C936" s="2">
        <v>887.8</v>
      </c>
      <c r="D936" s="6">
        <f>(Table2_1[[#This Row],[Constant Prices]]-C935)/C935</f>
        <v>-0.11924603174603179</v>
      </c>
      <c r="E936" s="6">
        <f>(Table2_1[[#This Row],[Constant Prices]]-C932)/C932</f>
        <v>-0.16802548964483177</v>
      </c>
      <c r="F936" s="2">
        <v>633.29999999999995</v>
      </c>
      <c r="G936" s="7">
        <f>(Table2_1[[#This Row],[Current Prices]]-F935)/F935</f>
        <v>-0.10474978795589486</v>
      </c>
      <c r="H936" s="7">
        <f>(Table2_1[[#This Row],[Current Prices]]-F932)/F932</f>
        <v>-0.13813282525857376</v>
      </c>
      <c r="I936" s="2"/>
    </row>
    <row r="937" spans="1:9" x14ac:dyDescent="0.3">
      <c r="A937" s="2" t="s">
        <v>86</v>
      </c>
      <c r="B937" s="2" t="s">
        <v>15</v>
      </c>
      <c r="C937" s="2">
        <v>784.5</v>
      </c>
      <c r="D937" s="6">
        <f>(Table2_1[[#This Row],[Constant Prices]]-C936)/C936</f>
        <v>-0.11635503491777423</v>
      </c>
      <c r="E937" s="6">
        <f>(Table2_1[[#This Row],[Constant Prices]]-C933)/C933</f>
        <v>-0.2714524517087667</v>
      </c>
      <c r="F937" s="2">
        <v>621.70000000000005</v>
      </c>
      <c r="G937" s="7">
        <f>(Table2_1[[#This Row],[Current Prices]]-F936)/F936</f>
        <v>-1.8316753513342665E-2</v>
      </c>
      <c r="H937" s="7">
        <f>(Table2_1[[#This Row],[Current Prices]]-F933)/F933</f>
        <v>-0.16133818966680144</v>
      </c>
      <c r="I937" s="2"/>
    </row>
    <row r="938" spans="1:9" x14ac:dyDescent="0.3">
      <c r="A938" s="2" t="s">
        <v>86</v>
      </c>
      <c r="B938" s="2" t="s">
        <v>16</v>
      </c>
      <c r="C938" s="2">
        <v>751.8</v>
      </c>
      <c r="D938" s="6">
        <f>(Table2_1[[#This Row],[Constant Prices]]-C937)/C937</f>
        <v>-4.1682600382409236E-2</v>
      </c>
      <c r="E938" s="6">
        <f>(Table2_1[[#This Row],[Constant Prices]]-C934)/C934</f>
        <v>-0.29408450704225358</v>
      </c>
      <c r="F938" s="2">
        <v>597.29999999999995</v>
      </c>
      <c r="G938" s="7">
        <f>(Table2_1[[#This Row],[Current Prices]]-F937)/F937</f>
        <v>-3.9247225349847335E-2</v>
      </c>
      <c r="H938" s="7">
        <f>(Table2_1[[#This Row],[Current Prices]]-F934)/F934</f>
        <v>-0.19717741935483876</v>
      </c>
      <c r="I938" s="2"/>
    </row>
    <row r="939" spans="1:9" x14ac:dyDescent="0.3">
      <c r="A939" s="2" t="s">
        <v>86</v>
      </c>
      <c r="B939" s="2" t="s">
        <v>17</v>
      </c>
      <c r="C939" s="2">
        <v>839.3</v>
      </c>
      <c r="D939" s="6">
        <f>(Table2_1[[#This Row],[Constant Prices]]-C938)/C938</f>
        <v>0.11638733705772812</v>
      </c>
      <c r="E939" s="6">
        <f>(Table2_1[[#This Row],[Constant Prices]]-C935)/C935</f>
        <v>-0.16736111111111115</v>
      </c>
      <c r="F939" s="2">
        <v>640.5</v>
      </c>
      <c r="G939" s="7">
        <f>(Table2_1[[#This Row],[Current Prices]]-F938)/F938</f>
        <v>7.2325464590658042E-2</v>
      </c>
      <c r="H939" s="7">
        <f>(Table2_1[[#This Row],[Current Prices]]-F935)/F935</f>
        <v>-9.4571670907548741E-2</v>
      </c>
      <c r="I939" s="2">
        <v>1</v>
      </c>
    </row>
    <row r="940" spans="1:9" x14ac:dyDescent="0.3">
      <c r="A940" s="2" t="s">
        <v>86</v>
      </c>
      <c r="B940" s="2" t="s">
        <v>18</v>
      </c>
      <c r="C940" s="2">
        <v>888.3</v>
      </c>
      <c r="D940" s="6">
        <f>(Table2_1[[#This Row],[Constant Prices]]-C939)/C939</f>
        <v>5.8381984987489581E-2</v>
      </c>
      <c r="E940" s="6">
        <f>(Table2_1[[#This Row],[Constant Prices]]-C936)/C936</f>
        <v>5.6318990763685518E-4</v>
      </c>
      <c r="F940" s="2">
        <v>697.7</v>
      </c>
      <c r="G940" s="7">
        <f>(Table2_1[[#This Row],[Current Prices]]-F939)/F939</f>
        <v>8.9305230288836912E-2</v>
      </c>
      <c r="H940" s="7">
        <f>(Table2_1[[#This Row],[Current Prices]]-F936)/F936</f>
        <v>0.10168956260855849</v>
      </c>
      <c r="I940" s="2"/>
    </row>
    <row r="941" spans="1:9" x14ac:dyDescent="0.3">
      <c r="A941" s="2" t="s">
        <v>86</v>
      </c>
      <c r="B941" s="2" t="s">
        <v>19</v>
      </c>
      <c r="C941" s="2">
        <v>899.8</v>
      </c>
      <c r="D941" s="6">
        <f>(Table2_1[[#This Row],[Constant Prices]]-C940)/C940</f>
        <v>1.2946076775864011E-2</v>
      </c>
      <c r="E941" s="6">
        <f>(Table2_1[[#This Row],[Constant Prices]]-C937)/C937</f>
        <v>0.14697259400892282</v>
      </c>
      <c r="F941" s="2">
        <v>707.2</v>
      </c>
      <c r="G941" s="7">
        <f>(Table2_1[[#This Row],[Current Prices]]-F940)/F940</f>
        <v>1.3616167407195068E-2</v>
      </c>
      <c r="H941" s="7">
        <f>(Table2_1[[#This Row],[Current Prices]]-F937)/F937</f>
        <v>0.13752613800868585</v>
      </c>
      <c r="I941" s="2"/>
    </row>
    <row r="942" spans="1:9" x14ac:dyDescent="0.3">
      <c r="A942" s="2" t="s">
        <v>86</v>
      </c>
      <c r="B942" s="2" t="s">
        <v>20</v>
      </c>
      <c r="C942" s="2">
        <v>911.6</v>
      </c>
      <c r="D942" s="6">
        <f>(Table2_1[[#This Row],[Constant Prices]]-C941)/C941</f>
        <v>1.311402533896429E-2</v>
      </c>
      <c r="E942" s="6">
        <f>(Table2_1[[#This Row],[Constant Prices]]-C938)/C938</f>
        <v>0.21255653099228528</v>
      </c>
      <c r="F942" s="2">
        <v>731.4</v>
      </c>
      <c r="G942" s="7">
        <f>(Table2_1[[#This Row],[Current Prices]]-F941)/F941</f>
        <v>3.421945701357456E-2</v>
      </c>
      <c r="H942" s="7">
        <f>(Table2_1[[#This Row],[Current Prices]]-F938)/F938</f>
        <v>0.22451029633350081</v>
      </c>
      <c r="I942" s="2"/>
    </row>
    <row r="943" spans="1:9" x14ac:dyDescent="0.3">
      <c r="A943" s="2" t="s">
        <v>86</v>
      </c>
      <c r="B943" s="2" t="s">
        <v>21</v>
      </c>
      <c r="C943" s="2">
        <v>909.5</v>
      </c>
      <c r="D943" s="6">
        <f>(Table2_1[[#This Row],[Constant Prices]]-C942)/C942</f>
        <v>-2.3036419482229298E-3</v>
      </c>
      <c r="E943" s="6">
        <f>(Table2_1[[#This Row],[Constant Prices]]-C939)/C939</f>
        <v>8.3641129512689205E-2</v>
      </c>
      <c r="F943" s="2">
        <v>731.6</v>
      </c>
      <c r="G943" s="7">
        <f>(Table2_1[[#This Row],[Current Prices]]-F942)/F942</f>
        <v>2.7344818156965474E-4</v>
      </c>
      <c r="H943" s="7">
        <f>(Table2_1[[#This Row],[Current Prices]]-F939)/F939</f>
        <v>0.14223263075722095</v>
      </c>
      <c r="I943" s="2">
        <v>2</v>
      </c>
    </row>
    <row r="944" spans="1:9" x14ac:dyDescent="0.3">
      <c r="A944" s="2" t="s">
        <v>86</v>
      </c>
      <c r="B944" s="2" t="s">
        <v>22</v>
      </c>
      <c r="C944" s="2">
        <v>896.3</v>
      </c>
      <c r="D944" s="6">
        <f>(Table2_1[[#This Row],[Constant Prices]]-C943)/C943</f>
        <v>-1.451346893897751E-2</v>
      </c>
      <c r="E944" s="6">
        <f>(Table2_1[[#This Row],[Constant Prices]]-C940)/C940</f>
        <v>9.005966452774964E-3</v>
      </c>
      <c r="F944" s="2">
        <v>744.2</v>
      </c>
      <c r="G944" s="7">
        <f>(Table2_1[[#This Row],[Current Prices]]-F943)/F943</f>
        <v>1.7222525970475699E-2</v>
      </c>
      <c r="H944" s="7">
        <f>(Table2_1[[#This Row],[Current Prices]]-F940)/F940</f>
        <v>6.6647556256270599E-2</v>
      </c>
      <c r="I944" s="2"/>
    </row>
    <row r="945" spans="1:9" x14ac:dyDescent="0.3">
      <c r="A945" s="2" t="s">
        <v>86</v>
      </c>
      <c r="B945" s="2" t="s">
        <v>23</v>
      </c>
      <c r="C945" s="2">
        <v>896.1</v>
      </c>
      <c r="D945" s="6">
        <f>(Table2_1[[#This Row],[Constant Prices]]-C944)/C944</f>
        <v>-2.2313957380333795E-4</v>
      </c>
      <c r="E945" s="6">
        <f>(Table2_1[[#This Row],[Constant Prices]]-C941)/C941</f>
        <v>-4.1120248944209068E-3</v>
      </c>
      <c r="F945" s="2">
        <v>759.3</v>
      </c>
      <c r="G945" s="7">
        <f>(Table2_1[[#This Row],[Current Prices]]-F944)/F944</f>
        <v>2.0290244557914415E-2</v>
      </c>
      <c r="H945" s="7">
        <f>(Table2_1[[#This Row],[Current Prices]]-F941)/F941</f>
        <v>7.3670814479637872E-2</v>
      </c>
      <c r="I945" s="2"/>
    </row>
    <row r="946" spans="1:9" x14ac:dyDescent="0.3">
      <c r="A946" s="2" t="s">
        <v>86</v>
      </c>
      <c r="B946" s="2" t="s">
        <v>24</v>
      </c>
      <c r="C946" s="2">
        <v>893.1</v>
      </c>
      <c r="D946" s="6">
        <f>(Table2_1[[#This Row],[Constant Prices]]-C945)/C945</f>
        <v>-3.3478406427854034E-3</v>
      </c>
      <c r="E946" s="6">
        <f>(Table2_1[[#This Row],[Constant Prices]]-C942)/C942</f>
        <v>-2.0293988591487493E-2</v>
      </c>
      <c r="F946" s="2">
        <v>763.8</v>
      </c>
      <c r="G946" s="7">
        <f>(Table2_1[[#This Row],[Current Prices]]-F945)/F945</f>
        <v>5.9265112603713952E-3</v>
      </c>
      <c r="H946" s="7">
        <f>(Table2_1[[#This Row],[Current Prices]]-F942)/F942</f>
        <v>4.4298605414273967E-2</v>
      </c>
      <c r="I946" s="2"/>
    </row>
    <row r="947" spans="1:9" x14ac:dyDescent="0.3">
      <c r="A947" s="2" t="s">
        <v>86</v>
      </c>
      <c r="B947" s="2" t="s">
        <v>25</v>
      </c>
      <c r="C947" s="2">
        <v>896.9</v>
      </c>
      <c r="D947" s="6">
        <f>(Table2_1[[#This Row],[Constant Prices]]-C946)/C946</f>
        <v>4.2548426827902297E-3</v>
      </c>
      <c r="E947" s="6">
        <f>(Table2_1[[#This Row],[Constant Prices]]-C943)/C943</f>
        <v>-1.3853765805387601E-2</v>
      </c>
      <c r="F947" s="2">
        <v>765.2</v>
      </c>
      <c r="G947" s="7">
        <f>(Table2_1[[#This Row],[Current Prices]]-F946)/F946</f>
        <v>1.8329405603562333E-3</v>
      </c>
      <c r="H947" s="7">
        <f>(Table2_1[[#This Row],[Current Prices]]-F943)/F943</f>
        <v>4.5926735921268481E-2</v>
      </c>
      <c r="I947" s="2">
        <v>3</v>
      </c>
    </row>
    <row r="948" spans="1:9" x14ac:dyDescent="0.3">
      <c r="A948" s="2" t="s">
        <v>86</v>
      </c>
      <c r="B948" s="2" t="s">
        <v>26</v>
      </c>
      <c r="C948" s="2">
        <v>903.2</v>
      </c>
      <c r="D948" s="6">
        <f>(Table2_1[[#This Row],[Constant Prices]]-C947)/C947</f>
        <v>7.024194447541608E-3</v>
      </c>
      <c r="E948" s="6">
        <f>(Table2_1[[#This Row],[Constant Prices]]-C944)/C944</f>
        <v>7.698315296217886E-3</v>
      </c>
      <c r="F948" s="2">
        <v>777.9</v>
      </c>
      <c r="G948" s="7">
        <f>(Table2_1[[#This Row],[Current Prices]]-F947)/F947</f>
        <v>1.6596968112911566E-2</v>
      </c>
      <c r="H948" s="7">
        <f>(Table2_1[[#This Row],[Current Prices]]-F944)/F944</f>
        <v>4.5283525933888645E-2</v>
      </c>
      <c r="I948" s="2"/>
    </row>
    <row r="949" spans="1:9" x14ac:dyDescent="0.3">
      <c r="A949" s="2" t="s">
        <v>86</v>
      </c>
      <c r="B949" s="2" t="s">
        <v>27</v>
      </c>
      <c r="C949" s="2">
        <v>907.1</v>
      </c>
      <c r="D949" s="6">
        <f>(Table2_1[[#This Row],[Constant Prices]]-C948)/C948</f>
        <v>4.3179805137289386E-3</v>
      </c>
      <c r="E949" s="6">
        <f>(Table2_1[[#This Row],[Constant Prices]]-C945)/C945</f>
        <v>1.2275415690213145E-2</v>
      </c>
      <c r="F949" s="2">
        <v>788.1</v>
      </c>
      <c r="G949" s="7">
        <f>(Table2_1[[#This Row],[Current Prices]]-F948)/F948</f>
        <v>1.3112225221750927E-2</v>
      </c>
      <c r="H949" s="7">
        <f>(Table2_1[[#This Row],[Current Prices]]-F945)/F945</f>
        <v>3.792967206637702E-2</v>
      </c>
      <c r="I949" s="2"/>
    </row>
    <row r="950" spans="1:9" x14ac:dyDescent="0.3">
      <c r="A950" s="2" t="s">
        <v>86</v>
      </c>
      <c r="B950" s="2" t="s">
        <v>28</v>
      </c>
      <c r="C950" s="2">
        <v>892.3</v>
      </c>
      <c r="D950" s="6">
        <f>(Table2_1[[#This Row],[Constant Prices]]-C949)/C949</f>
        <v>-1.631573145187969E-2</v>
      </c>
      <c r="E950" s="6">
        <f>(Table2_1[[#This Row],[Constant Prices]]-C946)/C946</f>
        <v>-8.9575635427171444E-4</v>
      </c>
      <c r="F950" s="2">
        <v>815.2</v>
      </c>
      <c r="G950" s="7">
        <f>(Table2_1[[#This Row],[Current Prices]]-F949)/F949</f>
        <v>3.4386499175231594E-2</v>
      </c>
      <c r="H950" s="7">
        <f>(Table2_1[[#This Row],[Current Prices]]-F946)/F946</f>
        <v>6.7295103430217454E-2</v>
      </c>
      <c r="I950" s="2"/>
    </row>
    <row r="951" spans="1:9" x14ac:dyDescent="0.3">
      <c r="A951" s="2" t="s">
        <v>86</v>
      </c>
      <c r="B951" s="2" t="s">
        <v>29</v>
      </c>
      <c r="C951" s="2">
        <v>874.7</v>
      </c>
      <c r="D951" s="6">
        <f>(Table2_1[[#This Row],[Constant Prices]]-C950)/C950</f>
        <v>-1.9724307968172039E-2</v>
      </c>
      <c r="E951" s="6">
        <f>(Table2_1[[#This Row],[Constant Prices]]-C947)/C947</f>
        <v>-2.4751923291336752E-2</v>
      </c>
      <c r="F951" s="2">
        <v>835.8</v>
      </c>
      <c r="G951" s="7">
        <f>(Table2_1[[#This Row],[Current Prices]]-F950)/F950</f>
        <v>2.526987242394493E-2</v>
      </c>
      <c r="H951" s="7">
        <f>(Table2_1[[#This Row],[Current Prices]]-F947)/F947</f>
        <v>9.2263460533193814E-2</v>
      </c>
      <c r="I951" s="2">
        <v>4</v>
      </c>
    </row>
    <row r="952" spans="1:9" x14ac:dyDescent="0.3">
      <c r="A952" s="2" t="s">
        <v>86</v>
      </c>
      <c r="B952" s="2" t="s">
        <v>30</v>
      </c>
      <c r="C952" s="2">
        <v>847.3</v>
      </c>
      <c r="D952" s="6">
        <f>(Table2_1[[#This Row],[Constant Prices]]-C951)/C951</f>
        <v>-3.1325025723105165E-2</v>
      </c>
      <c r="E952" s="6">
        <f>(Table2_1[[#This Row],[Constant Prices]]-C948)/C948</f>
        <v>-6.1891054030115245E-2</v>
      </c>
      <c r="F952" s="2">
        <v>827</v>
      </c>
      <c r="G952" s="7">
        <f>(Table2_1[[#This Row],[Current Prices]]-F951)/F951</f>
        <v>-1.052883464943761E-2</v>
      </c>
      <c r="H952" s="7">
        <f>(Table2_1[[#This Row],[Current Prices]]-F948)/F948</f>
        <v>6.311865278313411E-2</v>
      </c>
      <c r="I952" s="2"/>
    </row>
    <row r="953" spans="1:9" x14ac:dyDescent="0.3">
      <c r="A953" s="2" t="s">
        <v>86</v>
      </c>
      <c r="B953" s="2" t="s">
        <v>31</v>
      </c>
      <c r="C953" s="2">
        <v>822.6</v>
      </c>
      <c r="D953" s="6">
        <f>(Table2_1[[#This Row],[Constant Prices]]-C952)/C952</f>
        <v>-2.9151422164522524E-2</v>
      </c>
      <c r="E953" s="6">
        <f>(Table2_1[[#This Row],[Constant Prices]]-C949)/C949</f>
        <v>-9.31540072759343E-2</v>
      </c>
      <c r="F953" s="2">
        <v>811.9</v>
      </c>
      <c r="G953" s="7">
        <f>(Table2_1[[#This Row],[Current Prices]]-F952)/F952</f>
        <v>-1.8258766626360366E-2</v>
      </c>
      <c r="H953" s="7">
        <f>(Table2_1[[#This Row],[Current Prices]]-F949)/F949</f>
        <v>3.0199213297804787E-2</v>
      </c>
      <c r="I953" s="2"/>
    </row>
    <row r="954" spans="1:9" x14ac:dyDescent="0.3">
      <c r="A954" s="2" t="s">
        <v>86</v>
      </c>
      <c r="B954" s="2" t="s">
        <v>32</v>
      </c>
      <c r="C954" s="2">
        <v>749.9</v>
      </c>
      <c r="D954" s="6">
        <f>(Table2_1[[#This Row],[Constant Prices]]-C953)/C953</f>
        <v>-8.8378312667152986E-2</v>
      </c>
      <c r="E954" s="6">
        <f>(Table2_1[[#This Row],[Constant Prices]]-C950)/C950</f>
        <v>-0.15958758265157458</v>
      </c>
      <c r="F954" s="2">
        <v>760.3</v>
      </c>
      <c r="G954" s="7">
        <f>(Table2_1[[#This Row],[Current Prices]]-F953)/F953</f>
        <v>-6.3554624953812075E-2</v>
      </c>
      <c r="H954" s="7">
        <f>(Table2_1[[#This Row],[Current Prices]]-F950)/F950</f>
        <v>-6.7345436702649766E-2</v>
      </c>
      <c r="I954" s="2"/>
    </row>
    <row r="955" spans="1:9" x14ac:dyDescent="0.3">
      <c r="A955" s="2" t="s">
        <v>86</v>
      </c>
      <c r="B955" s="2" t="s">
        <v>33</v>
      </c>
      <c r="C955" s="2">
        <v>747.2</v>
      </c>
      <c r="D955" s="6">
        <f>(Table2_1[[#This Row],[Constant Prices]]-C954)/C954</f>
        <v>-3.6004800640084436E-3</v>
      </c>
      <c r="E955" s="6">
        <f>(Table2_1[[#This Row],[Constant Prices]]-C951)/C951</f>
        <v>-0.14576426203269691</v>
      </c>
      <c r="F955" s="2">
        <v>767.8</v>
      </c>
      <c r="G955" s="7">
        <f>(Table2_1[[#This Row],[Current Prices]]-F954)/F954</f>
        <v>9.8645271603314492E-3</v>
      </c>
      <c r="H955" s="7">
        <f>(Table2_1[[#This Row],[Current Prices]]-F951)/F951</f>
        <v>-8.1359176836563782E-2</v>
      </c>
      <c r="I955" s="2">
        <v>5</v>
      </c>
    </row>
    <row r="956" spans="1:9" x14ac:dyDescent="0.3">
      <c r="A956" s="2" t="s">
        <v>86</v>
      </c>
      <c r="B956" s="2" t="s">
        <v>34</v>
      </c>
      <c r="C956" s="2">
        <v>772.5</v>
      </c>
      <c r="D956" s="6">
        <f>(Table2_1[[#This Row],[Constant Prices]]-C955)/C955</f>
        <v>3.3859743040685161E-2</v>
      </c>
      <c r="E956" s="6">
        <f>(Table2_1[[#This Row],[Constant Prices]]-C952)/C952</f>
        <v>-8.8280420158149367E-2</v>
      </c>
      <c r="F956" s="2">
        <v>778.2</v>
      </c>
      <c r="G956" s="7">
        <f>(Table2_1[[#This Row],[Current Prices]]-F955)/F955</f>
        <v>1.3545194060953492E-2</v>
      </c>
      <c r="H956" s="7">
        <f>(Table2_1[[#This Row],[Current Prices]]-F952)/F952</f>
        <v>-5.9008464328899585E-2</v>
      </c>
      <c r="I956" s="2"/>
    </row>
    <row r="957" spans="1:9" x14ac:dyDescent="0.3">
      <c r="A957" s="2" t="s">
        <v>86</v>
      </c>
      <c r="B957" s="2" t="s">
        <v>35</v>
      </c>
      <c r="C957" s="2">
        <v>795.2</v>
      </c>
      <c r="D957" s="6">
        <f>(Table2_1[[#This Row],[Constant Prices]]-C956)/C956</f>
        <v>2.9385113268608473E-2</v>
      </c>
      <c r="E957" s="6">
        <f>(Table2_1[[#This Row],[Constant Prices]]-C953)/C953</f>
        <v>-3.3309020179917305E-2</v>
      </c>
      <c r="F957" s="2">
        <v>792.7</v>
      </c>
      <c r="G957" s="7">
        <f>(Table2_1[[#This Row],[Current Prices]]-F956)/F956</f>
        <v>1.8632742225648931E-2</v>
      </c>
      <c r="H957" s="7">
        <f>(Table2_1[[#This Row],[Current Prices]]-F953)/F953</f>
        <v>-2.3648232540953235E-2</v>
      </c>
      <c r="I957" s="2"/>
    </row>
    <row r="958" spans="1:9" x14ac:dyDescent="0.3">
      <c r="A958" s="2" t="s">
        <v>86</v>
      </c>
      <c r="B958" s="2" t="s">
        <v>36</v>
      </c>
      <c r="C958" s="2">
        <v>811.1</v>
      </c>
      <c r="D958" s="6">
        <f>(Table2_1[[#This Row],[Constant Prices]]-C957)/C957</f>
        <v>1.9994969818913452E-2</v>
      </c>
      <c r="E958" s="6">
        <f>(Table2_1[[#This Row],[Constant Prices]]-C954)/C954</f>
        <v>8.1610881450860179E-2</v>
      </c>
      <c r="F958" s="2">
        <v>829.2</v>
      </c>
      <c r="G958" s="7">
        <f>(Table2_1[[#This Row],[Current Prices]]-F957)/F957</f>
        <v>4.6045162104200829E-2</v>
      </c>
      <c r="H958" s="7">
        <f>(Table2_1[[#This Row],[Current Prices]]-F954)/F954</f>
        <v>9.0622122846245032E-2</v>
      </c>
      <c r="I958" s="2"/>
    </row>
    <row r="959" spans="1:9" x14ac:dyDescent="0.3">
      <c r="A959" s="2" t="s">
        <v>86</v>
      </c>
      <c r="B959" s="2" t="s">
        <v>37</v>
      </c>
      <c r="C959" s="2">
        <v>831.6</v>
      </c>
      <c r="D959" s="6">
        <f>(Table2_1[[#This Row],[Constant Prices]]-C958)/C958</f>
        <v>2.5274318826285291E-2</v>
      </c>
      <c r="E959" s="6">
        <f>(Table2_1[[#This Row],[Constant Prices]]-C955)/C955</f>
        <v>0.11295503211991431</v>
      </c>
      <c r="F959" s="2">
        <v>846.7</v>
      </c>
      <c r="G959" s="7">
        <f>(Table2_1[[#This Row],[Current Prices]]-F958)/F958</f>
        <v>2.1104679208876025E-2</v>
      </c>
      <c r="H959" s="7">
        <f>(Table2_1[[#This Row],[Current Prices]]-F955)/F955</f>
        <v>0.10276113571242523</v>
      </c>
      <c r="I959" s="2">
        <v>6</v>
      </c>
    </row>
    <row r="960" spans="1:9" x14ac:dyDescent="0.3">
      <c r="A960" s="2" t="s">
        <v>86</v>
      </c>
      <c r="B960" s="2" t="s">
        <v>38</v>
      </c>
      <c r="C960" s="2">
        <v>839.6</v>
      </c>
      <c r="D960" s="6">
        <f>(Table2_1[[#This Row],[Constant Prices]]-C959)/C959</f>
        <v>9.6200096200096206E-3</v>
      </c>
      <c r="E960" s="6">
        <f>(Table2_1[[#This Row],[Constant Prices]]-C956)/C956</f>
        <v>8.6860841423948246E-2</v>
      </c>
      <c r="F960" s="2">
        <v>868.5</v>
      </c>
      <c r="G960" s="7">
        <f>(Table2_1[[#This Row],[Current Prices]]-F959)/F959</f>
        <v>2.5747017833943491E-2</v>
      </c>
      <c r="H960" s="7">
        <f>(Table2_1[[#This Row],[Current Prices]]-F956)/F956</f>
        <v>0.11603700848111019</v>
      </c>
      <c r="I960" s="2"/>
    </row>
    <row r="961" spans="1:9" x14ac:dyDescent="0.3">
      <c r="A961" s="2" t="s">
        <v>86</v>
      </c>
      <c r="B961" s="2" t="s">
        <v>39</v>
      </c>
      <c r="C961" s="2">
        <v>853.7</v>
      </c>
      <c r="D961" s="6">
        <f>(Table2_1[[#This Row],[Constant Prices]]-C960)/C960</f>
        <v>1.6793711291091022E-2</v>
      </c>
      <c r="E961" s="6">
        <f>(Table2_1[[#This Row],[Constant Prices]]-C957)/C957</f>
        <v>7.3566398390342042E-2</v>
      </c>
      <c r="F961" s="2">
        <v>892.6</v>
      </c>
      <c r="G961" s="7">
        <f>(Table2_1[[#This Row],[Current Prices]]-F960)/F960</f>
        <v>2.7748992515831919E-2</v>
      </c>
      <c r="H961" s="7">
        <f>(Table2_1[[#This Row],[Current Prices]]-F957)/F957</f>
        <v>0.12602497792355238</v>
      </c>
      <c r="I961" s="2"/>
    </row>
    <row r="962" spans="1:9" x14ac:dyDescent="0.3">
      <c r="A962" s="2" t="s">
        <v>86</v>
      </c>
      <c r="B962" s="2" t="s">
        <v>40</v>
      </c>
      <c r="C962" s="2">
        <v>871.3</v>
      </c>
      <c r="D962" s="6">
        <f>(Table2_1[[#This Row],[Constant Prices]]-C961)/C961</f>
        <v>2.0616141501698382E-2</v>
      </c>
      <c r="E962" s="6">
        <f>(Table2_1[[#This Row],[Constant Prices]]-C958)/C958</f>
        <v>7.4220194797188915E-2</v>
      </c>
      <c r="F962" s="2">
        <v>935.7</v>
      </c>
      <c r="G962" s="7">
        <f>(Table2_1[[#This Row],[Current Prices]]-F961)/F961</f>
        <v>4.8285906341026238E-2</v>
      </c>
      <c r="H962" s="7">
        <f>(Table2_1[[#This Row],[Current Prices]]-F958)/F958</f>
        <v>0.12843704775687409</v>
      </c>
      <c r="I962" s="2"/>
    </row>
    <row r="963" spans="1:9" x14ac:dyDescent="0.3">
      <c r="A963" s="2" t="s">
        <v>86</v>
      </c>
      <c r="B963" s="2" t="s">
        <v>41</v>
      </c>
      <c r="C963" s="2">
        <v>897.8</v>
      </c>
      <c r="D963" s="6">
        <f>(Table2_1[[#This Row],[Constant Prices]]-C962)/C962</f>
        <v>3.0414323424767589E-2</v>
      </c>
      <c r="E963" s="6">
        <f>(Table2_1[[#This Row],[Constant Prices]]-C959)/C959</f>
        <v>7.9605579605579527E-2</v>
      </c>
      <c r="F963" s="2">
        <v>975.2</v>
      </c>
      <c r="G963" s="7">
        <f>(Table2_1[[#This Row],[Current Prices]]-F962)/F962</f>
        <v>4.2214384952442022E-2</v>
      </c>
      <c r="H963" s="7">
        <f>(Table2_1[[#This Row],[Current Prices]]-F959)/F959</f>
        <v>0.15176567851659384</v>
      </c>
      <c r="I963" s="2">
        <v>7</v>
      </c>
    </row>
    <row r="964" spans="1:9" x14ac:dyDescent="0.3">
      <c r="A964" s="2" t="s">
        <v>86</v>
      </c>
      <c r="B964" s="2" t="s">
        <v>42</v>
      </c>
      <c r="C964" s="2">
        <v>914.6</v>
      </c>
      <c r="D964" s="6">
        <f>(Table2_1[[#This Row],[Constant Prices]]-C963)/C963</f>
        <v>1.8712408108710256E-2</v>
      </c>
      <c r="E964" s="6">
        <f>(Table2_1[[#This Row],[Constant Prices]]-C960)/C960</f>
        <v>8.9328251548356358E-2</v>
      </c>
      <c r="F964" s="2">
        <v>1016.2</v>
      </c>
      <c r="G964" s="7">
        <f>(Table2_1[[#This Row],[Current Prices]]-F963)/F963</f>
        <v>4.2042657916324853E-2</v>
      </c>
      <c r="H964" s="7">
        <f>(Table2_1[[#This Row],[Current Prices]]-F960)/F960</f>
        <v>0.17006332757628101</v>
      </c>
      <c r="I964" s="2"/>
    </row>
    <row r="965" spans="1:9" x14ac:dyDescent="0.3">
      <c r="A965" s="2" t="s">
        <v>86</v>
      </c>
      <c r="B965" s="2" t="s">
        <v>43</v>
      </c>
      <c r="C965" s="2">
        <v>933.6</v>
      </c>
      <c r="D965" s="6">
        <f>(Table2_1[[#This Row],[Constant Prices]]-C964)/C964</f>
        <v>2.0774108900065601E-2</v>
      </c>
      <c r="E965" s="6">
        <f>(Table2_1[[#This Row],[Constant Prices]]-C961)/C961</f>
        <v>9.3592596931006175E-2</v>
      </c>
      <c r="F965" s="2">
        <v>1063.8</v>
      </c>
      <c r="G965" s="7">
        <f>(Table2_1[[#This Row],[Current Prices]]-F964)/F964</f>
        <v>4.6841172997441359E-2</v>
      </c>
      <c r="H965" s="7">
        <f>(Table2_1[[#This Row],[Current Prices]]-F961)/F961</f>
        <v>0.19179923818059594</v>
      </c>
      <c r="I965" s="2"/>
    </row>
    <row r="966" spans="1:9" x14ac:dyDescent="0.3">
      <c r="A966" s="2" t="s">
        <v>86</v>
      </c>
      <c r="B966" s="2" t="s">
        <v>44</v>
      </c>
      <c r="C966" s="2">
        <v>937.8</v>
      </c>
      <c r="D966" s="6">
        <f>(Table2_1[[#This Row],[Constant Prices]]-C965)/C965</f>
        <v>4.4987146529562247E-3</v>
      </c>
      <c r="E966" s="6">
        <f>(Table2_1[[#This Row],[Constant Prices]]-C962)/C962</f>
        <v>7.6322736141397909E-2</v>
      </c>
      <c r="F966" s="2">
        <v>1098.3</v>
      </c>
      <c r="G966" s="7">
        <f>(Table2_1[[#This Row],[Current Prices]]-F965)/F965</f>
        <v>3.2430908065425833E-2</v>
      </c>
      <c r="H966" s="7">
        <f>(Table2_1[[#This Row],[Current Prices]]-F962)/F962</f>
        <v>0.17377364539916629</v>
      </c>
      <c r="I966" s="2"/>
    </row>
    <row r="967" spans="1:9" x14ac:dyDescent="0.3">
      <c r="A967" s="2" t="s">
        <v>86</v>
      </c>
      <c r="B967" s="2" t="s">
        <v>45</v>
      </c>
      <c r="C967" s="2">
        <v>943.9</v>
      </c>
      <c r="D967" s="6">
        <f>(Table2_1[[#This Row],[Constant Prices]]-C966)/C966</f>
        <v>6.5045851994028825E-3</v>
      </c>
      <c r="E967" s="6">
        <f>(Table2_1[[#This Row],[Constant Prices]]-C963)/C963</f>
        <v>5.1347738917353558E-2</v>
      </c>
      <c r="F967" s="2">
        <v>1126.5</v>
      </c>
      <c r="G967" s="7">
        <f>(Table2_1[[#This Row],[Current Prices]]-F966)/F966</f>
        <v>2.567604479650373E-2</v>
      </c>
      <c r="H967" s="7">
        <f>(Table2_1[[#This Row],[Current Prices]]-F963)/F963</f>
        <v>0.15514766201804753</v>
      </c>
      <c r="I967" s="2">
        <v>8</v>
      </c>
    </row>
    <row r="968" spans="1:9" x14ac:dyDescent="0.3">
      <c r="A968" s="2" t="s">
        <v>86</v>
      </c>
      <c r="B968" s="2" t="s">
        <v>46</v>
      </c>
      <c r="C968" s="2">
        <v>973.7</v>
      </c>
      <c r="D968" s="6">
        <f>(Table2_1[[#This Row],[Constant Prices]]-C967)/C967</f>
        <v>3.1571141010700361E-2</v>
      </c>
      <c r="E968" s="6">
        <f>(Table2_1[[#This Row],[Constant Prices]]-C964)/C964</f>
        <v>6.4618412420730395E-2</v>
      </c>
      <c r="F968" s="2">
        <v>1186.2</v>
      </c>
      <c r="G968" s="7">
        <f>(Table2_1[[#This Row],[Current Prices]]-F967)/F967</f>
        <v>5.2996005326231735E-2</v>
      </c>
      <c r="H968" s="7">
        <f>(Table2_1[[#This Row],[Current Prices]]-F964)/F964</f>
        <v>0.16728990356229087</v>
      </c>
      <c r="I968" s="2"/>
    </row>
    <row r="969" spans="1:9" x14ac:dyDescent="0.3">
      <c r="A969" s="2" t="s">
        <v>86</v>
      </c>
      <c r="B969" s="2" t="s">
        <v>47</v>
      </c>
      <c r="C969" s="2">
        <v>980.9</v>
      </c>
      <c r="D969" s="6">
        <f>(Table2_1[[#This Row],[Constant Prices]]-C968)/C968</f>
        <v>7.3944746841942402E-3</v>
      </c>
      <c r="E969" s="6">
        <f>(Table2_1[[#This Row],[Constant Prices]]-C965)/C965</f>
        <v>5.0664095972579211E-2</v>
      </c>
      <c r="F969" s="2">
        <v>1229.8</v>
      </c>
      <c r="G969" s="7">
        <f>(Table2_1[[#This Row],[Current Prices]]-F968)/F968</f>
        <v>3.6756027651323478E-2</v>
      </c>
      <c r="H969" s="7">
        <f>(Table2_1[[#This Row],[Current Prices]]-F965)/F965</f>
        <v>0.1560443692423388</v>
      </c>
      <c r="I969" s="2"/>
    </row>
    <row r="970" spans="1:9" x14ac:dyDescent="0.3">
      <c r="A970" s="2" t="s">
        <v>86</v>
      </c>
      <c r="B970" s="2" t="s">
        <v>48</v>
      </c>
      <c r="C970" s="2">
        <v>990.3</v>
      </c>
      <c r="D970" s="6">
        <f>(Table2_1[[#This Row],[Constant Prices]]-C969)/C969</f>
        <v>9.583035987358525E-3</v>
      </c>
      <c r="E970" s="6">
        <f>(Table2_1[[#This Row],[Constant Prices]]-C966)/C966</f>
        <v>5.5982085732565579E-2</v>
      </c>
      <c r="F970" s="2">
        <v>1274.0999999999999</v>
      </c>
      <c r="G970" s="7">
        <f>(Table2_1[[#This Row],[Current Prices]]-F969)/F969</f>
        <v>3.6022117417466221E-2</v>
      </c>
      <c r="H970" s="7">
        <f>(Table2_1[[#This Row],[Current Prices]]-F966)/F966</f>
        <v>0.16006555585905488</v>
      </c>
      <c r="I970" s="2"/>
    </row>
    <row r="971" spans="1:9" x14ac:dyDescent="0.3">
      <c r="A971" s="2" t="s">
        <v>86</v>
      </c>
      <c r="B971" s="2" t="s">
        <v>49</v>
      </c>
      <c r="C971" s="2">
        <v>994.7</v>
      </c>
      <c r="D971" s="6">
        <f>(Table2_1[[#This Row],[Constant Prices]]-C970)/C970</f>
        <v>4.44309805109572E-3</v>
      </c>
      <c r="E971" s="6">
        <f>(Table2_1[[#This Row],[Constant Prices]]-C967)/C967</f>
        <v>5.3819260514885128E-2</v>
      </c>
      <c r="F971" s="2">
        <v>1256.2</v>
      </c>
      <c r="G971" s="7">
        <f>(Table2_1[[#This Row],[Current Prices]]-F970)/F970</f>
        <v>-1.4049132721136382E-2</v>
      </c>
      <c r="H971" s="7">
        <f>(Table2_1[[#This Row],[Current Prices]]-F967)/F967</f>
        <v>0.11513537505548162</v>
      </c>
      <c r="I971" s="2">
        <v>9</v>
      </c>
    </row>
    <row r="972" spans="1:9" x14ac:dyDescent="0.3">
      <c r="A972" s="2" t="s">
        <v>86</v>
      </c>
      <c r="B972" s="2" t="s">
        <v>50</v>
      </c>
      <c r="C972" s="2">
        <v>772.7</v>
      </c>
      <c r="D972" s="6">
        <f>(Table2_1[[#This Row],[Constant Prices]]-C971)/C971</f>
        <v>-0.223182869206796</v>
      </c>
      <c r="E972" s="6">
        <f>(Table2_1[[#This Row],[Constant Prices]]-C968)/C968</f>
        <v>-0.20642908493375783</v>
      </c>
      <c r="F972" s="2">
        <v>1030.9000000000001</v>
      </c>
      <c r="G972" s="7">
        <f>(Table2_1[[#This Row],[Current Prices]]-F971)/F971</f>
        <v>-0.17935042190733955</v>
      </c>
      <c r="H972" s="7">
        <f>(Table2_1[[#This Row],[Current Prices]]-F968)/F968</f>
        <v>-0.13092227280391161</v>
      </c>
      <c r="I972" s="2"/>
    </row>
    <row r="973" spans="1:9" x14ac:dyDescent="0.3">
      <c r="A973" s="2" t="s">
        <v>86</v>
      </c>
      <c r="B973" s="2" t="s">
        <v>51</v>
      </c>
      <c r="C973" s="2">
        <v>265.8</v>
      </c>
      <c r="D973" s="6">
        <f>(Table2_1[[#This Row],[Constant Prices]]-C972)/C972</f>
        <v>-0.65601138863724606</v>
      </c>
      <c r="E973" s="6">
        <f>(Table2_1[[#This Row],[Constant Prices]]-C969)/C969</f>
        <v>-0.72902436537873372</v>
      </c>
      <c r="F973" s="2">
        <v>307.89999999999998</v>
      </c>
      <c r="G973" s="7">
        <f>(Table2_1[[#This Row],[Current Prices]]-F972)/F972</f>
        <v>-0.70132893588126888</v>
      </c>
      <c r="H973" s="7">
        <f>(Table2_1[[#This Row],[Current Prices]]-F969)/F969</f>
        <v>-0.74963408684338917</v>
      </c>
      <c r="I973" s="2"/>
    </row>
    <row r="974" spans="1:9" x14ac:dyDescent="0.3">
      <c r="A974" s="2" t="s">
        <v>86</v>
      </c>
      <c r="B974" s="2" t="s">
        <v>52</v>
      </c>
      <c r="C974" s="2">
        <v>617.70000000000005</v>
      </c>
      <c r="D974" s="6">
        <f>(Table2_1[[#This Row],[Constant Prices]]-C973)/C973</f>
        <v>1.3239277652370205</v>
      </c>
      <c r="E974" s="6">
        <f>(Table2_1[[#This Row],[Constant Prices]]-C970)/C970</f>
        <v>-0.37624962132687056</v>
      </c>
      <c r="F974" s="2">
        <v>954.7</v>
      </c>
      <c r="G974" s="7">
        <f>(Table2_1[[#This Row],[Current Prices]]-F973)/F973</f>
        <v>2.1006820396232548</v>
      </c>
      <c r="H974" s="7">
        <f>(Table2_1[[#This Row],[Current Prices]]-F970)/F970</f>
        <v>-0.25068675928106104</v>
      </c>
      <c r="I974" s="2"/>
    </row>
    <row r="975" spans="1:9" x14ac:dyDescent="0.3">
      <c r="A975" s="2" t="s">
        <v>86</v>
      </c>
      <c r="B975" s="2" t="s">
        <v>53</v>
      </c>
      <c r="C975" s="2">
        <v>547</v>
      </c>
      <c r="D975" s="6">
        <f>(Table2_1[[#This Row],[Constant Prices]]-C974)/C974</f>
        <v>-0.11445685607900281</v>
      </c>
      <c r="E975" s="6">
        <f>(Table2_1[[#This Row],[Constant Prices]]-C971)/C971</f>
        <v>-0.450085452900372</v>
      </c>
      <c r="F975" s="2">
        <v>759.8</v>
      </c>
      <c r="G975" s="7">
        <f>(Table2_1[[#This Row],[Current Prices]]-F974)/F974</f>
        <v>-0.20414789986383167</v>
      </c>
      <c r="H975" s="7">
        <f>(Table2_1[[#This Row],[Current Prices]]-F971)/F971</f>
        <v>-0.39516000636841275</v>
      </c>
      <c r="I975" s="2">
        <v>10</v>
      </c>
    </row>
    <row r="976" spans="1:9" x14ac:dyDescent="0.3">
      <c r="A976" s="2" t="s">
        <v>86</v>
      </c>
      <c r="B976" s="2" t="s">
        <v>54</v>
      </c>
      <c r="C976" s="2">
        <v>639.6</v>
      </c>
      <c r="D976" s="6">
        <f>(Table2_1[[#This Row],[Constant Prices]]-C975)/C975</f>
        <v>0.16928702010968927</v>
      </c>
      <c r="E976" s="6">
        <f>(Table2_1[[#This Row],[Constant Prices]]-C972)/C972</f>
        <v>-0.17225313834605929</v>
      </c>
      <c r="F976" s="2">
        <v>879</v>
      </c>
      <c r="G976" s="7">
        <f>(Table2_1[[#This Row],[Current Prices]]-F975)/F975</f>
        <v>0.15688339036588583</v>
      </c>
      <c r="H976" s="7">
        <f>(Table2_1[[#This Row],[Current Prices]]-F972)/F972</f>
        <v>-0.14734697836841601</v>
      </c>
      <c r="I976" s="2"/>
    </row>
    <row r="977" spans="1:9" x14ac:dyDescent="0.3">
      <c r="A977" s="2" t="s">
        <v>86</v>
      </c>
      <c r="B977" s="2" t="s">
        <v>55</v>
      </c>
      <c r="C977" s="2">
        <v>505.7</v>
      </c>
      <c r="D977" s="6">
        <f>(Table2_1[[#This Row],[Constant Prices]]-C976)/C976</f>
        <v>-0.20934959349593502</v>
      </c>
      <c r="E977" s="6">
        <f>(Table2_1[[#This Row],[Constant Prices]]-C973)/C973</f>
        <v>0.90255831452219704</v>
      </c>
      <c r="F977" s="2">
        <v>881.3</v>
      </c>
      <c r="G977" s="7">
        <f>(Table2_1[[#This Row],[Current Prices]]-F976)/F976</f>
        <v>2.6166097838452268E-3</v>
      </c>
      <c r="H977" s="7">
        <f>(Table2_1[[#This Row],[Current Prices]]-F973)/F973</f>
        <v>1.8622929522572265</v>
      </c>
      <c r="I977" s="2"/>
    </row>
    <row r="978" spans="1:9" x14ac:dyDescent="0.3">
      <c r="A978" s="2" t="s">
        <v>86</v>
      </c>
      <c r="B978" s="2" t="s">
        <v>56</v>
      </c>
      <c r="C978" s="2">
        <v>652.9</v>
      </c>
      <c r="D978" s="6">
        <f>(Table2_1[[#This Row],[Constant Prices]]-C977)/C977</f>
        <v>0.2910816689736998</v>
      </c>
      <c r="E978" s="6">
        <f>(Table2_1[[#This Row],[Constant Prices]]-C974)/C974</f>
        <v>5.6985591711186542E-2</v>
      </c>
      <c r="F978" s="2">
        <v>1033.8</v>
      </c>
      <c r="G978" s="7">
        <f>(Table2_1[[#This Row],[Current Prices]]-F977)/F977</f>
        <v>0.17303982752751618</v>
      </c>
      <c r="H978" s="7">
        <f>(Table2_1[[#This Row],[Current Prices]]-F974)/F974</f>
        <v>8.2853252330574945E-2</v>
      </c>
      <c r="I978" s="2"/>
    </row>
    <row r="979" spans="1:9" x14ac:dyDescent="0.3">
      <c r="A979" s="2" t="s">
        <v>86</v>
      </c>
      <c r="B979" s="2" t="s">
        <v>57</v>
      </c>
      <c r="C979" s="2">
        <v>655.29999999999995</v>
      </c>
      <c r="D979" s="6">
        <f>(Table2_1[[#This Row],[Constant Prices]]-C978)/C978</f>
        <v>3.6759074896614754E-3</v>
      </c>
      <c r="E979" s="6">
        <f>(Table2_1[[#This Row],[Constant Prices]]-C975)/C975</f>
        <v>0.19798903107861052</v>
      </c>
      <c r="F979" s="2">
        <v>966.3</v>
      </c>
      <c r="G979" s="7">
        <f>(Table2_1[[#This Row],[Current Prices]]-F978)/F978</f>
        <v>-6.5293093441671501E-2</v>
      </c>
      <c r="H979" s="7">
        <f>(Table2_1[[#This Row],[Current Prices]]-F975)/F975</f>
        <v>0.27178204790734406</v>
      </c>
      <c r="I979" s="2">
        <v>11</v>
      </c>
    </row>
    <row r="980" spans="1:9" x14ac:dyDescent="0.3">
      <c r="A980" s="2" t="s">
        <v>86</v>
      </c>
      <c r="B980" s="2" t="s">
        <v>58</v>
      </c>
      <c r="C980" s="2">
        <v>651.5</v>
      </c>
      <c r="D980" s="6">
        <f>(Table2_1[[#This Row],[Constant Prices]]-C979)/C979</f>
        <v>-5.798870746223035E-3</v>
      </c>
      <c r="E980" s="6">
        <f>(Table2_1[[#This Row],[Constant Prices]]-C976)/C976</f>
        <v>1.8605378361475886E-2</v>
      </c>
      <c r="F980" s="2">
        <v>1126.7</v>
      </c>
      <c r="G980" s="7">
        <f>(Table2_1[[#This Row],[Current Prices]]-F979)/F979</f>
        <v>0.16599399772327444</v>
      </c>
      <c r="H980" s="7">
        <f>(Table2_1[[#This Row],[Current Prices]]-F976)/F976</f>
        <v>0.281797497155859</v>
      </c>
      <c r="I980" s="2"/>
    </row>
    <row r="981" spans="1:9" x14ac:dyDescent="0.3">
      <c r="A981" s="2" t="s">
        <v>86</v>
      </c>
      <c r="B981" s="2" t="s">
        <v>59</v>
      </c>
      <c r="C981" s="2">
        <v>636.70000000000005</v>
      </c>
      <c r="D981" s="6">
        <f>(Table2_1[[#This Row],[Constant Prices]]-C980)/C980</f>
        <v>-2.2716807367613129E-2</v>
      </c>
      <c r="E981" s="6">
        <f>(Table2_1[[#This Row],[Constant Prices]]-C977)/C977</f>
        <v>0.25904686573067048</v>
      </c>
      <c r="F981" s="2">
        <v>1174.3</v>
      </c>
      <c r="G981" s="7">
        <f>(Table2_1[[#This Row],[Current Prices]]-F980)/F980</f>
        <v>4.2247270790804925E-2</v>
      </c>
      <c r="H981" s="7">
        <f>(Table2_1[[#This Row],[Current Prices]]-F977)/F977</f>
        <v>0.33246340633155569</v>
      </c>
      <c r="I981" s="2"/>
    </row>
    <row r="982" spans="1:9" x14ac:dyDescent="0.3">
      <c r="A982" s="2" t="s">
        <v>86</v>
      </c>
      <c r="B982" s="2" t="s">
        <v>60</v>
      </c>
      <c r="C982" s="2">
        <v>695</v>
      </c>
      <c r="D982" s="6">
        <f>(Table2_1[[#This Row],[Constant Prices]]-C981)/C981</f>
        <v>9.156588660279559E-2</v>
      </c>
      <c r="E982" s="6">
        <f>(Table2_1[[#This Row],[Constant Prices]]-C978)/C978</f>
        <v>6.44815438811457E-2</v>
      </c>
      <c r="F982" s="2">
        <v>1285.5999999999999</v>
      </c>
      <c r="G982" s="7">
        <f>(Table2_1[[#This Row],[Current Prices]]-F981)/F981</f>
        <v>9.4779868858043057E-2</v>
      </c>
      <c r="H982" s="7">
        <f>(Table2_1[[#This Row],[Current Prices]]-F978)/F978</f>
        <v>0.24356742116463528</v>
      </c>
      <c r="I982" s="2"/>
    </row>
    <row r="983" spans="1:9" x14ac:dyDescent="0.3">
      <c r="A983" s="2" t="s">
        <v>86</v>
      </c>
      <c r="B983" s="2" t="s">
        <v>61</v>
      </c>
      <c r="C983" s="2">
        <v>722.9</v>
      </c>
      <c r="D983" s="6">
        <f>(Table2_1[[#This Row],[Constant Prices]]-C982)/C982</f>
        <v>4.0143884892086298E-2</v>
      </c>
      <c r="E983" s="6">
        <f>(Table2_1[[#This Row],[Constant Prices]]-C979)/C979</f>
        <v>0.1031588585380742</v>
      </c>
      <c r="F983" s="2">
        <v>1277.2</v>
      </c>
      <c r="G983" s="7">
        <f>(Table2_1[[#This Row],[Current Prices]]-F982)/F982</f>
        <v>-6.5339141256999566E-3</v>
      </c>
      <c r="H983" s="7">
        <f>(Table2_1[[#This Row],[Current Prices]]-F979)/F979</f>
        <v>0.32174273000103498</v>
      </c>
      <c r="I983" s="2">
        <v>12</v>
      </c>
    </row>
    <row r="984" spans="1:9" x14ac:dyDescent="0.3">
      <c r="A984" s="2" t="s">
        <v>86</v>
      </c>
      <c r="B984" s="2" t="s">
        <v>62</v>
      </c>
      <c r="C984" s="2">
        <v>728.5</v>
      </c>
      <c r="D984" s="6">
        <f>(Table2_1[[#This Row],[Constant Prices]]-C983)/C983</f>
        <v>7.7465762899433157E-3</v>
      </c>
      <c r="E984" s="6">
        <f>(Table2_1[[#This Row],[Constant Prices]]-C980)/C980</f>
        <v>0.11818879508825787</v>
      </c>
      <c r="F984" s="2">
        <v>1383.6</v>
      </c>
      <c r="G984" s="7">
        <f>(Table2_1[[#This Row],[Current Prices]]-F983)/F983</f>
        <v>8.330723457563409E-2</v>
      </c>
      <c r="H984" s="7">
        <f>(Table2_1[[#This Row],[Current Prices]]-F980)/F980</f>
        <v>0.22801100559155041</v>
      </c>
      <c r="I984" s="2"/>
    </row>
    <row r="985" spans="1:9" x14ac:dyDescent="0.3">
      <c r="A985" s="2" t="s">
        <v>86</v>
      </c>
      <c r="B985" s="2" t="s">
        <v>63</v>
      </c>
      <c r="C985" s="2">
        <v>733.4</v>
      </c>
      <c r="D985" s="6">
        <f>(Table2_1[[#This Row],[Constant Prices]]-C984)/C984</f>
        <v>6.7261496225119802E-3</v>
      </c>
      <c r="E985" s="6">
        <f>(Table2_1[[#This Row],[Constant Prices]]-C981)/C981</f>
        <v>0.1518768650855975</v>
      </c>
      <c r="F985" s="2">
        <v>1482.8</v>
      </c>
      <c r="G985" s="7">
        <f>(Table2_1[[#This Row],[Current Prices]]-F984)/F984</f>
        <v>7.1697022260769044E-2</v>
      </c>
      <c r="H985" s="7">
        <f>(Table2_1[[#This Row],[Current Prices]]-F981)/F981</f>
        <v>0.26270969939538452</v>
      </c>
      <c r="I985" s="2"/>
    </row>
    <row r="986" spans="1:9" x14ac:dyDescent="0.3">
      <c r="A986" s="2" t="s">
        <v>86</v>
      </c>
      <c r="B986" s="2" t="s">
        <v>64</v>
      </c>
      <c r="C986" s="2">
        <v>748.4</v>
      </c>
      <c r="D986" s="6">
        <f>(Table2_1[[#This Row],[Constant Prices]]-C985)/C985</f>
        <v>2.0452686119443689E-2</v>
      </c>
      <c r="E986" s="6">
        <f>(Table2_1[[#This Row],[Constant Prices]]-C982)/C982</f>
        <v>7.6834532374100692E-2</v>
      </c>
      <c r="F986" s="2">
        <v>1516.6</v>
      </c>
      <c r="G986" s="7">
        <f>(Table2_1[[#This Row],[Current Prices]]-F985)/F985</f>
        <v>2.2794712705691906E-2</v>
      </c>
      <c r="H986" s="7">
        <f>(Table2_1[[#This Row],[Current Prices]]-F982)/F982</f>
        <v>0.17968263845675173</v>
      </c>
      <c r="I986" s="2"/>
    </row>
    <row r="987" spans="1:9" x14ac:dyDescent="0.3">
      <c r="A987" s="2" t="s">
        <v>86</v>
      </c>
      <c r="B987" s="2" t="s">
        <v>65</v>
      </c>
      <c r="C987" s="2">
        <v>762.7</v>
      </c>
      <c r="D987" s="6">
        <f>(Table2_1[[#This Row],[Constant Prices]]-C986)/C986</f>
        <v>1.910742918225557E-2</v>
      </c>
      <c r="E987" s="6">
        <f>(Table2_1[[#This Row],[Constant Prices]]-C983)/C983</f>
        <v>5.5056024346382723E-2</v>
      </c>
      <c r="F987" s="2">
        <v>1525</v>
      </c>
      <c r="G987" s="7">
        <f>(Table2_1[[#This Row],[Current Prices]]-F986)/F986</f>
        <v>5.5387049980219517E-3</v>
      </c>
      <c r="H987" s="7">
        <f>(Table2_1[[#This Row],[Current Prices]]-F983)/F983</f>
        <v>0.19401816473535854</v>
      </c>
      <c r="I987" s="2">
        <v>13</v>
      </c>
    </row>
    <row r="988" spans="1:9" x14ac:dyDescent="0.3">
      <c r="A988" s="2" t="s">
        <v>86</v>
      </c>
      <c r="B988" s="2" t="s">
        <v>66</v>
      </c>
      <c r="C988" s="2">
        <v>761.2</v>
      </c>
      <c r="D988" s="6">
        <f>(Table2_1[[#This Row],[Constant Prices]]-C987)/C987</f>
        <v>-1.9666972597351512E-3</v>
      </c>
      <c r="E988" s="6">
        <f>(Table2_1[[#This Row],[Constant Prices]]-C984)/C984</f>
        <v>4.4886753603294506E-2</v>
      </c>
      <c r="F988" s="2">
        <v>1631.4</v>
      </c>
      <c r="G988" s="7">
        <f>(Table2_1[[#This Row],[Current Prices]]-F987)/F987</f>
        <v>6.9770491803278753E-2</v>
      </c>
      <c r="H988" s="7">
        <f>(Table2_1[[#This Row],[Current Prices]]-F984)/F984</f>
        <v>0.17909800520381627</v>
      </c>
      <c r="I988" s="2"/>
    </row>
    <row r="989" spans="1:9" x14ac:dyDescent="0.3">
      <c r="A989" s="2" t="s">
        <v>86</v>
      </c>
      <c r="B989" s="2" t="s">
        <v>67</v>
      </c>
      <c r="C989" s="2">
        <v>770.8</v>
      </c>
      <c r="D989" s="6">
        <f>(Table2_1[[#This Row],[Constant Prices]]-C988)/C988</f>
        <v>1.2611665790856421E-2</v>
      </c>
      <c r="E989" s="6">
        <f>(Table2_1[[#This Row],[Constant Prices]]-C985)/C985</f>
        <v>5.0995364057812895E-2</v>
      </c>
      <c r="F989" s="2">
        <v>1767.8</v>
      </c>
      <c r="G989" s="7">
        <f>(Table2_1[[#This Row],[Current Prices]]-F988)/F988</f>
        <v>8.3609170038004083E-2</v>
      </c>
      <c r="H989" s="7">
        <f>(Table2_1[[#This Row],[Current Prices]]-F985)/F985</f>
        <v>0.19220393849473968</v>
      </c>
      <c r="I989" s="2"/>
    </row>
    <row r="990" spans="1:9" x14ac:dyDescent="0.3">
      <c r="A990" s="2" t="s">
        <v>86</v>
      </c>
      <c r="B990" s="2" t="s">
        <v>68</v>
      </c>
      <c r="C990" s="2">
        <v>773.7</v>
      </c>
      <c r="D990" s="6">
        <f>(Table2_1[[#This Row],[Constant Prices]]-C989)/C989</f>
        <v>3.7623248572912441E-3</v>
      </c>
      <c r="E990" s="6">
        <f>(Table2_1[[#This Row],[Constant Prices]]-C986)/C986</f>
        <v>3.3805451630144402E-2</v>
      </c>
      <c r="F990" s="2">
        <v>1750.2</v>
      </c>
      <c r="G990" s="7">
        <f>(Table2_1[[#This Row],[Current Prices]]-F989)/F989</f>
        <v>-9.9558773616924487E-3</v>
      </c>
      <c r="H990" s="7">
        <f>(Table2_1[[#This Row],[Current Prices]]-F986)/F986</f>
        <v>0.1540287485164184</v>
      </c>
      <c r="I990" s="2"/>
    </row>
    <row r="991" spans="1:9" x14ac:dyDescent="0.3">
      <c r="A991" s="2" t="s">
        <v>86</v>
      </c>
      <c r="B991" s="2" t="s">
        <v>69</v>
      </c>
      <c r="C991" s="2">
        <v>782.7</v>
      </c>
      <c r="D991" s="6">
        <f>(Table2_1[[#This Row],[Constant Prices]]-C990)/C990</f>
        <v>1.1632415664986429E-2</v>
      </c>
      <c r="E991" s="6">
        <f>(Table2_1[[#This Row],[Constant Prices]]-C987)/C987</f>
        <v>2.6222630129802017E-2</v>
      </c>
      <c r="F991" s="5">
        <f>Table2_1[[#This Row],[Constant Prices]]*AVERAGE(Inflation!$C$72:$C$74)*0.01</f>
        <v>1416.9479000000001</v>
      </c>
      <c r="G991" s="7">
        <f>(Table2_1[[#This Row],[Current Prices]]-F990)/F990</f>
        <v>-0.19040801051308417</v>
      </c>
      <c r="H991" s="7">
        <f>(Table2_1[[#This Row],[Current Prices]]-F987)/F987</f>
        <v>-7.0853836065573689E-2</v>
      </c>
      <c r="I991" s="2">
        <v>14</v>
      </c>
    </row>
    <row r="992" spans="1:9" x14ac:dyDescent="0.3">
      <c r="A992" s="2" t="s">
        <v>86</v>
      </c>
      <c r="B992" s="2" t="s">
        <v>70</v>
      </c>
      <c r="C992" s="2">
        <v>804.5</v>
      </c>
      <c r="D992" s="6">
        <f>(Table2_1[[#This Row],[Constant Prices]]-C991)/C991</f>
        <v>2.7852306119841515E-2</v>
      </c>
      <c r="E992" s="6">
        <f>(Table2_1[[#This Row],[Constant Prices]]-C988)/C988</f>
        <v>5.6883867577509135E-2</v>
      </c>
      <c r="F992" s="5">
        <f>Table2_1[[#This Row],[Constant Prices]]*AVERAGE(Inflation!$C$75:$C$77)*0.01</f>
        <v>1467.6761666666664</v>
      </c>
      <c r="G992" s="7">
        <f>(Table2_1[[#This Row],[Current Prices]]-F991)/F991</f>
        <v>3.5801081088913909E-2</v>
      </c>
      <c r="H992" s="7">
        <f>(Table2_1[[#This Row],[Current Prices]]-F988)/F988</f>
        <v>-0.100357872583875</v>
      </c>
      <c r="I992" s="2"/>
    </row>
    <row r="993" spans="1:9" x14ac:dyDescent="0.3">
      <c r="A993" s="2" t="s">
        <v>86</v>
      </c>
      <c r="B993" s="2" t="s">
        <v>71</v>
      </c>
      <c r="C993" s="2">
        <v>825.1</v>
      </c>
      <c r="D993" s="6">
        <f>(Table2_1[[#This Row],[Constant Prices]]-C992)/C992</f>
        <v>2.560596643878188E-2</v>
      </c>
      <c r="E993" s="6">
        <f>(Table2_1[[#This Row],[Constant Prices]]-C989)/C989</f>
        <v>7.0446289569278758E-2</v>
      </c>
      <c r="F993" s="5">
        <f>Table2_1[[#This Row],[Constant Prices]]*AVERAGE(Inflation!$C$78:$C$80)*0.01</f>
        <v>1529.1853333333336</v>
      </c>
      <c r="G993" s="7">
        <f>(Table2_1[[#This Row],[Current Prices]]-F992)/F992</f>
        <v>4.1909222254637134E-2</v>
      </c>
      <c r="H993" s="7">
        <f>(Table2_1[[#This Row],[Current Prices]]-F989)/F989</f>
        <v>-0.13497831579741282</v>
      </c>
      <c r="I993" s="2"/>
    </row>
    <row r="994" spans="1:9" x14ac:dyDescent="0.3">
      <c r="A994" s="2" t="s">
        <v>87</v>
      </c>
      <c r="B994" s="2" t="s">
        <v>10</v>
      </c>
      <c r="C994" s="2">
        <v>469.5</v>
      </c>
      <c r="D994" s="6"/>
      <c r="E994" s="6"/>
      <c r="F994" s="2">
        <v>447</v>
      </c>
      <c r="G994" s="7"/>
      <c r="H994" s="7"/>
      <c r="I994" s="2"/>
    </row>
    <row r="995" spans="1:9" x14ac:dyDescent="0.3">
      <c r="A995" s="2" t="s">
        <v>87</v>
      </c>
      <c r="B995" s="2" t="s">
        <v>11</v>
      </c>
      <c r="C995" s="2">
        <v>479.2</v>
      </c>
      <c r="D995" s="6">
        <f>(Table2_1[[#This Row],[Constant Prices]]-C994)/C994</f>
        <v>2.0660276890308815E-2</v>
      </c>
      <c r="E995" s="6"/>
      <c r="F995" s="2">
        <v>458.6</v>
      </c>
      <c r="G995" s="7">
        <f>(Table2_1[[#This Row],[Current Prices]]-F994)/F994</f>
        <v>2.5950782997762916E-2</v>
      </c>
      <c r="H995" s="7"/>
      <c r="I995" s="2"/>
    </row>
    <row r="996" spans="1:9" x14ac:dyDescent="0.3">
      <c r="A996" s="2" t="s">
        <v>87</v>
      </c>
      <c r="B996" s="2" t="s">
        <v>12</v>
      </c>
      <c r="C996" s="2">
        <v>488</v>
      </c>
      <c r="D996" s="6">
        <f>(Table2_1[[#This Row],[Constant Prices]]-C995)/C995</f>
        <v>1.8363939899833079E-2</v>
      </c>
      <c r="E996" s="6"/>
      <c r="F996" s="2">
        <v>470.6</v>
      </c>
      <c r="G996" s="7">
        <f>(Table2_1[[#This Row],[Current Prices]]-F995)/F995</f>
        <v>2.6166593981683382E-2</v>
      </c>
      <c r="H996" s="7"/>
      <c r="I996" s="2"/>
    </row>
    <row r="997" spans="1:9" x14ac:dyDescent="0.3">
      <c r="A997" s="2" t="s">
        <v>87</v>
      </c>
      <c r="B997" s="2" t="s">
        <v>13</v>
      </c>
      <c r="C997" s="2">
        <v>495.6</v>
      </c>
      <c r="D997" s="6">
        <f>(Table2_1[[#This Row],[Constant Prices]]-C996)/C996</f>
        <v>1.5573770491803324E-2</v>
      </c>
      <c r="E997" s="6"/>
      <c r="F997" s="2">
        <v>482.7</v>
      </c>
      <c r="G997" s="7">
        <f>(Table2_1[[#This Row],[Current Prices]]-F996)/F996</f>
        <v>2.5711857203569836E-2</v>
      </c>
      <c r="H997" s="7"/>
      <c r="I997" s="2"/>
    </row>
    <row r="998" spans="1:9" x14ac:dyDescent="0.3">
      <c r="A998" s="2" t="s">
        <v>87</v>
      </c>
      <c r="B998" s="2" t="s">
        <v>14</v>
      </c>
      <c r="C998" s="2">
        <v>503.2</v>
      </c>
      <c r="D998" s="6">
        <f>(Table2_1[[#This Row],[Constant Prices]]-C997)/C997</f>
        <v>1.53349475383373E-2</v>
      </c>
      <c r="E998" s="6">
        <f>(Table2_1[[#This Row],[Constant Prices]]-C994)/C994</f>
        <v>7.1778487752928624E-2</v>
      </c>
      <c r="F998" s="2">
        <v>493.5</v>
      </c>
      <c r="G998" s="7">
        <f>(Table2_1[[#This Row],[Current Prices]]-F997)/F997</f>
        <v>2.2374145431945332E-2</v>
      </c>
      <c r="H998" s="7">
        <f>(Table2_1[[#This Row],[Current Prices]]-F994)/F994</f>
        <v>0.1040268456375839</v>
      </c>
      <c r="I998" s="2"/>
    </row>
    <row r="999" spans="1:9" x14ac:dyDescent="0.3">
      <c r="A999" s="2" t="s">
        <v>87</v>
      </c>
      <c r="B999" s="2" t="s">
        <v>15</v>
      </c>
      <c r="C999" s="2">
        <v>507.9</v>
      </c>
      <c r="D999" s="6">
        <f>(Table2_1[[#This Row],[Constant Prices]]-C998)/C998</f>
        <v>9.3402225755166712E-3</v>
      </c>
      <c r="E999" s="6">
        <f>(Table2_1[[#This Row],[Constant Prices]]-C995)/C995</f>
        <v>5.989148580968278E-2</v>
      </c>
      <c r="F999" s="2">
        <v>503</v>
      </c>
      <c r="G999" s="7">
        <f>(Table2_1[[#This Row],[Current Prices]]-F998)/F998</f>
        <v>1.9250253292806486E-2</v>
      </c>
      <c r="H999" s="7">
        <f>(Table2_1[[#This Row],[Current Prices]]-F995)/F995</f>
        <v>9.6816397732228471E-2</v>
      </c>
      <c r="I999" s="2"/>
    </row>
    <row r="1000" spans="1:9" x14ac:dyDescent="0.3">
      <c r="A1000" s="2" t="s">
        <v>87</v>
      </c>
      <c r="B1000" s="2" t="s">
        <v>16</v>
      </c>
      <c r="C1000" s="2">
        <v>511.8</v>
      </c>
      <c r="D1000" s="6">
        <f>(Table2_1[[#This Row],[Constant Prices]]-C999)/C999</f>
        <v>7.6786769049026074E-3</v>
      </c>
      <c r="E1000" s="6">
        <f>(Table2_1[[#This Row],[Constant Prices]]-C996)/C996</f>
        <v>4.8770491803278714E-2</v>
      </c>
      <c r="F1000" s="2">
        <v>511.6</v>
      </c>
      <c r="G1000" s="7">
        <f>(Table2_1[[#This Row],[Current Prices]]-F999)/F999</f>
        <v>1.7097415506958296E-2</v>
      </c>
      <c r="H1000" s="7">
        <f>(Table2_1[[#This Row],[Current Prices]]-F996)/F996</f>
        <v>8.7122821929451755E-2</v>
      </c>
      <c r="I1000" s="2"/>
    </row>
    <row r="1001" spans="1:9" x14ac:dyDescent="0.3">
      <c r="A1001" s="2" t="s">
        <v>87</v>
      </c>
      <c r="B1001" s="2" t="s">
        <v>17</v>
      </c>
      <c r="C1001" s="2">
        <v>515.1</v>
      </c>
      <c r="D1001" s="6">
        <f>(Table2_1[[#This Row],[Constant Prices]]-C1000)/C1000</f>
        <v>6.4478311840562939E-3</v>
      </c>
      <c r="E1001" s="6">
        <f>(Table2_1[[#This Row],[Constant Prices]]-C997)/C997</f>
        <v>3.9346246973365619E-2</v>
      </c>
      <c r="F1001" s="2">
        <v>519.9</v>
      </c>
      <c r="G1001" s="7">
        <f>(Table2_1[[#This Row],[Current Prices]]-F1000)/F1000</f>
        <v>1.622361219702884E-2</v>
      </c>
      <c r="H1001" s="7">
        <f>(Table2_1[[#This Row],[Current Prices]]-F997)/F997</f>
        <v>7.7066500932256032E-2</v>
      </c>
      <c r="I1001" s="2">
        <v>1</v>
      </c>
    </row>
    <row r="1002" spans="1:9" x14ac:dyDescent="0.3">
      <c r="A1002" s="2" t="s">
        <v>87</v>
      </c>
      <c r="B1002" s="2" t="s">
        <v>18</v>
      </c>
      <c r="C1002" s="2">
        <v>522.4</v>
      </c>
      <c r="D1002" s="6">
        <f>(Table2_1[[#This Row],[Constant Prices]]-C1001)/C1001</f>
        <v>1.4172005435837612E-2</v>
      </c>
      <c r="E1002" s="6">
        <f>(Table2_1[[#This Row],[Constant Prices]]-C998)/C998</f>
        <v>3.8155802861685191E-2</v>
      </c>
      <c r="F1002" s="2">
        <v>523.5</v>
      </c>
      <c r="G1002" s="7">
        <f>(Table2_1[[#This Row],[Current Prices]]-F1001)/F1001</f>
        <v>6.9244085401039103E-3</v>
      </c>
      <c r="H1002" s="7">
        <f>(Table2_1[[#This Row],[Current Prices]]-F998)/F998</f>
        <v>6.0790273556231005E-2</v>
      </c>
      <c r="I1002" s="2"/>
    </row>
    <row r="1003" spans="1:9" x14ac:dyDescent="0.3">
      <c r="A1003" s="2" t="s">
        <v>87</v>
      </c>
      <c r="B1003" s="2" t="s">
        <v>19</v>
      </c>
      <c r="C1003" s="2">
        <v>530.29999999999995</v>
      </c>
      <c r="D1003" s="6">
        <f>(Table2_1[[#This Row],[Constant Prices]]-C1002)/C1002</f>
        <v>1.5122511485451719E-2</v>
      </c>
      <c r="E1003" s="6">
        <f>(Table2_1[[#This Row],[Constant Prices]]-C999)/C999</f>
        <v>4.4103169915337623E-2</v>
      </c>
      <c r="F1003" s="2">
        <v>536.4</v>
      </c>
      <c r="G1003" s="7">
        <f>(Table2_1[[#This Row],[Current Prices]]-F1002)/F1002</f>
        <v>2.4641833810888209E-2</v>
      </c>
      <c r="H1003" s="7">
        <f>(Table2_1[[#This Row],[Current Prices]]-F999)/F999</f>
        <v>6.640159045725641E-2</v>
      </c>
      <c r="I1003" s="2"/>
    </row>
    <row r="1004" spans="1:9" x14ac:dyDescent="0.3">
      <c r="A1004" s="2" t="s">
        <v>87</v>
      </c>
      <c r="B1004" s="2" t="s">
        <v>20</v>
      </c>
      <c r="C1004" s="2">
        <v>542.70000000000005</v>
      </c>
      <c r="D1004" s="6">
        <f>(Table2_1[[#This Row],[Constant Prices]]-C1003)/C1003</f>
        <v>2.3382990759947372E-2</v>
      </c>
      <c r="E1004" s="6">
        <f>(Table2_1[[#This Row],[Constant Prices]]-C1000)/C1000</f>
        <v>6.0375146541617887E-2</v>
      </c>
      <c r="F1004" s="2">
        <v>549.29999999999995</v>
      </c>
      <c r="G1004" s="7">
        <f>(Table2_1[[#This Row],[Current Prices]]-F1003)/F1003</f>
        <v>2.4049217002237094E-2</v>
      </c>
      <c r="H1004" s="7">
        <f>(Table2_1[[#This Row],[Current Prices]]-F1000)/F1000</f>
        <v>7.3690383111805965E-2</v>
      </c>
      <c r="I1004" s="2"/>
    </row>
    <row r="1005" spans="1:9" x14ac:dyDescent="0.3">
      <c r="A1005" s="2" t="s">
        <v>87</v>
      </c>
      <c r="B1005" s="2" t="s">
        <v>21</v>
      </c>
      <c r="C1005" s="2">
        <v>559.4</v>
      </c>
      <c r="D1005" s="6">
        <f>(Table2_1[[#This Row],[Constant Prices]]-C1004)/C1004</f>
        <v>3.0772065597936115E-2</v>
      </c>
      <c r="E1005" s="6">
        <f>(Table2_1[[#This Row],[Constant Prices]]-C1001)/C1001</f>
        <v>8.6002717918850613E-2</v>
      </c>
      <c r="F1005" s="2">
        <v>556.4</v>
      </c>
      <c r="G1005" s="7">
        <f>(Table2_1[[#This Row],[Current Prices]]-F1004)/F1004</f>
        <v>1.2925541598398003E-2</v>
      </c>
      <c r="H1005" s="7">
        <f>(Table2_1[[#This Row],[Current Prices]]-F1001)/F1001</f>
        <v>7.0205808809386427E-2</v>
      </c>
      <c r="I1005" s="2">
        <v>2</v>
      </c>
    </row>
    <row r="1006" spans="1:9" x14ac:dyDescent="0.3">
      <c r="A1006" s="2" t="s">
        <v>87</v>
      </c>
      <c r="B1006" s="2" t="s">
        <v>22</v>
      </c>
      <c r="C1006" s="2">
        <v>577.5</v>
      </c>
      <c r="D1006" s="6">
        <f>(Table2_1[[#This Row],[Constant Prices]]-C1005)/C1005</f>
        <v>3.2356095816946769E-2</v>
      </c>
      <c r="E1006" s="6">
        <f>(Table2_1[[#This Row],[Constant Prices]]-C1002)/C1002</f>
        <v>0.10547473200612562</v>
      </c>
      <c r="F1006" s="2">
        <v>569.1</v>
      </c>
      <c r="G1006" s="7">
        <f>(Table2_1[[#This Row],[Current Prices]]-F1005)/F1005</f>
        <v>2.2825305535585993E-2</v>
      </c>
      <c r="H1006" s="7">
        <f>(Table2_1[[#This Row],[Current Prices]]-F1002)/F1002</f>
        <v>8.7106017191977123E-2</v>
      </c>
      <c r="I1006" s="2"/>
    </row>
    <row r="1007" spans="1:9" x14ac:dyDescent="0.3">
      <c r="A1007" s="2" t="s">
        <v>87</v>
      </c>
      <c r="B1007" s="2" t="s">
        <v>23</v>
      </c>
      <c r="C1007" s="2">
        <v>592.9</v>
      </c>
      <c r="D1007" s="6">
        <f>(Table2_1[[#This Row],[Constant Prices]]-C1006)/C1006</f>
        <v>2.6666666666666627E-2</v>
      </c>
      <c r="E1007" s="6">
        <f>(Table2_1[[#This Row],[Constant Prices]]-C1003)/C1003</f>
        <v>0.11804638883650768</v>
      </c>
      <c r="F1007" s="2">
        <v>580.9</v>
      </c>
      <c r="G1007" s="7">
        <f>(Table2_1[[#This Row],[Current Prices]]-F1006)/F1006</f>
        <v>2.0734493059216225E-2</v>
      </c>
      <c r="H1007" s="7">
        <f>(Table2_1[[#This Row],[Current Prices]]-F1003)/F1003</f>
        <v>8.2960477255779277E-2</v>
      </c>
      <c r="I1007" s="2"/>
    </row>
    <row r="1008" spans="1:9" x14ac:dyDescent="0.3">
      <c r="A1008" s="2" t="s">
        <v>87</v>
      </c>
      <c r="B1008" s="2" t="s">
        <v>24</v>
      </c>
      <c r="C1008" s="2">
        <v>603.1</v>
      </c>
      <c r="D1008" s="6">
        <f>(Table2_1[[#This Row],[Constant Prices]]-C1007)/C1007</f>
        <v>1.7203575645134164E-2</v>
      </c>
      <c r="E1008" s="6">
        <f>(Table2_1[[#This Row],[Constant Prices]]-C1004)/C1004</f>
        <v>0.11129537497696697</v>
      </c>
      <c r="F1008" s="2">
        <v>593.20000000000005</v>
      </c>
      <c r="G1008" s="7">
        <f>(Table2_1[[#This Row],[Current Prices]]-F1007)/F1007</f>
        <v>2.1174040282320655E-2</v>
      </c>
      <c r="H1008" s="7">
        <f>(Table2_1[[#This Row],[Current Prices]]-F1004)/F1004</f>
        <v>7.9919898052066438E-2</v>
      </c>
      <c r="I1008" s="2"/>
    </row>
    <row r="1009" spans="1:9" x14ac:dyDescent="0.3">
      <c r="A1009" s="2" t="s">
        <v>87</v>
      </c>
      <c r="B1009" s="2" t="s">
        <v>25</v>
      </c>
      <c r="C1009" s="2">
        <v>607.20000000000005</v>
      </c>
      <c r="D1009" s="6">
        <f>(Table2_1[[#This Row],[Constant Prices]]-C1008)/C1008</f>
        <v>6.7982092521970197E-3</v>
      </c>
      <c r="E1009" s="6">
        <f>(Table2_1[[#This Row],[Constant Prices]]-C1005)/C1005</f>
        <v>8.5448695030389835E-2</v>
      </c>
      <c r="F1009" s="2">
        <v>602.79999999999995</v>
      </c>
      <c r="G1009" s="7">
        <f>(Table2_1[[#This Row],[Current Prices]]-F1008)/F1008</f>
        <v>1.618341200269708E-2</v>
      </c>
      <c r="H1009" s="7">
        <f>(Table2_1[[#This Row],[Current Prices]]-F1005)/F1005</f>
        <v>8.3393242271746909E-2</v>
      </c>
      <c r="I1009" s="2">
        <v>3</v>
      </c>
    </row>
    <row r="1010" spans="1:9" x14ac:dyDescent="0.3">
      <c r="A1010" s="2" t="s">
        <v>87</v>
      </c>
      <c r="B1010" s="2" t="s">
        <v>26</v>
      </c>
      <c r="C1010" s="2">
        <v>614.5</v>
      </c>
      <c r="D1010" s="6">
        <f>(Table2_1[[#This Row],[Constant Prices]]-C1009)/C1009</f>
        <v>1.2022397891963034E-2</v>
      </c>
      <c r="E1010" s="6">
        <f>(Table2_1[[#This Row],[Constant Prices]]-C1006)/C1006</f>
        <v>6.4069264069264067E-2</v>
      </c>
      <c r="F1010" s="2">
        <v>608.6</v>
      </c>
      <c r="G1010" s="7">
        <f>(Table2_1[[#This Row],[Current Prices]]-F1009)/F1009</f>
        <v>9.6217650962177655E-3</v>
      </c>
      <c r="H1010" s="7">
        <f>(Table2_1[[#This Row],[Current Prices]]-F1006)/F1006</f>
        <v>6.940783693551221E-2</v>
      </c>
      <c r="I1010" s="2"/>
    </row>
    <row r="1011" spans="1:9" x14ac:dyDescent="0.3">
      <c r="A1011" s="2" t="s">
        <v>87</v>
      </c>
      <c r="B1011" s="2" t="s">
        <v>27</v>
      </c>
      <c r="C1011" s="2">
        <v>619.1</v>
      </c>
      <c r="D1011" s="6">
        <f>(Table2_1[[#This Row],[Constant Prices]]-C1010)/C1010</f>
        <v>7.4857607811229009E-3</v>
      </c>
      <c r="E1011" s="6">
        <f>(Table2_1[[#This Row],[Constant Prices]]-C1007)/C1007</f>
        <v>4.4189576657109202E-2</v>
      </c>
      <c r="F1011" s="2">
        <v>612</v>
      </c>
      <c r="G1011" s="7">
        <f>(Table2_1[[#This Row],[Current Prices]]-F1010)/F1010</f>
        <v>5.5865921787709117E-3</v>
      </c>
      <c r="H1011" s="7">
        <f>(Table2_1[[#This Row],[Current Prices]]-F1007)/F1007</f>
        <v>5.3537614047168232E-2</v>
      </c>
      <c r="I1011" s="2"/>
    </row>
    <row r="1012" spans="1:9" x14ac:dyDescent="0.3">
      <c r="A1012" s="2" t="s">
        <v>87</v>
      </c>
      <c r="B1012" s="2" t="s">
        <v>28</v>
      </c>
      <c r="C1012" s="2">
        <v>622.70000000000005</v>
      </c>
      <c r="D1012" s="6">
        <f>(Table2_1[[#This Row],[Constant Prices]]-C1011)/C1011</f>
        <v>5.8148925860119893E-3</v>
      </c>
      <c r="E1012" s="6">
        <f>(Table2_1[[#This Row],[Constant Prices]]-C1008)/C1008</f>
        <v>3.2498756425136832E-2</v>
      </c>
      <c r="F1012" s="2">
        <v>613.1</v>
      </c>
      <c r="G1012" s="7">
        <f>(Table2_1[[#This Row],[Current Prices]]-F1011)/F1011</f>
        <v>1.7973856209150699E-3</v>
      </c>
      <c r="H1012" s="7">
        <f>(Table2_1[[#This Row],[Current Prices]]-F1008)/F1008</f>
        <v>3.3546864463924436E-2</v>
      </c>
      <c r="I1012" s="2"/>
    </row>
    <row r="1013" spans="1:9" x14ac:dyDescent="0.3">
      <c r="A1013" s="2" t="s">
        <v>87</v>
      </c>
      <c r="B1013" s="2" t="s">
        <v>29</v>
      </c>
      <c r="C1013" s="2">
        <v>630.29999999999995</v>
      </c>
      <c r="D1013" s="6">
        <f>(Table2_1[[#This Row],[Constant Prices]]-C1012)/C1012</f>
        <v>1.2204914083828343E-2</v>
      </c>
      <c r="E1013" s="6">
        <f>(Table2_1[[#This Row],[Constant Prices]]-C1009)/C1009</f>
        <v>3.8043478260869415E-2</v>
      </c>
      <c r="F1013" s="2">
        <v>625.20000000000005</v>
      </c>
      <c r="G1013" s="7">
        <f>(Table2_1[[#This Row],[Current Prices]]-F1012)/F1012</f>
        <v>1.9735769042570579E-2</v>
      </c>
      <c r="H1013" s="7">
        <f>(Table2_1[[#This Row],[Current Prices]]-F1009)/F1009</f>
        <v>3.7159920371599355E-2</v>
      </c>
      <c r="I1013" s="2">
        <v>4</v>
      </c>
    </row>
    <row r="1014" spans="1:9" x14ac:dyDescent="0.3">
      <c r="A1014" s="2" t="s">
        <v>87</v>
      </c>
      <c r="B1014" s="2" t="s">
        <v>30</v>
      </c>
      <c r="C1014" s="2">
        <v>629.1</v>
      </c>
      <c r="D1014" s="6">
        <f>(Table2_1[[#This Row],[Constant Prices]]-C1013)/C1013</f>
        <v>-1.9038553069965602E-3</v>
      </c>
      <c r="E1014" s="6">
        <f>(Table2_1[[#This Row],[Constant Prices]]-C1010)/C1010</f>
        <v>2.375915378356391E-2</v>
      </c>
      <c r="F1014" s="2">
        <v>636.6</v>
      </c>
      <c r="G1014" s="7">
        <f>(Table2_1[[#This Row],[Current Prices]]-F1013)/F1013</f>
        <v>1.8234165067178464E-2</v>
      </c>
      <c r="H1014" s="7">
        <f>(Table2_1[[#This Row],[Current Prices]]-F1010)/F1010</f>
        <v>4.6007229707525465E-2</v>
      </c>
      <c r="I1014" s="2"/>
    </row>
    <row r="1015" spans="1:9" x14ac:dyDescent="0.3">
      <c r="A1015" s="2" t="s">
        <v>87</v>
      </c>
      <c r="B1015" s="2" t="s">
        <v>31</v>
      </c>
      <c r="C1015" s="2">
        <v>635.70000000000005</v>
      </c>
      <c r="D1015" s="6">
        <f>(Table2_1[[#This Row],[Constant Prices]]-C1014)/C1014</f>
        <v>1.0491177873152157E-2</v>
      </c>
      <c r="E1015" s="6">
        <f>(Table2_1[[#This Row],[Constant Prices]]-C1011)/C1011</f>
        <v>2.6813115813277374E-2</v>
      </c>
      <c r="F1015" s="2">
        <v>633.29999999999995</v>
      </c>
      <c r="G1015" s="7">
        <f>(Table2_1[[#This Row],[Current Prices]]-F1014)/F1014</f>
        <v>-5.1837888784166952E-3</v>
      </c>
      <c r="H1015" s="7">
        <f>(Table2_1[[#This Row],[Current Prices]]-F1011)/F1011</f>
        <v>3.4803921568627376E-2</v>
      </c>
      <c r="I1015" s="2"/>
    </row>
    <row r="1016" spans="1:9" x14ac:dyDescent="0.3">
      <c r="A1016" s="2" t="s">
        <v>87</v>
      </c>
      <c r="B1016" s="2" t="s">
        <v>32</v>
      </c>
      <c r="C1016" s="2">
        <v>641.79999999999995</v>
      </c>
      <c r="D1016" s="6">
        <f>(Table2_1[[#This Row],[Constant Prices]]-C1015)/C1015</f>
        <v>9.5957212521628268E-3</v>
      </c>
      <c r="E1016" s="6">
        <f>(Table2_1[[#This Row],[Constant Prices]]-C1012)/C1012</f>
        <v>3.0672876184358291E-2</v>
      </c>
      <c r="F1016" s="2">
        <v>638.79999999999995</v>
      </c>
      <c r="G1016" s="7">
        <f>(Table2_1[[#This Row],[Current Prices]]-F1015)/F1015</f>
        <v>8.6846676140849531E-3</v>
      </c>
      <c r="H1016" s="7">
        <f>(Table2_1[[#This Row],[Current Prices]]-F1012)/F1012</f>
        <v>4.1918121024302611E-2</v>
      </c>
      <c r="I1016" s="2"/>
    </row>
    <row r="1017" spans="1:9" x14ac:dyDescent="0.3">
      <c r="A1017" s="2" t="s">
        <v>87</v>
      </c>
      <c r="B1017" s="2" t="s">
        <v>33</v>
      </c>
      <c r="C1017" s="2">
        <v>648.20000000000005</v>
      </c>
      <c r="D1017" s="6">
        <f>(Table2_1[[#This Row],[Constant Prices]]-C1016)/C1016</f>
        <v>9.9719538797134483E-3</v>
      </c>
      <c r="E1017" s="6">
        <f>(Table2_1[[#This Row],[Constant Prices]]-C1013)/C1013</f>
        <v>2.8399174996033782E-2</v>
      </c>
      <c r="F1017" s="2">
        <v>646</v>
      </c>
      <c r="G1017" s="7">
        <f>(Table2_1[[#This Row],[Current Prices]]-F1016)/F1016</f>
        <v>1.1271133375078344E-2</v>
      </c>
      <c r="H1017" s="7">
        <f>(Table2_1[[#This Row],[Current Prices]]-F1013)/F1013</f>
        <v>3.3269353806781754E-2</v>
      </c>
      <c r="I1017" s="2">
        <v>5</v>
      </c>
    </row>
    <row r="1018" spans="1:9" x14ac:dyDescent="0.3">
      <c r="A1018" s="2" t="s">
        <v>87</v>
      </c>
      <c r="B1018" s="2" t="s">
        <v>34</v>
      </c>
      <c r="C1018" s="2">
        <v>663.2</v>
      </c>
      <c r="D1018" s="6">
        <f>(Table2_1[[#This Row],[Constant Prices]]-C1017)/C1017</f>
        <v>2.314100586238815E-2</v>
      </c>
      <c r="E1018" s="6">
        <f>(Table2_1[[#This Row],[Constant Prices]]-C1014)/C1014</f>
        <v>5.4204419011285997E-2</v>
      </c>
      <c r="F1018" s="2">
        <v>664.3</v>
      </c>
      <c r="G1018" s="7">
        <f>(Table2_1[[#This Row],[Current Prices]]-F1017)/F1017</f>
        <v>2.8328173374612933E-2</v>
      </c>
      <c r="H1018" s="7">
        <f>(Table2_1[[#This Row],[Current Prices]]-F1014)/F1014</f>
        <v>4.3512409676405794E-2</v>
      </c>
      <c r="I1018" s="2"/>
    </row>
    <row r="1019" spans="1:9" x14ac:dyDescent="0.3">
      <c r="A1019" s="2" t="s">
        <v>87</v>
      </c>
      <c r="B1019" s="2" t="s">
        <v>35</v>
      </c>
      <c r="C1019" s="2">
        <v>669.4</v>
      </c>
      <c r="D1019" s="6">
        <f>(Table2_1[[#This Row],[Constant Prices]]-C1018)/C1018</f>
        <v>9.3486127864896434E-3</v>
      </c>
      <c r="E1019" s="6">
        <f>(Table2_1[[#This Row],[Constant Prices]]-C1015)/C1015</f>
        <v>5.3012427245555972E-2</v>
      </c>
      <c r="F1019" s="2">
        <v>672.5</v>
      </c>
      <c r="G1019" s="7">
        <f>(Table2_1[[#This Row],[Current Prices]]-F1018)/F1018</f>
        <v>1.2343820562998714E-2</v>
      </c>
      <c r="H1019" s="7">
        <f>(Table2_1[[#This Row],[Current Prices]]-F1015)/F1015</f>
        <v>6.1897994631296457E-2</v>
      </c>
      <c r="I1019" s="2"/>
    </row>
    <row r="1020" spans="1:9" x14ac:dyDescent="0.3">
      <c r="A1020" s="2" t="s">
        <v>87</v>
      </c>
      <c r="B1020" s="2" t="s">
        <v>36</v>
      </c>
      <c r="C1020" s="2">
        <v>675.9</v>
      </c>
      <c r="D1020" s="6">
        <f>(Table2_1[[#This Row],[Constant Prices]]-C1019)/C1019</f>
        <v>9.7101882282641175E-3</v>
      </c>
      <c r="E1020" s="6">
        <f>(Table2_1[[#This Row],[Constant Prices]]-C1016)/C1016</f>
        <v>5.3131816765347499E-2</v>
      </c>
      <c r="F1020" s="2">
        <v>686.1</v>
      </c>
      <c r="G1020" s="7">
        <f>(Table2_1[[#This Row],[Current Prices]]-F1019)/F1019</f>
        <v>2.0223048327137581E-2</v>
      </c>
      <c r="H1020" s="7">
        <f>(Table2_1[[#This Row],[Current Prices]]-F1016)/F1016</f>
        <v>7.4045084533500422E-2</v>
      </c>
      <c r="I1020" s="2"/>
    </row>
    <row r="1021" spans="1:9" x14ac:dyDescent="0.3">
      <c r="A1021" s="2" t="s">
        <v>87</v>
      </c>
      <c r="B1021" s="2" t="s">
        <v>37</v>
      </c>
      <c r="C1021" s="2">
        <v>677.2</v>
      </c>
      <c r="D1021" s="6">
        <f>(Table2_1[[#This Row],[Constant Prices]]-C1020)/C1020</f>
        <v>1.9233614440006927E-3</v>
      </c>
      <c r="E1021" s="6">
        <f>(Table2_1[[#This Row],[Constant Prices]]-C1017)/C1017</f>
        <v>4.473927800061709E-2</v>
      </c>
      <c r="F1021" s="2">
        <v>690.4</v>
      </c>
      <c r="G1021" s="7">
        <f>(Table2_1[[#This Row],[Current Prices]]-F1020)/F1020</f>
        <v>6.2673079725986802E-3</v>
      </c>
      <c r="H1021" s="7">
        <f>(Table2_1[[#This Row],[Current Prices]]-F1017)/F1017</f>
        <v>6.873065015479872E-2</v>
      </c>
      <c r="I1021" s="2">
        <v>6</v>
      </c>
    </row>
    <row r="1022" spans="1:9" x14ac:dyDescent="0.3">
      <c r="A1022" s="2" t="s">
        <v>87</v>
      </c>
      <c r="B1022" s="2" t="s">
        <v>38</v>
      </c>
      <c r="C1022" s="2">
        <v>671.6</v>
      </c>
      <c r="D1022" s="6">
        <f>(Table2_1[[#This Row],[Constant Prices]]-C1021)/C1021</f>
        <v>-8.269344359125845E-3</v>
      </c>
      <c r="E1022" s="6">
        <f>(Table2_1[[#This Row],[Constant Prices]]-C1018)/C1018</f>
        <v>1.2665862484921558E-2</v>
      </c>
      <c r="F1022" s="2">
        <v>690.3</v>
      </c>
      <c r="G1022" s="7">
        <f>(Table2_1[[#This Row],[Current Prices]]-F1021)/F1021</f>
        <v>-1.4484356894557175E-4</v>
      </c>
      <c r="H1022" s="7">
        <f>(Table2_1[[#This Row],[Current Prices]]-F1018)/F1018</f>
        <v>3.9138943248532294E-2</v>
      </c>
      <c r="I1022" s="2"/>
    </row>
    <row r="1023" spans="1:9" x14ac:dyDescent="0.3">
      <c r="A1023" s="2" t="s">
        <v>87</v>
      </c>
      <c r="B1023" s="2" t="s">
        <v>39</v>
      </c>
      <c r="C1023" s="2">
        <v>673.3</v>
      </c>
      <c r="D1023" s="6">
        <f>(Table2_1[[#This Row],[Constant Prices]]-C1022)/C1022</f>
        <v>2.5312686122691062E-3</v>
      </c>
      <c r="E1023" s="6">
        <f>(Table2_1[[#This Row],[Constant Prices]]-C1019)/C1019</f>
        <v>5.8261129369584367E-3</v>
      </c>
      <c r="F1023" s="2">
        <v>691.4</v>
      </c>
      <c r="G1023" s="7">
        <f>(Table2_1[[#This Row],[Current Prices]]-F1022)/F1022</f>
        <v>1.5935100680863723E-3</v>
      </c>
      <c r="H1023" s="7">
        <f>(Table2_1[[#This Row],[Current Prices]]-F1019)/F1019</f>
        <v>2.810408921933082E-2</v>
      </c>
      <c r="I1023" s="2"/>
    </row>
    <row r="1024" spans="1:9" x14ac:dyDescent="0.3">
      <c r="A1024" s="2" t="s">
        <v>87</v>
      </c>
      <c r="B1024" s="2" t="s">
        <v>40</v>
      </c>
      <c r="C1024" s="2">
        <v>680.9</v>
      </c>
      <c r="D1024" s="6">
        <f>(Table2_1[[#This Row],[Constant Prices]]-C1023)/C1023</f>
        <v>1.1287687509282673E-2</v>
      </c>
      <c r="E1024" s="6">
        <f>(Table2_1[[#This Row],[Constant Prices]]-C1020)/C1020</f>
        <v>7.3975440153868921E-3</v>
      </c>
      <c r="F1024" s="2">
        <v>709.6</v>
      </c>
      <c r="G1024" s="7">
        <f>(Table2_1[[#This Row],[Current Prices]]-F1023)/F1023</f>
        <v>2.6323401793462608E-2</v>
      </c>
      <c r="H1024" s="7">
        <f>(Table2_1[[#This Row],[Current Prices]]-F1020)/F1020</f>
        <v>3.4251566826993152E-2</v>
      </c>
      <c r="I1024" s="2"/>
    </row>
    <row r="1025" spans="1:9" x14ac:dyDescent="0.3">
      <c r="A1025" s="2" t="s">
        <v>87</v>
      </c>
      <c r="B1025" s="2" t="s">
        <v>41</v>
      </c>
      <c r="C1025" s="2">
        <v>689.7</v>
      </c>
      <c r="D1025" s="6">
        <f>(Table2_1[[#This Row],[Constant Prices]]-C1024)/C1024</f>
        <v>1.2924071082391055E-2</v>
      </c>
      <c r="E1025" s="6">
        <f>(Table2_1[[#This Row],[Constant Prices]]-C1021)/C1021</f>
        <v>1.8458357944477258E-2</v>
      </c>
      <c r="F1025" s="2">
        <v>730.9</v>
      </c>
      <c r="G1025" s="7">
        <f>(Table2_1[[#This Row],[Current Prices]]-F1024)/F1024</f>
        <v>3.001691093573838E-2</v>
      </c>
      <c r="H1025" s="7">
        <f>(Table2_1[[#This Row],[Current Prices]]-F1021)/F1021</f>
        <v>5.866164542294322E-2</v>
      </c>
      <c r="I1025" s="2">
        <v>7</v>
      </c>
    </row>
    <row r="1026" spans="1:9" x14ac:dyDescent="0.3">
      <c r="A1026" s="2" t="s">
        <v>87</v>
      </c>
      <c r="B1026" s="2" t="s">
        <v>42</v>
      </c>
      <c r="C1026" s="2">
        <v>711</v>
      </c>
      <c r="D1026" s="6">
        <f>(Table2_1[[#This Row],[Constant Prices]]-C1025)/C1025</f>
        <v>3.0882992605480577E-2</v>
      </c>
      <c r="E1026" s="6">
        <f>(Table2_1[[#This Row],[Constant Prices]]-C1022)/C1022</f>
        <v>5.8665872543180432E-2</v>
      </c>
      <c r="F1026" s="2">
        <v>793.2</v>
      </c>
      <c r="G1026" s="7">
        <f>(Table2_1[[#This Row],[Current Prices]]-F1025)/F1025</f>
        <v>8.5237378574360478E-2</v>
      </c>
      <c r="H1026" s="7">
        <f>(Table2_1[[#This Row],[Current Prices]]-F1022)/F1022</f>
        <v>0.14906562364189496</v>
      </c>
      <c r="I1026" s="2"/>
    </row>
    <row r="1027" spans="1:9" x14ac:dyDescent="0.3">
      <c r="A1027" s="2" t="s">
        <v>87</v>
      </c>
      <c r="B1027" s="2" t="s">
        <v>43</v>
      </c>
      <c r="C1027" s="2">
        <v>726.3</v>
      </c>
      <c r="D1027" s="6">
        <f>(Table2_1[[#This Row],[Constant Prices]]-C1026)/C1026</f>
        <v>2.151898734177209E-2</v>
      </c>
      <c r="E1027" s="6">
        <f>(Table2_1[[#This Row],[Constant Prices]]-C1023)/C1023</f>
        <v>7.8716768156839451E-2</v>
      </c>
      <c r="F1027" s="2">
        <v>806.3</v>
      </c>
      <c r="G1027" s="7">
        <f>(Table2_1[[#This Row],[Current Prices]]-F1026)/F1026</f>
        <v>1.6515380736258078E-2</v>
      </c>
      <c r="H1027" s="7">
        <f>(Table2_1[[#This Row],[Current Prices]]-F1023)/F1023</f>
        <v>0.16618455308070579</v>
      </c>
      <c r="I1027" s="2"/>
    </row>
    <row r="1028" spans="1:9" x14ac:dyDescent="0.3">
      <c r="A1028" s="2" t="s">
        <v>87</v>
      </c>
      <c r="B1028" s="2" t="s">
        <v>44</v>
      </c>
      <c r="C1028" s="2">
        <v>738.5</v>
      </c>
      <c r="D1028" s="6">
        <f>(Table2_1[[#This Row],[Constant Prices]]-C1027)/C1027</f>
        <v>1.6797466611593068E-2</v>
      </c>
      <c r="E1028" s="6">
        <f>(Table2_1[[#This Row],[Constant Prices]]-C1024)/C1024</f>
        <v>8.4593919812013543E-2</v>
      </c>
      <c r="F1028" s="2">
        <v>823.9</v>
      </c>
      <c r="G1028" s="7">
        <f>(Table2_1[[#This Row],[Current Prices]]-F1027)/F1027</f>
        <v>2.1828103683492524E-2</v>
      </c>
      <c r="H1028" s="7">
        <f>(Table2_1[[#This Row],[Current Prices]]-F1024)/F1024</f>
        <v>0.16107666290868089</v>
      </c>
      <c r="I1028" s="2"/>
    </row>
    <row r="1029" spans="1:9" x14ac:dyDescent="0.3">
      <c r="A1029" s="2" t="s">
        <v>87</v>
      </c>
      <c r="B1029" s="2" t="s">
        <v>45</v>
      </c>
      <c r="C1029" s="2">
        <v>747.4</v>
      </c>
      <c r="D1029" s="6">
        <f>(Table2_1[[#This Row],[Constant Prices]]-C1028)/C1028</f>
        <v>1.2051455653351357E-2</v>
      </c>
      <c r="E1029" s="6">
        <f>(Table2_1[[#This Row],[Constant Prices]]-C1025)/C1025</f>
        <v>8.365956212846154E-2</v>
      </c>
      <c r="F1029" s="2">
        <v>838.3</v>
      </c>
      <c r="G1029" s="7">
        <f>(Table2_1[[#This Row],[Current Prices]]-F1028)/F1028</f>
        <v>1.747784925355016E-2</v>
      </c>
      <c r="H1029" s="7">
        <f>(Table2_1[[#This Row],[Current Prices]]-F1025)/F1025</f>
        <v>0.14694212614584756</v>
      </c>
      <c r="I1029" s="2">
        <v>8</v>
      </c>
    </row>
    <row r="1030" spans="1:9" x14ac:dyDescent="0.3">
      <c r="A1030" s="2" t="s">
        <v>87</v>
      </c>
      <c r="B1030" s="2" t="s">
        <v>46</v>
      </c>
      <c r="C1030" s="2">
        <v>747.9</v>
      </c>
      <c r="D1030" s="6">
        <f>(Table2_1[[#This Row],[Constant Prices]]-C1029)/C1029</f>
        <v>6.6898581750066903E-4</v>
      </c>
      <c r="E1030" s="6">
        <f>(Table2_1[[#This Row],[Constant Prices]]-C1026)/C1026</f>
        <v>5.1898734177215161E-2</v>
      </c>
      <c r="F1030" s="2">
        <v>850.4</v>
      </c>
      <c r="G1030" s="7">
        <f>(Table2_1[[#This Row],[Current Prices]]-F1029)/F1029</f>
        <v>1.4433973517833739E-2</v>
      </c>
      <c r="H1030" s="7">
        <f>(Table2_1[[#This Row],[Current Prices]]-F1026)/F1026</f>
        <v>7.2112960161371573E-2</v>
      </c>
      <c r="I1030" s="2"/>
    </row>
    <row r="1031" spans="1:9" x14ac:dyDescent="0.3">
      <c r="A1031" s="2" t="s">
        <v>87</v>
      </c>
      <c r="B1031" s="2" t="s">
        <v>47</v>
      </c>
      <c r="C1031" s="2">
        <v>757.3</v>
      </c>
      <c r="D1031" s="6">
        <f>(Table2_1[[#This Row],[Constant Prices]]-C1030)/C1030</f>
        <v>1.2568525203904236E-2</v>
      </c>
      <c r="E1031" s="6">
        <f>(Table2_1[[#This Row],[Constant Prices]]-C1027)/C1027</f>
        <v>4.268208729175272E-2</v>
      </c>
      <c r="F1031" s="2">
        <v>864.9</v>
      </c>
      <c r="G1031" s="7">
        <f>(Table2_1[[#This Row],[Current Prices]]-F1030)/F1030</f>
        <v>1.7050799623706491E-2</v>
      </c>
      <c r="H1031" s="7">
        <f>(Table2_1[[#This Row],[Current Prices]]-F1027)/F1027</f>
        <v>7.2677663400719364E-2</v>
      </c>
      <c r="I1031" s="2"/>
    </row>
    <row r="1032" spans="1:9" x14ac:dyDescent="0.3">
      <c r="A1032" s="2" t="s">
        <v>87</v>
      </c>
      <c r="B1032" s="2" t="s">
        <v>48</v>
      </c>
      <c r="C1032" s="2">
        <v>762.4</v>
      </c>
      <c r="D1032" s="6">
        <f>(Table2_1[[#This Row],[Constant Prices]]-C1031)/C1031</f>
        <v>6.7344513402878949E-3</v>
      </c>
      <c r="E1032" s="6">
        <f>(Table2_1[[#This Row],[Constant Prices]]-C1028)/C1028</f>
        <v>3.236289776574134E-2</v>
      </c>
      <c r="F1032" s="2">
        <v>873</v>
      </c>
      <c r="G1032" s="7">
        <f>(Table2_1[[#This Row],[Current Prices]]-F1031)/F1031</f>
        <v>9.3652445369407141E-3</v>
      </c>
      <c r="H1032" s="7">
        <f>(Table2_1[[#This Row],[Current Prices]]-F1028)/F1028</f>
        <v>5.9594610996480182E-2</v>
      </c>
      <c r="I1032" s="2"/>
    </row>
    <row r="1033" spans="1:9" x14ac:dyDescent="0.3">
      <c r="A1033" s="2" t="s">
        <v>87</v>
      </c>
      <c r="B1033" s="2" t="s">
        <v>49</v>
      </c>
      <c r="C1033" s="2">
        <v>781.9</v>
      </c>
      <c r="D1033" s="6">
        <f>(Table2_1[[#This Row],[Constant Prices]]-C1032)/C1032</f>
        <v>2.5577124868835257E-2</v>
      </c>
      <c r="E1033" s="6">
        <f>(Table2_1[[#This Row],[Constant Prices]]-C1029)/C1029</f>
        <v>4.6160021407546159E-2</v>
      </c>
      <c r="F1033" s="2">
        <v>895.3</v>
      </c>
      <c r="G1033" s="7">
        <f>(Table2_1[[#This Row],[Current Prices]]-F1032)/F1032</f>
        <v>2.5544100801832708E-2</v>
      </c>
      <c r="H1033" s="7">
        <f>(Table2_1[[#This Row],[Current Prices]]-F1029)/F1029</f>
        <v>6.7994751282357158E-2</v>
      </c>
      <c r="I1033" s="2">
        <v>9</v>
      </c>
    </row>
    <row r="1034" spans="1:9" x14ac:dyDescent="0.3">
      <c r="A1034" s="2" t="s">
        <v>87</v>
      </c>
      <c r="B1034" s="2" t="s">
        <v>50</v>
      </c>
      <c r="C1034" s="2">
        <v>790.7</v>
      </c>
      <c r="D1034" s="6">
        <f>(Table2_1[[#This Row],[Constant Prices]]-C1033)/C1033</f>
        <v>1.1254636142729337E-2</v>
      </c>
      <c r="E1034" s="6">
        <f>(Table2_1[[#This Row],[Constant Prices]]-C1030)/C1030</f>
        <v>5.7226901992245047E-2</v>
      </c>
      <c r="F1034" s="2">
        <v>888.1</v>
      </c>
      <c r="G1034" s="7">
        <f>(Table2_1[[#This Row],[Current Prices]]-F1033)/F1033</f>
        <v>-8.0419970959454169E-3</v>
      </c>
      <c r="H1034" s="7">
        <f>(Table2_1[[#This Row],[Current Prices]]-F1030)/F1030</f>
        <v>4.4332079021636932E-2</v>
      </c>
      <c r="I1034" s="2"/>
    </row>
    <row r="1035" spans="1:9" x14ac:dyDescent="0.3">
      <c r="A1035" s="2" t="s">
        <v>87</v>
      </c>
      <c r="B1035" s="2" t="s">
        <v>51</v>
      </c>
      <c r="C1035" s="2">
        <v>692.1</v>
      </c>
      <c r="D1035" s="6">
        <f>(Table2_1[[#This Row],[Constant Prices]]-C1034)/C1034</f>
        <v>-0.12469963323637286</v>
      </c>
      <c r="E1035" s="6">
        <f>(Table2_1[[#This Row],[Constant Prices]]-C1031)/C1031</f>
        <v>-8.6095338703287908E-2</v>
      </c>
      <c r="F1035" s="2">
        <v>759.4</v>
      </c>
      <c r="G1035" s="7">
        <f>(Table2_1[[#This Row],[Current Prices]]-F1034)/F1034</f>
        <v>-0.14491611305033222</v>
      </c>
      <c r="H1035" s="7">
        <f>(Table2_1[[#This Row],[Current Prices]]-F1031)/F1031</f>
        <v>-0.12197941958607932</v>
      </c>
      <c r="I1035" s="2"/>
    </row>
    <row r="1036" spans="1:9" x14ac:dyDescent="0.3">
      <c r="A1036" s="2" t="s">
        <v>87</v>
      </c>
      <c r="B1036" s="2" t="s">
        <v>52</v>
      </c>
      <c r="C1036" s="2">
        <v>782.8</v>
      </c>
      <c r="D1036" s="6">
        <f>(Table2_1[[#This Row],[Constant Prices]]-C1035)/C1035</f>
        <v>0.13105042623898269</v>
      </c>
      <c r="E1036" s="6">
        <f>(Table2_1[[#This Row],[Constant Prices]]-C1032)/C1032</f>
        <v>2.6757607555089161E-2</v>
      </c>
      <c r="F1036" s="2">
        <v>867.3</v>
      </c>
      <c r="G1036" s="7">
        <f>(Table2_1[[#This Row],[Current Prices]]-F1035)/F1035</f>
        <v>0.14208585725572817</v>
      </c>
      <c r="H1036" s="7">
        <f>(Table2_1[[#This Row],[Current Prices]]-F1032)/F1032</f>
        <v>-6.5292096219931794E-3</v>
      </c>
      <c r="I1036" s="2"/>
    </row>
    <row r="1037" spans="1:9" x14ac:dyDescent="0.3">
      <c r="A1037" s="2" t="s">
        <v>87</v>
      </c>
      <c r="B1037" s="2" t="s">
        <v>53</v>
      </c>
      <c r="C1037" s="2">
        <v>811</v>
      </c>
      <c r="D1037" s="6">
        <f>(Table2_1[[#This Row],[Constant Prices]]-C1036)/C1036</f>
        <v>3.6024527337761944E-2</v>
      </c>
      <c r="E1037" s="6">
        <f>(Table2_1[[#This Row],[Constant Prices]]-C1033)/C1033</f>
        <v>3.7217035426525158E-2</v>
      </c>
      <c r="F1037" s="2">
        <v>954.2</v>
      </c>
      <c r="G1037" s="7">
        <f>(Table2_1[[#This Row],[Current Prices]]-F1036)/F1036</f>
        <v>0.10019601060763299</v>
      </c>
      <c r="H1037" s="7">
        <f>(Table2_1[[#This Row],[Current Prices]]-F1033)/F1033</f>
        <v>6.5788004020998658E-2</v>
      </c>
      <c r="I1037" s="2">
        <v>10</v>
      </c>
    </row>
    <row r="1038" spans="1:9" x14ac:dyDescent="0.3">
      <c r="A1038" s="2" t="s">
        <v>87</v>
      </c>
      <c r="B1038" s="2" t="s">
        <v>54</v>
      </c>
      <c r="C1038" s="2">
        <v>799.4</v>
      </c>
      <c r="D1038" s="6">
        <f>(Table2_1[[#This Row],[Constant Prices]]-C1037)/C1037</f>
        <v>-1.4303329223181286E-2</v>
      </c>
      <c r="E1038" s="6">
        <f>(Table2_1[[#This Row],[Constant Prices]]-C1034)/C1034</f>
        <v>1.1002908814973986E-2</v>
      </c>
      <c r="F1038" s="2">
        <v>945.8</v>
      </c>
      <c r="G1038" s="7">
        <f>(Table2_1[[#This Row],[Current Prices]]-F1037)/F1037</f>
        <v>-8.8031859149026309E-3</v>
      </c>
      <c r="H1038" s="7">
        <f>(Table2_1[[#This Row],[Current Prices]]-F1034)/F1034</f>
        <v>6.4970161017903316E-2</v>
      </c>
      <c r="I1038" s="2"/>
    </row>
    <row r="1039" spans="1:9" x14ac:dyDescent="0.3">
      <c r="A1039" s="2" t="s">
        <v>87</v>
      </c>
      <c r="B1039" s="2" t="s">
        <v>55</v>
      </c>
      <c r="C1039" s="2">
        <v>835.2</v>
      </c>
      <c r="D1039" s="6">
        <f>(Table2_1[[#This Row],[Constant Prices]]-C1038)/C1038</f>
        <v>4.4783587690768165E-2</v>
      </c>
      <c r="E1039" s="6">
        <f>(Table2_1[[#This Row],[Constant Prices]]-C1035)/C1035</f>
        <v>0.20676202860858259</v>
      </c>
      <c r="F1039" s="2">
        <v>952.6</v>
      </c>
      <c r="G1039" s="7">
        <f>(Table2_1[[#This Row],[Current Prices]]-F1038)/F1038</f>
        <v>7.1896806935927982E-3</v>
      </c>
      <c r="H1039" s="7">
        <f>(Table2_1[[#This Row],[Current Prices]]-F1035)/F1035</f>
        <v>0.25441137740321312</v>
      </c>
      <c r="I1039" s="2"/>
    </row>
    <row r="1040" spans="1:9" x14ac:dyDescent="0.3">
      <c r="A1040" s="2" t="s">
        <v>87</v>
      </c>
      <c r="B1040" s="2" t="s">
        <v>56</v>
      </c>
      <c r="C1040" s="2">
        <v>836.1</v>
      </c>
      <c r="D1040" s="6">
        <f>(Table2_1[[#This Row],[Constant Prices]]-C1039)/C1039</f>
        <v>1.0775862068965244E-3</v>
      </c>
      <c r="E1040" s="6">
        <f>(Table2_1[[#This Row],[Constant Prices]]-C1036)/C1036</f>
        <v>6.8088911599386903E-2</v>
      </c>
      <c r="F1040" s="2">
        <v>971.8</v>
      </c>
      <c r="G1040" s="7">
        <f>(Table2_1[[#This Row],[Current Prices]]-F1039)/F1039</f>
        <v>2.0155364266218698E-2</v>
      </c>
      <c r="H1040" s="7">
        <f>(Table2_1[[#This Row],[Current Prices]]-F1036)/F1036</f>
        <v>0.12048887351550791</v>
      </c>
      <c r="I1040" s="2"/>
    </row>
    <row r="1041" spans="1:9" x14ac:dyDescent="0.3">
      <c r="A1041" s="2" t="s">
        <v>87</v>
      </c>
      <c r="B1041" s="2" t="s">
        <v>57</v>
      </c>
      <c r="C1041" s="2">
        <v>834.2</v>
      </c>
      <c r="D1041" s="6">
        <f>(Table2_1[[#This Row],[Constant Prices]]-C1040)/C1040</f>
        <v>-2.2724554479129017E-3</v>
      </c>
      <c r="E1041" s="6">
        <f>(Table2_1[[#This Row],[Constant Prices]]-C1037)/C1037</f>
        <v>2.8606658446362572E-2</v>
      </c>
      <c r="F1041" s="2">
        <v>987</v>
      </c>
      <c r="G1041" s="7">
        <f>(Table2_1[[#This Row],[Current Prices]]-F1040)/F1040</f>
        <v>1.5641078411195768E-2</v>
      </c>
      <c r="H1041" s="7">
        <f>(Table2_1[[#This Row],[Current Prices]]-F1037)/F1037</f>
        <v>3.4374345001047947E-2</v>
      </c>
      <c r="I1041" s="2">
        <v>11</v>
      </c>
    </row>
    <row r="1042" spans="1:9" x14ac:dyDescent="0.3">
      <c r="A1042" s="2" t="s">
        <v>87</v>
      </c>
      <c r="B1042" s="2" t="s">
        <v>58</v>
      </c>
      <c r="C1042" s="2">
        <v>813.2</v>
      </c>
      <c r="D1042" s="6">
        <f>(Table2_1[[#This Row],[Constant Prices]]-C1041)/C1041</f>
        <v>-2.5173819228002877E-2</v>
      </c>
      <c r="E1042" s="6">
        <f>(Table2_1[[#This Row],[Constant Prices]]-C1038)/C1038</f>
        <v>1.7262947210407893E-2</v>
      </c>
      <c r="F1042" s="2">
        <v>986.9</v>
      </c>
      <c r="G1042" s="7">
        <f>(Table2_1[[#This Row],[Current Prices]]-F1041)/F1041</f>
        <v>-1.0131712259374137E-4</v>
      </c>
      <c r="H1042" s="7">
        <f>(Table2_1[[#This Row],[Current Prices]]-F1038)/F1038</f>
        <v>4.3455275956861945E-2</v>
      </c>
      <c r="I1042" s="2"/>
    </row>
    <row r="1043" spans="1:9" x14ac:dyDescent="0.3">
      <c r="A1043" s="2" t="s">
        <v>87</v>
      </c>
      <c r="B1043" s="2" t="s">
        <v>59</v>
      </c>
      <c r="C1043" s="2">
        <v>833.4</v>
      </c>
      <c r="D1043" s="6">
        <f>(Table2_1[[#This Row],[Constant Prices]]-C1042)/C1042</f>
        <v>2.4840137727496225E-2</v>
      </c>
      <c r="E1043" s="6">
        <f>(Table2_1[[#This Row],[Constant Prices]]-C1039)/C1039</f>
        <v>-2.155172413793185E-3</v>
      </c>
      <c r="F1043" s="2">
        <v>990.3</v>
      </c>
      <c r="G1043" s="7">
        <f>(Table2_1[[#This Row],[Current Prices]]-F1042)/F1042</f>
        <v>3.4451312189684642E-3</v>
      </c>
      <c r="H1043" s="7">
        <f>(Table2_1[[#This Row],[Current Prices]]-F1039)/F1039</f>
        <v>3.9575897543564907E-2</v>
      </c>
      <c r="I1043" s="2"/>
    </row>
    <row r="1044" spans="1:9" x14ac:dyDescent="0.3">
      <c r="A1044" s="2" t="s">
        <v>87</v>
      </c>
      <c r="B1044" s="2" t="s">
        <v>60</v>
      </c>
      <c r="C1044" s="2">
        <v>836.6</v>
      </c>
      <c r="D1044" s="6">
        <f>(Table2_1[[#This Row],[Constant Prices]]-C1043)/C1043</f>
        <v>3.8396928245740887E-3</v>
      </c>
      <c r="E1044" s="6">
        <f>(Table2_1[[#This Row],[Constant Prices]]-C1040)/C1040</f>
        <v>5.9801459155603399E-4</v>
      </c>
      <c r="F1044" s="2">
        <v>992.6</v>
      </c>
      <c r="G1044" s="7">
        <f>(Table2_1[[#This Row],[Current Prices]]-F1043)/F1043</f>
        <v>2.3225285267091471E-3</v>
      </c>
      <c r="H1044" s="7">
        <f>(Table2_1[[#This Row],[Current Prices]]-F1040)/F1040</f>
        <v>2.1403580983741583E-2</v>
      </c>
      <c r="I1044" s="2"/>
    </row>
    <row r="1045" spans="1:9" x14ac:dyDescent="0.3">
      <c r="A1045" s="2" t="s">
        <v>87</v>
      </c>
      <c r="B1045" s="2" t="s">
        <v>61</v>
      </c>
      <c r="C1045" s="2">
        <v>856.1</v>
      </c>
      <c r="D1045" s="6">
        <f>(Table2_1[[#This Row],[Constant Prices]]-C1044)/C1044</f>
        <v>2.330863016973464E-2</v>
      </c>
      <c r="E1045" s="6">
        <f>(Table2_1[[#This Row],[Constant Prices]]-C1041)/C1041</f>
        <v>2.6252697194917258E-2</v>
      </c>
      <c r="F1045" s="2">
        <v>1042</v>
      </c>
      <c r="G1045" s="7">
        <f>(Table2_1[[#This Row],[Current Prices]]-F1044)/F1044</f>
        <v>4.9768285311303624E-2</v>
      </c>
      <c r="H1045" s="7">
        <f>(Table2_1[[#This Row],[Current Prices]]-F1041)/F1041</f>
        <v>5.5724417426545089E-2</v>
      </c>
      <c r="I1045" s="2">
        <v>12</v>
      </c>
    </row>
    <row r="1046" spans="1:9" x14ac:dyDescent="0.3">
      <c r="A1046" s="2" t="s">
        <v>87</v>
      </c>
      <c r="B1046" s="2" t="s">
        <v>62</v>
      </c>
      <c r="C1046" s="2">
        <v>870.4</v>
      </c>
      <c r="D1046" s="6">
        <f>(Table2_1[[#This Row],[Constant Prices]]-C1045)/C1045</f>
        <v>1.6703656114939791E-2</v>
      </c>
      <c r="E1046" s="6">
        <f>(Table2_1[[#This Row],[Constant Prices]]-C1042)/C1042</f>
        <v>7.0339399901623134E-2</v>
      </c>
      <c r="F1046" s="2">
        <v>1112.5</v>
      </c>
      <c r="G1046" s="7">
        <f>(Table2_1[[#This Row],[Current Prices]]-F1045)/F1045</f>
        <v>6.7658349328214976E-2</v>
      </c>
      <c r="H1046" s="7">
        <f>(Table2_1[[#This Row],[Current Prices]]-F1042)/F1042</f>
        <v>0.12726720032424768</v>
      </c>
      <c r="I1046" s="2"/>
    </row>
    <row r="1047" spans="1:9" x14ac:dyDescent="0.3">
      <c r="A1047" s="2" t="s">
        <v>87</v>
      </c>
      <c r="B1047" s="2" t="s">
        <v>63</v>
      </c>
      <c r="C1047" s="2">
        <v>875.1</v>
      </c>
      <c r="D1047" s="6">
        <f>(Table2_1[[#This Row],[Constant Prices]]-C1046)/C1046</f>
        <v>5.399816176470641E-3</v>
      </c>
      <c r="E1047" s="6">
        <f>(Table2_1[[#This Row],[Constant Prices]]-C1043)/C1043</f>
        <v>5.0035997120230435E-2</v>
      </c>
      <c r="F1047" s="2">
        <v>1099</v>
      </c>
      <c r="G1047" s="7">
        <f>(Table2_1[[#This Row],[Current Prices]]-F1046)/F1046</f>
        <v>-1.2134831460674157E-2</v>
      </c>
      <c r="H1047" s="7">
        <f>(Table2_1[[#This Row],[Current Prices]]-F1043)/F1043</f>
        <v>0.10976471776229431</v>
      </c>
      <c r="I1047" s="2"/>
    </row>
    <row r="1048" spans="1:9" x14ac:dyDescent="0.3">
      <c r="A1048" s="2" t="s">
        <v>87</v>
      </c>
      <c r="B1048" s="2" t="s">
        <v>64</v>
      </c>
      <c r="C1048" s="2">
        <v>878</v>
      </c>
      <c r="D1048" s="6">
        <f>(Table2_1[[#This Row],[Constant Prices]]-C1047)/C1047</f>
        <v>3.3139069820591672E-3</v>
      </c>
      <c r="E1048" s="6">
        <f>(Table2_1[[#This Row],[Constant Prices]]-C1044)/C1044</f>
        <v>4.9486014821898128E-2</v>
      </c>
      <c r="F1048" s="2">
        <v>1097.2</v>
      </c>
      <c r="G1048" s="7">
        <f>(Table2_1[[#This Row],[Current Prices]]-F1047)/F1047</f>
        <v>-1.6378525932665645E-3</v>
      </c>
      <c r="H1048" s="7">
        <f>(Table2_1[[#This Row],[Current Prices]]-F1044)/F1044</f>
        <v>0.10537981059842839</v>
      </c>
      <c r="I1048" s="2"/>
    </row>
    <row r="1049" spans="1:9" x14ac:dyDescent="0.3">
      <c r="A1049" s="2" t="s">
        <v>87</v>
      </c>
      <c r="B1049" s="2" t="s">
        <v>65</v>
      </c>
      <c r="C1049" s="2">
        <v>884.5</v>
      </c>
      <c r="D1049" s="6">
        <f>(Table2_1[[#This Row],[Constant Prices]]-C1048)/C1048</f>
        <v>7.4031890660592259E-3</v>
      </c>
      <c r="E1049" s="6">
        <f>(Table2_1[[#This Row],[Constant Prices]]-C1045)/C1045</f>
        <v>3.3173694661838546E-2</v>
      </c>
      <c r="F1049" s="2">
        <v>1143.5</v>
      </c>
      <c r="G1049" s="7">
        <f>(Table2_1[[#This Row],[Current Prices]]-F1048)/F1048</f>
        <v>4.2198323004010163E-2</v>
      </c>
      <c r="H1049" s="7">
        <f>(Table2_1[[#This Row],[Current Prices]]-F1045)/F1045</f>
        <v>9.7408829174664105E-2</v>
      </c>
      <c r="I1049" s="2">
        <v>13</v>
      </c>
    </row>
    <row r="1050" spans="1:9" x14ac:dyDescent="0.3">
      <c r="A1050" s="2" t="s">
        <v>87</v>
      </c>
      <c r="B1050" s="2" t="s">
        <v>66</v>
      </c>
      <c r="C1050" s="2">
        <v>885.6</v>
      </c>
      <c r="D1050" s="6">
        <f>(Table2_1[[#This Row],[Constant Prices]]-C1049)/C1049</f>
        <v>1.2436404748445706E-3</v>
      </c>
      <c r="E1050" s="6">
        <f>(Table2_1[[#This Row],[Constant Prices]]-C1046)/C1046</f>
        <v>1.74632352941177E-2</v>
      </c>
      <c r="F1050" s="2">
        <v>1180.7</v>
      </c>
      <c r="G1050" s="7">
        <f>(Table2_1[[#This Row],[Current Prices]]-F1049)/F1049</f>
        <v>3.2531700918233535E-2</v>
      </c>
      <c r="H1050" s="7">
        <f>(Table2_1[[#This Row],[Current Prices]]-F1046)/F1046</f>
        <v>6.1303370786516896E-2</v>
      </c>
      <c r="I1050" s="2"/>
    </row>
    <row r="1051" spans="1:9" x14ac:dyDescent="0.3">
      <c r="A1051" s="2" t="s">
        <v>87</v>
      </c>
      <c r="B1051" s="2" t="s">
        <v>67</v>
      </c>
      <c r="C1051" s="2">
        <v>892.7</v>
      </c>
      <c r="D1051" s="6">
        <f>(Table2_1[[#This Row],[Constant Prices]]-C1050)/C1050</f>
        <v>8.0171635049684081E-3</v>
      </c>
      <c r="E1051" s="6">
        <f>(Table2_1[[#This Row],[Constant Prices]]-C1047)/C1047</f>
        <v>2.0111987201462716E-2</v>
      </c>
      <c r="F1051" s="2">
        <v>1172.5</v>
      </c>
      <c r="G1051" s="7">
        <f>(Table2_1[[#This Row],[Current Prices]]-F1050)/F1050</f>
        <v>-6.9450326077750866E-3</v>
      </c>
      <c r="H1051" s="7">
        <f>(Table2_1[[#This Row],[Current Prices]]-F1047)/F1047</f>
        <v>6.6878980891719744E-2</v>
      </c>
      <c r="I1051" s="2"/>
    </row>
    <row r="1052" spans="1:9" x14ac:dyDescent="0.3">
      <c r="A1052" s="2" t="s">
        <v>87</v>
      </c>
      <c r="B1052" s="2" t="s">
        <v>68</v>
      </c>
      <c r="C1052" s="2">
        <v>888.2</v>
      </c>
      <c r="D1052" s="6">
        <f>(Table2_1[[#This Row],[Constant Prices]]-C1051)/C1051</f>
        <v>-5.0408871961465217E-3</v>
      </c>
      <c r="E1052" s="6">
        <f>(Table2_1[[#This Row],[Constant Prices]]-C1048)/C1048</f>
        <v>1.161731207289299E-2</v>
      </c>
      <c r="F1052" s="2">
        <v>1171.9000000000001</v>
      </c>
      <c r="G1052" s="7">
        <f>(Table2_1[[#This Row],[Current Prices]]-F1051)/F1051</f>
        <v>-5.1172707889118039E-4</v>
      </c>
      <c r="H1052" s="7">
        <f>(Table2_1[[#This Row],[Current Prices]]-F1048)/F1048</f>
        <v>6.8082391542107226E-2</v>
      </c>
      <c r="I1052" s="2"/>
    </row>
    <row r="1053" spans="1:9" x14ac:dyDescent="0.3">
      <c r="A1053" s="2" t="s">
        <v>87</v>
      </c>
      <c r="B1053" s="2" t="s">
        <v>69</v>
      </c>
      <c r="C1053" s="2">
        <v>894.9</v>
      </c>
      <c r="D1053" s="6">
        <f>(Table2_1[[#This Row],[Constant Prices]]-C1052)/C1052</f>
        <v>7.5433460932221698E-3</v>
      </c>
      <c r="E1053" s="6">
        <f>(Table2_1[[#This Row],[Constant Prices]]-C1049)/C1049</f>
        <v>1.1758055398530217E-2</v>
      </c>
      <c r="F1053" s="5">
        <f>Table2_1[[#This Row],[Constant Prices]]*AVERAGE(Inflation!$C$72:$C$74)*0.01</f>
        <v>1620.0672999999999</v>
      </c>
      <c r="G1053" s="7">
        <f>(Table2_1[[#This Row],[Current Prices]]-F1052)/F1052</f>
        <v>0.3824279375373324</v>
      </c>
      <c r="H1053" s="7">
        <f>(Table2_1[[#This Row],[Current Prices]]-F1049)/F1049</f>
        <v>0.41676195889811973</v>
      </c>
      <c r="I1053" s="2">
        <v>14</v>
      </c>
    </row>
    <row r="1054" spans="1:9" x14ac:dyDescent="0.3">
      <c r="A1054" s="2" t="s">
        <v>87</v>
      </c>
      <c r="B1054" s="2" t="s">
        <v>70</v>
      </c>
      <c r="C1054" s="2">
        <v>886.1</v>
      </c>
      <c r="D1054" s="6">
        <f>(Table2_1[[#This Row],[Constant Prices]]-C1053)/C1053</f>
        <v>-9.8335009498267453E-3</v>
      </c>
      <c r="E1054" s="6">
        <f>(Table2_1[[#This Row],[Constant Prices]]-C1050)/C1050</f>
        <v>5.6458897922312553E-4</v>
      </c>
      <c r="F1054" s="5">
        <f>Table2_1[[#This Row],[Constant Prices]]*AVERAGE(Inflation!$C$75:$C$77)*0.01</f>
        <v>1616.5417666666665</v>
      </c>
      <c r="G1054" s="7">
        <f>(Table2_1[[#This Row],[Current Prices]]-F1053)/F1053</f>
        <v>-2.1761647391645039E-3</v>
      </c>
      <c r="H1054" s="7">
        <f>(Table2_1[[#This Row],[Current Prices]]-F1050)/F1050</f>
        <v>0.36913844894271741</v>
      </c>
      <c r="I1054" s="2"/>
    </row>
    <row r="1055" spans="1:9" x14ac:dyDescent="0.3">
      <c r="A1055" s="2" t="s">
        <v>87</v>
      </c>
      <c r="B1055" s="2" t="s">
        <v>71</v>
      </c>
      <c r="C1055" s="2">
        <v>906.6</v>
      </c>
      <c r="D1055" s="6">
        <f>(Table2_1[[#This Row],[Constant Prices]]-C1054)/C1054</f>
        <v>2.3135086333370952E-2</v>
      </c>
      <c r="E1055" s="6">
        <f>(Table2_1[[#This Row],[Constant Prices]]-C1051)/C1051</f>
        <v>1.5570740450319229E-2</v>
      </c>
      <c r="F1055" s="5">
        <f>Table2_1[[#This Row],[Constant Prices]]*AVERAGE(Inflation!$C$78:$C$80)*0.01</f>
        <v>1680.2320000000002</v>
      </c>
      <c r="G1055" s="7">
        <f>(Table2_1[[#This Row],[Current Prices]]-F1054)/F1054</f>
        <v>3.9399064500921573E-2</v>
      </c>
      <c r="H1055" s="7">
        <f>(Table2_1[[#This Row],[Current Prices]]-F1051)/F1051</f>
        <v>0.43303368869936049</v>
      </c>
      <c r="I1055" s="2"/>
    </row>
    <row r="1056" spans="1:9" x14ac:dyDescent="0.3">
      <c r="A1056" s="2" t="s">
        <v>88</v>
      </c>
      <c r="B1056" s="2" t="s">
        <v>10</v>
      </c>
      <c r="C1056" s="2">
        <v>636.1</v>
      </c>
      <c r="D1056" s="6"/>
      <c r="E1056" s="6"/>
      <c r="F1056" s="2">
        <v>575.20000000000005</v>
      </c>
      <c r="G1056" s="7"/>
      <c r="H1056" s="7"/>
      <c r="I1056" s="2"/>
    </row>
    <row r="1057" spans="1:9" x14ac:dyDescent="0.3">
      <c r="A1057" s="2" t="s">
        <v>88</v>
      </c>
      <c r="B1057" s="2" t="s">
        <v>11</v>
      </c>
      <c r="C1057" s="2">
        <v>634</v>
      </c>
      <c r="D1057" s="6">
        <f>(Table2_1[[#This Row],[Constant Prices]]-C1056)/C1056</f>
        <v>-3.3013677094796772E-3</v>
      </c>
      <c r="E1057" s="6"/>
      <c r="F1057" s="2">
        <v>575.20000000000005</v>
      </c>
      <c r="G1057" s="7">
        <f>(Table2_1[[#This Row],[Current Prices]]-F1056)/F1056</f>
        <v>0</v>
      </c>
      <c r="H1057" s="7"/>
      <c r="I1057" s="2"/>
    </row>
    <row r="1058" spans="1:9" x14ac:dyDescent="0.3">
      <c r="A1058" s="2" t="s">
        <v>88</v>
      </c>
      <c r="B1058" s="2" t="s">
        <v>12</v>
      </c>
      <c r="C1058" s="2">
        <v>634.1</v>
      </c>
      <c r="D1058" s="6">
        <f>(Table2_1[[#This Row],[Constant Prices]]-C1057)/C1057</f>
        <v>1.5772870662464155E-4</v>
      </c>
      <c r="E1058" s="6"/>
      <c r="F1058" s="2">
        <v>579.79999999999995</v>
      </c>
      <c r="G1058" s="7">
        <f>(Table2_1[[#This Row],[Current Prices]]-F1057)/F1057</f>
        <v>7.9972183588315517E-3</v>
      </c>
      <c r="H1058" s="7"/>
      <c r="I1058" s="2"/>
    </row>
    <row r="1059" spans="1:9" x14ac:dyDescent="0.3">
      <c r="A1059" s="2" t="s">
        <v>88</v>
      </c>
      <c r="B1059" s="2" t="s">
        <v>13</v>
      </c>
      <c r="C1059" s="2">
        <v>626.70000000000005</v>
      </c>
      <c r="D1059" s="6">
        <f>(Table2_1[[#This Row],[Constant Prices]]-C1058)/C1058</f>
        <v>-1.1670083583031031E-2</v>
      </c>
      <c r="E1059" s="6"/>
      <c r="F1059" s="2">
        <v>573.4</v>
      </c>
      <c r="G1059" s="7">
        <f>(Table2_1[[#This Row],[Current Prices]]-F1058)/F1058</f>
        <v>-1.1038289065194856E-2</v>
      </c>
      <c r="H1059" s="7"/>
      <c r="I1059" s="2"/>
    </row>
    <row r="1060" spans="1:9" x14ac:dyDescent="0.3">
      <c r="A1060" s="2" t="s">
        <v>88</v>
      </c>
      <c r="B1060" s="2" t="s">
        <v>14</v>
      </c>
      <c r="C1060" s="2">
        <v>622.29999999999995</v>
      </c>
      <c r="D1060" s="6">
        <f>(Table2_1[[#This Row],[Constant Prices]]-C1059)/C1059</f>
        <v>-7.0209031434499613E-3</v>
      </c>
      <c r="E1060" s="6">
        <f>(Table2_1[[#This Row],[Constant Prices]]-C1056)/C1056</f>
        <v>-2.1694702090866321E-2</v>
      </c>
      <c r="F1060" s="2">
        <v>577.9</v>
      </c>
      <c r="G1060" s="7">
        <f>(Table2_1[[#This Row],[Current Prices]]-F1059)/F1059</f>
        <v>7.8479246599232645E-3</v>
      </c>
      <c r="H1060" s="7">
        <f>(Table2_1[[#This Row],[Current Prices]]-F1056)/F1056</f>
        <v>4.6940194714880593E-3</v>
      </c>
      <c r="I1060" s="2"/>
    </row>
    <row r="1061" spans="1:9" x14ac:dyDescent="0.3">
      <c r="A1061" s="2" t="s">
        <v>88</v>
      </c>
      <c r="B1061" s="2" t="s">
        <v>15</v>
      </c>
      <c r="C1061" s="2">
        <v>628.29999999999995</v>
      </c>
      <c r="D1061" s="6">
        <f>(Table2_1[[#This Row],[Constant Prices]]-C1060)/C1060</f>
        <v>9.6416519363650977E-3</v>
      </c>
      <c r="E1061" s="6">
        <f>(Table2_1[[#This Row],[Constant Prices]]-C1057)/C1057</f>
        <v>-8.9905362776025958E-3</v>
      </c>
      <c r="F1061" s="2">
        <v>576.1</v>
      </c>
      <c r="G1061" s="7">
        <f>(Table2_1[[#This Row],[Current Prices]]-F1060)/F1060</f>
        <v>-3.1147257310952668E-3</v>
      </c>
      <c r="H1061" s="7">
        <f>(Table2_1[[#This Row],[Current Prices]]-F1057)/F1057</f>
        <v>1.5646731571626864E-3</v>
      </c>
      <c r="I1061" s="2"/>
    </row>
    <row r="1062" spans="1:9" x14ac:dyDescent="0.3">
      <c r="A1062" s="2" t="s">
        <v>88</v>
      </c>
      <c r="B1062" s="2" t="s">
        <v>16</v>
      </c>
      <c r="C1062" s="2">
        <v>635.4</v>
      </c>
      <c r="D1062" s="6">
        <f>(Table2_1[[#This Row],[Constant Prices]]-C1061)/C1061</f>
        <v>1.1300334235237981E-2</v>
      </c>
      <c r="E1062" s="6">
        <f>(Table2_1[[#This Row],[Constant Prices]]-C1058)/C1058</f>
        <v>2.0501498186405211E-3</v>
      </c>
      <c r="F1062" s="2">
        <v>582.79999999999995</v>
      </c>
      <c r="G1062" s="7">
        <f>(Table2_1[[#This Row],[Current Prices]]-F1061)/F1061</f>
        <v>1.1629925360180406E-2</v>
      </c>
      <c r="H1062" s="7">
        <f>(Table2_1[[#This Row],[Current Prices]]-F1058)/F1058</f>
        <v>5.1741979993101071E-3</v>
      </c>
      <c r="I1062" s="2"/>
    </row>
    <row r="1063" spans="1:9" x14ac:dyDescent="0.3">
      <c r="A1063" s="2" t="s">
        <v>88</v>
      </c>
      <c r="B1063" s="2" t="s">
        <v>17</v>
      </c>
      <c r="C1063" s="2">
        <v>647.29999999999995</v>
      </c>
      <c r="D1063" s="6">
        <f>(Table2_1[[#This Row],[Constant Prices]]-C1062)/C1062</f>
        <v>1.8728360088133424E-2</v>
      </c>
      <c r="E1063" s="6">
        <f>(Table2_1[[#This Row],[Constant Prices]]-C1059)/C1059</f>
        <v>3.2870591989787631E-2</v>
      </c>
      <c r="F1063" s="2">
        <v>593.79999999999995</v>
      </c>
      <c r="G1063" s="7">
        <f>(Table2_1[[#This Row],[Current Prices]]-F1062)/F1062</f>
        <v>1.8874399450926563E-2</v>
      </c>
      <c r="H1063" s="7">
        <f>(Table2_1[[#This Row],[Current Prices]]-F1059)/F1059</f>
        <v>3.5577258458318758E-2</v>
      </c>
      <c r="I1063" s="2">
        <v>1</v>
      </c>
    </row>
    <row r="1064" spans="1:9" x14ac:dyDescent="0.3">
      <c r="A1064" s="2" t="s">
        <v>88</v>
      </c>
      <c r="B1064" s="2" t="s">
        <v>18</v>
      </c>
      <c r="C1064" s="2">
        <v>636.79999999999995</v>
      </c>
      <c r="D1064" s="6">
        <f>(Table2_1[[#This Row],[Constant Prices]]-C1063)/C1063</f>
        <v>-1.6221226633709254E-2</v>
      </c>
      <c r="E1064" s="6">
        <f>(Table2_1[[#This Row],[Constant Prices]]-C1060)/C1060</f>
        <v>2.3300658846215655E-2</v>
      </c>
      <c r="F1064" s="2">
        <v>604.9</v>
      </c>
      <c r="G1064" s="7">
        <f>(Table2_1[[#This Row],[Current Prices]]-F1063)/F1063</f>
        <v>1.8693162681037427E-2</v>
      </c>
      <c r="H1064" s="7">
        <f>(Table2_1[[#This Row],[Current Prices]]-F1060)/F1060</f>
        <v>4.6720885966430183E-2</v>
      </c>
      <c r="I1064" s="2"/>
    </row>
    <row r="1065" spans="1:9" x14ac:dyDescent="0.3">
      <c r="A1065" s="2" t="s">
        <v>88</v>
      </c>
      <c r="B1065" s="2" t="s">
        <v>19</v>
      </c>
      <c r="C1065" s="2">
        <v>656.9</v>
      </c>
      <c r="D1065" s="6">
        <f>(Table2_1[[#This Row],[Constant Prices]]-C1064)/C1064</f>
        <v>3.156407035175883E-2</v>
      </c>
      <c r="E1065" s="6">
        <f>(Table2_1[[#This Row],[Constant Prices]]-C1061)/C1061</f>
        <v>4.5519656215183869E-2</v>
      </c>
      <c r="F1065" s="2">
        <v>621.4</v>
      </c>
      <c r="G1065" s="7">
        <f>(Table2_1[[#This Row],[Current Prices]]-F1064)/F1064</f>
        <v>2.7277235906761448E-2</v>
      </c>
      <c r="H1065" s="7">
        <f>(Table2_1[[#This Row],[Current Prices]]-F1061)/F1061</f>
        <v>7.8632181912862267E-2</v>
      </c>
      <c r="I1065" s="2"/>
    </row>
    <row r="1066" spans="1:9" x14ac:dyDescent="0.3">
      <c r="A1066" s="2" t="s">
        <v>88</v>
      </c>
      <c r="B1066" s="2" t="s">
        <v>20</v>
      </c>
      <c r="C1066" s="2">
        <v>672.3</v>
      </c>
      <c r="D1066" s="6">
        <f>(Table2_1[[#This Row],[Constant Prices]]-C1065)/C1065</f>
        <v>2.3443446491094502E-2</v>
      </c>
      <c r="E1066" s="6">
        <f>(Table2_1[[#This Row],[Constant Prices]]-C1062)/C1062</f>
        <v>5.8073654390934808E-2</v>
      </c>
      <c r="F1066" s="2">
        <v>635.4</v>
      </c>
      <c r="G1066" s="7">
        <f>(Table2_1[[#This Row],[Current Prices]]-F1065)/F1065</f>
        <v>2.252977148374638E-2</v>
      </c>
      <c r="H1066" s="7">
        <f>(Table2_1[[#This Row],[Current Prices]]-F1062)/F1062</f>
        <v>9.0253946465339782E-2</v>
      </c>
      <c r="I1066" s="2"/>
    </row>
    <row r="1067" spans="1:9" x14ac:dyDescent="0.3">
      <c r="A1067" s="2" t="s">
        <v>88</v>
      </c>
      <c r="B1067" s="2" t="s">
        <v>21</v>
      </c>
      <c r="C1067" s="2">
        <v>693.6</v>
      </c>
      <c r="D1067" s="6">
        <f>(Table2_1[[#This Row],[Constant Prices]]-C1066)/C1066</f>
        <v>3.1682284694332992E-2</v>
      </c>
      <c r="E1067" s="6">
        <f>(Table2_1[[#This Row],[Constant Prices]]-C1063)/C1063</f>
        <v>7.1527885061022825E-2</v>
      </c>
      <c r="F1067" s="2">
        <v>646.5</v>
      </c>
      <c r="G1067" s="7">
        <f>(Table2_1[[#This Row],[Current Prices]]-F1066)/F1066</f>
        <v>1.7469310670443852E-2</v>
      </c>
      <c r="H1067" s="7">
        <f>(Table2_1[[#This Row],[Current Prices]]-F1063)/F1063</f>
        <v>8.8750421017177589E-2</v>
      </c>
      <c r="I1067" s="2">
        <v>2</v>
      </c>
    </row>
    <row r="1068" spans="1:9" x14ac:dyDescent="0.3">
      <c r="A1068" s="2" t="s">
        <v>88</v>
      </c>
      <c r="B1068" s="2" t="s">
        <v>22</v>
      </c>
      <c r="C1068" s="2">
        <v>695.4</v>
      </c>
      <c r="D1068" s="6">
        <f>(Table2_1[[#This Row],[Constant Prices]]-C1067)/C1067</f>
        <v>2.5951557093424949E-3</v>
      </c>
      <c r="E1068" s="6">
        <f>(Table2_1[[#This Row],[Constant Prices]]-C1064)/C1064</f>
        <v>9.2022613065326678E-2</v>
      </c>
      <c r="F1068" s="2">
        <v>655.4</v>
      </c>
      <c r="G1068" s="7">
        <f>(Table2_1[[#This Row],[Current Prices]]-F1067)/F1067</f>
        <v>1.3766434648105147E-2</v>
      </c>
      <c r="H1068" s="7">
        <f>(Table2_1[[#This Row],[Current Prices]]-F1064)/F1064</f>
        <v>8.3484873532815349E-2</v>
      </c>
      <c r="I1068" s="2"/>
    </row>
    <row r="1069" spans="1:9" x14ac:dyDescent="0.3">
      <c r="A1069" s="2" t="s">
        <v>88</v>
      </c>
      <c r="B1069" s="2" t="s">
        <v>23</v>
      </c>
      <c r="C1069" s="2">
        <v>701.7</v>
      </c>
      <c r="D1069" s="6">
        <f>(Table2_1[[#This Row],[Constant Prices]]-C1068)/C1068</f>
        <v>9.0595340811044991E-3</v>
      </c>
      <c r="E1069" s="6">
        <f>(Table2_1[[#This Row],[Constant Prices]]-C1065)/C1065</f>
        <v>6.8199117065002396E-2</v>
      </c>
      <c r="F1069" s="2">
        <v>665.8</v>
      </c>
      <c r="G1069" s="7">
        <f>(Table2_1[[#This Row],[Current Prices]]-F1068)/F1068</f>
        <v>1.5868172108635913E-2</v>
      </c>
      <c r="H1069" s="7">
        <f>(Table2_1[[#This Row],[Current Prices]]-F1065)/F1065</f>
        <v>7.1451560991309906E-2</v>
      </c>
      <c r="I1069" s="2"/>
    </row>
    <row r="1070" spans="1:9" x14ac:dyDescent="0.3">
      <c r="A1070" s="2" t="s">
        <v>88</v>
      </c>
      <c r="B1070" s="2" t="s">
        <v>24</v>
      </c>
      <c r="C1070" s="2">
        <v>709.8</v>
      </c>
      <c r="D1070" s="6">
        <f>(Table2_1[[#This Row],[Constant Prices]]-C1069)/C1069</f>
        <v>1.1543394613082384E-2</v>
      </c>
      <c r="E1070" s="6">
        <f>(Table2_1[[#This Row],[Constant Prices]]-C1066)/C1066</f>
        <v>5.5778670236501564E-2</v>
      </c>
      <c r="F1070" s="2">
        <v>679.9</v>
      </c>
      <c r="G1070" s="7">
        <f>(Table2_1[[#This Row],[Current Prices]]-F1069)/F1069</f>
        <v>2.1177530790027072E-2</v>
      </c>
      <c r="H1070" s="7">
        <f>(Table2_1[[#This Row],[Current Prices]]-F1066)/F1066</f>
        <v>7.0034623858986469E-2</v>
      </c>
      <c r="I1070" s="2"/>
    </row>
    <row r="1071" spans="1:9" x14ac:dyDescent="0.3">
      <c r="A1071" s="2" t="s">
        <v>88</v>
      </c>
      <c r="B1071" s="2" t="s">
        <v>25</v>
      </c>
      <c r="C1071" s="2">
        <v>705.2</v>
      </c>
      <c r="D1071" s="6">
        <f>(Table2_1[[#This Row],[Constant Prices]]-C1070)/C1070</f>
        <v>-6.480698788390968E-3</v>
      </c>
      <c r="E1071" s="6">
        <f>(Table2_1[[#This Row],[Constant Prices]]-C1067)/C1067</f>
        <v>1.6724336793540979E-2</v>
      </c>
      <c r="F1071" s="2">
        <v>690.7</v>
      </c>
      <c r="G1071" s="7">
        <f>(Table2_1[[#This Row],[Current Prices]]-F1070)/F1070</f>
        <v>1.5884688924841989E-2</v>
      </c>
      <c r="H1071" s="7">
        <f>(Table2_1[[#This Row],[Current Prices]]-F1067)/F1067</f>
        <v>6.8368136117556141E-2</v>
      </c>
      <c r="I1071" s="2">
        <v>3</v>
      </c>
    </row>
    <row r="1072" spans="1:9" x14ac:dyDescent="0.3">
      <c r="A1072" s="2" t="s">
        <v>88</v>
      </c>
      <c r="B1072" s="2" t="s">
        <v>26</v>
      </c>
      <c r="C1072" s="2">
        <v>714</v>
      </c>
      <c r="D1072" s="6">
        <f>(Table2_1[[#This Row],[Constant Prices]]-C1071)/C1071</f>
        <v>1.247872943845711E-2</v>
      </c>
      <c r="E1072" s="6">
        <f>(Table2_1[[#This Row],[Constant Prices]]-C1068)/C1068</f>
        <v>2.6747195858498739E-2</v>
      </c>
      <c r="F1072" s="2">
        <v>702.9</v>
      </c>
      <c r="G1072" s="7">
        <f>(Table2_1[[#This Row],[Current Prices]]-F1071)/F1071</f>
        <v>1.7663240191110367E-2</v>
      </c>
      <c r="H1072" s="7">
        <f>(Table2_1[[#This Row],[Current Prices]]-F1068)/F1068</f>
        <v>7.2474824534635343E-2</v>
      </c>
      <c r="I1072" s="2"/>
    </row>
    <row r="1073" spans="1:9" x14ac:dyDescent="0.3">
      <c r="A1073" s="2" t="s">
        <v>88</v>
      </c>
      <c r="B1073" s="2" t="s">
        <v>27</v>
      </c>
      <c r="C1073" s="2">
        <v>719.2</v>
      </c>
      <c r="D1073" s="6">
        <f>(Table2_1[[#This Row],[Constant Prices]]-C1072)/C1072</f>
        <v>7.2829131652661699E-3</v>
      </c>
      <c r="E1073" s="6">
        <f>(Table2_1[[#This Row],[Constant Prices]]-C1069)/C1069</f>
        <v>2.4939432806042466E-2</v>
      </c>
      <c r="F1073" s="2">
        <v>716.4</v>
      </c>
      <c r="G1073" s="7">
        <f>(Table2_1[[#This Row],[Current Prices]]-F1072)/F1072</f>
        <v>1.9206145966709349E-2</v>
      </c>
      <c r="H1073" s="7">
        <f>(Table2_1[[#This Row],[Current Prices]]-F1069)/F1069</f>
        <v>7.5998798437969403E-2</v>
      </c>
      <c r="I1073" s="2"/>
    </row>
    <row r="1074" spans="1:9" x14ac:dyDescent="0.3">
      <c r="A1074" s="2" t="s">
        <v>88</v>
      </c>
      <c r="B1074" s="2" t="s">
        <v>28</v>
      </c>
      <c r="C1074" s="2">
        <v>729.2</v>
      </c>
      <c r="D1074" s="6">
        <f>(Table2_1[[#This Row],[Constant Prices]]-C1073)/C1073</f>
        <v>1.3904338153503892E-2</v>
      </c>
      <c r="E1074" s="6">
        <f>(Table2_1[[#This Row],[Constant Prices]]-C1070)/C1070</f>
        <v>2.733164271625823E-2</v>
      </c>
      <c r="F1074" s="2">
        <v>720.9</v>
      </c>
      <c r="G1074" s="7">
        <f>(Table2_1[[#This Row],[Current Prices]]-F1073)/F1073</f>
        <v>6.2814070351758797E-3</v>
      </c>
      <c r="H1074" s="7">
        <f>(Table2_1[[#This Row],[Current Prices]]-F1070)/F1070</f>
        <v>6.0302985733196063E-2</v>
      </c>
      <c r="I1074" s="2"/>
    </row>
    <row r="1075" spans="1:9" x14ac:dyDescent="0.3">
      <c r="A1075" s="2" t="s">
        <v>88</v>
      </c>
      <c r="B1075" s="2" t="s">
        <v>29</v>
      </c>
      <c r="C1075" s="2">
        <v>741.7</v>
      </c>
      <c r="D1075" s="6">
        <f>(Table2_1[[#This Row],[Constant Prices]]-C1074)/C1074</f>
        <v>1.714207350521119E-2</v>
      </c>
      <c r="E1075" s="6">
        <f>(Table2_1[[#This Row],[Constant Prices]]-C1071)/C1071</f>
        <v>5.175836642087351E-2</v>
      </c>
      <c r="F1075" s="2">
        <v>746</v>
      </c>
      <c r="G1075" s="7">
        <f>(Table2_1[[#This Row],[Current Prices]]-F1074)/F1074</f>
        <v>3.4817589124705263E-2</v>
      </c>
      <c r="H1075" s="7">
        <f>(Table2_1[[#This Row],[Current Prices]]-F1071)/F1071</f>
        <v>8.0063703489213767E-2</v>
      </c>
      <c r="I1075" s="2">
        <v>4</v>
      </c>
    </row>
    <row r="1076" spans="1:9" x14ac:dyDescent="0.3">
      <c r="A1076" s="2" t="s">
        <v>88</v>
      </c>
      <c r="B1076" s="2" t="s">
        <v>30</v>
      </c>
      <c r="C1076" s="2">
        <v>752.5</v>
      </c>
      <c r="D1076" s="6">
        <f>(Table2_1[[#This Row],[Constant Prices]]-C1075)/C1075</f>
        <v>1.4561143319401313E-2</v>
      </c>
      <c r="E1076" s="6">
        <f>(Table2_1[[#This Row],[Constant Prices]]-C1072)/C1072</f>
        <v>5.3921568627450983E-2</v>
      </c>
      <c r="F1076" s="2">
        <v>751.5</v>
      </c>
      <c r="G1076" s="7">
        <f>(Table2_1[[#This Row],[Current Prices]]-F1075)/F1075</f>
        <v>7.3726541554959783E-3</v>
      </c>
      <c r="H1076" s="7">
        <f>(Table2_1[[#This Row],[Current Prices]]-F1072)/F1072</f>
        <v>6.9142125480153679E-2</v>
      </c>
      <c r="I1076" s="2"/>
    </row>
    <row r="1077" spans="1:9" x14ac:dyDescent="0.3">
      <c r="A1077" s="2" t="s">
        <v>88</v>
      </c>
      <c r="B1077" s="2" t="s">
        <v>31</v>
      </c>
      <c r="C1077" s="2">
        <v>764.6</v>
      </c>
      <c r="D1077" s="6">
        <f>(Table2_1[[#This Row],[Constant Prices]]-C1076)/C1076</f>
        <v>1.6079734219269132E-2</v>
      </c>
      <c r="E1077" s="6">
        <f>(Table2_1[[#This Row],[Constant Prices]]-C1073)/C1073</f>
        <v>6.312569521690764E-2</v>
      </c>
      <c r="F1077" s="2">
        <v>761.4</v>
      </c>
      <c r="G1077" s="7">
        <f>(Table2_1[[#This Row],[Current Prices]]-F1076)/F1076</f>
        <v>1.3173652694610748E-2</v>
      </c>
      <c r="H1077" s="7">
        <f>(Table2_1[[#This Row],[Current Prices]]-F1073)/F1073</f>
        <v>6.2814070351758802E-2</v>
      </c>
      <c r="I1077" s="2"/>
    </row>
    <row r="1078" spans="1:9" x14ac:dyDescent="0.3">
      <c r="A1078" s="2" t="s">
        <v>88</v>
      </c>
      <c r="B1078" s="2" t="s">
        <v>32</v>
      </c>
      <c r="C1078" s="2">
        <v>766.2</v>
      </c>
      <c r="D1078" s="6">
        <f>(Table2_1[[#This Row],[Constant Prices]]-C1077)/C1077</f>
        <v>2.0925974365681699E-3</v>
      </c>
      <c r="E1078" s="6">
        <f>(Table2_1[[#This Row],[Constant Prices]]-C1074)/C1074</f>
        <v>5.0740537575425119E-2</v>
      </c>
      <c r="F1078" s="2">
        <v>770</v>
      </c>
      <c r="G1078" s="7">
        <f>(Table2_1[[#This Row],[Current Prices]]-F1077)/F1077</f>
        <v>1.129498292618863E-2</v>
      </c>
      <c r="H1078" s="7">
        <f>(Table2_1[[#This Row],[Current Prices]]-F1074)/F1074</f>
        <v>6.8109307809682371E-2</v>
      </c>
      <c r="I1078" s="2"/>
    </row>
    <row r="1079" spans="1:9" x14ac:dyDescent="0.3">
      <c r="A1079" s="2" t="s">
        <v>88</v>
      </c>
      <c r="B1079" s="2" t="s">
        <v>33</v>
      </c>
      <c r="C1079" s="2">
        <v>765</v>
      </c>
      <c r="D1079" s="6">
        <f>(Table2_1[[#This Row],[Constant Prices]]-C1078)/C1078</f>
        <v>-1.5661707126077334E-3</v>
      </c>
      <c r="E1079" s="6">
        <f>(Table2_1[[#This Row],[Constant Prices]]-C1075)/C1075</f>
        <v>3.1414318457597346E-2</v>
      </c>
      <c r="F1079" s="2">
        <v>765.4</v>
      </c>
      <c r="G1079" s="7">
        <f>(Table2_1[[#This Row],[Current Prices]]-F1078)/F1078</f>
        <v>-5.9740259740260039E-3</v>
      </c>
      <c r="H1079" s="7">
        <f>(Table2_1[[#This Row],[Current Prices]]-F1075)/F1075</f>
        <v>2.6005361930294877E-2</v>
      </c>
      <c r="I1079" s="2">
        <v>5</v>
      </c>
    </row>
    <row r="1080" spans="1:9" x14ac:dyDescent="0.3">
      <c r="A1080" s="2" t="s">
        <v>88</v>
      </c>
      <c r="B1080" s="2" t="s">
        <v>34</v>
      </c>
      <c r="C1080" s="2">
        <v>767.2</v>
      </c>
      <c r="D1080" s="6">
        <f>(Table2_1[[#This Row],[Constant Prices]]-C1079)/C1079</f>
        <v>2.8758169934641115E-3</v>
      </c>
      <c r="E1080" s="6">
        <f>(Table2_1[[#This Row],[Constant Prices]]-C1076)/C1076</f>
        <v>1.9534883720930294E-2</v>
      </c>
      <c r="F1080" s="2">
        <v>782.2</v>
      </c>
      <c r="G1080" s="7">
        <f>(Table2_1[[#This Row],[Current Prices]]-F1079)/F1079</f>
        <v>2.1949307551607091E-2</v>
      </c>
      <c r="H1080" s="7">
        <f>(Table2_1[[#This Row],[Current Prices]]-F1076)/F1076</f>
        <v>4.0851630073187019E-2</v>
      </c>
      <c r="I1080" s="2"/>
    </row>
    <row r="1081" spans="1:9" x14ac:dyDescent="0.3">
      <c r="A1081" s="2" t="s">
        <v>88</v>
      </c>
      <c r="B1081" s="2" t="s">
        <v>35</v>
      </c>
      <c r="C1081" s="2">
        <v>771.2</v>
      </c>
      <c r="D1081" s="6">
        <f>(Table2_1[[#This Row],[Constant Prices]]-C1080)/C1080</f>
        <v>5.2137643378519288E-3</v>
      </c>
      <c r="E1081" s="6">
        <f>(Table2_1[[#This Row],[Constant Prices]]-C1077)/C1077</f>
        <v>8.6319644258436076E-3</v>
      </c>
      <c r="F1081" s="2">
        <v>786.3</v>
      </c>
      <c r="G1081" s="7">
        <f>(Table2_1[[#This Row],[Current Prices]]-F1080)/F1080</f>
        <v>5.2416261825618884E-3</v>
      </c>
      <c r="H1081" s="7">
        <f>(Table2_1[[#This Row],[Current Prices]]-F1077)/F1077</f>
        <v>3.2702915681639057E-2</v>
      </c>
      <c r="I1081" s="2"/>
    </row>
    <row r="1082" spans="1:9" x14ac:dyDescent="0.3">
      <c r="A1082" s="2" t="s">
        <v>88</v>
      </c>
      <c r="B1082" s="2" t="s">
        <v>36</v>
      </c>
      <c r="C1082" s="2">
        <v>778.5</v>
      </c>
      <c r="D1082" s="6">
        <f>(Table2_1[[#This Row],[Constant Prices]]-C1081)/C1081</f>
        <v>9.4657676348547121E-3</v>
      </c>
      <c r="E1082" s="6">
        <f>(Table2_1[[#This Row],[Constant Prices]]-C1078)/C1078</f>
        <v>1.6053249804228599E-2</v>
      </c>
      <c r="F1082" s="2">
        <v>825</v>
      </c>
      <c r="G1082" s="7">
        <f>(Table2_1[[#This Row],[Current Prices]]-F1081)/F1081</f>
        <v>4.9217855780236609E-2</v>
      </c>
      <c r="H1082" s="7">
        <f>(Table2_1[[#This Row],[Current Prices]]-F1078)/F1078</f>
        <v>7.1428571428571425E-2</v>
      </c>
      <c r="I1082" s="2"/>
    </row>
    <row r="1083" spans="1:9" x14ac:dyDescent="0.3">
      <c r="A1083" s="2" t="s">
        <v>88</v>
      </c>
      <c r="B1083" s="2" t="s">
        <v>37</v>
      </c>
      <c r="C1083" s="2">
        <v>797</v>
      </c>
      <c r="D1083" s="6">
        <f>(Table2_1[[#This Row],[Constant Prices]]-C1082)/C1082</f>
        <v>2.3763648041104687E-2</v>
      </c>
      <c r="E1083" s="6">
        <f>(Table2_1[[#This Row],[Constant Prices]]-C1079)/C1079</f>
        <v>4.1830065359477121E-2</v>
      </c>
      <c r="F1083" s="2">
        <v>844.9</v>
      </c>
      <c r="G1083" s="7">
        <f>(Table2_1[[#This Row],[Current Prices]]-F1082)/F1082</f>
        <v>2.4121212121212092E-2</v>
      </c>
      <c r="H1083" s="7">
        <f>(Table2_1[[#This Row],[Current Prices]]-F1079)/F1079</f>
        <v>0.10386725894956886</v>
      </c>
      <c r="I1083" s="2">
        <v>6</v>
      </c>
    </row>
    <row r="1084" spans="1:9" x14ac:dyDescent="0.3">
      <c r="A1084" s="2" t="s">
        <v>88</v>
      </c>
      <c r="B1084" s="2" t="s">
        <v>38</v>
      </c>
      <c r="C1084" s="2">
        <v>846.9</v>
      </c>
      <c r="D1084" s="6">
        <f>(Table2_1[[#This Row],[Constant Prices]]-C1083)/C1083</f>
        <v>6.2609786700125444E-2</v>
      </c>
      <c r="E1084" s="6">
        <f>(Table2_1[[#This Row],[Constant Prices]]-C1080)/C1080</f>
        <v>0.10388425443169959</v>
      </c>
      <c r="F1084" s="2">
        <v>900.4</v>
      </c>
      <c r="G1084" s="7">
        <f>(Table2_1[[#This Row],[Current Prices]]-F1083)/F1083</f>
        <v>6.5688247129837854E-2</v>
      </c>
      <c r="H1084" s="7">
        <f>(Table2_1[[#This Row],[Current Prices]]-F1080)/F1080</f>
        <v>0.15111224750703137</v>
      </c>
      <c r="I1084" s="2"/>
    </row>
    <row r="1085" spans="1:9" x14ac:dyDescent="0.3">
      <c r="A1085" s="2" t="s">
        <v>88</v>
      </c>
      <c r="B1085" s="2" t="s">
        <v>39</v>
      </c>
      <c r="C1085" s="2">
        <v>859.5</v>
      </c>
      <c r="D1085" s="6">
        <f>(Table2_1[[#This Row],[Constant Prices]]-C1084)/C1084</f>
        <v>1.4877789585547318E-2</v>
      </c>
      <c r="E1085" s="6">
        <f>(Table2_1[[#This Row],[Constant Prices]]-C1081)/C1081</f>
        <v>0.11449688796680492</v>
      </c>
      <c r="F1085" s="2">
        <v>947</v>
      </c>
      <c r="G1085" s="7">
        <f>(Table2_1[[#This Row],[Current Prices]]-F1084)/F1084</f>
        <v>5.1754775655264353E-2</v>
      </c>
      <c r="H1085" s="7">
        <f>(Table2_1[[#This Row],[Current Prices]]-F1081)/F1081</f>
        <v>0.20437492051379888</v>
      </c>
      <c r="I1085" s="2"/>
    </row>
    <row r="1086" spans="1:9" x14ac:dyDescent="0.3">
      <c r="A1086" s="2" t="s">
        <v>88</v>
      </c>
      <c r="B1086" s="2" t="s">
        <v>40</v>
      </c>
      <c r="C1086" s="2">
        <v>869.8</v>
      </c>
      <c r="D1086" s="6">
        <f>(Table2_1[[#This Row],[Constant Prices]]-C1085)/C1085</f>
        <v>1.1983711460151198E-2</v>
      </c>
      <c r="E1086" s="6">
        <f>(Table2_1[[#This Row],[Constant Prices]]-C1082)/C1082</f>
        <v>0.11727681438664092</v>
      </c>
      <c r="F1086" s="2">
        <v>976.8</v>
      </c>
      <c r="G1086" s="7">
        <f>(Table2_1[[#This Row],[Current Prices]]-F1085)/F1085</f>
        <v>3.146779303062297E-2</v>
      </c>
      <c r="H1086" s="7">
        <f>(Table2_1[[#This Row],[Current Prices]]-F1082)/F1082</f>
        <v>0.18399999999999994</v>
      </c>
      <c r="I1086" s="2"/>
    </row>
    <row r="1087" spans="1:9" x14ac:dyDescent="0.3">
      <c r="A1087" s="2" t="s">
        <v>88</v>
      </c>
      <c r="B1087" s="2" t="s">
        <v>41</v>
      </c>
      <c r="C1087" s="2">
        <v>890.3</v>
      </c>
      <c r="D1087" s="6">
        <f>(Table2_1[[#This Row],[Constant Prices]]-C1086)/C1086</f>
        <v>2.35686364681536E-2</v>
      </c>
      <c r="E1087" s="6">
        <f>(Table2_1[[#This Row],[Constant Prices]]-C1083)/C1083</f>
        <v>0.11706398996235878</v>
      </c>
      <c r="F1087" s="2">
        <v>1031.5</v>
      </c>
      <c r="G1087" s="7">
        <f>(Table2_1[[#This Row],[Current Prices]]-F1086)/F1086</f>
        <v>5.5999180999181046E-2</v>
      </c>
      <c r="H1087" s="7">
        <f>(Table2_1[[#This Row],[Current Prices]]-F1083)/F1083</f>
        <v>0.22085453899869811</v>
      </c>
      <c r="I1087" s="2">
        <v>7</v>
      </c>
    </row>
    <row r="1088" spans="1:9" x14ac:dyDescent="0.3">
      <c r="A1088" s="2" t="s">
        <v>88</v>
      </c>
      <c r="B1088" s="2" t="s">
        <v>42</v>
      </c>
      <c r="C1088" s="2">
        <v>899</v>
      </c>
      <c r="D1088" s="6">
        <f>(Table2_1[[#This Row],[Constant Prices]]-C1087)/C1087</f>
        <v>9.7719869706840903E-3</v>
      </c>
      <c r="E1088" s="6">
        <f>(Table2_1[[#This Row],[Constant Prices]]-C1084)/C1084</f>
        <v>6.1518479159286842E-2</v>
      </c>
      <c r="F1088" s="2">
        <v>1058.8</v>
      </c>
      <c r="G1088" s="7">
        <f>(Table2_1[[#This Row],[Current Prices]]-F1087)/F1087</f>
        <v>2.6466311197285462E-2</v>
      </c>
      <c r="H1088" s="7">
        <f>(Table2_1[[#This Row],[Current Prices]]-F1084)/F1084</f>
        <v>0.17592181252776543</v>
      </c>
      <c r="I1088" s="2"/>
    </row>
    <row r="1089" spans="1:9" x14ac:dyDescent="0.3">
      <c r="A1089" s="2" t="s">
        <v>88</v>
      </c>
      <c r="B1089" s="2" t="s">
        <v>43</v>
      </c>
      <c r="C1089" s="2">
        <v>907.5</v>
      </c>
      <c r="D1089" s="6">
        <f>(Table2_1[[#This Row],[Constant Prices]]-C1088)/C1088</f>
        <v>9.4549499443826474E-3</v>
      </c>
      <c r="E1089" s="6">
        <f>(Table2_1[[#This Row],[Constant Prices]]-C1085)/C1085</f>
        <v>5.5846422338568937E-2</v>
      </c>
      <c r="F1089" s="2">
        <v>1104</v>
      </c>
      <c r="G1089" s="7">
        <f>(Table2_1[[#This Row],[Current Prices]]-F1088)/F1088</f>
        <v>4.2689837551945643E-2</v>
      </c>
      <c r="H1089" s="7">
        <f>(Table2_1[[#This Row],[Current Prices]]-F1085)/F1085</f>
        <v>0.16578669482576558</v>
      </c>
      <c r="I1089" s="2"/>
    </row>
    <row r="1090" spans="1:9" x14ac:dyDescent="0.3">
      <c r="A1090" s="2" t="s">
        <v>88</v>
      </c>
      <c r="B1090" s="2" t="s">
        <v>44</v>
      </c>
      <c r="C1090" s="2">
        <v>911.9</v>
      </c>
      <c r="D1090" s="6">
        <f>(Table2_1[[#This Row],[Constant Prices]]-C1089)/C1089</f>
        <v>4.8484848484848233E-3</v>
      </c>
      <c r="E1090" s="6">
        <f>(Table2_1[[#This Row],[Constant Prices]]-C1086)/C1086</f>
        <v>4.8401931478500831E-2</v>
      </c>
      <c r="F1090" s="2">
        <v>1105.3</v>
      </c>
      <c r="G1090" s="7">
        <f>(Table2_1[[#This Row],[Current Prices]]-F1089)/F1089</f>
        <v>1.1775362318840168E-3</v>
      </c>
      <c r="H1090" s="7">
        <f>(Table2_1[[#This Row],[Current Prices]]-F1086)/F1086</f>
        <v>0.13155200655200655</v>
      </c>
      <c r="I1090" s="2"/>
    </row>
    <row r="1091" spans="1:9" x14ac:dyDescent="0.3">
      <c r="A1091" s="2" t="s">
        <v>88</v>
      </c>
      <c r="B1091" s="2" t="s">
        <v>45</v>
      </c>
      <c r="C1091" s="2">
        <v>913.4</v>
      </c>
      <c r="D1091" s="6">
        <f>(Table2_1[[#This Row],[Constant Prices]]-C1090)/C1090</f>
        <v>1.644917205833973E-3</v>
      </c>
      <c r="E1091" s="6">
        <f>(Table2_1[[#This Row],[Constant Prices]]-C1087)/C1087</f>
        <v>2.5946310232505924E-2</v>
      </c>
      <c r="F1091" s="2">
        <v>1110.5999999999999</v>
      </c>
      <c r="G1091" s="7">
        <f>(Table2_1[[#This Row],[Current Prices]]-F1090)/F1090</f>
        <v>4.795078259296078E-3</v>
      </c>
      <c r="H1091" s="7">
        <f>(Table2_1[[#This Row],[Current Prices]]-F1087)/F1087</f>
        <v>7.6684440135724591E-2</v>
      </c>
      <c r="I1091" s="2">
        <v>8</v>
      </c>
    </row>
    <row r="1092" spans="1:9" x14ac:dyDescent="0.3">
      <c r="A1092" s="2" t="s">
        <v>88</v>
      </c>
      <c r="B1092" s="2" t="s">
        <v>46</v>
      </c>
      <c r="C1092" s="2">
        <v>922.6</v>
      </c>
      <c r="D1092" s="6">
        <f>(Table2_1[[#This Row],[Constant Prices]]-C1091)/C1091</f>
        <v>1.0072257499452645E-2</v>
      </c>
      <c r="E1092" s="6">
        <f>(Table2_1[[#This Row],[Constant Prices]]-C1088)/C1088</f>
        <v>2.6251390433815375E-2</v>
      </c>
      <c r="F1092" s="2">
        <v>1231</v>
      </c>
      <c r="G1092" s="7">
        <f>(Table2_1[[#This Row],[Current Prices]]-F1091)/F1091</f>
        <v>0.10840986853952828</v>
      </c>
      <c r="H1092" s="7">
        <f>(Table2_1[[#This Row],[Current Prices]]-F1088)/F1088</f>
        <v>0.16263694748772201</v>
      </c>
      <c r="I1092" s="2"/>
    </row>
    <row r="1093" spans="1:9" x14ac:dyDescent="0.3">
      <c r="A1093" s="2" t="s">
        <v>88</v>
      </c>
      <c r="B1093" s="2" t="s">
        <v>47</v>
      </c>
      <c r="C1093" s="2">
        <v>918.4</v>
      </c>
      <c r="D1093" s="6">
        <f>(Table2_1[[#This Row],[Constant Prices]]-C1092)/C1092</f>
        <v>-4.5523520485584714E-3</v>
      </c>
      <c r="E1093" s="6">
        <f>(Table2_1[[#This Row],[Constant Prices]]-C1089)/C1089</f>
        <v>1.2011019283746531E-2</v>
      </c>
      <c r="F1093" s="2">
        <v>1233.3</v>
      </c>
      <c r="G1093" s="7">
        <f>(Table2_1[[#This Row],[Current Prices]]-F1092)/F1092</f>
        <v>1.8683996750608891E-3</v>
      </c>
      <c r="H1093" s="7">
        <f>(Table2_1[[#This Row],[Current Prices]]-F1089)/F1089</f>
        <v>0.11711956521739127</v>
      </c>
      <c r="I1093" s="2"/>
    </row>
    <row r="1094" spans="1:9" x14ac:dyDescent="0.3">
      <c r="A1094" s="2" t="s">
        <v>88</v>
      </c>
      <c r="B1094" s="2" t="s">
        <v>48</v>
      </c>
      <c r="C1094" s="2">
        <v>920.8</v>
      </c>
      <c r="D1094" s="6">
        <f>(Table2_1[[#This Row],[Constant Prices]]-C1093)/C1093</f>
        <v>2.6132404181184424E-3</v>
      </c>
      <c r="E1094" s="6">
        <f>(Table2_1[[#This Row],[Constant Prices]]-C1090)/C1090</f>
        <v>9.7598420879482159E-3</v>
      </c>
      <c r="F1094" s="2">
        <v>1245.4000000000001</v>
      </c>
      <c r="G1094" s="7">
        <f>(Table2_1[[#This Row],[Current Prices]]-F1093)/F1093</f>
        <v>9.811075975026463E-3</v>
      </c>
      <c r="H1094" s="7">
        <f>(Table2_1[[#This Row],[Current Prices]]-F1090)/F1090</f>
        <v>0.12675291775988431</v>
      </c>
      <c r="I1094" s="2"/>
    </row>
    <row r="1095" spans="1:9" x14ac:dyDescent="0.3">
      <c r="A1095" s="2" t="s">
        <v>88</v>
      </c>
      <c r="B1095" s="2" t="s">
        <v>49</v>
      </c>
      <c r="C1095" s="2">
        <v>917.1</v>
      </c>
      <c r="D1095" s="6">
        <f>(Table2_1[[#This Row],[Constant Prices]]-C1094)/C1094</f>
        <v>-4.018245004343975E-3</v>
      </c>
      <c r="E1095" s="6">
        <f>(Table2_1[[#This Row],[Constant Prices]]-C1091)/C1091</f>
        <v>4.0507992117364191E-3</v>
      </c>
      <c r="F1095" s="2">
        <v>1237.2</v>
      </c>
      <c r="G1095" s="7">
        <f>(Table2_1[[#This Row],[Current Prices]]-F1094)/F1094</f>
        <v>-6.5842299662759313E-3</v>
      </c>
      <c r="H1095" s="7">
        <f>(Table2_1[[#This Row],[Current Prices]]-F1091)/F1091</f>
        <v>0.1139924365207997</v>
      </c>
      <c r="I1095" s="2">
        <v>9</v>
      </c>
    </row>
    <row r="1096" spans="1:9" x14ac:dyDescent="0.3">
      <c r="A1096" s="2" t="s">
        <v>88</v>
      </c>
      <c r="B1096" s="2" t="s">
        <v>50</v>
      </c>
      <c r="C1096" s="2">
        <v>895.8</v>
      </c>
      <c r="D1096" s="6">
        <f>(Table2_1[[#This Row],[Constant Prices]]-C1095)/C1095</f>
        <v>-2.3225384363755389E-2</v>
      </c>
      <c r="E1096" s="6">
        <f>(Table2_1[[#This Row],[Constant Prices]]-C1092)/C1092</f>
        <v>-2.9048341643182384E-2</v>
      </c>
      <c r="F1096" s="2">
        <v>1265.8</v>
      </c>
      <c r="G1096" s="7">
        <f>(Table2_1[[#This Row],[Current Prices]]-F1095)/F1095</f>
        <v>2.311671516327183E-2</v>
      </c>
      <c r="H1096" s="7">
        <f>(Table2_1[[#This Row],[Current Prices]]-F1092)/F1092</f>
        <v>2.8269699431356585E-2</v>
      </c>
      <c r="I1096" s="2"/>
    </row>
    <row r="1097" spans="1:9" x14ac:dyDescent="0.3">
      <c r="A1097" s="2" t="s">
        <v>88</v>
      </c>
      <c r="B1097" s="2" t="s">
        <v>51</v>
      </c>
      <c r="C1097" s="2">
        <v>842.3</v>
      </c>
      <c r="D1097" s="6">
        <f>(Table2_1[[#This Row],[Constant Prices]]-C1096)/C1096</f>
        <v>-5.9723152489394957E-2</v>
      </c>
      <c r="E1097" s="6">
        <f>(Table2_1[[#This Row],[Constant Prices]]-C1093)/C1093</f>
        <v>-8.2861498257839741E-2</v>
      </c>
      <c r="F1097" s="2">
        <v>1100.2</v>
      </c>
      <c r="G1097" s="7">
        <f>(Table2_1[[#This Row],[Current Prices]]-F1096)/F1096</f>
        <v>-0.13082635487438768</v>
      </c>
      <c r="H1097" s="7">
        <f>(Table2_1[[#This Row],[Current Prices]]-F1093)/F1093</f>
        <v>-0.10792183572528981</v>
      </c>
      <c r="I1097" s="2"/>
    </row>
    <row r="1098" spans="1:9" x14ac:dyDescent="0.3">
      <c r="A1098" s="2" t="s">
        <v>88</v>
      </c>
      <c r="B1098" s="2" t="s">
        <v>52</v>
      </c>
      <c r="C1098" s="2">
        <v>855</v>
      </c>
      <c r="D1098" s="6">
        <f>(Table2_1[[#This Row],[Constant Prices]]-C1097)/C1097</f>
        <v>1.5077763267244505E-2</v>
      </c>
      <c r="E1098" s="6">
        <f>(Table2_1[[#This Row],[Constant Prices]]-C1094)/C1094</f>
        <v>-7.1459600347523841E-2</v>
      </c>
      <c r="F1098" s="2">
        <v>1290.4000000000001</v>
      </c>
      <c r="G1098" s="7">
        <f>(Table2_1[[#This Row],[Current Prices]]-F1097)/F1097</f>
        <v>0.17287765860752594</v>
      </c>
      <c r="H1098" s="7">
        <f>(Table2_1[[#This Row],[Current Prices]]-F1094)/F1094</f>
        <v>3.6132969327123815E-2</v>
      </c>
      <c r="I1098" s="2"/>
    </row>
    <row r="1099" spans="1:9" x14ac:dyDescent="0.3">
      <c r="A1099" s="2" t="s">
        <v>88</v>
      </c>
      <c r="B1099" s="2" t="s">
        <v>53</v>
      </c>
      <c r="C1099" s="2">
        <v>915.1</v>
      </c>
      <c r="D1099" s="6">
        <f>(Table2_1[[#This Row],[Constant Prices]]-C1098)/C1098</f>
        <v>7.029239766081874E-2</v>
      </c>
      <c r="E1099" s="6">
        <f>(Table2_1[[#This Row],[Constant Prices]]-C1095)/C1095</f>
        <v>-2.180787264202377E-3</v>
      </c>
      <c r="F1099" s="2">
        <v>1327.3</v>
      </c>
      <c r="G1099" s="7">
        <f>(Table2_1[[#This Row],[Current Prices]]-F1098)/F1098</f>
        <v>2.8595784252944716E-2</v>
      </c>
      <c r="H1099" s="7">
        <f>(Table2_1[[#This Row],[Current Prices]]-F1095)/F1095</f>
        <v>7.2825735531846028E-2</v>
      </c>
      <c r="I1099" s="2">
        <v>10</v>
      </c>
    </row>
    <row r="1100" spans="1:9" x14ac:dyDescent="0.3">
      <c r="A1100" s="2" t="s">
        <v>88</v>
      </c>
      <c r="B1100" s="2" t="s">
        <v>54</v>
      </c>
      <c r="C1100" s="2">
        <v>912.5</v>
      </c>
      <c r="D1100" s="6">
        <f>(Table2_1[[#This Row],[Constant Prices]]-C1099)/C1099</f>
        <v>-2.841219538848238E-3</v>
      </c>
      <c r="E1100" s="6">
        <f>(Table2_1[[#This Row],[Constant Prices]]-C1096)/C1096</f>
        <v>1.8642554141549503E-2</v>
      </c>
      <c r="F1100" s="2">
        <v>1266.5999999999999</v>
      </c>
      <c r="G1100" s="7">
        <f>(Table2_1[[#This Row],[Current Prices]]-F1099)/F1099</f>
        <v>-4.5731937014992875E-2</v>
      </c>
      <c r="H1100" s="7">
        <f>(Table2_1[[#This Row],[Current Prices]]-F1096)/F1096</f>
        <v>6.320113762047358E-4</v>
      </c>
      <c r="I1100" s="2"/>
    </row>
    <row r="1101" spans="1:9" x14ac:dyDescent="0.3">
      <c r="A1101" s="2" t="s">
        <v>88</v>
      </c>
      <c r="B1101" s="2" t="s">
        <v>55</v>
      </c>
      <c r="C1101" s="2">
        <v>909.8</v>
      </c>
      <c r="D1101" s="6">
        <f>(Table2_1[[#This Row],[Constant Prices]]-C1100)/C1100</f>
        <v>-2.9589041095890909E-3</v>
      </c>
      <c r="E1101" s="6">
        <f>(Table2_1[[#This Row],[Constant Prices]]-C1097)/C1097</f>
        <v>8.0137718152677201E-2</v>
      </c>
      <c r="F1101" s="2">
        <v>1267.3</v>
      </c>
      <c r="G1101" s="7">
        <f>(Table2_1[[#This Row],[Current Prices]]-F1100)/F1100</f>
        <v>5.5266066635089651E-4</v>
      </c>
      <c r="H1101" s="7">
        <f>(Table2_1[[#This Row],[Current Prices]]-F1097)/F1097</f>
        <v>0.15188147609525532</v>
      </c>
      <c r="I1101" s="2"/>
    </row>
    <row r="1102" spans="1:9" x14ac:dyDescent="0.3">
      <c r="A1102" s="2" t="s">
        <v>88</v>
      </c>
      <c r="B1102" s="2" t="s">
        <v>56</v>
      </c>
      <c r="C1102" s="2">
        <v>901.4</v>
      </c>
      <c r="D1102" s="6">
        <f>(Table2_1[[#This Row],[Constant Prices]]-C1101)/C1101</f>
        <v>-9.232798417234532E-3</v>
      </c>
      <c r="E1102" s="6">
        <f>(Table2_1[[#This Row],[Constant Prices]]-C1098)/C1098</f>
        <v>5.4269005847953189E-2</v>
      </c>
      <c r="F1102" s="2">
        <v>1285.5</v>
      </c>
      <c r="G1102" s="7">
        <f>(Table2_1[[#This Row],[Current Prices]]-F1101)/F1101</f>
        <v>1.4361240432415408E-2</v>
      </c>
      <c r="H1102" s="7">
        <f>(Table2_1[[#This Row],[Current Prices]]-F1098)/F1098</f>
        <v>-3.7972721636702501E-3</v>
      </c>
      <c r="I1102" s="2"/>
    </row>
    <row r="1103" spans="1:9" x14ac:dyDescent="0.3">
      <c r="A1103" s="2" t="s">
        <v>88</v>
      </c>
      <c r="B1103" s="2" t="s">
        <v>57</v>
      </c>
      <c r="C1103" s="2">
        <v>898</v>
      </c>
      <c r="D1103" s="6">
        <f>(Table2_1[[#This Row],[Constant Prices]]-C1102)/C1102</f>
        <v>-3.7719103616596153E-3</v>
      </c>
      <c r="E1103" s="6">
        <f>(Table2_1[[#This Row],[Constant Prices]]-C1099)/C1099</f>
        <v>-1.868648235165558E-2</v>
      </c>
      <c r="F1103" s="2">
        <v>1313.8</v>
      </c>
      <c r="G1103" s="7">
        <f>(Table2_1[[#This Row],[Current Prices]]-F1102)/F1102</f>
        <v>2.2014780241151267E-2</v>
      </c>
      <c r="H1103" s="7">
        <f>(Table2_1[[#This Row],[Current Prices]]-F1099)/F1099</f>
        <v>-1.0171023883070895E-2</v>
      </c>
      <c r="I1103" s="2">
        <v>11</v>
      </c>
    </row>
    <row r="1104" spans="1:9" x14ac:dyDescent="0.3">
      <c r="A1104" s="2" t="s">
        <v>88</v>
      </c>
      <c r="B1104" s="2" t="s">
        <v>58</v>
      </c>
      <c r="C1104" s="2">
        <v>959.8</v>
      </c>
      <c r="D1104" s="6">
        <f>(Table2_1[[#This Row],[Constant Prices]]-C1103)/C1103</f>
        <v>6.8819599109131352E-2</v>
      </c>
      <c r="E1104" s="6">
        <f>(Table2_1[[#This Row],[Constant Prices]]-C1100)/C1100</f>
        <v>5.1835616438356116E-2</v>
      </c>
      <c r="F1104" s="2">
        <v>1366</v>
      </c>
      <c r="G1104" s="7">
        <f>(Table2_1[[#This Row],[Current Prices]]-F1103)/F1103</f>
        <v>3.9732074897244667E-2</v>
      </c>
      <c r="H1104" s="7">
        <f>(Table2_1[[#This Row],[Current Prices]]-F1100)/F1100</f>
        <v>7.8477814621822281E-2</v>
      </c>
      <c r="I1104" s="2"/>
    </row>
    <row r="1105" spans="1:9" x14ac:dyDescent="0.3">
      <c r="A1105" s="2" t="s">
        <v>88</v>
      </c>
      <c r="B1105" s="2" t="s">
        <v>59</v>
      </c>
      <c r="C1105" s="2">
        <v>973.5</v>
      </c>
      <c r="D1105" s="6">
        <f>(Table2_1[[#This Row],[Constant Prices]]-C1104)/C1104</f>
        <v>1.4273807043134034E-2</v>
      </c>
      <c r="E1105" s="6">
        <f>(Table2_1[[#This Row],[Constant Prices]]-C1101)/C1101</f>
        <v>7.0015387997362108E-2</v>
      </c>
      <c r="F1105" s="2">
        <v>1379.8</v>
      </c>
      <c r="G1105" s="7">
        <f>(Table2_1[[#This Row],[Current Prices]]-F1104)/F1104</f>
        <v>1.0102489019033642E-2</v>
      </c>
      <c r="H1105" s="7">
        <f>(Table2_1[[#This Row],[Current Prices]]-F1101)/F1101</f>
        <v>8.8771403771798318E-2</v>
      </c>
      <c r="I1105" s="2"/>
    </row>
    <row r="1106" spans="1:9" x14ac:dyDescent="0.3">
      <c r="A1106" s="2" t="s">
        <v>88</v>
      </c>
      <c r="B1106" s="2" t="s">
        <v>60</v>
      </c>
      <c r="C1106" s="2">
        <v>976.3</v>
      </c>
      <c r="D1106" s="6">
        <f>(Table2_1[[#This Row],[Constant Prices]]-C1105)/C1105</f>
        <v>2.876219825372321E-3</v>
      </c>
      <c r="E1106" s="6">
        <f>(Table2_1[[#This Row],[Constant Prices]]-C1102)/C1102</f>
        <v>8.309296649656088E-2</v>
      </c>
      <c r="F1106" s="2">
        <v>1455.4</v>
      </c>
      <c r="G1106" s="7">
        <f>(Table2_1[[#This Row],[Current Prices]]-F1105)/F1105</f>
        <v>5.4790549354979082E-2</v>
      </c>
      <c r="H1106" s="7">
        <f>(Table2_1[[#This Row],[Current Prices]]-F1102)/F1102</f>
        <v>0.13216647218980948</v>
      </c>
      <c r="I1106" s="2"/>
    </row>
    <row r="1107" spans="1:9" x14ac:dyDescent="0.3">
      <c r="A1107" s="2" t="s">
        <v>88</v>
      </c>
      <c r="B1107" s="2" t="s">
        <v>61</v>
      </c>
      <c r="C1107" s="2">
        <v>968.1</v>
      </c>
      <c r="D1107" s="6">
        <f>(Table2_1[[#This Row],[Constant Prices]]-C1106)/C1106</f>
        <v>-8.3990576667007395E-3</v>
      </c>
      <c r="E1107" s="6">
        <f>(Table2_1[[#This Row],[Constant Prices]]-C1103)/C1103</f>
        <v>7.8062360801781763E-2</v>
      </c>
      <c r="F1107" s="2">
        <v>1484.1</v>
      </c>
      <c r="G1107" s="7">
        <f>(Table2_1[[#This Row],[Current Prices]]-F1106)/F1106</f>
        <v>1.971966469699039E-2</v>
      </c>
      <c r="H1107" s="7">
        <f>(Table2_1[[#This Row],[Current Prices]]-F1103)/F1103</f>
        <v>0.12962399147511033</v>
      </c>
      <c r="I1107" s="2">
        <v>12</v>
      </c>
    </row>
    <row r="1108" spans="1:9" x14ac:dyDescent="0.3">
      <c r="A1108" s="2" t="s">
        <v>88</v>
      </c>
      <c r="B1108" s="2" t="s">
        <v>62</v>
      </c>
      <c r="C1108" s="2">
        <v>986.2</v>
      </c>
      <c r="D1108" s="6">
        <f>(Table2_1[[#This Row],[Constant Prices]]-C1107)/C1107</f>
        <v>1.8696415659539327E-2</v>
      </c>
      <c r="E1108" s="6">
        <f>(Table2_1[[#This Row],[Constant Prices]]-C1104)/C1104</f>
        <v>2.7505730360491865E-2</v>
      </c>
      <c r="F1108" s="2">
        <v>1474.5</v>
      </c>
      <c r="G1108" s="7">
        <f>(Table2_1[[#This Row],[Current Prices]]-F1107)/F1107</f>
        <v>-6.4685668081665045E-3</v>
      </c>
      <c r="H1108" s="7">
        <f>(Table2_1[[#This Row],[Current Prices]]-F1104)/F1104</f>
        <v>7.9428989751098092E-2</v>
      </c>
      <c r="I1108" s="2"/>
    </row>
    <row r="1109" spans="1:9" x14ac:dyDescent="0.3">
      <c r="A1109" s="2" t="s">
        <v>88</v>
      </c>
      <c r="B1109" s="2" t="s">
        <v>63</v>
      </c>
      <c r="C1109" s="2">
        <v>1017.5</v>
      </c>
      <c r="D1109" s="6">
        <f>(Table2_1[[#This Row],[Constant Prices]]-C1108)/C1108</f>
        <v>3.1737984181707514E-2</v>
      </c>
      <c r="E1109" s="6">
        <f>(Table2_1[[#This Row],[Constant Prices]]-C1105)/C1105</f>
        <v>4.519774011299435E-2</v>
      </c>
      <c r="F1109" s="2">
        <v>1563.1</v>
      </c>
      <c r="G1109" s="7">
        <f>(Table2_1[[#This Row],[Current Prices]]-F1108)/F1108</f>
        <v>6.008816547982361E-2</v>
      </c>
      <c r="H1109" s="7">
        <f>(Table2_1[[#This Row],[Current Prices]]-F1105)/F1105</f>
        <v>0.13284533990433392</v>
      </c>
      <c r="I1109" s="2"/>
    </row>
    <row r="1110" spans="1:9" x14ac:dyDescent="0.3">
      <c r="A1110" s="2" t="s">
        <v>88</v>
      </c>
      <c r="B1110" s="2" t="s">
        <v>64</v>
      </c>
      <c r="C1110" s="2">
        <v>964.8</v>
      </c>
      <c r="D1110" s="6">
        <f>(Table2_1[[#This Row],[Constant Prices]]-C1109)/C1109</f>
        <v>-5.1793611793611839E-2</v>
      </c>
      <c r="E1110" s="6">
        <f>(Table2_1[[#This Row],[Constant Prices]]-C1106)/C1106</f>
        <v>-1.1779166239885282E-2</v>
      </c>
      <c r="F1110" s="2">
        <v>1569.3</v>
      </c>
      <c r="G1110" s="7">
        <f>(Table2_1[[#This Row],[Current Prices]]-F1109)/F1109</f>
        <v>3.9664768728808432E-3</v>
      </c>
      <c r="H1110" s="7">
        <f>(Table2_1[[#This Row],[Current Prices]]-F1106)/F1106</f>
        <v>7.8260272090146937E-2</v>
      </c>
      <c r="I1110" s="2"/>
    </row>
    <row r="1111" spans="1:9" x14ac:dyDescent="0.3">
      <c r="A1111" s="2" t="s">
        <v>88</v>
      </c>
      <c r="B1111" s="2" t="s">
        <v>65</v>
      </c>
      <c r="C1111" s="2">
        <v>1025.5999999999999</v>
      </c>
      <c r="D1111" s="6">
        <f>(Table2_1[[#This Row],[Constant Prices]]-C1110)/C1110</f>
        <v>6.3018242122719684E-2</v>
      </c>
      <c r="E1111" s="6">
        <f>(Table2_1[[#This Row],[Constant Prices]]-C1107)/C1107</f>
        <v>5.9394690631133028E-2</v>
      </c>
      <c r="F1111" s="2">
        <v>1648</v>
      </c>
      <c r="G1111" s="7">
        <f>(Table2_1[[#This Row],[Current Prices]]-F1110)/F1110</f>
        <v>5.0149748295418371E-2</v>
      </c>
      <c r="H1111" s="7">
        <f>(Table2_1[[#This Row],[Current Prices]]-F1107)/F1107</f>
        <v>0.11043730206859383</v>
      </c>
      <c r="I1111" s="2">
        <v>13</v>
      </c>
    </row>
    <row r="1112" spans="1:9" x14ac:dyDescent="0.3">
      <c r="A1112" s="2" t="s">
        <v>88</v>
      </c>
      <c r="B1112" s="2" t="s">
        <v>66</v>
      </c>
      <c r="C1112" s="2">
        <v>1042.5999999999999</v>
      </c>
      <c r="D1112" s="6">
        <f>(Table2_1[[#This Row],[Constant Prices]]-C1111)/C1111</f>
        <v>1.6575663026521064E-2</v>
      </c>
      <c r="E1112" s="6">
        <f>(Table2_1[[#This Row],[Constant Prices]]-C1108)/C1108</f>
        <v>5.7189211113364287E-2</v>
      </c>
      <c r="F1112" s="2">
        <v>1578.7</v>
      </c>
      <c r="G1112" s="7">
        <f>(Table2_1[[#This Row],[Current Prices]]-F1111)/F1111</f>
        <v>-4.2050970873786384E-2</v>
      </c>
      <c r="H1112" s="7">
        <f>(Table2_1[[#This Row],[Current Prices]]-F1108)/F1108</f>
        <v>7.0668023058663987E-2</v>
      </c>
      <c r="I1112" s="2"/>
    </row>
    <row r="1113" spans="1:9" x14ac:dyDescent="0.3">
      <c r="A1113" s="2" t="s">
        <v>88</v>
      </c>
      <c r="B1113" s="2" t="s">
        <v>67</v>
      </c>
      <c r="C1113" s="2">
        <v>1049.9000000000001</v>
      </c>
      <c r="D1113" s="6">
        <f>(Table2_1[[#This Row],[Constant Prices]]-C1112)/C1112</f>
        <v>7.0017264530981994E-3</v>
      </c>
      <c r="E1113" s="6">
        <f>(Table2_1[[#This Row],[Constant Prices]]-C1109)/C1109</f>
        <v>3.1842751842751933E-2</v>
      </c>
      <c r="F1113" s="2">
        <v>1619.9</v>
      </c>
      <c r="G1113" s="7">
        <f>(Table2_1[[#This Row],[Current Prices]]-F1112)/F1112</f>
        <v>2.6097421929435639E-2</v>
      </c>
      <c r="H1113" s="7">
        <f>(Table2_1[[#This Row],[Current Prices]]-F1109)/F1109</f>
        <v>3.6338046190263054E-2</v>
      </c>
      <c r="I1113" s="2"/>
    </row>
    <row r="1114" spans="1:9" x14ac:dyDescent="0.3">
      <c r="A1114" s="2" t="s">
        <v>88</v>
      </c>
      <c r="B1114" s="2" t="s">
        <v>68</v>
      </c>
      <c r="C1114" s="2">
        <v>1004.6</v>
      </c>
      <c r="D1114" s="6">
        <f>(Table2_1[[#This Row],[Constant Prices]]-C1113)/C1113</f>
        <v>-4.3146966377750326E-2</v>
      </c>
      <c r="E1114" s="6">
        <f>(Table2_1[[#This Row],[Constant Prices]]-C1110)/C1110</f>
        <v>4.1252072968490955E-2</v>
      </c>
      <c r="F1114" s="2">
        <v>1626.9</v>
      </c>
      <c r="G1114" s="7">
        <f>(Table2_1[[#This Row],[Current Prices]]-F1113)/F1113</f>
        <v>4.321254398419655E-3</v>
      </c>
      <c r="H1114" s="7">
        <f>(Table2_1[[#This Row],[Current Prices]]-F1110)/F1110</f>
        <v>3.6704263047218591E-2</v>
      </c>
      <c r="I1114" s="2"/>
    </row>
    <row r="1115" spans="1:9" x14ac:dyDescent="0.3">
      <c r="A1115" s="2" t="s">
        <v>88</v>
      </c>
      <c r="B1115" s="2" t="s">
        <v>69</v>
      </c>
      <c r="C1115" s="2">
        <v>1002.6</v>
      </c>
      <c r="D1115" s="6">
        <f>(Table2_1[[#This Row],[Constant Prices]]-C1114)/C1114</f>
        <v>-1.9908421262193909E-3</v>
      </c>
      <c r="E1115" s="6">
        <f>(Table2_1[[#This Row],[Constant Prices]]-C1111)/C1111</f>
        <v>-2.2425897035881326E-2</v>
      </c>
      <c r="F1115" s="5">
        <f>Table2_1[[#This Row],[Constant Prices]]*AVERAGE(Inflation!$C$72:$C$74)*0.01</f>
        <v>1815.0401999999999</v>
      </c>
      <c r="G1115" s="7">
        <f>(Table2_1[[#This Row],[Current Prices]]-F1114)/F1114</f>
        <v>0.11564337082795489</v>
      </c>
      <c r="H1115" s="7">
        <f>(Table2_1[[#This Row],[Current Prices]]-F1111)/F1111</f>
        <v>0.10135934466019413</v>
      </c>
      <c r="I1115" s="2">
        <v>14</v>
      </c>
    </row>
    <row r="1116" spans="1:9" x14ac:dyDescent="0.3">
      <c r="A1116" s="2" t="s">
        <v>88</v>
      </c>
      <c r="B1116" s="2" t="s">
        <v>70</v>
      </c>
      <c r="C1116" s="2">
        <v>953</v>
      </c>
      <c r="D1116" s="6">
        <f>(Table2_1[[#This Row],[Constant Prices]]-C1115)/C1115</f>
        <v>-4.9471374426491146E-2</v>
      </c>
      <c r="E1116" s="6">
        <f>(Table2_1[[#This Row],[Constant Prices]]-C1112)/C1112</f>
        <v>-8.5938998657203072E-2</v>
      </c>
      <c r="F1116" s="5">
        <f>Table2_1[[#This Row],[Constant Prices]]*AVERAGE(Inflation!$C$75:$C$77)*0.01</f>
        <v>1738.5896666666665</v>
      </c>
      <c r="G1116" s="7">
        <f>(Table2_1[[#This Row],[Current Prices]]-F1115)/F1115</f>
        <v>-4.2120573050301258E-2</v>
      </c>
      <c r="H1116" s="7">
        <f>(Table2_1[[#This Row],[Current Prices]]-F1112)/F1112</f>
        <v>0.10127932264943718</v>
      </c>
      <c r="I1116" s="2"/>
    </row>
    <row r="1117" spans="1:9" x14ac:dyDescent="0.3">
      <c r="A1117" s="2" t="s">
        <v>88</v>
      </c>
      <c r="B1117" s="2" t="s">
        <v>71</v>
      </c>
      <c r="C1117" s="2">
        <v>978.2</v>
      </c>
      <c r="D1117" s="6">
        <f>(Table2_1[[#This Row],[Constant Prices]]-C1116)/C1116</f>
        <v>2.644281217208819E-2</v>
      </c>
      <c r="E1117" s="6">
        <f>(Table2_1[[#This Row],[Constant Prices]]-C1113)/C1113</f>
        <v>-6.829221830650542E-2</v>
      </c>
      <c r="F1117" s="5">
        <f>Table2_1[[#This Row],[Constant Prices]]*AVERAGE(Inflation!$C$78:$C$80)*0.01</f>
        <v>1812.9306666666669</v>
      </c>
      <c r="G1117" s="7">
        <f>(Table2_1[[#This Row],[Current Prices]]-F1116)/F1116</f>
        <v>4.275937066998195E-2</v>
      </c>
      <c r="H1117" s="7">
        <f>(Table2_1[[#This Row],[Current Prices]]-F1113)/F1113</f>
        <v>0.11916208819474459</v>
      </c>
      <c r="I1117" s="2"/>
    </row>
    <row r="1118" spans="1:9" x14ac:dyDescent="0.3">
      <c r="A1118" s="2" t="s">
        <v>89</v>
      </c>
      <c r="B1118" s="2" t="s">
        <v>10</v>
      </c>
      <c r="C1118" s="2">
        <v>1620.9</v>
      </c>
      <c r="D1118" s="6"/>
      <c r="E1118" s="6"/>
      <c r="F1118" s="2">
        <v>1264.5</v>
      </c>
      <c r="G1118" s="7"/>
      <c r="H1118" s="7"/>
      <c r="I1118" s="2"/>
    </row>
    <row r="1119" spans="1:9" x14ac:dyDescent="0.3">
      <c r="A1119" s="2" t="s">
        <v>89</v>
      </c>
      <c r="B1119" s="2" t="s">
        <v>11</v>
      </c>
      <c r="C1119" s="2">
        <v>1645.8</v>
      </c>
      <c r="D1119" s="6">
        <f>(Table2_1[[#This Row],[Constant Prices]]-C1118)/C1118</f>
        <v>1.5361836017027493E-2</v>
      </c>
      <c r="E1119" s="6"/>
      <c r="F1119" s="2">
        <v>1305.9000000000001</v>
      </c>
      <c r="G1119" s="7">
        <f>(Table2_1[[#This Row],[Current Prices]]-F1118)/F1118</f>
        <v>3.2740213523131743E-2</v>
      </c>
      <c r="H1119" s="7"/>
      <c r="I1119" s="2"/>
    </row>
    <row r="1120" spans="1:9" x14ac:dyDescent="0.3">
      <c r="A1120" s="2" t="s">
        <v>89</v>
      </c>
      <c r="B1120" s="2" t="s">
        <v>12</v>
      </c>
      <c r="C1120" s="2">
        <v>1672</v>
      </c>
      <c r="D1120" s="6">
        <f>(Table2_1[[#This Row],[Constant Prices]]-C1119)/C1119</f>
        <v>1.5919309758172344E-2</v>
      </c>
      <c r="E1120" s="6"/>
      <c r="F1120" s="2">
        <v>1327.5</v>
      </c>
      <c r="G1120" s="7">
        <f>(Table2_1[[#This Row],[Current Prices]]-F1119)/F1119</f>
        <v>1.6540317022742865E-2</v>
      </c>
      <c r="H1120" s="7"/>
      <c r="I1120" s="2"/>
    </row>
    <row r="1121" spans="1:9" x14ac:dyDescent="0.3">
      <c r="A1121" s="2" t="s">
        <v>89</v>
      </c>
      <c r="B1121" s="2" t="s">
        <v>13</v>
      </c>
      <c r="C1121" s="2">
        <v>1713.2</v>
      </c>
      <c r="D1121" s="6">
        <f>(Table2_1[[#This Row],[Constant Prices]]-C1120)/C1120</f>
        <v>2.464114832535888E-2</v>
      </c>
      <c r="E1121" s="6"/>
      <c r="F1121" s="2">
        <v>1362.5</v>
      </c>
      <c r="G1121" s="7">
        <f>(Table2_1[[#This Row],[Current Prices]]-F1120)/F1120</f>
        <v>2.6365348399246705E-2</v>
      </c>
      <c r="H1121" s="7"/>
      <c r="I1121" s="2"/>
    </row>
    <row r="1122" spans="1:9" x14ac:dyDescent="0.3">
      <c r="A1122" s="2" t="s">
        <v>89</v>
      </c>
      <c r="B1122" s="2" t="s">
        <v>14</v>
      </c>
      <c r="C1122" s="2">
        <v>1772.4</v>
      </c>
      <c r="D1122" s="6">
        <f>(Table2_1[[#This Row],[Constant Prices]]-C1121)/C1121</f>
        <v>3.4555218304926479E-2</v>
      </c>
      <c r="E1122" s="6">
        <f>(Table2_1[[#This Row],[Constant Prices]]-C1118)/C1118</f>
        <v>9.3466592633722007E-2</v>
      </c>
      <c r="F1122" s="2">
        <v>1430.4</v>
      </c>
      <c r="G1122" s="7">
        <f>(Table2_1[[#This Row],[Current Prices]]-F1121)/F1121</f>
        <v>4.9834862385321164E-2</v>
      </c>
      <c r="H1122" s="7">
        <f>(Table2_1[[#This Row],[Current Prices]]-F1118)/F1118</f>
        <v>0.13119810201660742</v>
      </c>
      <c r="I1122" s="2"/>
    </row>
    <row r="1123" spans="1:9" x14ac:dyDescent="0.3">
      <c r="A1123" s="2" t="s">
        <v>89</v>
      </c>
      <c r="B1123" s="2" t="s">
        <v>15</v>
      </c>
      <c r="C1123" s="2">
        <v>1821.5</v>
      </c>
      <c r="D1123" s="6">
        <f>(Table2_1[[#This Row],[Constant Prices]]-C1122)/C1122</f>
        <v>2.7702550214398502E-2</v>
      </c>
      <c r="E1123" s="6">
        <f>(Table2_1[[#This Row],[Constant Prices]]-C1119)/C1119</f>
        <v>0.10675659253858309</v>
      </c>
      <c r="F1123" s="2">
        <v>1500</v>
      </c>
      <c r="G1123" s="7">
        <f>(Table2_1[[#This Row],[Current Prices]]-F1122)/F1122</f>
        <v>4.8657718120805306E-2</v>
      </c>
      <c r="H1123" s="7">
        <f>(Table2_1[[#This Row],[Current Prices]]-F1119)/F1119</f>
        <v>0.14863312657937047</v>
      </c>
      <c r="I1123" s="2"/>
    </row>
    <row r="1124" spans="1:9" x14ac:dyDescent="0.3">
      <c r="A1124" s="2" t="s">
        <v>89</v>
      </c>
      <c r="B1124" s="2" t="s">
        <v>16</v>
      </c>
      <c r="C1124" s="2">
        <v>1874</v>
      </c>
      <c r="D1124" s="6">
        <f>(Table2_1[[#This Row],[Constant Prices]]-C1123)/C1123</f>
        <v>2.8822399121603073E-2</v>
      </c>
      <c r="E1124" s="6">
        <f>(Table2_1[[#This Row],[Constant Prices]]-C1120)/C1120</f>
        <v>0.12081339712918661</v>
      </c>
      <c r="F1124" s="2">
        <v>1563.4</v>
      </c>
      <c r="G1124" s="7">
        <f>(Table2_1[[#This Row],[Current Prices]]-F1123)/F1123</f>
        <v>4.226666666666673E-2</v>
      </c>
      <c r="H1124" s="7">
        <f>(Table2_1[[#This Row],[Current Prices]]-F1120)/F1120</f>
        <v>0.17770244821092285</v>
      </c>
      <c r="I1124" s="2"/>
    </row>
    <row r="1125" spans="1:9" x14ac:dyDescent="0.3">
      <c r="A1125" s="2" t="s">
        <v>89</v>
      </c>
      <c r="B1125" s="2" t="s">
        <v>17</v>
      </c>
      <c r="C1125" s="2">
        <v>1914.6</v>
      </c>
      <c r="D1125" s="6">
        <f>(Table2_1[[#This Row],[Constant Prices]]-C1124)/C1124</f>
        <v>2.1664887940234745E-2</v>
      </c>
      <c r="E1125" s="6">
        <f>(Table2_1[[#This Row],[Constant Prices]]-C1121)/C1121</f>
        <v>0.11755778659817877</v>
      </c>
      <c r="F1125" s="2">
        <v>1604</v>
      </c>
      <c r="G1125" s="7">
        <f>(Table2_1[[#This Row],[Current Prices]]-F1124)/F1124</f>
        <v>2.5969041831904762E-2</v>
      </c>
      <c r="H1125" s="7">
        <f>(Table2_1[[#This Row],[Current Prices]]-F1121)/F1121</f>
        <v>0.17724770642201834</v>
      </c>
      <c r="I1125" s="2">
        <v>1</v>
      </c>
    </row>
    <row r="1126" spans="1:9" x14ac:dyDescent="0.3">
      <c r="A1126" s="2" t="s">
        <v>89</v>
      </c>
      <c r="B1126" s="2" t="s">
        <v>18</v>
      </c>
      <c r="C1126" s="2">
        <v>1932</v>
      </c>
      <c r="D1126" s="6">
        <f>(Table2_1[[#This Row],[Constant Prices]]-C1125)/C1125</f>
        <v>9.0880601692259963E-3</v>
      </c>
      <c r="E1126" s="6">
        <f>(Table2_1[[#This Row],[Constant Prices]]-C1122)/C1122</f>
        <v>9.0047393364928854E-2</v>
      </c>
      <c r="F1126" s="2">
        <v>1651.7</v>
      </c>
      <c r="G1126" s="7">
        <f>(Table2_1[[#This Row],[Current Prices]]-F1125)/F1125</f>
        <v>2.9738154613466364E-2</v>
      </c>
      <c r="H1126" s="7">
        <f>(Table2_1[[#This Row],[Current Prices]]-F1122)/F1122</f>
        <v>0.15471196868008943</v>
      </c>
      <c r="I1126" s="2"/>
    </row>
    <row r="1127" spans="1:9" x14ac:dyDescent="0.3">
      <c r="A1127" s="2" t="s">
        <v>89</v>
      </c>
      <c r="B1127" s="2" t="s">
        <v>19</v>
      </c>
      <c r="C1127" s="2">
        <v>1960.3</v>
      </c>
      <c r="D1127" s="6">
        <f>(Table2_1[[#This Row],[Constant Prices]]-C1126)/C1126</f>
        <v>1.4648033126293973E-2</v>
      </c>
      <c r="E1127" s="6">
        <f>(Table2_1[[#This Row],[Constant Prices]]-C1123)/C1123</f>
        <v>7.6200933296733442E-2</v>
      </c>
      <c r="F1127" s="2">
        <v>1690.7</v>
      </c>
      <c r="G1127" s="7">
        <f>(Table2_1[[#This Row],[Current Prices]]-F1126)/F1126</f>
        <v>2.3612036084034629E-2</v>
      </c>
      <c r="H1127" s="7">
        <f>(Table2_1[[#This Row],[Current Prices]]-F1123)/F1123</f>
        <v>0.12713333333333338</v>
      </c>
      <c r="I1127" s="2"/>
    </row>
    <row r="1128" spans="1:9" x14ac:dyDescent="0.3">
      <c r="A1128" s="2" t="s">
        <v>89</v>
      </c>
      <c r="B1128" s="2" t="s">
        <v>20</v>
      </c>
      <c r="C1128" s="2">
        <v>1997.5</v>
      </c>
      <c r="D1128" s="6">
        <f>(Table2_1[[#This Row],[Constant Prices]]-C1127)/C1127</f>
        <v>1.8976687241748735E-2</v>
      </c>
      <c r="E1128" s="6">
        <f>(Table2_1[[#This Row],[Constant Prices]]-C1124)/C1124</f>
        <v>6.590181430096051E-2</v>
      </c>
      <c r="F1128" s="2">
        <v>1741.3</v>
      </c>
      <c r="G1128" s="7">
        <f>(Table2_1[[#This Row],[Current Prices]]-F1127)/F1127</f>
        <v>2.9928432010409834E-2</v>
      </c>
      <c r="H1128" s="7">
        <f>(Table2_1[[#This Row],[Current Prices]]-F1124)/F1124</f>
        <v>0.11379045669694247</v>
      </c>
      <c r="I1128" s="2"/>
    </row>
    <row r="1129" spans="1:9" x14ac:dyDescent="0.3">
      <c r="A1129" s="2" t="s">
        <v>89</v>
      </c>
      <c r="B1129" s="2" t="s">
        <v>21</v>
      </c>
      <c r="C1129" s="2">
        <v>2030.1</v>
      </c>
      <c r="D1129" s="6">
        <f>(Table2_1[[#This Row],[Constant Prices]]-C1128)/C1128</f>
        <v>1.6320400500625738E-2</v>
      </c>
      <c r="E1129" s="6">
        <f>(Table2_1[[#This Row],[Constant Prices]]-C1125)/C1125</f>
        <v>6.0325916640551557E-2</v>
      </c>
      <c r="F1129" s="2">
        <v>1793.7</v>
      </c>
      <c r="G1129" s="7">
        <f>(Table2_1[[#This Row],[Current Prices]]-F1128)/F1128</f>
        <v>3.0092459656578471E-2</v>
      </c>
      <c r="H1129" s="7">
        <f>(Table2_1[[#This Row],[Current Prices]]-F1125)/F1125</f>
        <v>0.11826683291770576</v>
      </c>
      <c r="I1129" s="2">
        <v>2</v>
      </c>
    </row>
    <row r="1130" spans="1:9" x14ac:dyDescent="0.3">
      <c r="A1130" s="2" t="s">
        <v>89</v>
      </c>
      <c r="B1130" s="2" t="s">
        <v>22</v>
      </c>
      <c r="C1130" s="2">
        <v>2082</v>
      </c>
      <c r="D1130" s="6">
        <f>(Table2_1[[#This Row],[Constant Prices]]-C1129)/C1129</f>
        <v>2.5565243091473372E-2</v>
      </c>
      <c r="E1130" s="6">
        <f>(Table2_1[[#This Row],[Constant Prices]]-C1126)/C1126</f>
        <v>7.7639751552795025E-2</v>
      </c>
      <c r="F1130" s="2">
        <v>1824.1</v>
      </c>
      <c r="G1130" s="7">
        <f>(Table2_1[[#This Row],[Current Prices]]-F1129)/F1129</f>
        <v>1.6948207615543213E-2</v>
      </c>
      <c r="H1130" s="7">
        <f>(Table2_1[[#This Row],[Current Prices]]-F1126)/F1126</f>
        <v>0.10437730822788634</v>
      </c>
      <c r="I1130" s="2"/>
    </row>
    <row r="1131" spans="1:9" x14ac:dyDescent="0.3">
      <c r="A1131" s="2" t="s">
        <v>89</v>
      </c>
      <c r="B1131" s="2" t="s">
        <v>23</v>
      </c>
      <c r="C1131" s="2">
        <v>2112.1</v>
      </c>
      <c r="D1131" s="6">
        <f>(Table2_1[[#This Row],[Constant Prices]]-C1130)/C1130</f>
        <v>1.4457252641690638E-2</v>
      </c>
      <c r="E1131" s="6">
        <f>(Table2_1[[#This Row],[Constant Prices]]-C1127)/C1127</f>
        <v>7.7437126970361661E-2</v>
      </c>
      <c r="F1131" s="2">
        <v>1867.6</v>
      </c>
      <c r="G1131" s="7">
        <f>(Table2_1[[#This Row],[Current Prices]]-F1130)/F1130</f>
        <v>2.3847376788553261E-2</v>
      </c>
      <c r="H1131" s="7">
        <f>(Table2_1[[#This Row],[Current Prices]]-F1127)/F1127</f>
        <v>0.10463121783876493</v>
      </c>
      <c r="I1131" s="2"/>
    </row>
    <row r="1132" spans="1:9" x14ac:dyDescent="0.3">
      <c r="A1132" s="2" t="s">
        <v>89</v>
      </c>
      <c r="B1132" s="2" t="s">
        <v>24</v>
      </c>
      <c r="C1132" s="2">
        <v>2138.1999999999998</v>
      </c>
      <c r="D1132" s="6">
        <f>(Table2_1[[#This Row],[Constant Prices]]-C1131)/C1131</f>
        <v>1.2357369442734677E-2</v>
      </c>
      <c r="E1132" s="6">
        <f>(Table2_1[[#This Row],[Constant Prices]]-C1128)/C1128</f>
        <v>7.0438047559449227E-2</v>
      </c>
      <c r="F1132" s="2">
        <v>1917.3</v>
      </c>
      <c r="G1132" s="7">
        <f>(Table2_1[[#This Row],[Current Prices]]-F1131)/F1131</f>
        <v>2.6611694152923564E-2</v>
      </c>
      <c r="H1132" s="7">
        <f>(Table2_1[[#This Row],[Current Prices]]-F1128)/F1128</f>
        <v>0.10107391029690461</v>
      </c>
      <c r="I1132" s="2"/>
    </row>
    <row r="1133" spans="1:9" x14ac:dyDescent="0.3">
      <c r="A1133" s="2" t="s">
        <v>89</v>
      </c>
      <c r="B1133" s="2" t="s">
        <v>25</v>
      </c>
      <c r="C1133" s="2">
        <v>2164.1</v>
      </c>
      <c r="D1133" s="6">
        <f>(Table2_1[[#This Row],[Constant Prices]]-C1132)/C1132</f>
        <v>1.2112992236460618E-2</v>
      </c>
      <c r="E1133" s="6">
        <f>(Table2_1[[#This Row],[Constant Prices]]-C1129)/C1129</f>
        <v>6.6006600660066014E-2</v>
      </c>
      <c r="F1133" s="2">
        <v>1963.9</v>
      </c>
      <c r="G1133" s="7">
        <f>(Table2_1[[#This Row],[Current Prices]]-F1132)/F1132</f>
        <v>2.4305012256819556E-2</v>
      </c>
      <c r="H1133" s="7">
        <f>(Table2_1[[#This Row],[Current Prices]]-F1129)/F1129</f>
        <v>9.4887662373864104E-2</v>
      </c>
      <c r="I1133" s="2">
        <v>3</v>
      </c>
    </row>
    <row r="1134" spans="1:9" x14ac:dyDescent="0.3">
      <c r="A1134" s="2" t="s">
        <v>89</v>
      </c>
      <c r="B1134" s="2" t="s">
        <v>26</v>
      </c>
      <c r="C1134" s="2">
        <v>2169.8000000000002</v>
      </c>
      <c r="D1134" s="6">
        <f>(Table2_1[[#This Row],[Constant Prices]]-C1133)/C1133</f>
        <v>2.633889376646307E-3</v>
      </c>
      <c r="E1134" s="6">
        <f>(Table2_1[[#This Row],[Constant Prices]]-C1130)/C1130</f>
        <v>4.2170989433237362E-2</v>
      </c>
      <c r="F1134" s="2">
        <v>1968.7</v>
      </c>
      <c r="G1134" s="7">
        <f>(Table2_1[[#This Row],[Current Prices]]-F1133)/F1133</f>
        <v>2.4441162992005472E-3</v>
      </c>
      <c r="H1134" s="7">
        <f>(Table2_1[[#This Row],[Current Prices]]-F1130)/F1130</f>
        <v>7.9271969738501258E-2</v>
      </c>
      <c r="I1134" s="2"/>
    </row>
    <row r="1135" spans="1:9" x14ac:dyDescent="0.3">
      <c r="A1135" s="2" t="s">
        <v>89</v>
      </c>
      <c r="B1135" s="2" t="s">
        <v>27</v>
      </c>
      <c r="C1135" s="2">
        <v>2188.8000000000002</v>
      </c>
      <c r="D1135" s="6">
        <f>(Table2_1[[#This Row],[Constant Prices]]-C1134)/C1134</f>
        <v>8.7565674255691769E-3</v>
      </c>
      <c r="E1135" s="6">
        <f>(Table2_1[[#This Row],[Constant Prices]]-C1131)/C1131</f>
        <v>3.6314568438994499E-2</v>
      </c>
      <c r="F1135" s="2">
        <v>2017.9</v>
      </c>
      <c r="G1135" s="7">
        <f>(Table2_1[[#This Row],[Current Prices]]-F1134)/F1134</f>
        <v>2.4991110885355841E-2</v>
      </c>
      <c r="H1135" s="7">
        <f>(Table2_1[[#This Row],[Current Prices]]-F1131)/F1131</f>
        <v>8.0477618333690396E-2</v>
      </c>
      <c r="I1135" s="2"/>
    </row>
    <row r="1136" spans="1:9" x14ac:dyDescent="0.3">
      <c r="A1136" s="2" t="s">
        <v>89</v>
      </c>
      <c r="B1136" s="2" t="s">
        <v>28</v>
      </c>
      <c r="C1136" s="2">
        <v>2205.8000000000002</v>
      </c>
      <c r="D1136" s="6">
        <f>(Table2_1[[#This Row],[Constant Prices]]-C1135)/C1135</f>
        <v>7.7668128654970756E-3</v>
      </c>
      <c r="E1136" s="6">
        <f>(Table2_1[[#This Row],[Constant Prices]]-C1132)/C1132</f>
        <v>3.1615377420260202E-2</v>
      </c>
      <c r="F1136" s="2">
        <v>2080.8000000000002</v>
      </c>
      <c r="G1136" s="7">
        <f>(Table2_1[[#This Row],[Current Prices]]-F1135)/F1135</f>
        <v>3.1171019376579658E-2</v>
      </c>
      <c r="H1136" s="7">
        <f>(Table2_1[[#This Row],[Current Prices]]-F1132)/F1132</f>
        <v>8.5276169613519137E-2</v>
      </c>
      <c r="I1136" s="2"/>
    </row>
    <row r="1137" spans="1:9" x14ac:dyDescent="0.3">
      <c r="A1137" s="2" t="s">
        <v>89</v>
      </c>
      <c r="B1137" s="2" t="s">
        <v>29</v>
      </c>
      <c r="C1137" s="2">
        <v>2220.1</v>
      </c>
      <c r="D1137" s="6">
        <f>(Table2_1[[#This Row],[Constant Prices]]-C1136)/C1136</f>
        <v>6.4829086952578321E-3</v>
      </c>
      <c r="E1137" s="6">
        <f>(Table2_1[[#This Row],[Constant Prices]]-C1133)/C1133</f>
        <v>2.5876807910909849E-2</v>
      </c>
      <c r="F1137" s="2">
        <v>2161.6</v>
      </c>
      <c r="G1137" s="7">
        <f>(Table2_1[[#This Row],[Current Prices]]-F1136)/F1136</f>
        <v>3.8831218762014473E-2</v>
      </c>
      <c r="H1137" s="7">
        <f>(Table2_1[[#This Row],[Current Prices]]-F1133)/F1133</f>
        <v>0.10066704007332339</v>
      </c>
      <c r="I1137" s="2">
        <v>4</v>
      </c>
    </row>
    <row r="1138" spans="1:9" x14ac:dyDescent="0.3">
      <c r="A1138" s="2" t="s">
        <v>89</v>
      </c>
      <c r="B1138" s="2" t="s">
        <v>30</v>
      </c>
      <c r="C1138" s="2">
        <v>2235</v>
      </c>
      <c r="D1138" s="6">
        <f>(Table2_1[[#This Row],[Constant Prices]]-C1137)/C1137</f>
        <v>6.7114093959731959E-3</v>
      </c>
      <c r="E1138" s="6">
        <f>(Table2_1[[#This Row],[Constant Prices]]-C1134)/C1134</f>
        <v>3.0048852428795195E-2</v>
      </c>
      <c r="F1138" s="2">
        <v>2182.1</v>
      </c>
      <c r="G1138" s="7">
        <f>(Table2_1[[#This Row],[Current Prices]]-F1137)/F1137</f>
        <v>9.483715766099186E-3</v>
      </c>
      <c r="H1138" s="7">
        <f>(Table2_1[[#This Row],[Current Prices]]-F1134)/F1134</f>
        <v>0.10839640371818959</v>
      </c>
      <c r="I1138" s="2"/>
    </row>
    <row r="1139" spans="1:9" x14ac:dyDescent="0.3">
      <c r="A1139" s="2" t="s">
        <v>89</v>
      </c>
      <c r="B1139" s="2" t="s">
        <v>31</v>
      </c>
      <c r="C1139" s="2">
        <v>2247.9</v>
      </c>
      <c r="D1139" s="6">
        <f>(Table2_1[[#This Row],[Constant Prices]]-C1138)/C1138</f>
        <v>5.7718120805369533E-3</v>
      </c>
      <c r="E1139" s="6">
        <f>(Table2_1[[#This Row],[Constant Prices]]-C1135)/C1135</f>
        <v>2.7001096491228026E-2</v>
      </c>
      <c r="F1139" s="2">
        <v>2245.6999999999998</v>
      </c>
      <c r="G1139" s="7">
        <f>(Table2_1[[#This Row],[Current Prices]]-F1138)/F1138</f>
        <v>2.9146235277943223E-2</v>
      </c>
      <c r="H1139" s="7">
        <f>(Table2_1[[#This Row],[Current Prices]]-F1135)/F1135</f>
        <v>0.1128896377422071</v>
      </c>
      <c r="I1139" s="2"/>
    </row>
    <row r="1140" spans="1:9" x14ac:dyDescent="0.3">
      <c r="A1140" s="2" t="s">
        <v>89</v>
      </c>
      <c r="B1140" s="2" t="s">
        <v>32</v>
      </c>
      <c r="C1140" s="2">
        <v>2261.6</v>
      </c>
      <c r="D1140" s="6">
        <f>(Table2_1[[#This Row],[Constant Prices]]-C1139)/C1139</f>
        <v>6.0945771609056528E-3</v>
      </c>
      <c r="E1140" s="6">
        <f>(Table2_1[[#This Row],[Constant Prices]]-C1136)/C1136</f>
        <v>2.5296944419258192E-2</v>
      </c>
      <c r="F1140" s="2">
        <v>2278.1999999999998</v>
      </c>
      <c r="G1140" s="7">
        <f>(Table2_1[[#This Row],[Current Prices]]-F1139)/F1139</f>
        <v>1.4472102239836132E-2</v>
      </c>
      <c r="H1140" s="7">
        <f>(Table2_1[[#This Row],[Current Prices]]-F1136)/F1136</f>
        <v>9.4867358708188979E-2</v>
      </c>
      <c r="I1140" s="2"/>
    </row>
    <row r="1141" spans="1:9" x14ac:dyDescent="0.3">
      <c r="A1141" s="2" t="s">
        <v>89</v>
      </c>
      <c r="B1141" s="2" t="s">
        <v>33</v>
      </c>
      <c r="C1141" s="2">
        <v>2272.3000000000002</v>
      </c>
      <c r="D1141" s="6">
        <f>(Table2_1[[#This Row],[Constant Prices]]-C1140)/C1140</f>
        <v>4.7311637778565058E-3</v>
      </c>
      <c r="E1141" s="6">
        <f>(Table2_1[[#This Row],[Constant Prices]]-C1137)/C1137</f>
        <v>2.3512454393946343E-2</v>
      </c>
      <c r="F1141" s="2">
        <v>2310.8000000000002</v>
      </c>
      <c r="G1141" s="7">
        <f>(Table2_1[[#This Row],[Current Prices]]-F1140)/F1140</f>
        <v>1.4309542621367907E-2</v>
      </c>
      <c r="H1141" s="7">
        <f>(Table2_1[[#This Row],[Current Prices]]-F1137)/F1137</f>
        <v>6.902294596595128E-2</v>
      </c>
      <c r="I1141" s="2">
        <v>5</v>
      </c>
    </row>
    <row r="1142" spans="1:9" x14ac:dyDescent="0.3">
      <c r="A1142" s="2" t="s">
        <v>89</v>
      </c>
      <c r="B1142" s="2" t="s">
        <v>34</v>
      </c>
      <c r="C1142" s="2">
        <v>2277.6</v>
      </c>
      <c r="D1142" s="6">
        <f>(Table2_1[[#This Row],[Constant Prices]]-C1141)/C1141</f>
        <v>2.332438498437586E-3</v>
      </c>
      <c r="E1142" s="6">
        <f>(Table2_1[[#This Row],[Constant Prices]]-C1138)/C1138</f>
        <v>1.9060402684563719E-2</v>
      </c>
      <c r="F1142" s="2">
        <v>2413.8000000000002</v>
      </c>
      <c r="G1142" s="7">
        <f>(Table2_1[[#This Row],[Current Prices]]-F1141)/F1141</f>
        <v>4.4573307945300324E-2</v>
      </c>
      <c r="H1142" s="7">
        <f>(Table2_1[[#This Row],[Current Prices]]-F1138)/F1138</f>
        <v>0.10618211814307331</v>
      </c>
      <c r="I1142" s="2"/>
    </row>
    <row r="1143" spans="1:9" x14ac:dyDescent="0.3">
      <c r="A1143" s="2" t="s">
        <v>89</v>
      </c>
      <c r="B1143" s="2" t="s">
        <v>35</v>
      </c>
      <c r="C1143" s="2">
        <v>2283.8000000000002</v>
      </c>
      <c r="D1143" s="6">
        <f>(Table2_1[[#This Row],[Constant Prices]]-C1142)/C1142</f>
        <v>2.7221636810679105E-3</v>
      </c>
      <c r="E1143" s="6">
        <f>(Table2_1[[#This Row],[Constant Prices]]-C1139)/C1139</f>
        <v>1.5970461319453753E-2</v>
      </c>
      <c r="F1143" s="2">
        <v>2463.6</v>
      </c>
      <c r="G1143" s="7">
        <f>(Table2_1[[#This Row],[Current Prices]]-F1142)/F1142</f>
        <v>2.06313696246581E-2</v>
      </c>
      <c r="H1143" s="7">
        <f>(Table2_1[[#This Row],[Current Prices]]-F1139)/F1139</f>
        <v>9.7029879324932136E-2</v>
      </c>
      <c r="I1143" s="2"/>
    </row>
    <row r="1144" spans="1:9" x14ac:dyDescent="0.3">
      <c r="A1144" s="2" t="s">
        <v>89</v>
      </c>
      <c r="B1144" s="2" t="s">
        <v>36</v>
      </c>
      <c r="C1144" s="2">
        <v>2284.9</v>
      </c>
      <c r="D1144" s="6">
        <f>(Table2_1[[#This Row],[Constant Prices]]-C1143)/C1143</f>
        <v>4.816533847096545E-4</v>
      </c>
      <c r="E1144" s="6">
        <f>(Table2_1[[#This Row],[Constant Prices]]-C1140)/C1140</f>
        <v>1.0302440749911648E-2</v>
      </c>
      <c r="F1144" s="2">
        <v>2483.1999999999998</v>
      </c>
      <c r="G1144" s="7">
        <f>(Table2_1[[#This Row],[Current Prices]]-F1143)/F1143</f>
        <v>7.955836986523749E-3</v>
      </c>
      <c r="H1144" s="7">
        <f>(Table2_1[[#This Row],[Current Prices]]-F1140)/F1140</f>
        <v>8.9983320165042582E-2</v>
      </c>
      <c r="I1144" s="2"/>
    </row>
    <row r="1145" spans="1:9" x14ac:dyDescent="0.3">
      <c r="A1145" s="2" t="s">
        <v>89</v>
      </c>
      <c r="B1145" s="2" t="s">
        <v>37</v>
      </c>
      <c r="C1145" s="2">
        <v>2283.8000000000002</v>
      </c>
      <c r="D1145" s="6">
        <f>(Table2_1[[#This Row],[Constant Prices]]-C1144)/C1144</f>
        <v>-4.8142150641161934E-4</v>
      </c>
      <c r="E1145" s="6">
        <f>(Table2_1[[#This Row],[Constant Prices]]-C1141)/C1141</f>
        <v>5.0609514588742677E-3</v>
      </c>
      <c r="F1145" s="2">
        <v>2483.6999999999998</v>
      </c>
      <c r="G1145" s="7">
        <f>(Table2_1[[#This Row],[Current Prices]]-F1144)/F1144</f>
        <v>2.0135309278350517E-4</v>
      </c>
      <c r="H1145" s="7">
        <f>(Table2_1[[#This Row],[Current Prices]]-F1141)/F1141</f>
        <v>7.4822572269343787E-2</v>
      </c>
      <c r="I1145" s="2">
        <v>6</v>
      </c>
    </row>
    <row r="1146" spans="1:9" x14ac:dyDescent="0.3">
      <c r="A1146" s="2" t="s">
        <v>89</v>
      </c>
      <c r="B1146" s="2" t="s">
        <v>38</v>
      </c>
      <c r="C1146" s="2">
        <v>2285</v>
      </c>
      <c r="D1146" s="6">
        <f>(Table2_1[[#This Row],[Constant Prices]]-C1145)/C1145</f>
        <v>5.254400560468596E-4</v>
      </c>
      <c r="E1146" s="6">
        <f>(Table2_1[[#This Row],[Constant Prices]]-C1142)/C1142</f>
        <v>3.2490340709519193E-3</v>
      </c>
      <c r="F1146" s="2">
        <v>2616.5</v>
      </c>
      <c r="G1146" s="7">
        <f>(Table2_1[[#This Row],[Current Prices]]-F1145)/F1145</f>
        <v>5.3468615372226996E-2</v>
      </c>
      <c r="H1146" s="7">
        <f>(Table2_1[[#This Row],[Current Prices]]-F1142)/F1142</f>
        <v>8.3975474355787477E-2</v>
      </c>
      <c r="I1146" s="2"/>
    </row>
    <row r="1147" spans="1:9" x14ac:dyDescent="0.3">
      <c r="A1147" s="2" t="s">
        <v>89</v>
      </c>
      <c r="B1147" s="2" t="s">
        <v>39</v>
      </c>
      <c r="C1147" s="2">
        <v>2282.9</v>
      </c>
      <c r="D1147" s="6">
        <f>(Table2_1[[#This Row],[Constant Prices]]-C1146)/C1146</f>
        <v>-9.1903719912468673E-4</v>
      </c>
      <c r="E1147" s="6">
        <f>(Table2_1[[#This Row],[Constant Prices]]-C1143)/C1143</f>
        <v>-3.9408004203524426E-4</v>
      </c>
      <c r="F1147" s="2">
        <v>2644.8</v>
      </c>
      <c r="G1147" s="7">
        <f>(Table2_1[[#This Row],[Current Prices]]-F1146)/F1146</f>
        <v>1.0815975539843372E-2</v>
      </c>
      <c r="H1147" s="7">
        <f>(Table2_1[[#This Row],[Current Prices]]-F1143)/F1143</f>
        <v>7.3550901120311846E-2</v>
      </c>
      <c r="I1147" s="2"/>
    </row>
    <row r="1148" spans="1:9" x14ac:dyDescent="0.3">
      <c r="A1148" s="2" t="s">
        <v>89</v>
      </c>
      <c r="B1148" s="2" t="s">
        <v>40</v>
      </c>
      <c r="C1148" s="2">
        <v>2283.1</v>
      </c>
      <c r="D1148" s="6">
        <f>(Table2_1[[#This Row],[Constant Prices]]-C1147)/C1147</f>
        <v>8.7607867186393661E-5</v>
      </c>
      <c r="E1148" s="6">
        <f>(Table2_1[[#This Row],[Constant Prices]]-C1144)/C1144</f>
        <v>-7.8778064685552181E-4</v>
      </c>
      <c r="F1148" s="2">
        <v>2681.5</v>
      </c>
      <c r="G1148" s="7">
        <f>(Table2_1[[#This Row],[Current Prices]]-F1147)/F1147</f>
        <v>1.3876285541439737E-2</v>
      </c>
      <c r="H1148" s="7">
        <f>(Table2_1[[#This Row],[Current Prices]]-F1144)/F1144</f>
        <v>7.9856636597938221E-2</v>
      </c>
      <c r="I1148" s="2"/>
    </row>
    <row r="1149" spans="1:9" x14ac:dyDescent="0.3">
      <c r="A1149" s="2" t="s">
        <v>89</v>
      </c>
      <c r="B1149" s="2" t="s">
        <v>41</v>
      </c>
      <c r="C1149" s="2">
        <v>2283.5</v>
      </c>
      <c r="D1149" s="6">
        <f>(Table2_1[[#This Row],[Constant Prices]]-C1148)/C1148</f>
        <v>1.7520038544088781E-4</v>
      </c>
      <c r="E1149" s="6">
        <f>(Table2_1[[#This Row],[Constant Prices]]-C1145)/C1145</f>
        <v>-1.3136001401181446E-4</v>
      </c>
      <c r="F1149" s="2">
        <v>2735</v>
      </c>
      <c r="G1149" s="7">
        <f>(Table2_1[[#This Row],[Current Prices]]-F1148)/F1148</f>
        <v>1.9951519671825471E-2</v>
      </c>
      <c r="H1149" s="7">
        <f>(Table2_1[[#This Row],[Current Prices]]-F1145)/F1145</f>
        <v>0.10117969158916142</v>
      </c>
      <c r="I1149" s="2">
        <v>7</v>
      </c>
    </row>
    <row r="1150" spans="1:9" x14ac:dyDescent="0.3">
      <c r="A1150" s="2" t="s">
        <v>89</v>
      </c>
      <c r="B1150" s="2" t="s">
        <v>42</v>
      </c>
      <c r="C1150" s="2">
        <v>2285.3000000000002</v>
      </c>
      <c r="D1150" s="6">
        <f>(Table2_1[[#This Row],[Constant Prices]]-C1149)/C1149</f>
        <v>7.8826363039202188E-4</v>
      </c>
      <c r="E1150" s="6">
        <f>(Table2_1[[#This Row],[Constant Prices]]-C1146)/C1146</f>
        <v>1.312910284464691E-4</v>
      </c>
      <c r="F1150" s="2">
        <v>2762.2</v>
      </c>
      <c r="G1150" s="7">
        <f>(Table2_1[[#This Row],[Current Prices]]-F1149)/F1149</f>
        <v>9.9451553930529502E-3</v>
      </c>
      <c r="H1150" s="7">
        <f>(Table2_1[[#This Row],[Current Prices]]-F1146)/F1146</f>
        <v>5.5685075482514737E-2</v>
      </c>
      <c r="I1150" s="2"/>
    </row>
    <row r="1151" spans="1:9" x14ac:dyDescent="0.3">
      <c r="A1151" s="2" t="s">
        <v>89</v>
      </c>
      <c r="B1151" s="2" t="s">
        <v>43</v>
      </c>
      <c r="C1151" s="2">
        <v>2285.9</v>
      </c>
      <c r="D1151" s="6">
        <f>(Table2_1[[#This Row],[Constant Prices]]-C1150)/C1150</f>
        <v>2.6254758675005866E-4</v>
      </c>
      <c r="E1151" s="6">
        <f>(Table2_1[[#This Row],[Constant Prices]]-C1147)/C1147</f>
        <v>1.3141180077971002E-3</v>
      </c>
      <c r="F1151" s="2">
        <v>2809.3</v>
      </c>
      <c r="G1151" s="7">
        <f>(Table2_1[[#This Row],[Current Prices]]-F1150)/F1150</f>
        <v>1.7051625515893263E-2</v>
      </c>
      <c r="H1151" s="7">
        <f>(Table2_1[[#This Row],[Current Prices]]-F1147)/F1147</f>
        <v>6.2197519661222014E-2</v>
      </c>
      <c r="I1151" s="2"/>
    </row>
    <row r="1152" spans="1:9" x14ac:dyDescent="0.3">
      <c r="A1152" s="2" t="s">
        <v>89</v>
      </c>
      <c r="B1152" s="2" t="s">
        <v>44</v>
      </c>
      <c r="C1152" s="2">
        <v>2288.5</v>
      </c>
      <c r="D1152" s="6">
        <f>(Table2_1[[#This Row],[Constant Prices]]-C1151)/C1151</f>
        <v>1.1374075856336275E-3</v>
      </c>
      <c r="E1152" s="6">
        <f>(Table2_1[[#This Row],[Constant Prices]]-C1148)/C1148</f>
        <v>2.3652052034514874E-3</v>
      </c>
      <c r="F1152" s="2">
        <v>2880.8</v>
      </c>
      <c r="G1152" s="7">
        <f>(Table2_1[[#This Row],[Current Prices]]-F1151)/F1151</f>
        <v>2.5451180009254972E-2</v>
      </c>
      <c r="H1152" s="7">
        <f>(Table2_1[[#This Row],[Current Prices]]-F1148)/F1148</f>
        <v>7.432407234756673E-2</v>
      </c>
      <c r="I1152" s="2"/>
    </row>
    <row r="1153" spans="1:9" x14ac:dyDescent="0.3">
      <c r="A1153" s="2" t="s">
        <v>89</v>
      </c>
      <c r="B1153" s="2" t="s">
        <v>45</v>
      </c>
      <c r="C1153" s="2">
        <v>2289.3000000000002</v>
      </c>
      <c r="D1153" s="6">
        <f>(Table2_1[[#This Row],[Constant Prices]]-C1152)/C1152</f>
        <v>3.4957395674030232E-4</v>
      </c>
      <c r="E1153" s="6">
        <f>(Table2_1[[#This Row],[Constant Prices]]-C1149)/C1149</f>
        <v>2.5399605868185599E-3</v>
      </c>
      <c r="F1153" s="2">
        <v>2918.8</v>
      </c>
      <c r="G1153" s="7">
        <f>(Table2_1[[#This Row],[Current Prices]]-F1152)/F1152</f>
        <v>1.3190780338794778E-2</v>
      </c>
      <c r="H1153" s="7">
        <f>(Table2_1[[#This Row],[Current Prices]]-F1149)/F1149</f>
        <v>6.720292504570391E-2</v>
      </c>
      <c r="I1153" s="2">
        <v>8</v>
      </c>
    </row>
    <row r="1154" spans="1:9" x14ac:dyDescent="0.3">
      <c r="A1154" s="2" t="s">
        <v>89</v>
      </c>
      <c r="B1154" s="2" t="s">
        <v>46</v>
      </c>
      <c r="C1154" s="2">
        <v>2298.4</v>
      </c>
      <c r="D1154" s="6">
        <f>(Table2_1[[#This Row],[Constant Prices]]-C1153)/C1153</f>
        <v>3.9750141964792329E-3</v>
      </c>
      <c r="E1154" s="6">
        <f>(Table2_1[[#This Row],[Constant Prices]]-C1150)/C1150</f>
        <v>5.7322889773771092E-3</v>
      </c>
      <c r="F1154" s="2">
        <v>3031.3</v>
      </c>
      <c r="G1154" s="7">
        <f>(Table2_1[[#This Row],[Current Prices]]-F1153)/F1153</f>
        <v>3.8543236946690415E-2</v>
      </c>
      <c r="H1154" s="7">
        <f>(Table2_1[[#This Row],[Current Prices]]-F1150)/F1150</f>
        <v>9.742234450800101E-2</v>
      </c>
      <c r="I1154" s="2"/>
    </row>
    <row r="1155" spans="1:9" x14ac:dyDescent="0.3">
      <c r="A1155" s="2" t="s">
        <v>89</v>
      </c>
      <c r="B1155" s="2" t="s">
        <v>47</v>
      </c>
      <c r="C1155" s="2">
        <v>2303.1999999999998</v>
      </c>
      <c r="D1155" s="6">
        <f>(Table2_1[[#This Row],[Constant Prices]]-C1154)/C1154</f>
        <v>2.088409328228214E-3</v>
      </c>
      <c r="E1155" s="6">
        <f>(Table2_1[[#This Row],[Constant Prices]]-C1151)/C1151</f>
        <v>7.5681350890238969E-3</v>
      </c>
      <c r="F1155" s="2">
        <v>3122.4</v>
      </c>
      <c r="G1155" s="7">
        <f>(Table2_1[[#This Row],[Current Prices]]-F1154)/F1154</f>
        <v>3.005311252597892E-2</v>
      </c>
      <c r="H1155" s="7">
        <f>(Table2_1[[#This Row],[Current Prices]]-F1151)/F1151</f>
        <v>0.11145125120136685</v>
      </c>
      <c r="I1155" s="2"/>
    </row>
    <row r="1156" spans="1:9" x14ac:dyDescent="0.3">
      <c r="A1156" s="2" t="s">
        <v>89</v>
      </c>
      <c r="B1156" s="2" t="s">
        <v>48</v>
      </c>
      <c r="C1156" s="2">
        <v>2308.8000000000002</v>
      </c>
      <c r="D1156" s="6">
        <f>(Table2_1[[#This Row],[Constant Prices]]-C1155)/C1155</f>
        <v>2.4313997915944617E-3</v>
      </c>
      <c r="E1156" s="6">
        <f>(Table2_1[[#This Row],[Constant Prices]]-C1152)/C1152</f>
        <v>8.8704391522832337E-3</v>
      </c>
      <c r="F1156" s="2">
        <v>3276.9</v>
      </c>
      <c r="G1156" s="7">
        <f>(Table2_1[[#This Row],[Current Prices]]-F1155)/F1155</f>
        <v>4.9481168332052267E-2</v>
      </c>
      <c r="H1156" s="7">
        <f>(Table2_1[[#This Row],[Current Prices]]-F1152)/F1152</f>
        <v>0.13749652874201607</v>
      </c>
      <c r="I1156" s="2"/>
    </row>
    <row r="1157" spans="1:9" x14ac:dyDescent="0.3">
      <c r="A1157" s="2" t="s">
        <v>89</v>
      </c>
      <c r="B1157" s="2" t="s">
        <v>49</v>
      </c>
      <c r="C1157" s="2">
        <v>2321.1</v>
      </c>
      <c r="D1157" s="6">
        <f>(Table2_1[[#This Row],[Constant Prices]]-C1156)/C1156</f>
        <v>5.3274428274427089E-3</v>
      </c>
      <c r="E1157" s="6">
        <f>(Table2_1[[#This Row],[Constant Prices]]-C1153)/C1153</f>
        <v>1.3890708950334042E-2</v>
      </c>
      <c r="F1157" s="2">
        <v>3373.4</v>
      </c>
      <c r="G1157" s="7">
        <f>(Table2_1[[#This Row],[Current Prices]]-F1156)/F1156</f>
        <v>2.944856419176661E-2</v>
      </c>
      <c r="H1157" s="7">
        <f>(Table2_1[[#This Row],[Current Prices]]-F1153)/F1153</f>
        <v>0.15574893791969299</v>
      </c>
      <c r="I1157" s="2">
        <v>9</v>
      </c>
    </row>
    <row r="1158" spans="1:9" x14ac:dyDescent="0.3">
      <c r="A1158" s="2" t="s">
        <v>89</v>
      </c>
      <c r="B1158" s="2" t="s">
        <v>50</v>
      </c>
      <c r="C1158" s="2">
        <v>2259.1999999999998</v>
      </c>
      <c r="D1158" s="6">
        <f>(Table2_1[[#This Row],[Constant Prices]]-C1157)/C1157</f>
        <v>-2.6668389987505963E-2</v>
      </c>
      <c r="E1158" s="6">
        <f>(Table2_1[[#This Row],[Constant Prices]]-C1154)/C1154</f>
        <v>-1.705534284719817E-2</v>
      </c>
      <c r="F1158" s="2">
        <v>3505.2</v>
      </c>
      <c r="G1158" s="7">
        <f>(Table2_1[[#This Row],[Current Prices]]-F1157)/F1157</f>
        <v>3.9070374103278509E-2</v>
      </c>
      <c r="H1158" s="7">
        <f>(Table2_1[[#This Row],[Current Prices]]-F1154)/F1154</f>
        <v>0.15633556559891781</v>
      </c>
      <c r="I1158" s="2"/>
    </row>
    <row r="1159" spans="1:9" x14ac:dyDescent="0.3">
      <c r="A1159" s="2" t="s">
        <v>89</v>
      </c>
      <c r="B1159" s="2" t="s">
        <v>51</v>
      </c>
      <c r="C1159" s="2">
        <v>1910</v>
      </c>
      <c r="D1159" s="6">
        <f>(Table2_1[[#This Row],[Constant Prices]]-C1158)/C1158</f>
        <v>-0.15456798866855517</v>
      </c>
      <c r="E1159" s="6">
        <f>(Table2_1[[#This Row],[Constant Prices]]-C1155)/C1155</f>
        <v>-0.17071899965265711</v>
      </c>
      <c r="F1159" s="2">
        <v>3030.8</v>
      </c>
      <c r="G1159" s="7">
        <f>(Table2_1[[#This Row],[Current Prices]]-F1158)/F1158</f>
        <v>-0.13534177792993257</v>
      </c>
      <c r="H1159" s="7">
        <f>(Table2_1[[#This Row],[Current Prices]]-F1155)/F1155</f>
        <v>-2.9336407891365587E-2</v>
      </c>
      <c r="I1159" s="2"/>
    </row>
    <row r="1160" spans="1:9" x14ac:dyDescent="0.3">
      <c r="A1160" s="2" t="s">
        <v>89</v>
      </c>
      <c r="B1160" s="2" t="s">
        <v>52</v>
      </c>
      <c r="C1160" s="2">
        <v>2333.5</v>
      </c>
      <c r="D1160" s="6">
        <f>(Table2_1[[#This Row],[Constant Prices]]-C1159)/C1159</f>
        <v>0.22172774869109949</v>
      </c>
      <c r="E1160" s="6">
        <f>(Table2_1[[#This Row],[Constant Prices]]-C1156)/C1156</f>
        <v>1.0698198198198118E-2</v>
      </c>
      <c r="F1160" s="2">
        <v>3646.7</v>
      </c>
      <c r="G1160" s="7">
        <f>(Table2_1[[#This Row],[Current Prices]]-F1159)/F1159</f>
        <v>0.20321367295763482</v>
      </c>
      <c r="H1160" s="7">
        <f>(Table2_1[[#This Row],[Current Prices]]-F1156)/F1156</f>
        <v>0.11285055998046926</v>
      </c>
      <c r="I1160" s="2"/>
    </row>
    <row r="1161" spans="1:9" x14ac:dyDescent="0.3">
      <c r="A1161" s="2" t="s">
        <v>89</v>
      </c>
      <c r="B1161" s="2" t="s">
        <v>53</v>
      </c>
      <c r="C1161" s="2">
        <v>2136</v>
      </c>
      <c r="D1161" s="6">
        <f>(Table2_1[[#This Row],[Constant Prices]]-C1160)/C1160</f>
        <v>-8.4636811656310262E-2</v>
      </c>
      <c r="E1161" s="6">
        <f>(Table2_1[[#This Row],[Constant Prices]]-C1157)/C1157</f>
        <v>-7.9746671836629146E-2</v>
      </c>
      <c r="F1161" s="2">
        <v>3814.2</v>
      </c>
      <c r="G1161" s="7">
        <f>(Table2_1[[#This Row],[Current Prices]]-F1160)/F1160</f>
        <v>4.5931938464913488E-2</v>
      </c>
      <c r="H1161" s="7">
        <f>(Table2_1[[#This Row],[Current Prices]]-F1157)/F1157</f>
        <v>0.13066935436058569</v>
      </c>
      <c r="I1161" s="2">
        <v>10</v>
      </c>
    </row>
    <row r="1162" spans="1:9" x14ac:dyDescent="0.3">
      <c r="A1162" s="2" t="s">
        <v>89</v>
      </c>
      <c r="B1162" s="2" t="s">
        <v>54</v>
      </c>
      <c r="C1162" s="2">
        <v>2137.9</v>
      </c>
      <c r="D1162" s="6">
        <f>(Table2_1[[#This Row],[Constant Prices]]-C1161)/C1161</f>
        <v>8.8951310861427478E-4</v>
      </c>
      <c r="E1162" s="6">
        <f>(Table2_1[[#This Row],[Constant Prices]]-C1158)/C1158</f>
        <v>-5.3691572237960221E-2</v>
      </c>
      <c r="F1162" s="2">
        <v>3680.1</v>
      </c>
      <c r="G1162" s="7">
        <f>(Table2_1[[#This Row],[Current Prices]]-F1161)/F1161</f>
        <v>-3.5158093440302005E-2</v>
      </c>
      <c r="H1162" s="7">
        <f>(Table2_1[[#This Row],[Current Prices]]-F1158)/F1158</f>
        <v>4.9897295446764835E-2</v>
      </c>
      <c r="I1162" s="2"/>
    </row>
    <row r="1163" spans="1:9" x14ac:dyDescent="0.3">
      <c r="A1163" s="2" t="s">
        <v>89</v>
      </c>
      <c r="B1163" s="2" t="s">
        <v>55</v>
      </c>
      <c r="C1163" s="2">
        <v>2144.6999999999998</v>
      </c>
      <c r="D1163" s="6">
        <f>(Table2_1[[#This Row],[Constant Prices]]-C1162)/C1162</f>
        <v>3.180691332615991E-3</v>
      </c>
      <c r="E1163" s="6">
        <f>(Table2_1[[#This Row],[Constant Prices]]-C1159)/C1159</f>
        <v>0.12287958115183237</v>
      </c>
      <c r="F1163" s="2">
        <v>3685.9</v>
      </c>
      <c r="G1163" s="7">
        <f>(Table2_1[[#This Row],[Current Prices]]-F1162)/F1162</f>
        <v>1.5760441292356681E-3</v>
      </c>
      <c r="H1163" s="7">
        <f>(Table2_1[[#This Row],[Current Prices]]-F1159)/F1159</f>
        <v>0.21614755180150452</v>
      </c>
      <c r="I1163" s="2"/>
    </row>
    <row r="1164" spans="1:9" x14ac:dyDescent="0.3">
      <c r="A1164" s="2" t="s">
        <v>89</v>
      </c>
      <c r="B1164" s="2" t="s">
        <v>56</v>
      </c>
      <c r="C1164" s="2">
        <v>2164.4</v>
      </c>
      <c r="D1164" s="6">
        <f>(Table2_1[[#This Row],[Constant Prices]]-C1163)/C1163</f>
        <v>9.1854338602136779E-3</v>
      </c>
      <c r="E1164" s="6">
        <f>(Table2_1[[#This Row],[Constant Prices]]-C1160)/C1160</f>
        <v>-7.2466252410542067E-2</v>
      </c>
      <c r="F1164" s="2">
        <v>3733.4</v>
      </c>
      <c r="G1164" s="7">
        <f>(Table2_1[[#This Row],[Current Prices]]-F1163)/F1163</f>
        <v>1.2886947556906047E-2</v>
      </c>
      <c r="H1164" s="7">
        <f>(Table2_1[[#This Row],[Current Prices]]-F1160)/F1160</f>
        <v>2.3774919790495591E-2</v>
      </c>
      <c r="I1164" s="2"/>
    </row>
    <row r="1165" spans="1:9" x14ac:dyDescent="0.3">
      <c r="A1165" s="2" t="s">
        <v>89</v>
      </c>
      <c r="B1165" s="2" t="s">
        <v>57</v>
      </c>
      <c r="C1165" s="2">
        <v>2166.6</v>
      </c>
      <c r="D1165" s="6">
        <f>(Table2_1[[#This Row],[Constant Prices]]-C1164)/C1164</f>
        <v>1.0164479763443994E-3</v>
      </c>
      <c r="E1165" s="6">
        <f>(Table2_1[[#This Row],[Constant Prices]]-C1161)/C1161</f>
        <v>1.4325842696629171E-2</v>
      </c>
      <c r="F1165" s="2">
        <v>3881</v>
      </c>
      <c r="G1165" s="7">
        <f>(Table2_1[[#This Row],[Current Prices]]-F1164)/F1164</f>
        <v>3.953500830342313E-2</v>
      </c>
      <c r="H1165" s="7">
        <f>(Table2_1[[#This Row],[Current Prices]]-F1161)/F1161</f>
        <v>1.7513502176078912E-2</v>
      </c>
      <c r="I1165" s="2">
        <v>11</v>
      </c>
    </row>
    <row r="1166" spans="1:9" x14ac:dyDescent="0.3">
      <c r="A1166" s="2" t="s">
        <v>89</v>
      </c>
      <c r="B1166" s="2" t="s">
        <v>58</v>
      </c>
      <c r="C1166" s="2">
        <v>2168</v>
      </c>
      <c r="D1166" s="6">
        <f>(Table2_1[[#This Row],[Constant Prices]]-C1165)/C1165</f>
        <v>6.4617372842245505E-4</v>
      </c>
      <c r="E1166" s="6">
        <f>(Table2_1[[#This Row],[Constant Prices]]-C1162)/C1162</f>
        <v>1.4079236634080129E-2</v>
      </c>
      <c r="F1166" s="2">
        <v>3885.4</v>
      </c>
      <c r="G1166" s="7">
        <f>(Table2_1[[#This Row],[Current Prices]]-F1165)/F1165</f>
        <v>1.1337284205102012E-3</v>
      </c>
      <c r="H1166" s="7">
        <f>(Table2_1[[#This Row],[Current Prices]]-F1162)/F1162</f>
        <v>5.5786527540012551E-2</v>
      </c>
      <c r="I1166" s="2"/>
    </row>
    <row r="1167" spans="1:9" x14ac:dyDescent="0.3">
      <c r="A1167" s="2" t="s">
        <v>89</v>
      </c>
      <c r="B1167" s="2" t="s">
        <v>59</v>
      </c>
      <c r="C1167" s="2">
        <v>2169.6</v>
      </c>
      <c r="D1167" s="6">
        <f>(Table2_1[[#This Row],[Constant Prices]]-C1166)/C1166</f>
        <v>7.3800738007375876E-4</v>
      </c>
      <c r="E1167" s="6">
        <f>(Table2_1[[#This Row],[Constant Prices]]-C1163)/C1163</f>
        <v>1.1610015386767423E-2</v>
      </c>
      <c r="F1167" s="2">
        <v>3896.9</v>
      </c>
      <c r="G1167" s="7">
        <f>(Table2_1[[#This Row],[Current Prices]]-F1166)/F1166</f>
        <v>2.9597982189735932E-3</v>
      </c>
      <c r="H1167" s="7">
        <f>(Table2_1[[#This Row],[Current Prices]]-F1163)/F1163</f>
        <v>5.7245177568572128E-2</v>
      </c>
      <c r="I1167" s="2"/>
    </row>
    <row r="1168" spans="1:9" x14ac:dyDescent="0.3">
      <c r="A1168" s="2" t="s">
        <v>89</v>
      </c>
      <c r="B1168" s="2" t="s">
        <v>60</v>
      </c>
      <c r="C1168" s="2">
        <v>2171</v>
      </c>
      <c r="D1168" s="6">
        <f>(Table2_1[[#This Row],[Constant Prices]]-C1167)/C1167</f>
        <v>6.4528023598824254E-4</v>
      </c>
      <c r="E1168" s="6">
        <f>(Table2_1[[#This Row],[Constant Prices]]-C1164)/C1164</f>
        <v>3.0493439290334083E-3</v>
      </c>
      <c r="F1168" s="2">
        <v>3919.7</v>
      </c>
      <c r="G1168" s="7">
        <f>(Table2_1[[#This Row],[Current Prices]]-F1167)/F1167</f>
        <v>5.8508044856167025E-3</v>
      </c>
      <c r="H1168" s="7">
        <f>(Table2_1[[#This Row],[Current Prices]]-F1164)/F1164</f>
        <v>4.9900894626881589E-2</v>
      </c>
      <c r="I1168" s="2"/>
    </row>
    <row r="1169" spans="1:9" x14ac:dyDescent="0.3">
      <c r="A1169" s="2" t="s">
        <v>89</v>
      </c>
      <c r="B1169" s="2" t="s">
        <v>61</v>
      </c>
      <c r="C1169" s="2">
        <v>2171.4</v>
      </c>
      <c r="D1169" s="6">
        <f>(Table2_1[[#This Row],[Constant Prices]]-C1168)/C1168</f>
        <v>1.8424689083375908E-4</v>
      </c>
      <c r="E1169" s="6">
        <f>(Table2_1[[#This Row],[Constant Prices]]-C1165)/C1165</f>
        <v>2.2154527831626429E-3</v>
      </c>
      <c r="F1169" s="2">
        <v>4101.8</v>
      </c>
      <c r="G1169" s="7">
        <f>(Table2_1[[#This Row],[Current Prices]]-F1168)/F1168</f>
        <v>4.6457637064061121E-2</v>
      </c>
      <c r="H1169" s="7">
        <f>(Table2_1[[#This Row],[Current Prices]]-F1165)/F1165</f>
        <v>5.6892553465601695E-2</v>
      </c>
      <c r="I1169" s="2">
        <v>12</v>
      </c>
    </row>
    <row r="1170" spans="1:9" x14ac:dyDescent="0.3">
      <c r="A1170" s="2" t="s">
        <v>89</v>
      </c>
      <c r="B1170" s="2" t="s">
        <v>62</v>
      </c>
      <c r="C1170" s="2">
        <v>2170.4</v>
      </c>
      <c r="D1170" s="6">
        <f>(Table2_1[[#This Row],[Constant Prices]]-C1169)/C1169</f>
        <v>-4.6053237542599242E-4</v>
      </c>
      <c r="E1170" s="6">
        <f>(Table2_1[[#This Row],[Constant Prices]]-C1166)/C1166</f>
        <v>1.1070110701107431E-3</v>
      </c>
      <c r="F1170" s="2">
        <v>3958.5</v>
      </c>
      <c r="G1170" s="7">
        <f>(Table2_1[[#This Row],[Current Prices]]-F1169)/F1169</f>
        <v>-3.4935881807986784E-2</v>
      </c>
      <c r="H1170" s="7">
        <f>(Table2_1[[#This Row],[Current Prices]]-F1166)/F1166</f>
        <v>1.8814021722345167E-2</v>
      </c>
      <c r="I1170" s="2"/>
    </row>
    <row r="1171" spans="1:9" x14ac:dyDescent="0.3">
      <c r="A1171" s="2" t="s">
        <v>89</v>
      </c>
      <c r="B1171" s="2" t="s">
        <v>63</v>
      </c>
      <c r="C1171" s="2">
        <v>2184.1999999999998</v>
      </c>
      <c r="D1171" s="6">
        <f>(Table2_1[[#This Row],[Constant Prices]]-C1170)/C1170</f>
        <v>6.3582749723552004E-3</v>
      </c>
      <c r="E1171" s="6">
        <f>(Table2_1[[#This Row],[Constant Prices]]-C1167)/C1167</f>
        <v>6.7293510324483363E-3</v>
      </c>
      <c r="F1171" s="2">
        <v>3965.2</v>
      </c>
      <c r="G1171" s="7">
        <f>(Table2_1[[#This Row],[Current Prices]]-F1170)/F1170</f>
        <v>1.6925603132499224E-3</v>
      </c>
      <c r="H1171" s="7">
        <f>(Table2_1[[#This Row],[Current Prices]]-F1167)/F1167</f>
        <v>1.7526752033667718E-2</v>
      </c>
      <c r="I1171" s="2"/>
    </row>
    <row r="1172" spans="1:9" x14ac:dyDescent="0.3">
      <c r="A1172" s="2" t="s">
        <v>89</v>
      </c>
      <c r="B1172" s="2" t="s">
        <v>64</v>
      </c>
      <c r="C1172" s="2">
        <v>2185.3000000000002</v>
      </c>
      <c r="D1172" s="6">
        <f>(Table2_1[[#This Row],[Constant Prices]]-C1171)/C1171</f>
        <v>5.0361688490081671E-4</v>
      </c>
      <c r="E1172" s="6">
        <f>(Table2_1[[#This Row],[Constant Prices]]-C1168)/C1168</f>
        <v>6.5868263473054731E-3</v>
      </c>
      <c r="F1172" s="2">
        <v>4014</v>
      </c>
      <c r="G1172" s="7">
        <f>(Table2_1[[#This Row],[Current Prices]]-F1171)/F1171</f>
        <v>1.2307071522243565E-2</v>
      </c>
      <c r="H1172" s="7">
        <f>(Table2_1[[#This Row],[Current Prices]]-F1168)/F1168</f>
        <v>2.4057963619664818E-2</v>
      </c>
      <c r="I1172" s="2"/>
    </row>
    <row r="1173" spans="1:9" x14ac:dyDescent="0.3">
      <c r="A1173" s="2" t="s">
        <v>89</v>
      </c>
      <c r="B1173" s="2" t="s">
        <v>65</v>
      </c>
      <c r="C1173" s="2">
        <v>2189.5</v>
      </c>
      <c r="D1173" s="6">
        <f>(Table2_1[[#This Row],[Constant Prices]]-C1172)/C1172</f>
        <v>1.9219329153891079E-3</v>
      </c>
      <c r="E1173" s="6">
        <f>(Table2_1[[#This Row],[Constant Prices]]-C1169)/C1169</f>
        <v>8.3356359952104202E-3</v>
      </c>
      <c r="F1173" s="2">
        <v>4177.5</v>
      </c>
      <c r="G1173" s="7">
        <f>(Table2_1[[#This Row],[Current Prices]]-F1172)/F1172</f>
        <v>4.0732436472346784E-2</v>
      </c>
      <c r="H1173" s="7">
        <f>(Table2_1[[#This Row],[Current Prices]]-F1169)/F1169</f>
        <v>1.8455312301916188E-2</v>
      </c>
      <c r="I1173" s="2">
        <v>13</v>
      </c>
    </row>
    <row r="1174" spans="1:9" x14ac:dyDescent="0.3">
      <c r="A1174" s="2" t="s">
        <v>89</v>
      </c>
      <c r="B1174" s="2" t="s">
        <v>66</v>
      </c>
      <c r="C1174" s="2">
        <v>2211.1</v>
      </c>
      <c r="D1174" s="6">
        <f>(Table2_1[[#This Row],[Constant Prices]]-C1173)/C1173</f>
        <v>9.8652660424754096E-3</v>
      </c>
      <c r="E1174" s="6">
        <f>(Table2_1[[#This Row],[Constant Prices]]-C1170)/C1170</f>
        <v>1.8752303722815986E-2</v>
      </c>
      <c r="F1174" s="2">
        <v>4070.7</v>
      </c>
      <c r="G1174" s="7">
        <f>(Table2_1[[#This Row],[Current Prices]]-F1173)/F1173</f>
        <v>-2.5565529622980296E-2</v>
      </c>
      <c r="H1174" s="7">
        <f>(Table2_1[[#This Row],[Current Prices]]-F1170)/F1170</f>
        <v>2.8344069723380022E-2</v>
      </c>
      <c r="I1174" s="2"/>
    </row>
    <row r="1175" spans="1:9" x14ac:dyDescent="0.3">
      <c r="A1175" s="2" t="s">
        <v>89</v>
      </c>
      <c r="B1175" s="2" t="s">
        <v>67</v>
      </c>
      <c r="C1175" s="2">
        <v>2216</v>
      </c>
      <c r="D1175" s="6">
        <f>(Table2_1[[#This Row],[Constant Prices]]-C1174)/C1174</f>
        <v>2.216091538148474E-3</v>
      </c>
      <c r="E1175" s="6">
        <f>(Table2_1[[#This Row],[Constant Prices]]-C1171)/C1171</f>
        <v>1.4559106308946152E-2</v>
      </c>
      <c r="F1175" s="2">
        <v>4168.5</v>
      </c>
      <c r="G1175" s="7">
        <f>(Table2_1[[#This Row],[Current Prices]]-F1174)/F1174</f>
        <v>2.4025351905077798E-2</v>
      </c>
      <c r="H1175" s="7">
        <f>(Table2_1[[#This Row],[Current Prices]]-F1171)/F1171</f>
        <v>5.1271058206395694E-2</v>
      </c>
      <c r="I1175" s="2"/>
    </row>
    <row r="1176" spans="1:9" x14ac:dyDescent="0.3">
      <c r="A1176" s="2" t="s">
        <v>89</v>
      </c>
      <c r="B1176" s="2" t="s">
        <v>68</v>
      </c>
      <c r="C1176" s="2">
        <v>2200.6999999999998</v>
      </c>
      <c r="D1176" s="6">
        <f>(Table2_1[[#This Row],[Constant Prices]]-C1175)/C1175</f>
        <v>-6.9043321299639814E-3</v>
      </c>
      <c r="E1176" s="6">
        <f>(Table2_1[[#This Row],[Constant Prices]]-C1172)/C1172</f>
        <v>7.0470873564268685E-3</v>
      </c>
      <c r="F1176" s="2">
        <v>4089.8</v>
      </c>
      <c r="G1176" s="7">
        <f>(Table2_1[[#This Row],[Current Prices]]-F1175)/F1175</f>
        <v>-1.8879692935108508E-2</v>
      </c>
      <c r="H1176" s="7">
        <f>(Table2_1[[#This Row],[Current Prices]]-F1172)/F1172</f>
        <v>1.888390632785256E-2</v>
      </c>
      <c r="I1176" s="2"/>
    </row>
    <row r="1177" spans="1:9" x14ac:dyDescent="0.3">
      <c r="A1177" s="2" t="s">
        <v>89</v>
      </c>
      <c r="B1177" s="2" t="s">
        <v>69</v>
      </c>
      <c r="C1177" s="2">
        <v>2237.5</v>
      </c>
      <c r="D1177" s="6">
        <f>(Table2_1[[#This Row],[Constant Prices]]-C1176)/C1176</f>
        <v>1.6721952106148127E-2</v>
      </c>
      <c r="E1177" s="6">
        <f>(Table2_1[[#This Row],[Constant Prices]]-C1173)/C1173</f>
        <v>2.1922813427723224E-2</v>
      </c>
      <c r="F1177" s="5">
        <f>Table2_1[[#This Row],[Constant Prices]]*AVERAGE(Inflation!$C$72:$C$74)*0.01</f>
        <v>4050.6208333333334</v>
      </c>
      <c r="G1177" s="7">
        <f>(Table2_1[[#This Row],[Current Prices]]-F1176)/F1176</f>
        <v>-9.5797268000065491E-3</v>
      </c>
      <c r="H1177" s="7">
        <f>(Table2_1[[#This Row],[Current Prices]]-F1173)/F1173</f>
        <v>-3.0372032714941138E-2</v>
      </c>
      <c r="I1177" s="2">
        <v>14</v>
      </c>
    </row>
    <row r="1178" spans="1:9" x14ac:dyDescent="0.3">
      <c r="A1178" s="2" t="s">
        <v>89</v>
      </c>
      <c r="B1178" s="2" t="s">
        <v>70</v>
      </c>
      <c r="C1178" s="2">
        <v>2247.1999999999998</v>
      </c>
      <c r="D1178" s="6">
        <f>(Table2_1[[#This Row],[Constant Prices]]-C1177)/C1177</f>
        <v>4.3351955307261757E-3</v>
      </c>
      <c r="E1178" s="6">
        <f>(Table2_1[[#This Row],[Constant Prices]]-C1174)/C1174</f>
        <v>1.6326715209624129E-2</v>
      </c>
      <c r="F1178" s="5">
        <f>Table2_1[[#This Row],[Constant Prices]]*AVERAGE(Inflation!$C$75:$C$77)*0.01</f>
        <v>4099.6418666666659</v>
      </c>
      <c r="G1178" s="7">
        <f>(Table2_1[[#This Row],[Current Prices]]-F1177)/F1177</f>
        <v>1.2102103689866271E-2</v>
      </c>
      <c r="H1178" s="7">
        <f>(Table2_1[[#This Row],[Current Prices]]-F1174)/F1174</f>
        <v>7.1098009351379622E-3</v>
      </c>
      <c r="I1178" s="2"/>
    </row>
    <row r="1179" spans="1:9" x14ac:dyDescent="0.3">
      <c r="A1179" s="2" t="s">
        <v>89</v>
      </c>
      <c r="B1179" s="2" t="s">
        <v>71</v>
      </c>
      <c r="C1179" s="2">
        <v>2250.1</v>
      </c>
      <c r="D1179" s="6">
        <f>(Table2_1[[#This Row],[Constant Prices]]-C1178)/C1178</f>
        <v>1.2904948380206885E-3</v>
      </c>
      <c r="E1179" s="6">
        <f>(Table2_1[[#This Row],[Constant Prices]]-C1175)/C1175</f>
        <v>1.5388086642599236E-2</v>
      </c>
      <c r="F1179" s="5">
        <f>Table2_1[[#This Row],[Constant Prices]]*AVERAGE(Inflation!$C$78:$C$80)*0.01</f>
        <v>4170.1853333333329</v>
      </c>
      <c r="G1179" s="7">
        <f>(Table2_1[[#This Row],[Current Prices]]-F1178)/F1178</f>
        <v>1.7207226621486431E-2</v>
      </c>
      <c r="H1179" s="7">
        <f>(Table2_1[[#This Row],[Current Prices]]-F1175)/F1175</f>
        <v>4.0430210707278206E-4</v>
      </c>
      <c r="I1179" s="2"/>
    </row>
    <row r="1180" spans="1:9" x14ac:dyDescent="0.3">
      <c r="A1180" s="2" t="s">
        <v>90</v>
      </c>
      <c r="B1180" s="2" t="s">
        <v>10</v>
      </c>
      <c r="C1180" s="2">
        <v>1132.7</v>
      </c>
      <c r="D1180" s="6"/>
      <c r="E1180" s="6"/>
      <c r="F1180" s="2">
        <v>841.7</v>
      </c>
      <c r="G1180" s="7"/>
      <c r="H1180" s="7"/>
      <c r="I1180" s="2"/>
    </row>
    <row r="1181" spans="1:9" x14ac:dyDescent="0.3">
      <c r="A1181" s="2" t="s">
        <v>90</v>
      </c>
      <c r="B1181" s="2" t="s">
        <v>11</v>
      </c>
      <c r="C1181" s="2">
        <v>1141</v>
      </c>
      <c r="D1181" s="6">
        <f>(Table2_1[[#This Row],[Constant Prices]]-C1180)/C1180</f>
        <v>7.3276242606161862E-3</v>
      </c>
      <c r="E1181" s="6"/>
      <c r="F1181" s="2">
        <v>867.7</v>
      </c>
      <c r="G1181" s="7">
        <f>(Table2_1[[#This Row],[Current Prices]]-F1180)/F1180</f>
        <v>3.0889865747891172E-2</v>
      </c>
      <c r="H1181" s="7"/>
      <c r="I1181" s="2"/>
    </row>
    <row r="1182" spans="1:9" x14ac:dyDescent="0.3">
      <c r="A1182" s="2" t="s">
        <v>90</v>
      </c>
      <c r="B1182" s="2" t="s">
        <v>12</v>
      </c>
      <c r="C1182" s="2">
        <v>1150</v>
      </c>
      <c r="D1182" s="6">
        <f>(Table2_1[[#This Row],[Constant Prices]]-C1181)/C1181</f>
        <v>7.8878177037686233E-3</v>
      </c>
      <c r="E1182" s="6"/>
      <c r="F1182" s="2">
        <v>876.5</v>
      </c>
      <c r="G1182" s="7">
        <f>(Table2_1[[#This Row],[Current Prices]]-F1181)/F1181</f>
        <v>1.0141754062463933E-2</v>
      </c>
      <c r="H1182" s="7"/>
      <c r="I1182" s="2"/>
    </row>
    <row r="1183" spans="1:9" x14ac:dyDescent="0.3">
      <c r="A1183" s="2" t="s">
        <v>90</v>
      </c>
      <c r="B1183" s="2" t="s">
        <v>13</v>
      </c>
      <c r="C1183" s="2">
        <v>1161.2</v>
      </c>
      <c r="D1183" s="6">
        <f>(Table2_1[[#This Row],[Constant Prices]]-C1182)/C1182</f>
        <v>9.7391304347826477E-3</v>
      </c>
      <c r="E1183" s="6"/>
      <c r="F1183" s="2">
        <v>885.7</v>
      </c>
      <c r="G1183" s="7">
        <f>(Table2_1[[#This Row],[Current Prices]]-F1182)/F1182</f>
        <v>1.0496292070735934E-2</v>
      </c>
      <c r="H1183" s="7"/>
      <c r="I1183" s="2"/>
    </row>
    <row r="1184" spans="1:9" x14ac:dyDescent="0.3">
      <c r="A1184" s="2" t="s">
        <v>90</v>
      </c>
      <c r="B1184" s="2" t="s">
        <v>14</v>
      </c>
      <c r="C1184" s="2">
        <v>1178.4000000000001</v>
      </c>
      <c r="D1184" s="6">
        <f>(Table2_1[[#This Row],[Constant Prices]]-C1183)/C1183</f>
        <v>1.481226317602484E-2</v>
      </c>
      <c r="E1184" s="6">
        <f>(Table2_1[[#This Row],[Constant Prices]]-C1180)/C1180</f>
        <v>4.0346075748212272E-2</v>
      </c>
      <c r="F1184" s="2">
        <v>904.9</v>
      </c>
      <c r="G1184" s="7">
        <f>(Table2_1[[#This Row],[Current Prices]]-F1183)/F1183</f>
        <v>2.1677768996274056E-2</v>
      </c>
      <c r="H1184" s="7">
        <f>(Table2_1[[#This Row],[Current Prices]]-F1180)/F1180</f>
        <v>7.5086135202566157E-2</v>
      </c>
      <c r="I1184" s="2"/>
    </row>
    <row r="1185" spans="1:9" x14ac:dyDescent="0.3">
      <c r="A1185" s="2" t="s">
        <v>90</v>
      </c>
      <c r="B1185" s="2" t="s">
        <v>15</v>
      </c>
      <c r="C1185" s="2">
        <v>1193.2</v>
      </c>
      <c r="D1185" s="6">
        <f>(Table2_1[[#This Row],[Constant Prices]]-C1184)/C1184</f>
        <v>1.255940257976914E-2</v>
      </c>
      <c r="E1185" s="6">
        <f>(Table2_1[[#This Row],[Constant Prices]]-C1181)/C1181</f>
        <v>4.5749342681858061E-2</v>
      </c>
      <c r="F1185" s="2">
        <v>928.7</v>
      </c>
      <c r="G1185" s="7">
        <f>(Table2_1[[#This Row],[Current Prices]]-F1184)/F1184</f>
        <v>2.6301248756768779E-2</v>
      </c>
      <c r="H1185" s="7">
        <f>(Table2_1[[#This Row],[Current Prices]]-F1181)/F1181</f>
        <v>7.0300795205716263E-2</v>
      </c>
      <c r="I1185" s="2"/>
    </row>
    <row r="1186" spans="1:9" x14ac:dyDescent="0.3">
      <c r="A1186" s="2" t="s">
        <v>90</v>
      </c>
      <c r="B1186" s="2" t="s">
        <v>16</v>
      </c>
      <c r="C1186" s="2">
        <v>1208.0999999999999</v>
      </c>
      <c r="D1186" s="6">
        <f>(Table2_1[[#This Row],[Constant Prices]]-C1185)/C1185</f>
        <v>1.2487428762990164E-2</v>
      </c>
      <c r="E1186" s="6">
        <f>(Table2_1[[#This Row],[Constant Prices]]-C1182)/C1182</f>
        <v>5.0521739130434701E-2</v>
      </c>
      <c r="F1186" s="2">
        <v>952.6</v>
      </c>
      <c r="G1186" s="7">
        <f>(Table2_1[[#This Row],[Current Prices]]-F1185)/F1185</f>
        <v>2.5734898244858379E-2</v>
      </c>
      <c r="H1186" s="7">
        <f>(Table2_1[[#This Row],[Current Prices]]-F1182)/F1182</f>
        <v>8.6822589845978348E-2</v>
      </c>
      <c r="I1186" s="2"/>
    </row>
    <row r="1187" spans="1:9" x14ac:dyDescent="0.3">
      <c r="A1187" s="2" t="s">
        <v>90</v>
      </c>
      <c r="B1187" s="2" t="s">
        <v>17</v>
      </c>
      <c r="C1187" s="2">
        <v>1219.7</v>
      </c>
      <c r="D1187" s="6">
        <f>(Table2_1[[#This Row],[Constant Prices]]-C1186)/C1186</f>
        <v>9.6018541511465414E-3</v>
      </c>
      <c r="E1187" s="6">
        <f>(Table2_1[[#This Row],[Constant Prices]]-C1183)/C1183</f>
        <v>5.037891836031691E-2</v>
      </c>
      <c r="F1187" s="2">
        <v>969.7</v>
      </c>
      <c r="G1187" s="7">
        <f>(Table2_1[[#This Row],[Current Prices]]-F1186)/F1186</f>
        <v>1.7950871299601115E-2</v>
      </c>
      <c r="H1187" s="7">
        <f>(Table2_1[[#This Row],[Current Prices]]-F1183)/F1183</f>
        <v>9.4840239358699327E-2</v>
      </c>
      <c r="I1187" s="2">
        <v>1</v>
      </c>
    </row>
    <row r="1188" spans="1:9" x14ac:dyDescent="0.3">
      <c r="A1188" s="2" t="s">
        <v>90</v>
      </c>
      <c r="B1188" s="2" t="s">
        <v>18</v>
      </c>
      <c r="C1188" s="2">
        <v>1214.5</v>
      </c>
      <c r="D1188" s="6">
        <f>(Table2_1[[#This Row],[Constant Prices]]-C1187)/C1187</f>
        <v>-4.2633434451094902E-3</v>
      </c>
      <c r="E1188" s="6">
        <f>(Table2_1[[#This Row],[Constant Prices]]-C1184)/C1184</f>
        <v>3.0634758995247716E-2</v>
      </c>
      <c r="F1188" s="2">
        <v>992.6</v>
      </c>
      <c r="G1188" s="7">
        <f>(Table2_1[[#This Row],[Current Prices]]-F1187)/F1187</f>
        <v>2.361555120140247E-2</v>
      </c>
      <c r="H1188" s="7">
        <f>(Table2_1[[#This Row],[Current Prices]]-F1184)/F1184</f>
        <v>9.6916786385235987E-2</v>
      </c>
      <c r="I1188" s="2"/>
    </row>
    <row r="1189" spans="1:9" x14ac:dyDescent="0.3">
      <c r="A1189" s="2" t="s">
        <v>90</v>
      </c>
      <c r="B1189" s="2" t="s">
        <v>19</v>
      </c>
      <c r="C1189" s="2">
        <v>1220.5</v>
      </c>
      <c r="D1189" s="6">
        <f>(Table2_1[[#This Row],[Constant Prices]]-C1188)/C1188</f>
        <v>4.9403046521202141E-3</v>
      </c>
      <c r="E1189" s="6">
        <f>(Table2_1[[#This Row],[Constant Prices]]-C1185)/C1185</f>
        <v>2.287965135769356E-2</v>
      </c>
      <c r="F1189" s="2">
        <v>1012.7</v>
      </c>
      <c r="G1189" s="7">
        <f>(Table2_1[[#This Row],[Current Prices]]-F1188)/F1188</f>
        <v>2.0249848881724784E-2</v>
      </c>
      <c r="H1189" s="7">
        <f>(Table2_1[[#This Row],[Current Prices]]-F1185)/F1185</f>
        <v>9.0449014751803586E-2</v>
      </c>
      <c r="I1189" s="2"/>
    </row>
    <row r="1190" spans="1:9" x14ac:dyDescent="0.3">
      <c r="A1190" s="2" t="s">
        <v>90</v>
      </c>
      <c r="B1190" s="2" t="s">
        <v>20</v>
      </c>
      <c r="C1190" s="2">
        <v>1226.0999999999999</v>
      </c>
      <c r="D1190" s="6">
        <f>(Table2_1[[#This Row],[Constant Prices]]-C1189)/C1189</f>
        <v>4.5882834903727236E-3</v>
      </c>
      <c r="E1190" s="6">
        <f>(Table2_1[[#This Row],[Constant Prices]]-C1186)/C1186</f>
        <v>1.4899428855227218E-2</v>
      </c>
      <c r="F1190" s="2">
        <v>1037.2</v>
      </c>
      <c r="G1190" s="7">
        <f>(Table2_1[[#This Row],[Current Prices]]-F1189)/F1189</f>
        <v>2.4192752048977979E-2</v>
      </c>
      <c r="H1190" s="7">
        <f>(Table2_1[[#This Row],[Current Prices]]-F1186)/F1186</f>
        <v>8.8809573798026481E-2</v>
      </c>
      <c r="I1190" s="2"/>
    </row>
    <row r="1191" spans="1:9" x14ac:dyDescent="0.3">
      <c r="A1191" s="2" t="s">
        <v>90</v>
      </c>
      <c r="B1191" s="2" t="s">
        <v>21</v>
      </c>
      <c r="C1191" s="2">
        <v>1231.4000000000001</v>
      </c>
      <c r="D1191" s="6">
        <f>(Table2_1[[#This Row],[Constant Prices]]-C1190)/C1190</f>
        <v>4.3226490498329516E-3</v>
      </c>
      <c r="E1191" s="6">
        <f>(Table2_1[[#This Row],[Constant Prices]]-C1187)/C1187</f>
        <v>9.5925227514963071E-3</v>
      </c>
      <c r="F1191" s="2">
        <v>1060.5999999999999</v>
      </c>
      <c r="G1191" s="7">
        <f>(Table2_1[[#This Row],[Current Prices]]-F1190)/F1190</f>
        <v>2.2560740455071213E-2</v>
      </c>
      <c r="H1191" s="7">
        <f>(Table2_1[[#This Row],[Current Prices]]-F1187)/F1187</f>
        <v>9.3740332061462164E-2</v>
      </c>
      <c r="I1191" s="2">
        <v>2</v>
      </c>
    </row>
    <row r="1192" spans="1:9" x14ac:dyDescent="0.3">
      <c r="A1192" s="2" t="s">
        <v>90</v>
      </c>
      <c r="B1192" s="2" t="s">
        <v>22</v>
      </c>
      <c r="C1192" s="2">
        <v>1235.3</v>
      </c>
      <c r="D1192" s="6">
        <f>(Table2_1[[#This Row],[Constant Prices]]-C1191)/C1191</f>
        <v>3.1671268474905501E-3</v>
      </c>
      <c r="E1192" s="6">
        <f>(Table2_1[[#This Row],[Constant Prices]]-C1188)/C1188</f>
        <v>1.7126389460683372E-2</v>
      </c>
      <c r="F1192" s="2">
        <v>1074.4000000000001</v>
      </c>
      <c r="G1192" s="7">
        <f>(Table2_1[[#This Row],[Current Prices]]-F1191)/F1191</f>
        <v>1.3011502922874018E-2</v>
      </c>
      <c r="H1192" s="7">
        <f>(Table2_1[[#This Row],[Current Prices]]-F1188)/F1188</f>
        <v>8.240983276244214E-2</v>
      </c>
      <c r="I1192" s="2"/>
    </row>
    <row r="1193" spans="1:9" x14ac:dyDescent="0.3">
      <c r="A1193" s="2" t="s">
        <v>90</v>
      </c>
      <c r="B1193" s="2" t="s">
        <v>23</v>
      </c>
      <c r="C1193" s="2">
        <v>1242.3</v>
      </c>
      <c r="D1193" s="6">
        <f>(Table2_1[[#This Row],[Constant Prices]]-C1192)/C1192</f>
        <v>5.6666396826681783E-3</v>
      </c>
      <c r="E1193" s="6">
        <f>(Table2_1[[#This Row],[Constant Prices]]-C1189)/C1189</f>
        <v>1.7861532158951213E-2</v>
      </c>
      <c r="F1193" s="2">
        <v>1096</v>
      </c>
      <c r="G1193" s="7">
        <f>(Table2_1[[#This Row],[Current Prices]]-F1192)/F1192</f>
        <v>2.010424422933722E-2</v>
      </c>
      <c r="H1193" s="7">
        <f>(Table2_1[[#This Row],[Current Prices]]-F1189)/F1189</f>
        <v>8.2255356966525084E-2</v>
      </c>
      <c r="I1193" s="2"/>
    </row>
    <row r="1194" spans="1:9" x14ac:dyDescent="0.3">
      <c r="A1194" s="2" t="s">
        <v>90</v>
      </c>
      <c r="B1194" s="2" t="s">
        <v>24</v>
      </c>
      <c r="C1194" s="2">
        <v>1253.7</v>
      </c>
      <c r="D1194" s="6">
        <f>(Table2_1[[#This Row],[Constant Prices]]-C1193)/C1193</f>
        <v>9.1765274088385189E-3</v>
      </c>
      <c r="E1194" s="6">
        <f>(Table2_1[[#This Row],[Constant Prices]]-C1190)/C1190</f>
        <v>2.2510398825544523E-2</v>
      </c>
      <c r="F1194" s="2">
        <v>1125.5</v>
      </c>
      <c r="G1194" s="7">
        <f>(Table2_1[[#This Row],[Current Prices]]-F1193)/F1193</f>
        <v>2.6916058394160582E-2</v>
      </c>
      <c r="H1194" s="7">
        <f>(Table2_1[[#This Row],[Current Prices]]-F1190)/F1190</f>
        <v>8.5133050520632428E-2</v>
      </c>
      <c r="I1194" s="2"/>
    </row>
    <row r="1195" spans="1:9" x14ac:dyDescent="0.3">
      <c r="A1195" s="2" t="s">
        <v>90</v>
      </c>
      <c r="B1195" s="2" t="s">
        <v>25</v>
      </c>
      <c r="C1195" s="2">
        <v>1268.5999999999999</v>
      </c>
      <c r="D1195" s="6">
        <f>(Table2_1[[#This Row],[Constant Prices]]-C1194)/C1194</f>
        <v>1.1884820930046952E-2</v>
      </c>
      <c r="E1195" s="6">
        <f>(Table2_1[[#This Row],[Constant Prices]]-C1191)/C1191</f>
        <v>3.0209517622218462E-2</v>
      </c>
      <c r="F1195" s="2">
        <v>1155.7</v>
      </c>
      <c r="G1195" s="7">
        <f>(Table2_1[[#This Row],[Current Prices]]-F1194)/F1194</f>
        <v>2.6832518880497598E-2</v>
      </c>
      <c r="H1195" s="7">
        <f>(Table2_1[[#This Row],[Current Prices]]-F1191)/F1191</f>
        <v>8.9666226664152499E-2</v>
      </c>
      <c r="I1195" s="2">
        <v>3</v>
      </c>
    </row>
    <row r="1196" spans="1:9" x14ac:dyDescent="0.3">
      <c r="A1196" s="2" t="s">
        <v>90</v>
      </c>
      <c r="B1196" s="2" t="s">
        <v>26</v>
      </c>
      <c r="C1196" s="2">
        <v>1284.9000000000001</v>
      </c>
      <c r="D1196" s="6">
        <f>(Table2_1[[#This Row],[Constant Prices]]-C1195)/C1195</f>
        <v>1.2848809711493129E-2</v>
      </c>
      <c r="E1196" s="6">
        <f>(Table2_1[[#This Row],[Constant Prices]]-C1192)/C1192</f>
        <v>4.0152189751477489E-2</v>
      </c>
      <c r="F1196" s="2">
        <v>1167.2</v>
      </c>
      <c r="G1196" s="7">
        <f>(Table2_1[[#This Row],[Current Prices]]-F1195)/F1195</f>
        <v>9.9506792420178247E-3</v>
      </c>
      <c r="H1196" s="7">
        <f>(Table2_1[[#This Row],[Current Prices]]-F1192)/F1192</f>
        <v>8.6373790022337998E-2</v>
      </c>
      <c r="I1196" s="2"/>
    </row>
    <row r="1197" spans="1:9" x14ac:dyDescent="0.3">
      <c r="A1197" s="2" t="s">
        <v>90</v>
      </c>
      <c r="B1197" s="2" t="s">
        <v>27</v>
      </c>
      <c r="C1197" s="2">
        <v>1303.3</v>
      </c>
      <c r="D1197" s="6">
        <f>(Table2_1[[#This Row],[Constant Prices]]-C1196)/C1196</f>
        <v>1.4320180558798242E-2</v>
      </c>
      <c r="E1197" s="6">
        <f>(Table2_1[[#This Row],[Constant Prices]]-C1193)/C1193</f>
        <v>4.9102471222732029E-2</v>
      </c>
      <c r="F1197" s="2">
        <v>1201.4000000000001</v>
      </c>
      <c r="G1197" s="7">
        <f>(Table2_1[[#This Row],[Current Prices]]-F1196)/F1196</f>
        <v>2.9300891021247468E-2</v>
      </c>
      <c r="H1197" s="7">
        <f>(Table2_1[[#This Row],[Current Prices]]-F1193)/F1193</f>
        <v>9.616788321167892E-2</v>
      </c>
      <c r="I1197" s="2"/>
    </row>
    <row r="1198" spans="1:9" x14ac:dyDescent="0.3">
      <c r="A1198" s="2" t="s">
        <v>90</v>
      </c>
      <c r="B1198" s="2" t="s">
        <v>28</v>
      </c>
      <c r="C1198" s="2">
        <v>1317.6</v>
      </c>
      <c r="D1198" s="6">
        <f>(Table2_1[[#This Row],[Constant Prices]]-C1197)/C1197</f>
        <v>1.0972147625258924E-2</v>
      </c>
      <c r="E1198" s="6">
        <f>(Table2_1[[#This Row],[Constant Prices]]-C1194)/C1194</f>
        <v>5.0969131371141313E-2</v>
      </c>
      <c r="F1198" s="2">
        <v>1242</v>
      </c>
      <c r="G1198" s="7">
        <f>(Table2_1[[#This Row],[Current Prices]]-F1197)/F1197</f>
        <v>3.3793907108373489E-2</v>
      </c>
      <c r="H1198" s="7">
        <f>(Table2_1[[#This Row],[Current Prices]]-F1194)/F1194</f>
        <v>0.10350955131052865</v>
      </c>
      <c r="I1198" s="2"/>
    </row>
    <row r="1199" spans="1:9" x14ac:dyDescent="0.3">
      <c r="A1199" s="2" t="s">
        <v>90</v>
      </c>
      <c r="B1199" s="2" t="s">
        <v>29</v>
      </c>
      <c r="C1199" s="2">
        <v>1329.1</v>
      </c>
      <c r="D1199" s="6">
        <f>(Table2_1[[#This Row],[Constant Prices]]-C1198)/C1198</f>
        <v>8.7279902853673354E-3</v>
      </c>
      <c r="E1199" s="6">
        <f>(Table2_1[[#This Row],[Constant Prices]]-C1195)/C1195</f>
        <v>4.7690367334069055E-2</v>
      </c>
      <c r="F1199" s="2">
        <v>1289.8</v>
      </c>
      <c r="G1199" s="7">
        <f>(Table2_1[[#This Row],[Current Prices]]-F1198)/F1198</f>
        <v>3.8486312399355842E-2</v>
      </c>
      <c r="H1199" s="7">
        <f>(Table2_1[[#This Row],[Current Prices]]-F1195)/F1195</f>
        <v>0.11603357272648603</v>
      </c>
      <c r="I1199" s="2">
        <v>4</v>
      </c>
    </row>
    <row r="1200" spans="1:9" x14ac:dyDescent="0.3">
      <c r="A1200" s="2" t="s">
        <v>90</v>
      </c>
      <c r="B1200" s="2" t="s">
        <v>30</v>
      </c>
      <c r="C1200" s="2">
        <v>1335.6</v>
      </c>
      <c r="D1200" s="6">
        <f>(Table2_1[[#This Row],[Constant Prices]]-C1199)/C1199</f>
        <v>4.8905274245730195E-3</v>
      </c>
      <c r="E1200" s="6">
        <f>(Table2_1[[#This Row],[Constant Prices]]-C1196)/C1196</f>
        <v>3.9458323604949656E-2</v>
      </c>
      <c r="F1200" s="2">
        <v>1305.4000000000001</v>
      </c>
      <c r="G1200" s="7">
        <f>(Table2_1[[#This Row],[Current Prices]]-F1199)/F1199</f>
        <v>1.2094898433865822E-2</v>
      </c>
      <c r="H1200" s="7">
        <f>(Table2_1[[#This Row],[Current Prices]]-F1196)/F1196</f>
        <v>0.1184030157642221</v>
      </c>
      <c r="I1200" s="2"/>
    </row>
    <row r="1201" spans="1:9" x14ac:dyDescent="0.3">
      <c r="A1201" s="2" t="s">
        <v>90</v>
      </c>
      <c r="B1201" s="2" t="s">
        <v>31</v>
      </c>
      <c r="C1201" s="2">
        <v>1348.1</v>
      </c>
      <c r="D1201" s="6">
        <f>(Table2_1[[#This Row],[Constant Prices]]-C1200)/C1200</f>
        <v>9.3590895477687931E-3</v>
      </c>
      <c r="E1201" s="6">
        <f>(Table2_1[[#This Row],[Constant Prices]]-C1197)/C1197</f>
        <v>3.437428067213992E-2</v>
      </c>
      <c r="F1201" s="2">
        <v>1341.5</v>
      </c>
      <c r="G1201" s="7">
        <f>(Table2_1[[#This Row],[Current Prices]]-F1200)/F1200</f>
        <v>2.7654358817220705E-2</v>
      </c>
      <c r="H1201" s="7">
        <f>(Table2_1[[#This Row],[Current Prices]]-F1197)/F1197</f>
        <v>0.11661395039121017</v>
      </c>
      <c r="I1201" s="2"/>
    </row>
    <row r="1202" spans="1:9" x14ac:dyDescent="0.3">
      <c r="A1202" s="2" t="s">
        <v>90</v>
      </c>
      <c r="B1202" s="2" t="s">
        <v>32</v>
      </c>
      <c r="C1202" s="2">
        <v>1361.9</v>
      </c>
      <c r="D1202" s="6">
        <f>(Table2_1[[#This Row],[Constant Prices]]-C1201)/C1201</f>
        <v>1.0236629330168522E-2</v>
      </c>
      <c r="E1202" s="6">
        <f>(Table2_1[[#This Row],[Constant Prices]]-C1198)/C1198</f>
        <v>3.3621736490589089E-2</v>
      </c>
      <c r="F1202" s="2">
        <v>1371.3</v>
      </c>
      <c r="G1202" s="7">
        <f>(Table2_1[[#This Row],[Current Prices]]-F1201)/F1201</f>
        <v>2.2213939619828517E-2</v>
      </c>
      <c r="H1202" s="7">
        <f>(Table2_1[[#This Row],[Current Prices]]-F1198)/F1198</f>
        <v>0.10410628019323667</v>
      </c>
      <c r="I1202" s="2"/>
    </row>
    <row r="1203" spans="1:9" x14ac:dyDescent="0.3">
      <c r="A1203" s="2" t="s">
        <v>90</v>
      </c>
      <c r="B1203" s="2" t="s">
        <v>33</v>
      </c>
      <c r="C1203" s="2">
        <v>1378.7</v>
      </c>
      <c r="D1203" s="6">
        <f>(Table2_1[[#This Row],[Constant Prices]]-C1202)/C1202</f>
        <v>1.2335707467508594E-2</v>
      </c>
      <c r="E1203" s="6">
        <f>(Table2_1[[#This Row],[Constant Prices]]-C1199)/C1199</f>
        <v>3.7318486193664992E-2</v>
      </c>
      <c r="F1203" s="2">
        <v>1406.1</v>
      </c>
      <c r="G1203" s="7">
        <f>(Table2_1[[#This Row],[Current Prices]]-F1202)/F1202</f>
        <v>2.5377379129293338E-2</v>
      </c>
      <c r="H1203" s="7">
        <f>(Table2_1[[#This Row],[Current Prices]]-F1199)/F1199</f>
        <v>9.0169018452473215E-2</v>
      </c>
      <c r="I1203" s="2">
        <v>5</v>
      </c>
    </row>
    <row r="1204" spans="1:9" x14ac:dyDescent="0.3">
      <c r="A1204" s="2" t="s">
        <v>90</v>
      </c>
      <c r="B1204" s="2" t="s">
        <v>34</v>
      </c>
      <c r="C1204" s="2">
        <v>1403.1</v>
      </c>
      <c r="D1204" s="6">
        <f>(Table2_1[[#This Row],[Constant Prices]]-C1203)/C1203</f>
        <v>1.769783129034588E-2</v>
      </c>
      <c r="E1204" s="6">
        <f>(Table2_1[[#This Row],[Constant Prices]]-C1200)/C1200</f>
        <v>5.0539083557951489E-2</v>
      </c>
      <c r="F1204" s="2">
        <v>1488.1</v>
      </c>
      <c r="G1204" s="7">
        <f>(Table2_1[[#This Row],[Current Prices]]-F1203)/F1203</f>
        <v>5.8317331626484607E-2</v>
      </c>
      <c r="H1204" s="7">
        <f>(Table2_1[[#This Row],[Current Prices]]-F1200)/F1200</f>
        <v>0.13995710127164074</v>
      </c>
      <c r="I1204" s="2"/>
    </row>
    <row r="1205" spans="1:9" x14ac:dyDescent="0.3">
      <c r="A1205" s="2" t="s">
        <v>90</v>
      </c>
      <c r="B1205" s="2" t="s">
        <v>35</v>
      </c>
      <c r="C1205" s="2">
        <v>1418.6</v>
      </c>
      <c r="D1205" s="6">
        <f>(Table2_1[[#This Row],[Constant Prices]]-C1204)/C1204</f>
        <v>1.1046967429263773E-2</v>
      </c>
      <c r="E1205" s="6">
        <f>(Table2_1[[#This Row],[Constant Prices]]-C1201)/C1201</f>
        <v>5.229582375194719E-2</v>
      </c>
      <c r="F1205" s="2">
        <v>1533.5</v>
      </c>
      <c r="G1205" s="7">
        <f>(Table2_1[[#This Row],[Current Prices]]-F1204)/F1204</f>
        <v>3.0508702372152471E-2</v>
      </c>
      <c r="H1205" s="7">
        <f>(Table2_1[[#This Row],[Current Prices]]-F1201)/F1201</f>
        <v>0.14312336936265374</v>
      </c>
      <c r="I1205" s="2"/>
    </row>
    <row r="1206" spans="1:9" x14ac:dyDescent="0.3">
      <c r="A1206" s="2" t="s">
        <v>90</v>
      </c>
      <c r="B1206" s="2" t="s">
        <v>36</v>
      </c>
      <c r="C1206" s="2">
        <v>1429.2</v>
      </c>
      <c r="D1206" s="6">
        <f>(Table2_1[[#This Row],[Constant Prices]]-C1205)/C1205</f>
        <v>7.4721556464120518E-3</v>
      </c>
      <c r="E1206" s="6">
        <f>(Table2_1[[#This Row],[Constant Prices]]-C1202)/C1202</f>
        <v>4.9416256700198218E-2</v>
      </c>
      <c r="F1206" s="2">
        <v>1563.4</v>
      </c>
      <c r="G1206" s="7">
        <f>(Table2_1[[#This Row],[Current Prices]]-F1205)/F1205</f>
        <v>1.9497880665145153E-2</v>
      </c>
      <c r="H1206" s="7">
        <f>(Table2_1[[#This Row],[Current Prices]]-F1202)/F1202</f>
        <v>0.14008604973382932</v>
      </c>
      <c r="I1206" s="2"/>
    </row>
    <row r="1207" spans="1:9" x14ac:dyDescent="0.3">
      <c r="A1207" s="2" t="s">
        <v>90</v>
      </c>
      <c r="B1207" s="2" t="s">
        <v>37</v>
      </c>
      <c r="C1207" s="2">
        <v>1436.4</v>
      </c>
      <c r="D1207" s="6">
        <f>(Table2_1[[#This Row],[Constant Prices]]-C1206)/C1206</f>
        <v>5.0377833753148934E-3</v>
      </c>
      <c r="E1207" s="6">
        <f>(Table2_1[[#This Row],[Constant Prices]]-C1203)/C1203</f>
        <v>4.1851019075941139E-2</v>
      </c>
      <c r="F1207" s="2">
        <v>1577.1</v>
      </c>
      <c r="G1207" s="7">
        <f>(Table2_1[[#This Row],[Current Prices]]-F1206)/F1206</f>
        <v>8.7629525393372251E-3</v>
      </c>
      <c r="H1207" s="7">
        <f>(Table2_1[[#This Row],[Current Prices]]-F1203)/F1203</f>
        <v>0.12161297205035204</v>
      </c>
      <c r="I1207" s="2">
        <v>6</v>
      </c>
    </row>
    <row r="1208" spans="1:9" x14ac:dyDescent="0.3">
      <c r="A1208" s="2" t="s">
        <v>90</v>
      </c>
      <c r="B1208" s="2" t="s">
        <v>38</v>
      </c>
      <c r="C1208" s="2">
        <v>1450</v>
      </c>
      <c r="D1208" s="6">
        <f>(Table2_1[[#This Row],[Constant Prices]]-C1207)/C1207</f>
        <v>9.4681147312725613E-3</v>
      </c>
      <c r="E1208" s="6">
        <f>(Table2_1[[#This Row],[Constant Prices]]-C1204)/C1204</f>
        <v>3.3425985318224001E-2</v>
      </c>
      <c r="F1208" s="2">
        <v>1669.7</v>
      </c>
      <c r="G1208" s="7">
        <f>(Table2_1[[#This Row],[Current Prices]]-F1207)/F1207</f>
        <v>5.8715363642128045E-2</v>
      </c>
      <c r="H1208" s="7">
        <f>(Table2_1[[#This Row],[Current Prices]]-F1204)/F1204</f>
        <v>0.12203480948860973</v>
      </c>
      <c r="I1208" s="2"/>
    </row>
    <row r="1209" spans="1:9" x14ac:dyDescent="0.3">
      <c r="A1209" s="2" t="s">
        <v>90</v>
      </c>
      <c r="B1209" s="2" t="s">
        <v>39</v>
      </c>
      <c r="C1209" s="2">
        <v>1451.5</v>
      </c>
      <c r="D1209" s="6">
        <f>(Table2_1[[#This Row],[Constant Prices]]-C1208)/C1208</f>
        <v>1.0344827586206897E-3</v>
      </c>
      <c r="E1209" s="6">
        <f>(Table2_1[[#This Row],[Constant Prices]]-C1205)/C1205</f>
        <v>2.3191879317637172E-2</v>
      </c>
      <c r="F1209" s="2">
        <v>1691.3</v>
      </c>
      <c r="G1209" s="7">
        <f>(Table2_1[[#This Row],[Current Prices]]-F1208)/F1208</f>
        <v>1.2936455650715642E-2</v>
      </c>
      <c r="H1209" s="7">
        <f>(Table2_1[[#This Row],[Current Prices]]-F1205)/F1205</f>
        <v>0.10290185849364196</v>
      </c>
      <c r="I1209" s="2"/>
    </row>
    <row r="1210" spans="1:9" x14ac:dyDescent="0.3">
      <c r="A1210" s="2" t="s">
        <v>90</v>
      </c>
      <c r="B1210" s="2" t="s">
        <v>40</v>
      </c>
      <c r="C1210" s="2">
        <v>1455.6</v>
      </c>
      <c r="D1210" s="6">
        <f>(Table2_1[[#This Row],[Constant Prices]]-C1209)/C1209</f>
        <v>2.8246641405442019E-3</v>
      </c>
      <c r="E1210" s="6">
        <f>(Table2_1[[#This Row],[Constant Prices]]-C1206)/C1206</f>
        <v>1.8471872376154396E-2</v>
      </c>
      <c r="F1210" s="2">
        <v>1723.4</v>
      </c>
      <c r="G1210" s="7">
        <f>(Table2_1[[#This Row],[Current Prices]]-F1209)/F1209</f>
        <v>1.8979483237746193E-2</v>
      </c>
      <c r="H1210" s="7">
        <f>(Table2_1[[#This Row],[Current Prices]]-F1206)/F1206</f>
        <v>0.10234105155430472</v>
      </c>
      <c r="I1210" s="2"/>
    </row>
    <row r="1211" spans="1:9" x14ac:dyDescent="0.3">
      <c r="A1211" s="2" t="s">
        <v>90</v>
      </c>
      <c r="B1211" s="2" t="s">
        <v>41</v>
      </c>
      <c r="C1211" s="2">
        <v>1464.4</v>
      </c>
      <c r="D1211" s="6">
        <f>(Table2_1[[#This Row],[Constant Prices]]-C1210)/C1210</f>
        <v>6.0456169277275226E-3</v>
      </c>
      <c r="E1211" s="6">
        <f>(Table2_1[[#This Row],[Constant Prices]]-C1207)/C1207</f>
        <v>1.9493177387914229E-2</v>
      </c>
      <c r="F1211" s="2">
        <v>1766.8</v>
      </c>
      <c r="G1211" s="7">
        <f>(Table2_1[[#This Row],[Current Prices]]-F1210)/F1210</f>
        <v>2.5182778229081968E-2</v>
      </c>
      <c r="H1211" s="7">
        <f>(Table2_1[[#This Row],[Current Prices]]-F1207)/F1207</f>
        <v>0.12028406569019089</v>
      </c>
      <c r="I1211" s="2">
        <v>7</v>
      </c>
    </row>
    <row r="1212" spans="1:9" x14ac:dyDescent="0.3">
      <c r="A1212" s="2" t="s">
        <v>90</v>
      </c>
      <c r="B1212" s="2" t="s">
        <v>42</v>
      </c>
      <c r="C1212" s="2">
        <v>1466.4</v>
      </c>
      <c r="D1212" s="6">
        <f>(Table2_1[[#This Row],[Constant Prices]]-C1211)/C1211</f>
        <v>1.3657470636438131E-3</v>
      </c>
      <c r="E1212" s="6">
        <f>(Table2_1[[#This Row],[Constant Prices]]-C1208)/C1208</f>
        <v>1.131034482758627E-2</v>
      </c>
      <c r="F1212" s="2">
        <v>1736.5</v>
      </c>
      <c r="G1212" s="7">
        <f>(Table2_1[[#This Row],[Current Prices]]-F1211)/F1211</f>
        <v>-1.7149649083088043E-2</v>
      </c>
      <c r="H1212" s="7">
        <f>(Table2_1[[#This Row],[Current Prices]]-F1208)/F1208</f>
        <v>4.0007186919805926E-2</v>
      </c>
      <c r="I1212" s="2"/>
    </row>
    <row r="1213" spans="1:9" x14ac:dyDescent="0.3">
      <c r="A1213" s="2" t="s">
        <v>90</v>
      </c>
      <c r="B1213" s="2" t="s">
        <v>43</v>
      </c>
      <c r="C1213" s="2">
        <v>1472.3</v>
      </c>
      <c r="D1213" s="6">
        <f>(Table2_1[[#This Row],[Constant Prices]]-C1212)/C1212</f>
        <v>4.02345881069276E-3</v>
      </c>
      <c r="E1213" s="6">
        <f>(Table2_1[[#This Row],[Constant Prices]]-C1209)/C1209</f>
        <v>1.4330003444712336E-2</v>
      </c>
      <c r="F1213" s="2">
        <v>1733.7</v>
      </c>
      <c r="G1213" s="7">
        <f>(Table2_1[[#This Row],[Current Prices]]-F1212)/F1212</f>
        <v>-1.6124388137057036E-3</v>
      </c>
      <c r="H1213" s="7">
        <f>(Table2_1[[#This Row],[Current Prices]]-F1209)/F1209</f>
        <v>2.5069473186306444E-2</v>
      </c>
      <c r="I1213" s="2"/>
    </row>
    <row r="1214" spans="1:9" x14ac:dyDescent="0.3">
      <c r="A1214" s="2" t="s">
        <v>90</v>
      </c>
      <c r="B1214" s="2" t="s">
        <v>44</v>
      </c>
      <c r="C1214" s="2">
        <v>1478.9</v>
      </c>
      <c r="D1214" s="6">
        <f>(Table2_1[[#This Row],[Constant Prices]]-C1213)/C1213</f>
        <v>4.4827820417035497E-3</v>
      </c>
      <c r="E1214" s="6">
        <f>(Table2_1[[#This Row],[Constant Prices]]-C1210)/C1210</f>
        <v>1.6007144820005623E-2</v>
      </c>
      <c r="F1214" s="2">
        <v>1759.2</v>
      </c>
      <c r="G1214" s="7">
        <f>(Table2_1[[#This Row],[Current Prices]]-F1213)/F1213</f>
        <v>1.4708427063505796E-2</v>
      </c>
      <c r="H1214" s="7">
        <f>(Table2_1[[#This Row],[Current Prices]]-F1210)/F1210</f>
        <v>2.07728907972612E-2</v>
      </c>
      <c r="I1214" s="2"/>
    </row>
    <row r="1215" spans="1:9" x14ac:dyDescent="0.3">
      <c r="A1215" s="2" t="s">
        <v>90</v>
      </c>
      <c r="B1215" s="2" t="s">
        <v>45</v>
      </c>
      <c r="C1215" s="2">
        <v>1482.2</v>
      </c>
      <c r="D1215" s="6">
        <f>(Table2_1[[#This Row],[Constant Prices]]-C1214)/C1214</f>
        <v>2.2313881939278885E-3</v>
      </c>
      <c r="E1215" s="6">
        <f>(Table2_1[[#This Row],[Constant Prices]]-C1211)/C1211</f>
        <v>1.2155148866429905E-2</v>
      </c>
      <c r="F1215" s="2">
        <v>1780.4</v>
      </c>
      <c r="G1215" s="7">
        <f>(Table2_1[[#This Row],[Current Prices]]-F1214)/F1214</f>
        <v>1.2050932241928174E-2</v>
      </c>
      <c r="H1215" s="7">
        <f>(Table2_1[[#This Row],[Current Prices]]-F1211)/F1211</f>
        <v>7.6975322617161739E-3</v>
      </c>
      <c r="I1215" s="2">
        <v>8</v>
      </c>
    </row>
    <row r="1216" spans="1:9" x14ac:dyDescent="0.3">
      <c r="A1216" s="2" t="s">
        <v>90</v>
      </c>
      <c r="B1216" s="2" t="s">
        <v>46</v>
      </c>
      <c r="C1216" s="2">
        <v>1501.3</v>
      </c>
      <c r="D1216" s="6">
        <f>(Table2_1[[#This Row],[Constant Prices]]-C1215)/C1215</f>
        <v>1.2886250168668133E-2</v>
      </c>
      <c r="E1216" s="6">
        <f>(Table2_1[[#This Row],[Constant Prices]]-C1212)/C1212</f>
        <v>2.3799781778505089E-2</v>
      </c>
      <c r="F1216" s="2">
        <v>1818.9</v>
      </c>
      <c r="G1216" s="7">
        <f>(Table2_1[[#This Row],[Current Prices]]-F1215)/F1215</f>
        <v>2.1624354077735341E-2</v>
      </c>
      <c r="H1216" s="7">
        <f>(Table2_1[[#This Row],[Current Prices]]-F1212)/F1212</f>
        <v>4.7451770803340107E-2</v>
      </c>
      <c r="I1216" s="2"/>
    </row>
    <row r="1217" spans="1:9" x14ac:dyDescent="0.3">
      <c r="A1217" s="2" t="s">
        <v>90</v>
      </c>
      <c r="B1217" s="2" t="s">
        <v>47</v>
      </c>
      <c r="C1217" s="2">
        <v>1508.9</v>
      </c>
      <c r="D1217" s="6">
        <f>(Table2_1[[#This Row],[Constant Prices]]-C1216)/C1216</f>
        <v>5.0622793578899202E-3</v>
      </c>
      <c r="E1217" s="6">
        <f>(Table2_1[[#This Row],[Constant Prices]]-C1213)/C1213</f>
        <v>2.4859064049446537E-2</v>
      </c>
      <c r="F1217" s="2">
        <v>1864</v>
      </c>
      <c r="G1217" s="7">
        <f>(Table2_1[[#This Row],[Current Prices]]-F1216)/F1216</f>
        <v>2.479520589367195E-2</v>
      </c>
      <c r="H1217" s="7">
        <f>(Table2_1[[#This Row],[Current Prices]]-F1213)/F1213</f>
        <v>7.5157178289208024E-2</v>
      </c>
      <c r="I1217" s="2"/>
    </row>
    <row r="1218" spans="1:9" x14ac:dyDescent="0.3">
      <c r="A1218" s="2" t="s">
        <v>90</v>
      </c>
      <c r="B1218" s="2" t="s">
        <v>48</v>
      </c>
      <c r="C1218" s="2">
        <v>1517.6</v>
      </c>
      <c r="D1218" s="6">
        <f>(Table2_1[[#This Row],[Constant Prices]]-C1217)/C1217</f>
        <v>5.7657896480878901E-3</v>
      </c>
      <c r="E1218" s="6">
        <f>(Table2_1[[#This Row],[Constant Prices]]-C1214)/C1214</f>
        <v>2.6168097910609114E-2</v>
      </c>
      <c r="F1218" s="2">
        <v>1941.6</v>
      </c>
      <c r="G1218" s="7">
        <f>(Table2_1[[#This Row],[Current Prices]]-F1217)/F1217</f>
        <v>4.1630901287553597E-2</v>
      </c>
      <c r="H1218" s="7">
        <f>(Table2_1[[#This Row],[Current Prices]]-F1214)/F1214</f>
        <v>0.10368349249658927</v>
      </c>
      <c r="I1218" s="2"/>
    </row>
    <row r="1219" spans="1:9" x14ac:dyDescent="0.3">
      <c r="A1219" s="2" t="s">
        <v>90</v>
      </c>
      <c r="B1219" s="2" t="s">
        <v>49</v>
      </c>
      <c r="C1219" s="2">
        <v>1520.9</v>
      </c>
      <c r="D1219" s="6">
        <f>(Table2_1[[#This Row],[Constant Prices]]-C1218)/C1218</f>
        <v>2.1744860305747114E-3</v>
      </c>
      <c r="E1219" s="6">
        <f>(Table2_1[[#This Row],[Constant Prices]]-C1215)/C1215</f>
        <v>2.6109836729186375E-2</v>
      </c>
      <c r="F1219" s="2">
        <v>1997.7</v>
      </c>
      <c r="G1219" s="7">
        <f>(Table2_1[[#This Row],[Current Prices]]-F1218)/F1218</f>
        <v>2.8893695920890059E-2</v>
      </c>
      <c r="H1219" s="7">
        <f>(Table2_1[[#This Row],[Current Prices]]-F1215)/F1215</f>
        <v>0.12205122444394514</v>
      </c>
      <c r="I1219" s="2">
        <v>9</v>
      </c>
    </row>
    <row r="1220" spans="1:9" x14ac:dyDescent="0.3">
      <c r="A1220" s="2" t="s">
        <v>90</v>
      </c>
      <c r="B1220" s="2" t="s">
        <v>50</v>
      </c>
      <c r="C1220" s="2">
        <v>1485.6</v>
      </c>
      <c r="D1220" s="6">
        <f>(Table2_1[[#This Row],[Constant Prices]]-C1219)/C1219</f>
        <v>-2.3209941482017344E-2</v>
      </c>
      <c r="E1220" s="6">
        <f>(Table2_1[[#This Row],[Constant Prices]]-C1216)/C1216</f>
        <v>-1.0457603410377703E-2</v>
      </c>
      <c r="F1220" s="2">
        <v>2048.3000000000002</v>
      </c>
      <c r="G1220" s="7">
        <f>(Table2_1[[#This Row],[Current Prices]]-F1219)/F1219</f>
        <v>2.5329128497772507E-2</v>
      </c>
      <c r="H1220" s="7">
        <f>(Table2_1[[#This Row],[Current Prices]]-F1216)/F1216</f>
        <v>0.12612018252790153</v>
      </c>
      <c r="I1220" s="2"/>
    </row>
    <row r="1221" spans="1:9" x14ac:dyDescent="0.3">
      <c r="A1221" s="2" t="s">
        <v>90</v>
      </c>
      <c r="B1221" s="2" t="s">
        <v>51</v>
      </c>
      <c r="C1221" s="2">
        <v>1350.3</v>
      </c>
      <c r="D1221" s="6">
        <f>(Table2_1[[#This Row],[Constant Prices]]-C1220)/C1220</f>
        <v>-9.1074313408723725E-2</v>
      </c>
      <c r="E1221" s="6">
        <f>(Table2_1[[#This Row],[Constant Prices]]-C1217)/C1217</f>
        <v>-0.10510968255020221</v>
      </c>
      <c r="F1221" s="2">
        <v>1848.7</v>
      </c>
      <c r="G1221" s="7">
        <f>(Table2_1[[#This Row],[Current Prices]]-F1220)/F1220</f>
        <v>-9.7446663086462007E-2</v>
      </c>
      <c r="H1221" s="7">
        <f>(Table2_1[[#This Row],[Current Prices]]-F1217)/F1217</f>
        <v>-8.2081545064377447E-3</v>
      </c>
      <c r="I1221" s="2"/>
    </row>
    <row r="1222" spans="1:9" x14ac:dyDescent="0.3">
      <c r="A1222" s="2" t="s">
        <v>90</v>
      </c>
      <c r="B1222" s="2" t="s">
        <v>52</v>
      </c>
      <c r="C1222" s="2">
        <v>1452.4</v>
      </c>
      <c r="D1222" s="6">
        <f>(Table2_1[[#This Row],[Constant Prices]]-C1221)/C1221</f>
        <v>7.5612826779234352E-2</v>
      </c>
      <c r="E1222" s="6">
        <f>(Table2_1[[#This Row],[Constant Prices]]-C1218)/C1218</f>
        <v>-4.296257248286757E-2</v>
      </c>
      <c r="F1222" s="2">
        <v>2139.6999999999998</v>
      </c>
      <c r="G1222" s="7">
        <f>(Table2_1[[#This Row],[Current Prices]]-F1221)/F1221</f>
        <v>0.15740790825985815</v>
      </c>
      <c r="H1222" s="7">
        <f>(Table2_1[[#This Row],[Current Prices]]-F1218)/F1218</f>
        <v>0.10202925422332093</v>
      </c>
      <c r="I1222" s="2"/>
    </row>
    <row r="1223" spans="1:9" x14ac:dyDescent="0.3">
      <c r="A1223" s="2" t="s">
        <v>90</v>
      </c>
      <c r="B1223" s="2" t="s">
        <v>53</v>
      </c>
      <c r="C1223" s="2">
        <v>1491.5</v>
      </c>
      <c r="D1223" s="6">
        <f>(Table2_1[[#This Row],[Constant Prices]]-C1222)/C1222</f>
        <v>2.6920958413660084E-2</v>
      </c>
      <c r="E1223" s="6">
        <f>(Table2_1[[#This Row],[Constant Prices]]-C1219)/C1219</f>
        <v>-1.9330659477940753E-2</v>
      </c>
      <c r="F1223" s="2">
        <v>2139.1</v>
      </c>
      <c r="G1223" s="7">
        <f>(Table2_1[[#This Row],[Current Prices]]-F1222)/F1222</f>
        <v>-2.8041314202921394E-4</v>
      </c>
      <c r="H1223" s="7">
        <f>(Table2_1[[#This Row],[Current Prices]]-F1219)/F1219</f>
        <v>7.078139860839959E-2</v>
      </c>
      <c r="I1223" s="2">
        <v>10</v>
      </c>
    </row>
    <row r="1224" spans="1:9" x14ac:dyDescent="0.3">
      <c r="A1224" s="2" t="s">
        <v>90</v>
      </c>
      <c r="B1224" s="2" t="s">
        <v>54</v>
      </c>
      <c r="C1224" s="2">
        <v>1505.9</v>
      </c>
      <c r="D1224" s="6">
        <f>(Table2_1[[#This Row],[Constant Prices]]-C1223)/C1223</f>
        <v>9.6547100234663698E-3</v>
      </c>
      <c r="E1224" s="6">
        <f>(Table2_1[[#This Row],[Constant Prices]]-C1220)/C1220</f>
        <v>1.3664512654819725E-2</v>
      </c>
      <c r="F1224" s="2">
        <v>2146.3000000000002</v>
      </c>
      <c r="G1224" s="7">
        <f>(Table2_1[[#This Row],[Current Prices]]-F1223)/F1223</f>
        <v>3.3659015473798668E-3</v>
      </c>
      <c r="H1224" s="7">
        <f>(Table2_1[[#This Row],[Current Prices]]-F1220)/F1220</f>
        <v>4.784455402040716E-2</v>
      </c>
      <c r="I1224" s="2"/>
    </row>
    <row r="1225" spans="1:9" x14ac:dyDescent="0.3">
      <c r="A1225" s="2" t="s">
        <v>90</v>
      </c>
      <c r="B1225" s="2" t="s">
        <v>55</v>
      </c>
      <c r="C1225" s="2">
        <v>1513.2</v>
      </c>
      <c r="D1225" s="6">
        <f>(Table2_1[[#This Row],[Constant Prices]]-C1224)/C1224</f>
        <v>4.8475994421940064E-3</v>
      </c>
      <c r="E1225" s="6">
        <f>(Table2_1[[#This Row],[Constant Prices]]-C1221)/C1221</f>
        <v>0.12063985780937576</v>
      </c>
      <c r="F1225" s="2">
        <v>2151.1999999999998</v>
      </c>
      <c r="G1225" s="7">
        <f>(Table2_1[[#This Row],[Current Prices]]-F1224)/F1224</f>
        <v>2.2829986488373645E-3</v>
      </c>
      <c r="H1225" s="7">
        <f>(Table2_1[[#This Row],[Current Prices]]-F1221)/F1221</f>
        <v>0.16362849569968074</v>
      </c>
      <c r="I1225" s="2"/>
    </row>
    <row r="1226" spans="1:9" x14ac:dyDescent="0.3">
      <c r="A1226" s="2" t="s">
        <v>90</v>
      </c>
      <c r="B1226" s="2" t="s">
        <v>56</v>
      </c>
      <c r="C1226" s="2">
        <v>1522.8</v>
      </c>
      <c r="D1226" s="6">
        <f>(Table2_1[[#This Row],[Constant Prices]]-C1225)/C1225</f>
        <v>6.3441712926248402E-3</v>
      </c>
      <c r="E1226" s="6">
        <f>(Table2_1[[#This Row],[Constant Prices]]-C1222)/C1222</f>
        <v>4.8471495455797202E-2</v>
      </c>
      <c r="F1226" s="2">
        <v>2158.1</v>
      </c>
      <c r="G1226" s="7">
        <f>(Table2_1[[#This Row],[Current Prices]]-F1225)/F1225</f>
        <v>3.2075120862774691E-3</v>
      </c>
      <c r="H1226" s="7">
        <f>(Table2_1[[#This Row],[Current Prices]]-F1222)/F1222</f>
        <v>8.5993363555639073E-3</v>
      </c>
      <c r="I1226" s="2"/>
    </row>
    <row r="1227" spans="1:9" x14ac:dyDescent="0.3">
      <c r="A1227" s="2" t="s">
        <v>90</v>
      </c>
      <c r="B1227" s="2" t="s">
        <v>57</v>
      </c>
      <c r="C1227" s="2">
        <v>1523.9</v>
      </c>
      <c r="D1227" s="6">
        <f>(Table2_1[[#This Row],[Constant Prices]]-C1226)/C1226</f>
        <v>7.2235355923308152E-4</v>
      </c>
      <c r="E1227" s="6">
        <f>(Table2_1[[#This Row],[Constant Prices]]-C1223)/C1223</f>
        <v>2.1723097552799258E-2</v>
      </c>
      <c r="F1227" s="2">
        <v>2235.5</v>
      </c>
      <c r="G1227" s="7">
        <f>(Table2_1[[#This Row],[Current Prices]]-F1226)/F1226</f>
        <v>3.5864881145452061E-2</v>
      </c>
      <c r="H1227" s="7">
        <f>(Table2_1[[#This Row],[Current Prices]]-F1223)/F1223</f>
        <v>4.5065681828806554E-2</v>
      </c>
      <c r="I1227" s="2">
        <v>11</v>
      </c>
    </row>
    <row r="1228" spans="1:9" x14ac:dyDescent="0.3">
      <c r="A1228" s="2" t="s">
        <v>90</v>
      </c>
      <c r="B1228" s="2" t="s">
        <v>58</v>
      </c>
      <c r="C1228" s="2">
        <v>1536.3</v>
      </c>
      <c r="D1228" s="6">
        <f>(Table2_1[[#This Row],[Constant Prices]]-C1227)/C1227</f>
        <v>8.1370168646235728E-3</v>
      </c>
      <c r="E1228" s="6">
        <f>(Table2_1[[#This Row],[Constant Prices]]-C1224)/C1224</f>
        <v>2.0187263430506582E-2</v>
      </c>
      <c r="F1228" s="2">
        <v>2240.1</v>
      </c>
      <c r="G1228" s="7">
        <f>(Table2_1[[#This Row],[Current Prices]]-F1227)/F1227</f>
        <v>2.0577052113620706E-3</v>
      </c>
      <c r="H1228" s="7">
        <f>(Table2_1[[#This Row],[Current Prices]]-F1224)/F1224</f>
        <v>4.3703116992032671E-2</v>
      </c>
      <c r="I1228" s="2"/>
    </row>
    <row r="1229" spans="1:9" x14ac:dyDescent="0.3">
      <c r="A1229" s="2" t="s">
        <v>90</v>
      </c>
      <c r="B1229" s="2" t="s">
        <v>59</v>
      </c>
      <c r="C1229" s="2">
        <v>1539.5</v>
      </c>
      <c r="D1229" s="6">
        <f>(Table2_1[[#This Row],[Constant Prices]]-C1228)/C1228</f>
        <v>2.0829265117490369E-3</v>
      </c>
      <c r="E1229" s="6">
        <f>(Table2_1[[#This Row],[Constant Prices]]-C1225)/C1225</f>
        <v>1.7380385937086937E-2</v>
      </c>
      <c r="F1229" s="2">
        <v>2205.4</v>
      </c>
      <c r="G1229" s="7">
        <f>(Table2_1[[#This Row],[Current Prices]]-F1228)/F1228</f>
        <v>-1.5490379893754663E-2</v>
      </c>
      <c r="H1229" s="7">
        <f>(Table2_1[[#This Row],[Current Prices]]-F1225)/F1225</f>
        <v>2.5195239866121363E-2</v>
      </c>
      <c r="I1229" s="2"/>
    </row>
    <row r="1230" spans="1:9" x14ac:dyDescent="0.3">
      <c r="A1230" s="2" t="s">
        <v>90</v>
      </c>
      <c r="B1230" s="2" t="s">
        <v>60</v>
      </c>
      <c r="C1230" s="2">
        <v>1557.3</v>
      </c>
      <c r="D1230" s="6">
        <f>(Table2_1[[#This Row],[Constant Prices]]-C1229)/C1229</f>
        <v>1.1562195518025304E-2</v>
      </c>
      <c r="E1230" s="6">
        <f>(Table2_1[[#This Row],[Constant Prices]]-C1226)/C1226</f>
        <v>2.2655634357762019E-2</v>
      </c>
      <c r="F1230" s="2">
        <v>2286.5</v>
      </c>
      <c r="G1230" s="7">
        <f>(Table2_1[[#This Row],[Current Prices]]-F1229)/F1229</f>
        <v>3.6773374444545162E-2</v>
      </c>
      <c r="H1230" s="7">
        <f>(Table2_1[[#This Row],[Current Prices]]-F1226)/F1226</f>
        <v>5.9496779574625874E-2</v>
      </c>
      <c r="I1230" s="2"/>
    </row>
    <row r="1231" spans="1:9" x14ac:dyDescent="0.3">
      <c r="A1231" s="2" t="s">
        <v>90</v>
      </c>
      <c r="B1231" s="2" t="s">
        <v>61</v>
      </c>
      <c r="C1231" s="2">
        <v>1553.5</v>
      </c>
      <c r="D1231" s="6">
        <f>(Table2_1[[#This Row],[Constant Prices]]-C1230)/C1230</f>
        <v>-2.4401207217619948E-3</v>
      </c>
      <c r="E1231" s="6">
        <f>(Table2_1[[#This Row],[Constant Prices]]-C1227)/C1227</f>
        <v>1.9423846709101585E-2</v>
      </c>
      <c r="F1231" s="2">
        <v>2333</v>
      </c>
      <c r="G1231" s="7">
        <f>(Table2_1[[#This Row],[Current Prices]]-F1230)/F1230</f>
        <v>2.0336759239011591E-2</v>
      </c>
      <c r="H1231" s="7">
        <f>(Table2_1[[#This Row],[Current Prices]]-F1227)/F1227</f>
        <v>4.3614403936479536E-2</v>
      </c>
      <c r="I1231" s="2">
        <v>12</v>
      </c>
    </row>
    <row r="1232" spans="1:9" x14ac:dyDescent="0.3">
      <c r="A1232" s="2" t="s">
        <v>90</v>
      </c>
      <c r="B1232" s="2" t="s">
        <v>62</v>
      </c>
      <c r="C1232" s="2">
        <v>1551.9</v>
      </c>
      <c r="D1232" s="6">
        <f>(Table2_1[[#This Row],[Constant Prices]]-C1231)/C1231</f>
        <v>-1.0299324106854903E-3</v>
      </c>
      <c r="E1232" s="6">
        <f>(Table2_1[[#This Row],[Constant Prices]]-C1228)/C1228</f>
        <v>1.0154266744776499E-2</v>
      </c>
      <c r="F1232" s="2">
        <v>2272.6999999999998</v>
      </c>
      <c r="G1232" s="7">
        <f>(Table2_1[[#This Row],[Current Prices]]-F1231)/F1231</f>
        <v>-2.5846549507072516E-2</v>
      </c>
      <c r="H1232" s="7">
        <f>(Table2_1[[#This Row],[Current Prices]]-F1228)/F1228</f>
        <v>1.4552921744564934E-2</v>
      </c>
      <c r="I1232" s="2"/>
    </row>
    <row r="1233" spans="1:9" x14ac:dyDescent="0.3">
      <c r="A1233" s="2" t="s">
        <v>90</v>
      </c>
      <c r="B1233" s="2" t="s">
        <v>63</v>
      </c>
      <c r="C1233" s="2">
        <v>1561.5</v>
      </c>
      <c r="D1233" s="6">
        <f>(Table2_1[[#This Row],[Constant Prices]]-C1232)/C1232</f>
        <v>6.1859655905663431E-3</v>
      </c>
      <c r="E1233" s="6">
        <f>(Table2_1[[#This Row],[Constant Prices]]-C1229)/C1229</f>
        <v>1.4290354011042547E-2</v>
      </c>
      <c r="F1233" s="2">
        <v>2297.9</v>
      </c>
      <c r="G1233" s="7">
        <f>(Table2_1[[#This Row],[Current Prices]]-F1232)/F1232</f>
        <v>1.1088133057596813E-2</v>
      </c>
      <c r="H1233" s="7">
        <f>(Table2_1[[#This Row],[Current Prices]]-F1229)/F1229</f>
        <v>4.1942504761041076E-2</v>
      </c>
      <c r="I1233" s="2"/>
    </row>
    <row r="1234" spans="1:9" x14ac:dyDescent="0.3">
      <c r="A1234" s="2" t="s">
        <v>90</v>
      </c>
      <c r="B1234" s="2" t="s">
        <v>64</v>
      </c>
      <c r="C1234" s="2">
        <v>1568</v>
      </c>
      <c r="D1234" s="6">
        <f>(Table2_1[[#This Row],[Constant Prices]]-C1233)/C1233</f>
        <v>4.1626641050272178E-3</v>
      </c>
      <c r="E1234" s="6">
        <f>(Table2_1[[#This Row],[Constant Prices]]-C1230)/C1230</f>
        <v>6.8708662428562549E-3</v>
      </c>
      <c r="F1234" s="2">
        <v>2357.6</v>
      </c>
      <c r="G1234" s="7">
        <f>(Table2_1[[#This Row],[Current Prices]]-F1233)/F1233</f>
        <v>2.5980242830410293E-2</v>
      </c>
      <c r="H1234" s="7">
        <f>(Table2_1[[#This Row],[Current Prices]]-F1230)/F1230</f>
        <v>3.1095560900940261E-2</v>
      </c>
      <c r="I1234" s="2"/>
    </row>
    <row r="1235" spans="1:9" x14ac:dyDescent="0.3">
      <c r="A1235" s="2" t="s">
        <v>90</v>
      </c>
      <c r="B1235" s="2" t="s">
        <v>65</v>
      </c>
      <c r="C1235" s="2">
        <v>1570.6</v>
      </c>
      <c r="D1235" s="6">
        <f>(Table2_1[[#This Row],[Constant Prices]]-C1234)/C1234</f>
        <v>1.6581632653060645E-3</v>
      </c>
      <c r="E1235" s="6">
        <f>(Table2_1[[#This Row],[Constant Prices]]-C1231)/C1231</f>
        <v>1.1007402639201743E-2</v>
      </c>
      <c r="F1235" s="2">
        <v>2413.9</v>
      </c>
      <c r="G1235" s="7">
        <f>(Table2_1[[#This Row],[Current Prices]]-F1234)/F1234</f>
        <v>2.3880217170003472E-2</v>
      </c>
      <c r="H1235" s="7">
        <f>(Table2_1[[#This Row],[Current Prices]]-F1231)/F1231</f>
        <v>3.467638234033437E-2</v>
      </c>
      <c r="I1235" s="2">
        <v>13</v>
      </c>
    </row>
    <row r="1236" spans="1:9" x14ac:dyDescent="0.3">
      <c r="A1236" s="2" t="s">
        <v>90</v>
      </c>
      <c r="B1236" s="2" t="s">
        <v>66</v>
      </c>
      <c r="C1236" s="2">
        <v>1579.4</v>
      </c>
      <c r="D1236" s="6">
        <f>(Table2_1[[#This Row],[Constant Prices]]-C1235)/C1235</f>
        <v>5.6029542849867454E-3</v>
      </c>
      <c r="E1236" s="6">
        <f>(Table2_1[[#This Row],[Constant Prices]]-C1232)/C1232</f>
        <v>1.7720213931310007E-2</v>
      </c>
      <c r="F1236" s="2">
        <v>2438.3000000000002</v>
      </c>
      <c r="G1236" s="7">
        <f>(Table2_1[[#This Row],[Current Prices]]-F1235)/F1235</f>
        <v>1.0108123783089644E-2</v>
      </c>
      <c r="H1236" s="7">
        <f>(Table2_1[[#This Row],[Current Prices]]-F1232)/F1232</f>
        <v>7.2864874378492706E-2</v>
      </c>
      <c r="I1236" s="2"/>
    </row>
    <row r="1237" spans="1:9" x14ac:dyDescent="0.3">
      <c r="A1237" s="2" t="s">
        <v>90</v>
      </c>
      <c r="B1237" s="2" t="s">
        <v>67</v>
      </c>
      <c r="C1237" s="2">
        <v>1584.6</v>
      </c>
      <c r="D1237" s="6">
        <f>(Table2_1[[#This Row],[Constant Prices]]-C1236)/C1236</f>
        <v>3.2923895150055831E-3</v>
      </c>
      <c r="E1237" s="6">
        <f>(Table2_1[[#This Row],[Constant Prices]]-C1233)/C1233</f>
        <v>1.479346781940436E-2</v>
      </c>
      <c r="F1237" s="2">
        <v>2442.9</v>
      </c>
      <c r="G1237" s="7">
        <f>(Table2_1[[#This Row],[Current Prices]]-F1236)/F1236</f>
        <v>1.8865603084115608E-3</v>
      </c>
      <c r="H1237" s="7">
        <f>(Table2_1[[#This Row],[Current Prices]]-F1233)/F1233</f>
        <v>6.3101092301666731E-2</v>
      </c>
      <c r="I1237" s="2"/>
    </row>
    <row r="1238" spans="1:9" x14ac:dyDescent="0.3">
      <c r="A1238" s="2" t="s">
        <v>90</v>
      </c>
      <c r="B1238" s="2" t="s">
        <v>68</v>
      </c>
      <c r="C1238" s="2">
        <v>1590.9</v>
      </c>
      <c r="D1238" s="6">
        <f>(Table2_1[[#This Row],[Constant Prices]]-C1237)/C1237</f>
        <v>3.9757667550171542E-3</v>
      </c>
      <c r="E1238" s="6">
        <f>(Table2_1[[#This Row],[Constant Prices]]-C1234)/C1234</f>
        <v>1.4604591836734751E-2</v>
      </c>
      <c r="F1238" s="2">
        <v>2447</v>
      </c>
      <c r="G1238" s="7">
        <f>(Table2_1[[#This Row],[Current Prices]]-F1237)/F1237</f>
        <v>1.6783331286585243E-3</v>
      </c>
      <c r="H1238" s="7">
        <f>(Table2_1[[#This Row],[Current Prices]]-F1234)/F1234</f>
        <v>3.7919918561248767E-2</v>
      </c>
      <c r="I1238" s="2"/>
    </row>
    <row r="1239" spans="1:9" x14ac:dyDescent="0.3">
      <c r="A1239" s="2" t="s">
        <v>90</v>
      </c>
      <c r="B1239" s="2" t="s">
        <v>69</v>
      </c>
      <c r="C1239" s="2">
        <v>1608.5</v>
      </c>
      <c r="D1239" s="6">
        <f>(Table2_1[[#This Row],[Constant Prices]]-C1238)/C1238</f>
        <v>1.1062920359544854E-2</v>
      </c>
      <c r="E1239" s="6">
        <f>(Table2_1[[#This Row],[Constant Prices]]-C1235)/C1235</f>
        <v>2.4130905386476564E-2</v>
      </c>
      <c r="F1239" s="5">
        <f>Table2_1[[#This Row],[Constant Prices]]*AVERAGE(Inflation!$C$72:$C$74)*0.01</f>
        <v>2911.9211666666665</v>
      </c>
      <c r="G1239" s="7">
        <f>(Table2_1[[#This Row],[Current Prices]]-F1238)/F1238</f>
        <v>0.18999639013758338</v>
      </c>
      <c r="H1239" s="7">
        <f>(Table2_1[[#This Row],[Current Prices]]-F1235)/F1235</f>
        <v>0.20631391800267881</v>
      </c>
      <c r="I1239" s="2">
        <v>14</v>
      </c>
    </row>
    <row r="1240" spans="1:9" x14ac:dyDescent="0.3">
      <c r="A1240" s="2" t="s">
        <v>90</v>
      </c>
      <c r="B1240" s="2" t="s">
        <v>70</v>
      </c>
      <c r="C1240" s="2">
        <v>1611.3</v>
      </c>
      <c r="D1240" s="6">
        <f>(Table2_1[[#This Row],[Constant Prices]]-C1239)/C1239</f>
        <v>1.7407522536524429E-3</v>
      </c>
      <c r="E1240" s="6">
        <f>(Table2_1[[#This Row],[Constant Prices]]-C1236)/C1236</f>
        <v>2.0197543370900253E-2</v>
      </c>
      <c r="F1240" s="5">
        <f>Table2_1[[#This Row],[Constant Prices]]*AVERAGE(Inflation!$C$75:$C$77)*0.01</f>
        <v>2939.5482999999995</v>
      </c>
      <c r="G1240" s="7">
        <f>(Table2_1[[#This Row],[Current Prices]]-F1239)/F1239</f>
        <v>9.4875965907271695E-3</v>
      </c>
      <c r="H1240" s="7">
        <f>(Table2_1[[#This Row],[Current Prices]]-F1236)/F1236</f>
        <v>0.20557285813886694</v>
      </c>
      <c r="I1240" s="2"/>
    </row>
    <row r="1241" spans="1:9" x14ac:dyDescent="0.3">
      <c r="A1241" s="2" t="s">
        <v>90</v>
      </c>
      <c r="B1241" s="2" t="s">
        <v>71</v>
      </c>
      <c r="C1241" s="2">
        <v>1616.6</v>
      </c>
      <c r="D1241" s="6">
        <f>(Table2_1[[#This Row],[Constant Prices]]-C1240)/C1240</f>
        <v>3.2892695339166852E-3</v>
      </c>
      <c r="E1241" s="6">
        <f>(Table2_1[[#This Row],[Constant Prices]]-C1237)/C1237</f>
        <v>2.0194370819134166E-2</v>
      </c>
      <c r="F1241" s="5">
        <f>Table2_1[[#This Row],[Constant Prices]]*AVERAGE(Inflation!$C$78:$C$80)*0.01</f>
        <v>2996.0986666666663</v>
      </c>
      <c r="G1241" s="7">
        <f>(Table2_1[[#This Row],[Current Prices]]-F1240)/F1240</f>
        <v>1.9237774275274483E-2</v>
      </c>
      <c r="H1241" s="7">
        <f>(Table2_1[[#This Row],[Current Prices]]-F1237)/F1237</f>
        <v>0.22645162170644159</v>
      </c>
      <c r="I1241" s="2"/>
    </row>
    <row r="1242" spans="1:9" x14ac:dyDescent="0.3">
      <c r="A1242" s="2" t="s">
        <v>91</v>
      </c>
      <c r="B1242" s="2" t="s">
        <v>10</v>
      </c>
      <c r="C1242" s="2">
        <v>504.1</v>
      </c>
      <c r="D1242" s="6"/>
      <c r="E1242" s="6"/>
      <c r="F1242" s="2">
        <v>389.5</v>
      </c>
      <c r="G1242" s="7"/>
      <c r="H1242" s="7"/>
      <c r="I1242" s="2"/>
    </row>
    <row r="1243" spans="1:9" x14ac:dyDescent="0.3">
      <c r="A1243" s="2" t="s">
        <v>91</v>
      </c>
      <c r="B1243" s="2" t="s">
        <v>11</v>
      </c>
      <c r="C1243" s="2">
        <v>505.4</v>
      </c>
      <c r="D1243" s="6">
        <f>(Table2_1[[#This Row],[Constant Prices]]-C1242)/C1242</f>
        <v>2.578853402102667E-3</v>
      </c>
      <c r="E1243" s="6"/>
      <c r="F1243" s="2">
        <v>397.8</v>
      </c>
      <c r="G1243" s="7">
        <f>(Table2_1[[#This Row],[Current Prices]]-F1242)/F1242</f>
        <v>2.1309370988446756E-2</v>
      </c>
      <c r="H1243" s="7"/>
      <c r="I1243" s="2"/>
    </row>
    <row r="1244" spans="1:9" x14ac:dyDescent="0.3">
      <c r="A1244" s="2" t="s">
        <v>91</v>
      </c>
      <c r="B1244" s="2" t="s">
        <v>12</v>
      </c>
      <c r="C1244" s="2">
        <v>505.2</v>
      </c>
      <c r="D1244" s="6">
        <f>(Table2_1[[#This Row],[Constant Prices]]-C1243)/C1243</f>
        <v>-3.9572615749898819E-4</v>
      </c>
      <c r="E1244" s="6"/>
      <c r="F1244" s="2">
        <v>405.8</v>
      </c>
      <c r="G1244" s="7">
        <f>(Table2_1[[#This Row],[Current Prices]]-F1243)/F1243</f>
        <v>2.0110608345902461E-2</v>
      </c>
      <c r="H1244" s="7"/>
      <c r="I1244" s="2"/>
    </row>
    <row r="1245" spans="1:9" x14ac:dyDescent="0.3">
      <c r="A1245" s="2" t="s">
        <v>91</v>
      </c>
      <c r="B1245" s="2" t="s">
        <v>13</v>
      </c>
      <c r="C1245" s="2">
        <v>501.8</v>
      </c>
      <c r="D1245" s="6">
        <f>(Table2_1[[#This Row],[Constant Prices]]-C1244)/C1244</f>
        <v>-6.7300079176563291E-3</v>
      </c>
      <c r="E1245" s="6"/>
      <c r="F1245" s="2">
        <v>419.4</v>
      </c>
      <c r="G1245" s="7">
        <f>(Table2_1[[#This Row],[Current Prices]]-F1244)/F1244</f>
        <v>3.3514046328240427E-2</v>
      </c>
      <c r="H1245" s="7"/>
      <c r="I1245" s="2"/>
    </row>
    <row r="1246" spans="1:9" x14ac:dyDescent="0.3">
      <c r="A1246" s="2" t="s">
        <v>91</v>
      </c>
      <c r="B1246" s="2" t="s">
        <v>14</v>
      </c>
      <c r="C1246" s="2">
        <v>498.7</v>
      </c>
      <c r="D1246" s="6">
        <f>(Table2_1[[#This Row],[Constant Prices]]-C1245)/C1245</f>
        <v>-6.1777600637704716E-3</v>
      </c>
      <c r="E1246" s="6">
        <f>(Table2_1[[#This Row],[Constant Prices]]-C1242)/C1242</f>
        <v>-1.0712160285657675E-2</v>
      </c>
      <c r="F1246" s="2">
        <v>440.9</v>
      </c>
      <c r="G1246" s="7">
        <f>(Table2_1[[#This Row],[Current Prices]]-F1245)/F1245</f>
        <v>5.1263710061993324E-2</v>
      </c>
      <c r="H1246" s="7">
        <f>(Table2_1[[#This Row],[Current Prices]]-F1242)/F1242</f>
        <v>0.13196405648267004</v>
      </c>
      <c r="I1246" s="2"/>
    </row>
    <row r="1247" spans="1:9" x14ac:dyDescent="0.3">
      <c r="A1247" s="2" t="s">
        <v>91</v>
      </c>
      <c r="B1247" s="2" t="s">
        <v>15</v>
      </c>
      <c r="C1247" s="2">
        <v>503.1</v>
      </c>
      <c r="D1247" s="6">
        <f>(Table2_1[[#This Row],[Constant Prices]]-C1246)/C1246</f>
        <v>8.8229396430720558E-3</v>
      </c>
      <c r="E1247" s="6">
        <f>(Table2_1[[#This Row],[Constant Prices]]-C1243)/C1243</f>
        <v>-4.5508508112385333E-3</v>
      </c>
      <c r="F1247" s="2">
        <v>460.3</v>
      </c>
      <c r="G1247" s="7">
        <f>(Table2_1[[#This Row],[Current Prices]]-F1246)/F1246</f>
        <v>4.4000907235200802E-2</v>
      </c>
      <c r="H1247" s="7">
        <f>(Table2_1[[#This Row],[Current Prices]]-F1243)/F1243</f>
        <v>0.15711412770236299</v>
      </c>
      <c r="I1247" s="2"/>
    </row>
    <row r="1248" spans="1:9" x14ac:dyDescent="0.3">
      <c r="A1248" s="2" t="s">
        <v>91</v>
      </c>
      <c r="B1248" s="2" t="s">
        <v>16</v>
      </c>
      <c r="C1248" s="2">
        <v>515</v>
      </c>
      <c r="D1248" s="6">
        <f>(Table2_1[[#This Row],[Constant Prices]]-C1247)/C1247</f>
        <v>2.3653349234744537E-2</v>
      </c>
      <c r="E1248" s="6">
        <f>(Table2_1[[#This Row],[Constant Prices]]-C1244)/C1244</f>
        <v>1.9398258115597807E-2</v>
      </c>
      <c r="F1248" s="2">
        <v>477.1</v>
      </c>
      <c r="G1248" s="7">
        <f>(Table2_1[[#This Row],[Current Prices]]-F1247)/F1247</f>
        <v>3.6497936128611796E-2</v>
      </c>
      <c r="H1248" s="7">
        <f>(Table2_1[[#This Row],[Current Prices]]-F1244)/F1244</f>
        <v>0.17570231641202566</v>
      </c>
      <c r="I1248" s="2"/>
    </row>
    <row r="1249" spans="1:9" x14ac:dyDescent="0.3">
      <c r="A1249" s="2" t="s">
        <v>91</v>
      </c>
      <c r="B1249" s="2" t="s">
        <v>17</v>
      </c>
      <c r="C1249" s="2">
        <v>533.1</v>
      </c>
      <c r="D1249" s="6">
        <f>(Table2_1[[#This Row],[Constant Prices]]-C1248)/C1248</f>
        <v>3.514563106796121E-2</v>
      </c>
      <c r="E1249" s="6">
        <f>(Table2_1[[#This Row],[Constant Prices]]-C1245)/C1245</f>
        <v>6.2375448385811098E-2</v>
      </c>
      <c r="F1249" s="2">
        <v>493.3</v>
      </c>
      <c r="G1249" s="7">
        <f>(Table2_1[[#This Row],[Current Prices]]-F1248)/F1248</f>
        <v>3.3955145671766898E-2</v>
      </c>
      <c r="H1249" s="7">
        <f>(Table2_1[[#This Row],[Current Prices]]-F1245)/F1245</f>
        <v>0.17620410109680504</v>
      </c>
      <c r="I1249" s="2">
        <v>1</v>
      </c>
    </row>
    <row r="1250" spans="1:9" x14ac:dyDescent="0.3">
      <c r="A1250" s="2" t="s">
        <v>91</v>
      </c>
      <c r="B1250" s="2" t="s">
        <v>18</v>
      </c>
      <c r="C1250" s="2">
        <v>543.1</v>
      </c>
      <c r="D1250" s="6">
        <f>(Table2_1[[#This Row],[Constant Prices]]-C1249)/C1249</f>
        <v>1.8758206715438003E-2</v>
      </c>
      <c r="E1250" s="6">
        <f>(Table2_1[[#This Row],[Constant Prices]]-C1246)/C1246</f>
        <v>8.9031481852817396E-2</v>
      </c>
      <c r="F1250" s="2">
        <v>511.8</v>
      </c>
      <c r="G1250" s="7">
        <f>(Table2_1[[#This Row],[Current Prices]]-F1249)/F1249</f>
        <v>3.7502533954996961E-2</v>
      </c>
      <c r="H1250" s="7">
        <f>(Table2_1[[#This Row],[Current Prices]]-F1246)/F1246</f>
        <v>0.16080743932864602</v>
      </c>
      <c r="I1250" s="2"/>
    </row>
    <row r="1251" spans="1:9" x14ac:dyDescent="0.3">
      <c r="A1251" s="2" t="s">
        <v>91</v>
      </c>
      <c r="B1251" s="2" t="s">
        <v>19</v>
      </c>
      <c r="C1251" s="2">
        <v>562.79999999999995</v>
      </c>
      <c r="D1251" s="6">
        <f>(Table2_1[[#This Row],[Constant Prices]]-C1250)/C1250</f>
        <v>3.6273246179340697E-2</v>
      </c>
      <c r="E1251" s="6">
        <f>(Table2_1[[#This Row],[Constant Prices]]-C1247)/C1247</f>
        <v>0.118664281454979</v>
      </c>
      <c r="F1251" s="2">
        <v>528.29999999999995</v>
      </c>
      <c r="G1251" s="7">
        <f>(Table2_1[[#This Row],[Current Prices]]-F1250)/F1250</f>
        <v>3.2239155920281246E-2</v>
      </c>
      <c r="H1251" s="7">
        <f>(Table2_1[[#This Row],[Current Prices]]-F1247)/F1247</f>
        <v>0.14772974147295229</v>
      </c>
      <c r="I1251" s="2"/>
    </row>
    <row r="1252" spans="1:9" x14ac:dyDescent="0.3">
      <c r="A1252" s="2" t="s">
        <v>91</v>
      </c>
      <c r="B1252" s="2" t="s">
        <v>20</v>
      </c>
      <c r="C1252" s="2">
        <v>578.79999999999995</v>
      </c>
      <c r="D1252" s="6">
        <f>(Table2_1[[#This Row],[Constant Prices]]-C1251)/C1251</f>
        <v>2.8429282160625447E-2</v>
      </c>
      <c r="E1252" s="6">
        <f>(Table2_1[[#This Row],[Constant Prices]]-C1248)/C1248</f>
        <v>0.12388349514563098</v>
      </c>
      <c r="F1252" s="2">
        <v>543.20000000000005</v>
      </c>
      <c r="G1252" s="7">
        <f>(Table2_1[[#This Row],[Current Prices]]-F1251)/F1251</f>
        <v>2.8203672155972161E-2</v>
      </c>
      <c r="H1252" s="7">
        <f>(Table2_1[[#This Row],[Current Prices]]-F1248)/F1248</f>
        <v>0.13854537832739472</v>
      </c>
      <c r="I1252" s="2"/>
    </row>
    <row r="1253" spans="1:9" x14ac:dyDescent="0.3">
      <c r="A1253" s="2" t="s">
        <v>91</v>
      </c>
      <c r="B1253" s="2" t="s">
        <v>21</v>
      </c>
      <c r="C1253" s="2">
        <v>595.20000000000005</v>
      </c>
      <c r="D1253" s="6">
        <f>(Table2_1[[#This Row],[Constant Prices]]-C1252)/C1252</f>
        <v>2.8334485141672586E-2</v>
      </c>
      <c r="E1253" s="6">
        <f>(Table2_1[[#This Row],[Constant Prices]]-C1249)/C1249</f>
        <v>0.11648846370287004</v>
      </c>
      <c r="F1253" s="2">
        <v>554.5</v>
      </c>
      <c r="G1253" s="7">
        <f>(Table2_1[[#This Row],[Current Prices]]-F1252)/F1252</f>
        <v>2.0802650957290048E-2</v>
      </c>
      <c r="H1253" s="7">
        <f>(Table2_1[[#This Row],[Current Prices]]-F1249)/F1249</f>
        <v>0.12406243665112505</v>
      </c>
      <c r="I1253" s="2">
        <v>2</v>
      </c>
    </row>
    <row r="1254" spans="1:9" x14ac:dyDescent="0.3">
      <c r="A1254" s="2" t="s">
        <v>91</v>
      </c>
      <c r="B1254" s="2" t="s">
        <v>22</v>
      </c>
      <c r="C1254" s="2">
        <v>606.20000000000005</v>
      </c>
      <c r="D1254" s="6">
        <f>(Table2_1[[#This Row],[Constant Prices]]-C1253)/C1253</f>
        <v>1.8481182795698922E-2</v>
      </c>
      <c r="E1254" s="6">
        <f>(Table2_1[[#This Row],[Constant Prices]]-C1250)/C1250</f>
        <v>0.11618486466580744</v>
      </c>
      <c r="F1254" s="2">
        <v>561.4</v>
      </c>
      <c r="G1254" s="7">
        <f>(Table2_1[[#This Row],[Current Prices]]-F1253)/F1253</f>
        <v>1.2443642921550906E-2</v>
      </c>
      <c r="H1254" s="7">
        <f>(Table2_1[[#This Row],[Current Prices]]-F1250)/F1250</f>
        <v>9.6912856584603288E-2</v>
      </c>
      <c r="I1254" s="2"/>
    </row>
    <row r="1255" spans="1:9" x14ac:dyDescent="0.3">
      <c r="A1255" s="2" t="s">
        <v>91</v>
      </c>
      <c r="B1255" s="2" t="s">
        <v>23</v>
      </c>
      <c r="C1255" s="2">
        <v>618.79999999999995</v>
      </c>
      <c r="D1255" s="6">
        <f>(Table2_1[[#This Row],[Constant Prices]]-C1254)/C1254</f>
        <v>2.0785219399537955E-2</v>
      </c>
      <c r="E1255" s="6">
        <f>(Table2_1[[#This Row],[Constant Prices]]-C1251)/C1251</f>
        <v>9.950248756218906E-2</v>
      </c>
      <c r="F1255" s="2">
        <v>571.20000000000005</v>
      </c>
      <c r="G1255" s="7">
        <f>(Table2_1[[#This Row],[Current Prices]]-F1254)/F1254</f>
        <v>1.7456359102244513E-2</v>
      </c>
      <c r="H1255" s="7">
        <f>(Table2_1[[#This Row],[Current Prices]]-F1251)/F1251</f>
        <v>8.1203861442362468E-2</v>
      </c>
      <c r="I1255" s="2"/>
    </row>
    <row r="1256" spans="1:9" x14ac:dyDescent="0.3">
      <c r="A1256" s="2" t="s">
        <v>91</v>
      </c>
      <c r="B1256" s="2" t="s">
        <v>24</v>
      </c>
      <c r="C1256" s="2">
        <v>631.4</v>
      </c>
      <c r="D1256" s="6">
        <f>(Table2_1[[#This Row],[Constant Prices]]-C1255)/C1255</f>
        <v>2.0361990950226283E-2</v>
      </c>
      <c r="E1256" s="6">
        <f>(Table2_1[[#This Row],[Constant Prices]]-C1252)/C1252</f>
        <v>9.0877677954388433E-2</v>
      </c>
      <c r="F1256" s="2">
        <v>584.70000000000005</v>
      </c>
      <c r="G1256" s="7">
        <f>(Table2_1[[#This Row],[Current Prices]]-F1255)/F1255</f>
        <v>2.3634453781512604E-2</v>
      </c>
      <c r="H1256" s="7">
        <f>(Table2_1[[#This Row],[Current Prices]]-F1252)/F1252</f>
        <v>7.6399116347569948E-2</v>
      </c>
      <c r="I1256" s="2"/>
    </row>
    <row r="1257" spans="1:9" x14ac:dyDescent="0.3">
      <c r="A1257" s="2" t="s">
        <v>91</v>
      </c>
      <c r="B1257" s="2" t="s">
        <v>25</v>
      </c>
      <c r="C1257" s="2">
        <v>642.79999999999995</v>
      </c>
      <c r="D1257" s="6">
        <f>(Table2_1[[#This Row],[Constant Prices]]-C1256)/C1256</f>
        <v>1.8055115616091192E-2</v>
      </c>
      <c r="E1257" s="6">
        <f>(Table2_1[[#This Row],[Constant Prices]]-C1253)/C1253</f>
        <v>7.9973118279569738E-2</v>
      </c>
      <c r="F1257" s="2">
        <v>596.70000000000005</v>
      </c>
      <c r="G1257" s="7">
        <f>(Table2_1[[#This Row],[Current Prices]]-F1256)/F1256</f>
        <v>2.0523345305284761E-2</v>
      </c>
      <c r="H1257" s="7">
        <f>(Table2_1[[#This Row],[Current Prices]]-F1253)/F1253</f>
        <v>7.6104598737601531E-2</v>
      </c>
      <c r="I1257" s="2">
        <v>3</v>
      </c>
    </row>
    <row r="1258" spans="1:9" x14ac:dyDescent="0.3">
      <c r="A1258" s="2" t="s">
        <v>91</v>
      </c>
      <c r="B1258" s="2" t="s">
        <v>26</v>
      </c>
      <c r="C1258" s="2">
        <v>654.29999999999995</v>
      </c>
      <c r="D1258" s="6">
        <f>(Table2_1[[#This Row],[Constant Prices]]-C1257)/C1257</f>
        <v>1.7890479153702551E-2</v>
      </c>
      <c r="E1258" s="6">
        <f>(Table2_1[[#This Row],[Constant Prices]]-C1254)/C1254</f>
        <v>7.9346750247442935E-2</v>
      </c>
      <c r="F1258" s="2">
        <v>602.4</v>
      </c>
      <c r="G1258" s="7">
        <f>(Table2_1[[#This Row],[Current Prices]]-F1257)/F1257</f>
        <v>9.5525389643035547E-3</v>
      </c>
      <c r="H1258" s="7">
        <f>(Table2_1[[#This Row],[Current Prices]]-F1254)/F1254</f>
        <v>7.3031706448165298E-2</v>
      </c>
      <c r="I1258" s="2"/>
    </row>
    <row r="1259" spans="1:9" x14ac:dyDescent="0.3">
      <c r="A1259" s="2" t="s">
        <v>91</v>
      </c>
      <c r="B1259" s="2" t="s">
        <v>27</v>
      </c>
      <c r="C1259" s="2">
        <v>667.7</v>
      </c>
      <c r="D1259" s="6">
        <f>(Table2_1[[#This Row],[Constant Prices]]-C1258)/C1258</f>
        <v>2.0479902185541941E-2</v>
      </c>
      <c r="E1259" s="6">
        <f>(Table2_1[[#This Row],[Constant Prices]]-C1255)/C1255</f>
        <v>7.9023917259211526E-2</v>
      </c>
      <c r="F1259" s="2">
        <v>617.4</v>
      </c>
      <c r="G1259" s="7">
        <f>(Table2_1[[#This Row],[Current Prices]]-F1258)/F1258</f>
        <v>2.4900398406374504E-2</v>
      </c>
      <c r="H1259" s="7">
        <f>(Table2_1[[#This Row],[Current Prices]]-F1255)/F1255</f>
        <v>8.088235294117635E-2</v>
      </c>
      <c r="I1259" s="2"/>
    </row>
    <row r="1260" spans="1:9" x14ac:dyDescent="0.3">
      <c r="A1260" s="2" t="s">
        <v>91</v>
      </c>
      <c r="B1260" s="2" t="s">
        <v>28</v>
      </c>
      <c r="C1260" s="2">
        <v>678.3</v>
      </c>
      <c r="D1260" s="6">
        <f>(Table2_1[[#This Row],[Constant Prices]]-C1259)/C1259</f>
        <v>1.5875393140631883E-2</v>
      </c>
      <c r="E1260" s="6">
        <f>(Table2_1[[#This Row],[Constant Prices]]-C1256)/C1256</f>
        <v>7.4279379157427911E-2</v>
      </c>
      <c r="F1260" s="2">
        <v>637.5</v>
      </c>
      <c r="G1260" s="7">
        <f>(Table2_1[[#This Row],[Current Prices]]-F1259)/F1259</f>
        <v>3.2555879494655042E-2</v>
      </c>
      <c r="H1260" s="7">
        <f>(Table2_1[[#This Row],[Current Prices]]-F1256)/F1256</f>
        <v>9.030271934325286E-2</v>
      </c>
      <c r="I1260" s="2"/>
    </row>
    <row r="1261" spans="1:9" x14ac:dyDescent="0.3">
      <c r="A1261" s="2" t="s">
        <v>91</v>
      </c>
      <c r="B1261" s="2" t="s">
        <v>29</v>
      </c>
      <c r="C1261" s="2">
        <v>688</v>
      </c>
      <c r="D1261" s="6">
        <f>(Table2_1[[#This Row],[Constant Prices]]-C1260)/C1260</f>
        <v>1.4300457024915298E-2</v>
      </c>
      <c r="E1261" s="6">
        <f>(Table2_1[[#This Row],[Constant Prices]]-C1257)/C1257</f>
        <v>7.0317361543248358E-2</v>
      </c>
      <c r="F1261" s="2">
        <v>661.7</v>
      </c>
      <c r="G1261" s="7">
        <f>(Table2_1[[#This Row],[Current Prices]]-F1260)/F1260</f>
        <v>3.7960784313725564E-2</v>
      </c>
      <c r="H1261" s="7">
        <f>(Table2_1[[#This Row],[Current Prices]]-F1257)/F1257</f>
        <v>0.10893246187363834</v>
      </c>
      <c r="I1261" s="2">
        <v>4</v>
      </c>
    </row>
    <row r="1262" spans="1:9" x14ac:dyDescent="0.3">
      <c r="A1262" s="2" t="s">
        <v>91</v>
      </c>
      <c r="B1262" s="2" t="s">
        <v>30</v>
      </c>
      <c r="C1262" s="2">
        <v>693.4</v>
      </c>
      <c r="D1262" s="6">
        <f>(Table2_1[[#This Row],[Constant Prices]]-C1261)/C1261</f>
        <v>7.8488372093022934E-3</v>
      </c>
      <c r="E1262" s="6">
        <f>(Table2_1[[#This Row],[Constant Prices]]-C1258)/C1258</f>
        <v>5.9758520556319771E-2</v>
      </c>
      <c r="F1262" s="2">
        <v>681.4</v>
      </c>
      <c r="G1262" s="7">
        <f>(Table2_1[[#This Row],[Current Prices]]-F1261)/F1261</f>
        <v>2.977179990932436E-2</v>
      </c>
      <c r="H1262" s="7">
        <f>(Table2_1[[#This Row],[Current Prices]]-F1258)/F1258</f>
        <v>0.13114209827357237</v>
      </c>
      <c r="I1262" s="2"/>
    </row>
    <row r="1263" spans="1:9" x14ac:dyDescent="0.3">
      <c r="A1263" s="2" t="s">
        <v>91</v>
      </c>
      <c r="B1263" s="2" t="s">
        <v>31</v>
      </c>
      <c r="C1263" s="2">
        <v>703.1</v>
      </c>
      <c r="D1263" s="6">
        <f>(Table2_1[[#This Row],[Constant Prices]]-C1262)/C1262</f>
        <v>1.3989039515431274E-2</v>
      </c>
      <c r="E1263" s="6">
        <f>(Table2_1[[#This Row],[Constant Prices]]-C1259)/C1259</f>
        <v>5.301782237531822E-2</v>
      </c>
      <c r="F1263" s="2">
        <v>696.8</v>
      </c>
      <c r="G1263" s="7">
        <f>(Table2_1[[#This Row],[Current Prices]]-F1262)/F1262</f>
        <v>2.2600528324038711E-2</v>
      </c>
      <c r="H1263" s="7">
        <f>(Table2_1[[#This Row],[Current Prices]]-F1259)/F1259</f>
        <v>0.12860382248137348</v>
      </c>
      <c r="I1263" s="2"/>
    </row>
    <row r="1264" spans="1:9" x14ac:dyDescent="0.3">
      <c r="A1264" s="2" t="s">
        <v>91</v>
      </c>
      <c r="B1264" s="2" t="s">
        <v>32</v>
      </c>
      <c r="C1264" s="2">
        <v>710.2</v>
      </c>
      <c r="D1264" s="6">
        <f>(Table2_1[[#This Row],[Constant Prices]]-C1263)/C1263</f>
        <v>1.0098136822642614E-2</v>
      </c>
      <c r="E1264" s="6">
        <f>(Table2_1[[#This Row],[Constant Prices]]-C1260)/C1260</f>
        <v>4.7029338051010013E-2</v>
      </c>
      <c r="F1264" s="2">
        <v>714.1</v>
      </c>
      <c r="G1264" s="7">
        <f>(Table2_1[[#This Row],[Current Prices]]-F1263)/F1263</f>
        <v>2.4827784156142466E-2</v>
      </c>
      <c r="H1264" s="7">
        <f>(Table2_1[[#This Row],[Current Prices]]-F1260)/F1260</f>
        <v>0.12015686274509807</v>
      </c>
      <c r="I1264" s="2"/>
    </row>
    <row r="1265" spans="1:9" x14ac:dyDescent="0.3">
      <c r="A1265" s="2" t="s">
        <v>91</v>
      </c>
      <c r="B1265" s="2" t="s">
        <v>33</v>
      </c>
      <c r="C1265" s="2">
        <v>717.8</v>
      </c>
      <c r="D1265" s="6">
        <f>(Table2_1[[#This Row],[Constant Prices]]-C1264)/C1264</f>
        <v>1.0701210926499449E-2</v>
      </c>
      <c r="E1265" s="6">
        <f>(Table2_1[[#This Row],[Constant Prices]]-C1261)/C1261</f>
        <v>4.3313953488372026E-2</v>
      </c>
      <c r="F1265" s="2">
        <v>732.2</v>
      </c>
      <c r="G1265" s="7">
        <f>(Table2_1[[#This Row],[Current Prices]]-F1264)/F1264</f>
        <v>2.5346590113429521E-2</v>
      </c>
      <c r="H1265" s="7">
        <f>(Table2_1[[#This Row],[Current Prices]]-F1261)/F1261</f>
        <v>0.10654375094453679</v>
      </c>
      <c r="I1265" s="2">
        <v>5</v>
      </c>
    </row>
    <row r="1266" spans="1:9" x14ac:dyDescent="0.3">
      <c r="A1266" s="2" t="s">
        <v>91</v>
      </c>
      <c r="B1266" s="2" t="s">
        <v>34</v>
      </c>
      <c r="C1266" s="2">
        <v>731.5</v>
      </c>
      <c r="D1266" s="6">
        <f>(Table2_1[[#This Row],[Constant Prices]]-C1265)/C1265</f>
        <v>1.9086096405684098E-2</v>
      </c>
      <c r="E1266" s="6">
        <f>(Table2_1[[#This Row],[Constant Prices]]-C1262)/C1262</f>
        <v>5.4946639746178284E-2</v>
      </c>
      <c r="F1266" s="2">
        <v>770.8</v>
      </c>
      <c r="G1266" s="7">
        <f>(Table2_1[[#This Row],[Current Prices]]-F1265)/F1265</f>
        <v>5.2717836656651064E-2</v>
      </c>
      <c r="H1266" s="7">
        <f>(Table2_1[[#This Row],[Current Prices]]-F1262)/F1262</f>
        <v>0.13120046962136775</v>
      </c>
      <c r="I1266" s="2"/>
    </row>
    <row r="1267" spans="1:9" x14ac:dyDescent="0.3">
      <c r="A1267" s="2" t="s">
        <v>91</v>
      </c>
      <c r="B1267" s="2" t="s">
        <v>35</v>
      </c>
      <c r="C1267" s="2">
        <v>736.9</v>
      </c>
      <c r="D1267" s="6">
        <f>(Table2_1[[#This Row],[Constant Prices]]-C1266)/C1266</f>
        <v>7.382091592617877E-3</v>
      </c>
      <c r="E1267" s="6">
        <f>(Table2_1[[#This Row],[Constant Prices]]-C1263)/C1263</f>
        <v>4.8072820366946316E-2</v>
      </c>
      <c r="F1267" s="2">
        <v>788.2</v>
      </c>
      <c r="G1267" s="7">
        <f>(Table2_1[[#This Row],[Current Prices]]-F1266)/F1266</f>
        <v>2.2573949143746875E-2</v>
      </c>
      <c r="H1267" s="7">
        <f>(Table2_1[[#This Row],[Current Prices]]-F1263)/F1263</f>
        <v>0.13117106773823206</v>
      </c>
      <c r="I1267" s="2"/>
    </row>
    <row r="1268" spans="1:9" x14ac:dyDescent="0.3">
      <c r="A1268" s="2" t="s">
        <v>91</v>
      </c>
      <c r="B1268" s="2" t="s">
        <v>36</v>
      </c>
      <c r="C1268" s="2">
        <v>739.4</v>
      </c>
      <c r="D1268" s="6">
        <f>(Table2_1[[#This Row],[Constant Prices]]-C1267)/C1267</f>
        <v>3.3925905821685439E-3</v>
      </c>
      <c r="E1268" s="6">
        <f>(Table2_1[[#This Row],[Constant Prices]]-C1264)/C1264</f>
        <v>4.1115178822866701E-2</v>
      </c>
      <c r="F1268" s="2">
        <v>801.7</v>
      </c>
      <c r="G1268" s="7">
        <f>(Table2_1[[#This Row],[Current Prices]]-F1267)/F1267</f>
        <v>1.712763258056331E-2</v>
      </c>
      <c r="H1268" s="7">
        <f>(Table2_1[[#This Row],[Current Prices]]-F1264)/F1264</f>
        <v>0.1226718946926201</v>
      </c>
      <c r="I1268" s="2"/>
    </row>
    <row r="1269" spans="1:9" x14ac:dyDescent="0.3">
      <c r="A1269" s="2" t="s">
        <v>91</v>
      </c>
      <c r="B1269" s="2" t="s">
        <v>37</v>
      </c>
      <c r="C1269" s="2">
        <v>739.8</v>
      </c>
      <c r="D1269" s="6">
        <f>(Table2_1[[#This Row],[Constant Prices]]-C1268)/C1268</f>
        <v>5.4097917230183569E-4</v>
      </c>
      <c r="E1269" s="6">
        <f>(Table2_1[[#This Row],[Constant Prices]]-C1265)/C1265</f>
        <v>3.0649205906937867E-2</v>
      </c>
      <c r="F1269" s="2">
        <v>803.8</v>
      </c>
      <c r="G1269" s="7">
        <f>(Table2_1[[#This Row],[Current Prices]]-F1268)/F1268</f>
        <v>2.619433703380203E-3</v>
      </c>
      <c r="H1269" s="7">
        <f>(Table2_1[[#This Row],[Current Prices]]-F1265)/F1265</f>
        <v>9.7787489756896898E-2</v>
      </c>
      <c r="I1269" s="2">
        <v>6</v>
      </c>
    </row>
    <row r="1270" spans="1:9" x14ac:dyDescent="0.3">
      <c r="A1270" s="2" t="s">
        <v>91</v>
      </c>
      <c r="B1270" s="2" t="s">
        <v>38</v>
      </c>
      <c r="C1270" s="2">
        <v>749.1</v>
      </c>
      <c r="D1270" s="6">
        <f>(Table2_1[[#This Row],[Constant Prices]]-C1269)/C1269</f>
        <v>1.2570965125709745E-2</v>
      </c>
      <c r="E1270" s="6">
        <f>(Table2_1[[#This Row],[Constant Prices]]-C1266)/C1266</f>
        <v>2.4060150375939882E-2</v>
      </c>
      <c r="F1270" s="2">
        <v>834.4</v>
      </c>
      <c r="G1270" s="7">
        <f>(Table2_1[[#This Row],[Current Prices]]-F1269)/F1269</f>
        <v>3.8069171435680546E-2</v>
      </c>
      <c r="H1270" s="7">
        <f>(Table2_1[[#This Row],[Current Prices]]-F1266)/F1266</f>
        <v>8.2511676180591631E-2</v>
      </c>
      <c r="I1270" s="2"/>
    </row>
    <row r="1271" spans="1:9" x14ac:dyDescent="0.3">
      <c r="A1271" s="2" t="s">
        <v>91</v>
      </c>
      <c r="B1271" s="2" t="s">
        <v>39</v>
      </c>
      <c r="C1271" s="2">
        <v>745.7</v>
      </c>
      <c r="D1271" s="6">
        <f>(Table2_1[[#This Row],[Constant Prices]]-C1270)/C1270</f>
        <v>-4.5387798691763149E-3</v>
      </c>
      <c r="E1271" s="6">
        <f>(Table2_1[[#This Row],[Constant Prices]]-C1267)/C1267</f>
        <v>1.1941918849233367E-2</v>
      </c>
      <c r="F1271" s="2">
        <v>835</v>
      </c>
      <c r="G1271" s="7">
        <f>(Table2_1[[#This Row],[Current Prices]]-F1270)/F1270</f>
        <v>7.1907957814000805E-4</v>
      </c>
      <c r="H1271" s="7">
        <f>(Table2_1[[#This Row],[Current Prices]]-F1267)/F1267</f>
        <v>5.9375792945952743E-2</v>
      </c>
      <c r="I1271" s="2"/>
    </row>
    <row r="1272" spans="1:9" x14ac:dyDescent="0.3">
      <c r="A1272" s="2" t="s">
        <v>91</v>
      </c>
      <c r="B1272" s="2" t="s">
        <v>40</v>
      </c>
      <c r="C1272" s="2">
        <v>746.4</v>
      </c>
      <c r="D1272" s="6">
        <f>(Table2_1[[#This Row],[Constant Prices]]-C1271)/C1271</f>
        <v>9.3871530105931573E-4</v>
      </c>
      <c r="E1272" s="6">
        <f>(Table2_1[[#This Row],[Constant Prices]]-C1268)/C1268</f>
        <v>9.4671355152826618E-3</v>
      </c>
      <c r="F1272" s="2">
        <v>848.5</v>
      </c>
      <c r="G1272" s="7">
        <f>(Table2_1[[#This Row],[Current Prices]]-F1271)/F1271</f>
        <v>1.6167664670658683E-2</v>
      </c>
      <c r="H1272" s="7">
        <f>(Table2_1[[#This Row],[Current Prices]]-F1268)/F1268</f>
        <v>5.8375951103904145E-2</v>
      </c>
      <c r="I1272" s="2"/>
    </row>
    <row r="1273" spans="1:9" x14ac:dyDescent="0.3">
      <c r="A1273" s="2" t="s">
        <v>91</v>
      </c>
      <c r="B1273" s="2" t="s">
        <v>41</v>
      </c>
      <c r="C1273" s="2">
        <v>754.4</v>
      </c>
      <c r="D1273" s="6">
        <f>(Table2_1[[#This Row],[Constant Prices]]-C1272)/C1272</f>
        <v>1.0718113612004287E-2</v>
      </c>
      <c r="E1273" s="6">
        <f>(Table2_1[[#This Row],[Constant Prices]]-C1269)/C1269</f>
        <v>1.9735063530684001E-2</v>
      </c>
      <c r="F1273" s="2">
        <v>870.6</v>
      </c>
      <c r="G1273" s="7">
        <f>(Table2_1[[#This Row],[Current Prices]]-F1272)/F1272</f>
        <v>2.6045963464938152E-2</v>
      </c>
      <c r="H1273" s="7">
        <f>(Table2_1[[#This Row],[Current Prices]]-F1269)/F1269</f>
        <v>8.3105250062204622E-2</v>
      </c>
      <c r="I1273" s="2">
        <v>7</v>
      </c>
    </row>
    <row r="1274" spans="1:9" x14ac:dyDescent="0.3">
      <c r="A1274" s="2" t="s">
        <v>91</v>
      </c>
      <c r="B1274" s="2" t="s">
        <v>42</v>
      </c>
      <c r="C1274" s="2">
        <v>772.4</v>
      </c>
      <c r="D1274" s="6">
        <f>(Table2_1[[#This Row],[Constant Prices]]-C1273)/C1273</f>
        <v>2.386002120890774E-2</v>
      </c>
      <c r="E1274" s="6">
        <f>(Table2_1[[#This Row],[Constant Prices]]-C1270)/C1270</f>
        <v>3.1103991456414303E-2</v>
      </c>
      <c r="F1274" s="2">
        <v>901.6</v>
      </c>
      <c r="G1274" s="7">
        <f>(Table2_1[[#This Row],[Current Prices]]-F1273)/F1273</f>
        <v>3.5607626923960488E-2</v>
      </c>
      <c r="H1274" s="7">
        <f>(Table2_1[[#This Row],[Current Prices]]-F1270)/F1270</f>
        <v>8.0536912751677903E-2</v>
      </c>
      <c r="I1274" s="2"/>
    </row>
    <row r="1275" spans="1:9" x14ac:dyDescent="0.3">
      <c r="A1275" s="2" t="s">
        <v>91</v>
      </c>
      <c r="B1275" s="2" t="s">
        <v>43</v>
      </c>
      <c r="C1275" s="2">
        <v>783.1</v>
      </c>
      <c r="D1275" s="6">
        <f>(Table2_1[[#This Row],[Constant Prices]]-C1274)/C1274</f>
        <v>1.3852925945106223E-2</v>
      </c>
      <c r="E1275" s="6">
        <f>(Table2_1[[#This Row],[Constant Prices]]-C1271)/C1271</f>
        <v>5.0154217513745443E-2</v>
      </c>
      <c r="F1275" s="2">
        <v>911.8</v>
      </c>
      <c r="G1275" s="7">
        <f>(Table2_1[[#This Row],[Current Prices]]-F1274)/F1274</f>
        <v>1.1313220940550057E-2</v>
      </c>
      <c r="H1275" s="7">
        <f>(Table2_1[[#This Row],[Current Prices]]-F1271)/F1271</f>
        <v>9.197604790419156E-2</v>
      </c>
      <c r="I1275" s="2"/>
    </row>
    <row r="1276" spans="1:9" x14ac:dyDescent="0.3">
      <c r="A1276" s="2" t="s">
        <v>91</v>
      </c>
      <c r="B1276" s="2" t="s">
        <v>44</v>
      </c>
      <c r="C1276" s="2">
        <v>789.5</v>
      </c>
      <c r="D1276" s="6">
        <f>(Table2_1[[#This Row],[Constant Prices]]-C1275)/C1275</f>
        <v>8.1726471714978644E-3</v>
      </c>
      <c r="E1276" s="6">
        <f>(Table2_1[[#This Row],[Constant Prices]]-C1272)/C1272</f>
        <v>5.7743837084673129E-2</v>
      </c>
      <c r="F1276" s="2">
        <v>935.6</v>
      </c>
      <c r="G1276" s="7">
        <f>(Table2_1[[#This Row],[Current Prices]]-F1275)/F1275</f>
        <v>2.6102215398113696E-2</v>
      </c>
      <c r="H1276" s="7">
        <f>(Table2_1[[#This Row],[Current Prices]]-F1272)/F1272</f>
        <v>0.102651738361815</v>
      </c>
      <c r="I1276" s="2"/>
    </row>
    <row r="1277" spans="1:9" x14ac:dyDescent="0.3">
      <c r="A1277" s="2" t="s">
        <v>91</v>
      </c>
      <c r="B1277" s="2" t="s">
        <v>45</v>
      </c>
      <c r="C1277" s="2">
        <v>787.7</v>
      </c>
      <c r="D1277" s="6">
        <f>(Table2_1[[#This Row],[Constant Prices]]-C1276)/C1276</f>
        <v>-2.2799240025331911E-3</v>
      </c>
      <c r="E1277" s="6">
        <f>(Table2_1[[#This Row],[Constant Prices]]-C1273)/C1273</f>
        <v>4.4141039236479412E-2</v>
      </c>
      <c r="F1277" s="2">
        <v>958.9</v>
      </c>
      <c r="G1277" s="7">
        <f>(Table2_1[[#This Row],[Current Prices]]-F1276)/F1276</f>
        <v>2.4903805044890929E-2</v>
      </c>
      <c r="H1277" s="7">
        <f>(Table2_1[[#This Row],[Current Prices]]-F1273)/F1273</f>
        <v>0.10142430507695836</v>
      </c>
      <c r="I1277" s="2">
        <v>8</v>
      </c>
    </row>
    <row r="1278" spans="1:9" x14ac:dyDescent="0.3">
      <c r="A1278" s="2" t="s">
        <v>91</v>
      </c>
      <c r="B1278" s="2" t="s">
        <v>46</v>
      </c>
      <c r="C1278" s="2">
        <v>782.2</v>
      </c>
      <c r="D1278" s="6">
        <f>(Table2_1[[#This Row],[Constant Prices]]-C1277)/C1277</f>
        <v>-6.9823536879522656E-3</v>
      </c>
      <c r="E1278" s="6">
        <f>(Table2_1[[#This Row],[Constant Prices]]-C1274)/C1274</f>
        <v>1.2687726566545919E-2</v>
      </c>
      <c r="F1278" s="2">
        <v>932.2</v>
      </c>
      <c r="G1278" s="7">
        <f>(Table2_1[[#This Row],[Current Prices]]-F1277)/F1277</f>
        <v>-2.7844405047450133E-2</v>
      </c>
      <c r="H1278" s="7">
        <f>(Table2_1[[#This Row],[Current Prices]]-F1274)/F1274</f>
        <v>3.3939662821650424E-2</v>
      </c>
      <c r="I1278" s="2"/>
    </row>
    <row r="1279" spans="1:9" x14ac:dyDescent="0.3">
      <c r="A1279" s="2" t="s">
        <v>91</v>
      </c>
      <c r="B1279" s="2" t="s">
        <v>47</v>
      </c>
      <c r="C1279" s="2">
        <v>783.5</v>
      </c>
      <c r="D1279" s="6">
        <f>(Table2_1[[#This Row],[Constant Prices]]-C1278)/C1278</f>
        <v>1.6619790334952114E-3</v>
      </c>
      <c r="E1279" s="6">
        <f>(Table2_1[[#This Row],[Constant Prices]]-C1275)/C1275</f>
        <v>5.1079044821858931E-4</v>
      </c>
      <c r="F1279" s="2">
        <v>956.9</v>
      </c>
      <c r="G1279" s="7">
        <f>(Table2_1[[#This Row],[Current Prices]]-F1278)/F1278</f>
        <v>2.6496459987127151E-2</v>
      </c>
      <c r="H1279" s="7">
        <f>(Table2_1[[#This Row],[Current Prices]]-F1275)/F1275</f>
        <v>4.9462601447685925E-2</v>
      </c>
      <c r="I1279" s="2"/>
    </row>
    <row r="1280" spans="1:9" x14ac:dyDescent="0.3">
      <c r="A1280" s="2" t="s">
        <v>91</v>
      </c>
      <c r="B1280" s="2" t="s">
        <v>48</v>
      </c>
      <c r="C1280" s="2">
        <v>799.8</v>
      </c>
      <c r="D1280" s="6">
        <f>(Table2_1[[#This Row],[Constant Prices]]-C1279)/C1279</f>
        <v>2.0804084237396242E-2</v>
      </c>
      <c r="E1280" s="6">
        <f>(Table2_1[[#This Row],[Constant Prices]]-C1276)/C1276</f>
        <v>1.3046231792273533E-2</v>
      </c>
      <c r="F1280" s="2">
        <v>1016.6</v>
      </c>
      <c r="G1280" s="7">
        <f>(Table2_1[[#This Row],[Current Prices]]-F1279)/F1279</f>
        <v>6.2388964364092428E-2</v>
      </c>
      <c r="H1280" s="7">
        <f>(Table2_1[[#This Row],[Current Prices]]-F1276)/F1276</f>
        <v>8.6575459598118853E-2</v>
      </c>
      <c r="I1280" s="2"/>
    </row>
    <row r="1281" spans="1:9" x14ac:dyDescent="0.3">
      <c r="A1281" s="2" t="s">
        <v>91</v>
      </c>
      <c r="B1281" s="2" t="s">
        <v>49</v>
      </c>
      <c r="C1281" s="2">
        <v>821.4</v>
      </c>
      <c r="D1281" s="6">
        <f>(Table2_1[[#This Row],[Constant Prices]]-C1280)/C1280</f>
        <v>2.700675168792201E-2</v>
      </c>
      <c r="E1281" s="6">
        <f>(Table2_1[[#This Row],[Constant Prices]]-C1277)/C1277</f>
        <v>4.2782785324361979E-2</v>
      </c>
      <c r="F1281" s="2">
        <v>1085.8</v>
      </c>
      <c r="G1281" s="7">
        <f>(Table2_1[[#This Row],[Current Prices]]-F1280)/F1280</f>
        <v>6.8070037379500223E-2</v>
      </c>
      <c r="H1281" s="7">
        <f>(Table2_1[[#This Row],[Current Prices]]-F1277)/F1277</f>
        <v>0.13233913859630825</v>
      </c>
      <c r="I1281" s="2">
        <v>9</v>
      </c>
    </row>
    <row r="1282" spans="1:9" x14ac:dyDescent="0.3">
      <c r="A1282" s="2" t="s">
        <v>91</v>
      </c>
      <c r="B1282" s="2" t="s">
        <v>50</v>
      </c>
      <c r="C1282" s="2">
        <v>828.8</v>
      </c>
      <c r="D1282" s="6">
        <f>(Table2_1[[#This Row],[Constant Prices]]-C1281)/C1281</f>
        <v>9.0090090090089812E-3</v>
      </c>
      <c r="E1282" s="6">
        <f>(Table2_1[[#This Row],[Constant Prices]]-C1278)/C1278</f>
        <v>5.9575556123753398E-2</v>
      </c>
      <c r="F1282" s="2">
        <v>1141.5</v>
      </c>
      <c r="G1282" s="7">
        <f>(Table2_1[[#This Row],[Current Prices]]-F1281)/F1281</f>
        <v>5.1298581690919179E-2</v>
      </c>
      <c r="H1282" s="7">
        <f>(Table2_1[[#This Row],[Current Prices]]-F1278)/F1278</f>
        <v>0.22452263462776223</v>
      </c>
      <c r="I1282" s="2"/>
    </row>
    <row r="1283" spans="1:9" x14ac:dyDescent="0.3">
      <c r="A1283" s="2" t="s">
        <v>91</v>
      </c>
      <c r="B1283" s="2" t="s">
        <v>51</v>
      </c>
      <c r="C1283" s="2">
        <v>743</v>
      </c>
      <c r="D1283" s="6">
        <f>(Table2_1[[#This Row],[Constant Prices]]-C1282)/C1282</f>
        <v>-0.10352316602316597</v>
      </c>
      <c r="E1283" s="6">
        <f>(Table2_1[[#This Row],[Constant Prices]]-C1279)/C1279</f>
        <v>-5.1691129546904913E-2</v>
      </c>
      <c r="F1283" s="2">
        <v>1016.2</v>
      </c>
      <c r="G1283" s="7">
        <f>(Table2_1[[#This Row],[Current Prices]]-F1282)/F1282</f>
        <v>-0.10976784932106873</v>
      </c>
      <c r="H1283" s="7">
        <f>(Table2_1[[#This Row],[Current Prices]]-F1279)/F1279</f>
        <v>6.1970947852440242E-2</v>
      </c>
      <c r="I1283" s="2"/>
    </row>
    <row r="1284" spans="1:9" x14ac:dyDescent="0.3">
      <c r="A1284" s="2" t="s">
        <v>91</v>
      </c>
      <c r="B1284" s="2" t="s">
        <v>52</v>
      </c>
      <c r="C1284" s="2">
        <v>871.9</v>
      </c>
      <c r="D1284" s="6">
        <f>(Table2_1[[#This Row],[Constant Prices]]-C1283)/C1283</f>
        <v>0.173485868102288</v>
      </c>
      <c r="E1284" s="6">
        <f>(Table2_1[[#This Row],[Constant Prices]]-C1280)/C1280</f>
        <v>9.0147536884221086E-2</v>
      </c>
      <c r="F1284" s="2">
        <v>1257.4000000000001</v>
      </c>
      <c r="G1284" s="7">
        <f>(Table2_1[[#This Row],[Current Prices]]-F1283)/F1283</f>
        <v>0.23735485140720333</v>
      </c>
      <c r="H1284" s="7">
        <f>(Table2_1[[#This Row],[Current Prices]]-F1280)/F1280</f>
        <v>0.23686799134369474</v>
      </c>
      <c r="I1284" s="2"/>
    </row>
    <row r="1285" spans="1:9" x14ac:dyDescent="0.3">
      <c r="A1285" s="2" t="s">
        <v>91</v>
      </c>
      <c r="B1285" s="2" t="s">
        <v>53</v>
      </c>
      <c r="C1285" s="2">
        <v>899.8</v>
      </c>
      <c r="D1285" s="6">
        <f>(Table2_1[[#This Row],[Constant Prices]]-C1284)/C1284</f>
        <v>3.1999082463585252E-2</v>
      </c>
      <c r="E1285" s="6">
        <f>(Table2_1[[#This Row],[Constant Prices]]-C1281)/C1281</f>
        <v>9.5446798149500828E-2</v>
      </c>
      <c r="F1285" s="2">
        <v>1344.9</v>
      </c>
      <c r="G1285" s="7">
        <f>(Table2_1[[#This Row],[Current Prices]]-F1284)/F1284</f>
        <v>6.9588038810243349E-2</v>
      </c>
      <c r="H1285" s="7">
        <f>(Table2_1[[#This Row],[Current Prices]]-F1281)/F1281</f>
        <v>0.23862589795542472</v>
      </c>
      <c r="I1285" s="2">
        <v>10</v>
      </c>
    </row>
    <row r="1286" spans="1:9" x14ac:dyDescent="0.3">
      <c r="A1286" s="2" t="s">
        <v>91</v>
      </c>
      <c r="B1286" s="2" t="s">
        <v>54</v>
      </c>
      <c r="C1286" s="2">
        <v>935.3</v>
      </c>
      <c r="D1286" s="6">
        <f>(Table2_1[[#This Row],[Constant Prices]]-C1285)/C1285</f>
        <v>3.9453211824849968E-2</v>
      </c>
      <c r="E1286" s="6">
        <f>(Table2_1[[#This Row],[Constant Prices]]-C1282)/C1282</f>
        <v>0.12849903474903476</v>
      </c>
      <c r="F1286" s="2">
        <v>1351.4</v>
      </c>
      <c r="G1286" s="7">
        <f>(Table2_1[[#This Row],[Current Prices]]-F1285)/F1285</f>
        <v>4.8330730909361286E-3</v>
      </c>
      <c r="H1286" s="7">
        <f>(Table2_1[[#This Row],[Current Prices]]-F1282)/F1282</f>
        <v>0.18388085851949199</v>
      </c>
      <c r="I1286" s="2"/>
    </row>
    <row r="1287" spans="1:9" x14ac:dyDescent="0.3">
      <c r="A1287" s="2" t="s">
        <v>91</v>
      </c>
      <c r="B1287" s="2" t="s">
        <v>55</v>
      </c>
      <c r="C1287" s="2">
        <v>954.6</v>
      </c>
      <c r="D1287" s="6">
        <f>(Table2_1[[#This Row],[Constant Prices]]-C1286)/C1286</f>
        <v>2.0635090345343814E-2</v>
      </c>
      <c r="E1287" s="6">
        <f>(Table2_1[[#This Row],[Constant Prices]]-C1283)/C1283</f>
        <v>0.28479138627187084</v>
      </c>
      <c r="F1287" s="2">
        <v>1359</v>
      </c>
      <c r="G1287" s="7">
        <f>(Table2_1[[#This Row],[Current Prices]]-F1286)/F1286</f>
        <v>5.6237975432883742E-3</v>
      </c>
      <c r="H1287" s="7">
        <f>(Table2_1[[#This Row],[Current Prices]]-F1283)/F1283</f>
        <v>0.33733517024207826</v>
      </c>
      <c r="I1287" s="2"/>
    </row>
    <row r="1288" spans="1:9" x14ac:dyDescent="0.3">
      <c r="A1288" s="2" t="s">
        <v>91</v>
      </c>
      <c r="B1288" s="2" t="s">
        <v>56</v>
      </c>
      <c r="C1288" s="2">
        <v>969.6</v>
      </c>
      <c r="D1288" s="6">
        <f>(Table2_1[[#This Row],[Constant Prices]]-C1287)/C1287</f>
        <v>1.5713387806411062E-2</v>
      </c>
      <c r="E1288" s="6">
        <f>(Table2_1[[#This Row],[Constant Prices]]-C1284)/C1284</f>
        <v>0.11205413464846892</v>
      </c>
      <c r="F1288" s="2">
        <v>1370.1</v>
      </c>
      <c r="G1288" s="7">
        <f>(Table2_1[[#This Row],[Current Prices]]-F1287)/F1287</f>
        <v>8.1677704194259813E-3</v>
      </c>
      <c r="H1288" s="7">
        <f>(Table2_1[[#This Row],[Current Prices]]-F1284)/F1284</f>
        <v>8.96293939875933E-2</v>
      </c>
      <c r="I1288" s="2"/>
    </row>
    <row r="1289" spans="1:9" x14ac:dyDescent="0.3">
      <c r="A1289" s="2" t="s">
        <v>91</v>
      </c>
      <c r="B1289" s="2" t="s">
        <v>57</v>
      </c>
      <c r="C1289" s="2">
        <v>964.7</v>
      </c>
      <c r="D1289" s="6">
        <f>(Table2_1[[#This Row],[Constant Prices]]-C1288)/C1288</f>
        <v>-5.0536303630362798E-3</v>
      </c>
      <c r="E1289" s="6">
        <f>(Table2_1[[#This Row],[Constant Prices]]-C1285)/C1285</f>
        <v>7.2127139364303289E-2</v>
      </c>
      <c r="F1289" s="2">
        <v>1415.7</v>
      </c>
      <c r="G1289" s="7">
        <f>(Table2_1[[#This Row],[Current Prices]]-F1288)/F1288</f>
        <v>3.3282242172104327E-2</v>
      </c>
      <c r="H1289" s="7">
        <f>(Table2_1[[#This Row],[Current Prices]]-F1285)/F1285</f>
        <v>5.2643319205888876E-2</v>
      </c>
      <c r="I1289" s="2">
        <v>11</v>
      </c>
    </row>
    <row r="1290" spans="1:9" x14ac:dyDescent="0.3">
      <c r="A1290" s="2" t="s">
        <v>91</v>
      </c>
      <c r="B1290" s="2" t="s">
        <v>58</v>
      </c>
      <c r="C1290" s="2">
        <v>950.3</v>
      </c>
      <c r="D1290" s="6">
        <f>(Table2_1[[#This Row],[Constant Prices]]-C1289)/C1289</f>
        <v>-1.4926920286099399E-2</v>
      </c>
      <c r="E1290" s="6">
        <f>(Table2_1[[#This Row],[Constant Prices]]-C1286)/C1286</f>
        <v>1.6037634983427779E-2</v>
      </c>
      <c r="F1290" s="2">
        <v>1432.5</v>
      </c>
      <c r="G1290" s="7">
        <f>(Table2_1[[#This Row],[Current Prices]]-F1289)/F1289</f>
        <v>1.1866920957830016E-2</v>
      </c>
      <c r="H1290" s="7">
        <f>(Table2_1[[#This Row],[Current Prices]]-F1286)/F1286</f>
        <v>6.0011839573775275E-2</v>
      </c>
      <c r="I1290" s="2"/>
    </row>
    <row r="1291" spans="1:9" x14ac:dyDescent="0.3">
      <c r="A1291" s="2" t="s">
        <v>91</v>
      </c>
      <c r="B1291" s="2" t="s">
        <v>59</v>
      </c>
      <c r="C1291" s="2">
        <v>978.9</v>
      </c>
      <c r="D1291" s="6">
        <f>(Table2_1[[#This Row],[Constant Prices]]-C1290)/C1290</f>
        <v>3.0095759233926152E-2</v>
      </c>
      <c r="E1291" s="6">
        <f>(Table2_1[[#This Row],[Constant Prices]]-C1287)/C1287</f>
        <v>2.5455688246385874E-2</v>
      </c>
      <c r="F1291" s="2">
        <v>1425</v>
      </c>
      <c r="G1291" s="7">
        <f>(Table2_1[[#This Row],[Current Prices]]-F1290)/F1290</f>
        <v>-5.235602094240838E-3</v>
      </c>
      <c r="H1291" s="7">
        <f>(Table2_1[[#This Row],[Current Prices]]-F1287)/F1287</f>
        <v>4.856512141280353E-2</v>
      </c>
      <c r="I1291" s="2"/>
    </row>
    <row r="1292" spans="1:9" x14ac:dyDescent="0.3">
      <c r="A1292" s="2" t="s">
        <v>91</v>
      </c>
      <c r="B1292" s="2" t="s">
        <v>60</v>
      </c>
      <c r="C1292" s="2">
        <v>998.8</v>
      </c>
      <c r="D1292" s="6">
        <f>(Table2_1[[#This Row],[Constant Prices]]-C1291)/C1291</f>
        <v>2.0328940647665723E-2</v>
      </c>
      <c r="E1292" s="6">
        <f>(Table2_1[[#This Row],[Constant Prices]]-C1288)/C1288</f>
        <v>3.0115511551155043E-2</v>
      </c>
      <c r="F1292" s="2">
        <v>1430.6</v>
      </c>
      <c r="G1292" s="7">
        <f>(Table2_1[[#This Row],[Current Prices]]-F1291)/F1291</f>
        <v>3.9298245614034447E-3</v>
      </c>
      <c r="H1292" s="7">
        <f>(Table2_1[[#This Row],[Current Prices]]-F1288)/F1288</f>
        <v>4.4157360776585657E-2</v>
      </c>
      <c r="I1292" s="2"/>
    </row>
    <row r="1293" spans="1:9" x14ac:dyDescent="0.3">
      <c r="A1293" s="2" t="s">
        <v>91</v>
      </c>
      <c r="B1293" s="2" t="s">
        <v>61</v>
      </c>
      <c r="C1293" s="2">
        <v>1005.2</v>
      </c>
      <c r="D1293" s="6">
        <f>(Table2_1[[#This Row],[Constant Prices]]-C1292)/C1292</f>
        <v>6.407689227072578E-3</v>
      </c>
      <c r="E1293" s="6">
        <f>(Table2_1[[#This Row],[Constant Prices]]-C1289)/C1289</f>
        <v>4.1981963304654292E-2</v>
      </c>
      <c r="F1293" s="2">
        <v>1483.7</v>
      </c>
      <c r="G1293" s="7">
        <f>(Table2_1[[#This Row],[Current Prices]]-F1292)/F1292</f>
        <v>3.7117293443310599E-2</v>
      </c>
      <c r="H1293" s="7">
        <f>(Table2_1[[#This Row],[Current Prices]]-F1289)/F1289</f>
        <v>4.8032775305502574E-2</v>
      </c>
      <c r="I1293" s="2">
        <v>12</v>
      </c>
    </row>
    <row r="1294" spans="1:9" x14ac:dyDescent="0.3">
      <c r="A1294" s="2" t="s">
        <v>91</v>
      </c>
      <c r="B1294" s="2" t="s">
        <v>62</v>
      </c>
      <c r="C1294" s="2">
        <v>1017.6</v>
      </c>
      <c r="D1294" s="6">
        <f>(Table2_1[[#This Row],[Constant Prices]]-C1293)/C1293</f>
        <v>1.233585356148028E-2</v>
      </c>
      <c r="E1294" s="6">
        <f>(Table2_1[[#This Row],[Constant Prices]]-C1290)/C1290</f>
        <v>7.0819741134378694E-2</v>
      </c>
      <c r="F1294" s="2">
        <v>1592.8</v>
      </c>
      <c r="G1294" s="7">
        <f>(Table2_1[[#This Row],[Current Prices]]-F1293)/F1293</f>
        <v>7.3532385253083449E-2</v>
      </c>
      <c r="H1294" s="7">
        <f>(Table2_1[[#This Row],[Current Prices]]-F1290)/F1290</f>
        <v>0.11190226876090748</v>
      </c>
      <c r="I1294" s="2"/>
    </row>
    <row r="1295" spans="1:9" x14ac:dyDescent="0.3">
      <c r="A1295" s="2" t="s">
        <v>91</v>
      </c>
      <c r="B1295" s="2" t="s">
        <v>63</v>
      </c>
      <c r="C1295" s="2">
        <v>1035.7</v>
      </c>
      <c r="D1295" s="6">
        <f>(Table2_1[[#This Row],[Constant Prices]]-C1294)/C1294</f>
        <v>1.7786949685534612E-2</v>
      </c>
      <c r="E1295" s="6">
        <f>(Table2_1[[#This Row],[Constant Prices]]-C1291)/C1291</f>
        <v>5.8024313004392758E-2</v>
      </c>
      <c r="F1295" s="2">
        <v>1600</v>
      </c>
      <c r="G1295" s="7">
        <f>(Table2_1[[#This Row],[Current Prices]]-F1294)/F1294</f>
        <v>4.5203415369161511E-3</v>
      </c>
      <c r="H1295" s="7">
        <f>(Table2_1[[#This Row],[Current Prices]]-F1291)/F1291</f>
        <v>0.12280701754385964</v>
      </c>
      <c r="I1295" s="2"/>
    </row>
    <row r="1296" spans="1:9" x14ac:dyDescent="0.3">
      <c r="A1296" s="2" t="s">
        <v>91</v>
      </c>
      <c r="B1296" s="2" t="s">
        <v>64</v>
      </c>
      <c r="C1296" s="2">
        <v>1055.9000000000001</v>
      </c>
      <c r="D1296" s="6">
        <f>(Table2_1[[#This Row],[Constant Prices]]-C1295)/C1295</f>
        <v>1.9503717292652354E-2</v>
      </c>
      <c r="E1296" s="6">
        <f>(Table2_1[[#This Row],[Constant Prices]]-C1292)/C1292</f>
        <v>5.7168602322787483E-2</v>
      </c>
      <c r="F1296" s="2">
        <v>1606.2</v>
      </c>
      <c r="G1296" s="7">
        <f>(Table2_1[[#This Row],[Current Prices]]-F1295)/F1295</f>
        <v>3.8750000000000286E-3</v>
      </c>
      <c r="H1296" s="7">
        <f>(Table2_1[[#This Row],[Current Prices]]-F1292)/F1292</f>
        <v>0.12274570110443181</v>
      </c>
      <c r="I1296" s="2"/>
    </row>
    <row r="1297" spans="1:9" x14ac:dyDescent="0.3">
      <c r="A1297" s="2" t="s">
        <v>91</v>
      </c>
      <c r="B1297" s="2" t="s">
        <v>65</v>
      </c>
      <c r="C1297" s="2">
        <v>1059.4000000000001</v>
      </c>
      <c r="D1297" s="6">
        <f>(Table2_1[[#This Row],[Constant Prices]]-C1296)/C1296</f>
        <v>3.3147078321810776E-3</v>
      </c>
      <c r="E1297" s="6">
        <f>(Table2_1[[#This Row],[Constant Prices]]-C1293)/C1293</f>
        <v>5.3919617986470394E-2</v>
      </c>
      <c r="F1297" s="2">
        <v>1669.5</v>
      </c>
      <c r="G1297" s="7">
        <f>(Table2_1[[#This Row],[Current Prices]]-F1296)/F1296</f>
        <v>3.9409787075084017E-2</v>
      </c>
      <c r="H1297" s="7">
        <f>(Table2_1[[#This Row],[Current Prices]]-F1293)/F1293</f>
        <v>0.12522747186088828</v>
      </c>
      <c r="I1297" s="2">
        <v>13</v>
      </c>
    </row>
    <row r="1298" spans="1:9" x14ac:dyDescent="0.3">
      <c r="A1298" s="2" t="s">
        <v>91</v>
      </c>
      <c r="B1298" s="2" t="s">
        <v>66</v>
      </c>
      <c r="C1298" s="2">
        <v>1056.7</v>
      </c>
      <c r="D1298" s="6">
        <f>(Table2_1[[#This Row],[Constant Prices]]-C1297)/C1297</f>
        <v>-2.5486124221257745E-3</v>
      </c>
      <c r="E1298" s="6">
        <f>(Table2_1[[#This Row],[Constant Prices]]-C1294)/C1294</f>
        <v>3.8423742138364803E-2</v>
      </c>
      <c r="F1298" s="2">
        <v>1724.9</v>
      </c>
      <c r="G1298" s="7">
        <f>(Table2_1[[#This Row],[Current Prices]]-F1297)/F1297</f>
        <v>3.3183587900569085E-2</v>
      </c>
      <c r="H1298" s="7">
        <f>(Table2_1[[#This Row],[Current Prices]]-F1294)/F1294</f>
        <v>8.2935710698141721E-2</v>
      </c>
      <c r="I1298" s="2"/>
    </row>
    <row r="1299" spans="1:9" x14ac:dyDescent="0.3">
      <c r="A1299" s="2" t="s">
        <v>91</v>
      </c>
      <c r="B1299" s="2" t="s">
        <v>67</v>
      </c>
      <c r="C1299" s="2">
        <v>1054.2</v>
      </c>
      <c r="D1299" s="6">
        <f>(Table2_1[[#This Row],[Constant Prices]]-C1298)/C1298</f>
        <v>-2.3658559666887478E-3</v>
      </c>
      <c r="E1299" s="6">
        <f>(Table2_1[[#This Row],[Constant Prices]]-C1295)/C1295</f>
        <v>1.7862315342280582E-2</v>
      </c>
      <c r="F1299" s="2">
        <v>1723.3</v>
      </c>
      <c r="G1299" s="7">
        <f>(Table2_1[[#This Row],[Current Prices]]-F1298)/F1298</f>
        <v>-9.2759000521777278E-4</v>
      </c>
      <c r="H1299" s="7">
        <f>(Table2_1[[#This Row],[Current Prices]]-F1295)/F1295</f>
        <v>7.7062499999999978E-2</v>
      </c>
      <c r="I1299" s="2"/>
    </row>
    <row r="1300" spans="1:9" x14ac:dyDescent="0.3">
      <c r="A1300" s="2" t="s">
        <v>91</v>
      </c>
      <c r="B1300" s="2" t="s">
        <v>68</v>
      </c>
      <c r="C1300" s="2">
        <v>1063.2</v>
      </c>
      <c r="D1300" s="6">
        <f>(Table2_1[[#This Row],[Constant Prices]]-C1299)/C1299</f>
        <v>8.5372794536141151E-3</v>
      </c>
      <c r="E1300" s="6">
        <f>(Table2_1[[#This Row],[Constant Prices]]-C1296)/C1296</f>
        <v>6.913533478549061E-3</v>
      </c>
      <c r="F1300" s="2">
        <v>1708.6</v>
      </c>
      <c r="G1300" s="7">
        <f>(Table2_1[[#This Row],[Current Prices]]-F1299)/F1299</f>
        <v>-8.5301456507863079E-3</v>
      </c>
      <c r="H1300" s="7">
        <f>(Table2_1[[#This Row],[Current Prices]]-F1296)/F1296</f>
        <v>6.3752957290499235E-2</v>
      </c>
      <c r="I1300" s="2"/>
    </row>
    <row r="1301" spans="1:9" x14ac:dyDescent="0.3">
      <c r="A1301" s="2" t="s">
        <v>91</v>
      </c>
      <c r="B1301" s="2" t="s">
        <v>69</v>
      </c>
      <c r="C1301" s="2">
        <v>1075</v>
      </c>
      <c r="D1301" s="6">
        <f>(Table2_1[[#This Row],[Constant Prices]]-C1300)/C1300</f>
        <v>1.1098570353649317E-2</v>
      </c>
      <c r="E1301" s="6">
        <f>(Table2_1[[#This Row],[Constant Prices]]-C1297)/C1297</f>
        <v>1.4725316216726361E-2</v>
      </c>
      <c r="F1301" s="5">
        <f>Table2_1[[#This Row],[Constant Prices]]*AVERAGE(Inflation!$C$72:$C$74)*0.01</f>
        <v>1946.1083333333336</v>
      </c>
      <c r="G1301" s="7">
        <f>(Table2_1[[#This Row],[Current Prices]]-F1300)/F1300</f>
        <v>0.1390075695501192</v>
      </c>
      <c r="H1301" s="7">
        <f>(Table2_1[[#This Row],[Current Prices]]-F1297)/F1297</f>
        <v>0.16568333832484791</v>
      </c>
      <c r="I1301" s="2">
        <v>14</v>
      </c>
    </row>
    <row r="1302" spans="1:9" x14ac:dyDescent="0.3">
      <c r="A1302" s="2" t="s">
        <v>91</v>
      </c>
      <c r="B1302" s="2" t="s">
        <v>70</v>
      </c>
      <c r="C1302" s="2">
        <v>1083.5</v>
      </c>
      <c r="D1302" s="6">
        <f>(Table2_1[[#This Row],[Constant Prices]]-C1301)/C1301</f>
        <v>7.9069767441860457E-3</v>
      </c>
      <c r="E1302" s="6">
        <f>(Table2_1[[#This Row],[Constant Prices]]-C1298)/C1298</f>
        <v>2.5361975962903335E-2</v>
      </c>
      <c r="F1302" s="5">
        <f>Table2_1[[#This Row],[Constant Prices]]*AVERAGE(Inflation!$C$75:$C$77)*0.01</f>
        <v>1976.6651666666664</v>
      </c>
      <c r="G1302" s="7">
        <f>(Table2_1[[#This Row],[Current Prices]]-F1301)/F1301</f>
        <v>1.57015068534209E-2</v>
      </c>
      <c r="H1302" s="7">
        <f>(Table2_1[[#This Row],[Current Prices]]-F1298)/F1298</f>
        <v>0.1459592826637291</v>
      </c>
      <c r="I1302" s="2"/>
    </row>
    <row r="1303" spans="1:9" x14ac:dyDescent="0.3">
      <c r="A1303" s="2" t="s">
        <v>91</v>
      </c>
      <c r="B1303" s="2" t="s">
        <v>71</v>
      </c>
      <c r="C1303" s="2">
        <v>1091.8</v>
      </c>
      <c r="D1303" s="6">
        <f>(Table2_1[[#This Row],[Constant Prices]]-C1302)/C1302</f>
        <v>7.660359944623862E-3</v>
      </c>
      <c r="E1303" s="6">
        <f>(Table2_1[[#This Row],[Constant Prices]]-C1299)/C1299</f>
        <v>3.5666856383987769E-2</v>
      </c>
      <c r="F1303" s="5">
        <f>Table2_1[[#This Row],[Constant Prices]]*AVERAGE(Inflation!$C$78:$C$80)*0.01</f>
        <v>2023.4693333333335</v>
      </c>
      <c r="G1303" s="7">
        <f>(Table2_1[[#This Row],[Current Prices]]-F1302)/F1302</f>
        <v>2.3678348491158394E-2</v>
      </c>
      <c r="H1303" s="7">
        <f>(Table2_1[[#This Row],[Current Prices]]-F1299)/F1299</f>
        <v>0.17418286620630971</v>
      </c>
      <c r="I1303" s="2"/>
    </row>
    <row r="1304" spans="1:9" x14ac:dyDescent="0.3">
      <c r="A1304" s="2" t="s">
        <v>92</v>
      </c>
      <c r="B1304" s="2" t="s">
        <v>10</v>
      </c>
      <c r="C1304" s="2">
        <v>1263.5999999999999</v>
      </c>
      <c r="D1304" s="6"/>
      <c r="E1304" s="6"/>
      <c r="F1304" s="2">
        <v>945.2</v>
      </c>
      <c r="G1304" s="7"/>
      <c r="H1304" s="7"/>
      <c r="I1304" s="2"/>
    </row>
    <row r="1305" spans="1:9" x14ac:dyDescent="0.3">
      <c r="A1305" s="2" t="s">
        <v>92</v>
      </c>
      <c r="B1305" s="2" t="s">
        <v>11</v>
      </c>
      <c r="C1305" s="2">
        <v>1263</v>
      </c>
      <c r="D1305" s="6">
        <f>(Table2_1[[#This Row],[Constant Prices]]-C1304)/C1304</f>
        <v>-4.7483380816706953E-4</v>
      </c>
      <c r="E1305" s="6"/>
      <c r="F1305" s="2">
        <v>952.3</v>
      </c>
      <c r="G1305" s="7">
        <f>(Table2_1[[#This Row],[Current Prices]]-F1304)/F1304</f>
        <v>7.5116377486245329E-3</v>
      </c>
      <c r="H1305" s="7"/>
      <c r="I1305" s="2"/>
    </row>
    <row r="1306" spans="1:9" x14ac:dyDescent="0.3">
      <c r="A1306" s="2" t="s">
        <v>92</v>
      </c>
      <c r="B1306" s="2" t="s">
        <v>12</v>
      </c>
      <c r="C1306" s="2">
        <v>1249</v>
      </c>
      <c r="D1306" s="6">
        <f>(Table2_1[[#This Row],[Constant Prices]]-C1305)/C1305</f>
        <v>-1.1084718923198733E-2</v>
      </c>
      <c r="E1306" s="6"/>
      <c r="F1306" s="2">
        <v>963.1</v>
      </c>
      <c r="G1306" s="7">
        <f>(Table2_1[[#This Row],[Current Prices]]-F1305)/F1305</f>
        <v>1.1340963981938536E-2</v>
      </c>
      <c r="H1306" s="7"/>
      <c r="I1306" s="2"/>
    </row>
    <row r="1307" spans="1:9" x14ac:dyDescent="0.3">
      <c r="A1307" s="2" t="s">
        <v>92</v>
      </c>
      <c r="B1307" s="2" t="s">
        <v>13</v>
      </c>
      <c r="C1307" s="2">
        <v>1211.7</v>
      </c>
      <c r="D1307" s="6">
        <f>(Table2_1[[#This Row],[Constant Prices]]-C1306)/C1306</f>
        <v>-2.9863891112890277E-2</v>
      </c>
      <c r="E1307" s="6"/>
      <c r="F1307" s="2">
        <v>975.5</v>
      </c>
      <c r="G1307" s="7">
        <f>(Table2_1[[#This Row],[Current Prices]]-F1306)/F1306</f>
        <v>1.2875090852455588E-2</v>
      </c>
      <c r="H1307" s="7"/>
      <c r="I1307" s="2"/>
    </row>
    <row r="1308" spans="1:9" x14ac:dyDescent="0.3">
      <c r="A1308" s="2" t="s">
        <v>92</v>
      </c>
      <c r="B1308" s="2" t="s">
        <v>14</v>
      </c>
      <c r="C1308" s="2">
        <v>1152</v>
      </c>
      <c r="D1308" s="6">
        <f>(Table2_1[[#This Row],[Constant Prices]]-C1307)/C1307</f>
        <v>-4.9269621193364727E-2</v>
      </c>
      <c r="E1308" s="6">
        <f>(Table2_1[[#This Row],[Constant Prices]]-C1304)/C1304</f>
        <v>-8.831908831908826E-2</v>
      </c>
      <c r="F1308" s="2">
        <v>980.1</v>
      </c>
      <c r="G1308" s="7">
        <f>(Table2_1[[#This Row],[Current Prices]]-F1307)/F1307</f>
        <v>4.715530497180956E-3</v>
      </c>
      <c r="H1308" s="7">
        <f>(Table2_1[[#This Row],[Current Prices]]-F1304)/F1304</f>
        <v>3.6923402454506954E-2</v>
      </c>
      <c r="I1308" s="2"/>
    </row>
    <row r="1309" spans="1:9" x14ac:dyDescent="0.3">
      <c r="A1309" s="2" t="s">
        <v>92</v>
      </c>
      <c r="B1309" s="2" t="s">
        <v>15</v>
      </c>
      <c r="C1309" s="2">
        <v>1121.0999999999999</v>
      </c>
      <c r="D1309" s="6">
        <f>(Table2_1[[#This Row],[Constant Prices]]-C1308)/C1308</f>
        <v>-2.6822916666666745E-2</v>
      </c>
      <c r="E1309" s="6">
        <f>(Table2_1[[#This Row],[Constant Prices]]-C1305)/C1305</f>
        <v>-0.11235154394299295</v>
      </c>
      <c r="F1309" s="2">
        <v>988.8</v>
      </c>
      <c r="G1309" s="7">
        <f>(Table2_1[[#This Row],[Current Prices]]-F1308)/F1308</f>
        <v>8.876645240281535E-3</v>
      </c>
      <c r="H1309" s="7">
        <f>(Table2_1[[#This Row],[Current Prices]]-F1305)/F1305</f>
        <v>3.8328257901921667E-2</v>
      </c>
      <c r="I1309" s="2"/>
    </row>
    <row r="1310" spans="1:9" x14ac:dyDescent="0.3">
      <c r="A1310" s="2" t="s">
        <v>92</v>
      </c>
      <c r="B1310" s="2" t="s">
        <v>16</v>
      </c>
      <c r="C1310" s="2">
        <v>1109.5</v>
      </c>
      <c r="D1310" s="6">
        <f>(Table2_1[[#This Row],[Constant Prices]]-C1309)/C1309</f>
        <v>-1.0346980644010267E-2</v>
      </c>
      <c r="E1310" s="6">
        <f>(Table2_1[[#This Row],[Constant Prices]]-C1306)/C1306</f>
        <v>-0.11168935148118495</v>
      </c>
      <c r="F1310" s="2">
        <v>997.2</v>
      </c>
      <c r="G1310" s="7">
        <f>(Table2_1[[#This Row],[Current Prices]]-F1309)/F1309</f>
        <v>8.4951456310680528E-3</v>
      </c>
      <c r="H1310" s="7">
        <f>(Table2_1[[#This Row],[Current Prices]]-F1306)/F1306</f>
        <v>3.5406499844252953E-2</v>
      </c>
      <c r="I1310" s="2"/>
    </row>
    <row r="1311" spans="1:9" x14ac:dyDescent="0.3">
      <c r="A1311" s="2" t="s">
        <v>92</v>
      </c>
      <c r="B1311" s="2" t="s">
        <v>17</v>
      </c>
      <c r="C1311" s="2">
        <v>1118.9000000000001</v>
      </c>
      <c r="D1311" s="6">
        <f>(Table2_1[[#This Row],[Constant Prices]]-C1310)/C1310</f>
        <v>8.4722848129789013E-3</v>
      </c>
      <c r="E1311" s="6">
        <f>(Table2_1[[#This Row],[Constant Prices]]-C1307)/C1307</f>
        <v>-7.6586613848312252E-2</v>
      </c>
      <c r="F1311" s="2">
        <v>1014.5</v>
      </c>
      <c r="G1311" s="7">
        <f>(Table2_1[[#This Row],[Current Prices]]-F1310)/F1310</f>
        <v>1.7348576012835893E-2</v>
      </c>
      <c r="H1311" s="7">
        <f>(Table2_1[[#This Row],[Current Prices]]-F1307)/F1307</f>
        <v>3.9979497693490518E-2</v>
      </c>
      <c r="I1311" s="2">
        <v>1</v>
      </c>
    </row>
    <row r="1312" spans="1:9" x14ac:dyDescent="0.3">
      <c r="A1312" s="2" t="s">
        <v>92</v>
      </c>
      <c r="B1312" s="2" t="s">
        <v>18</v>
      </c>
      <c r="C1312" s="2">
        <v>1128.4000000000001</v>
      </c>
      <c r="D1312" s="6">
        <f>(Table2_1[[#This Row],[Constant Prices]]-C1311)/C1311</f>
        <v>8.4904817231209219E-3</v>
      </c>
      <c r="E1312" s="6">
        <f>(Table2_1[[#This Row],[Constant Prices]]-C1308)/C1308</f>
        <v>-2.0486111111111031E-2</v>
      </c>
      <c r="F1312" s="2">
        <v>1027.0999999999999</v>
      </c>
      <c r="G1312" s="7">
        <f>(Table2_1[[#This Row],[Current Prices]]-F1311)/F1311</f>
        <v>1.2419911286347864E-2</v>
      </c>
      <c r="H1312" s="7">
        <f>(Table2_1[[#This Row],[Current Prices]]-F1308)/F1308</f>
        <v>4.7954290378532688E-2</v>
      </c>
      <c r="I1312" s="2"/>
    </row>
    <row r="1313" spans="1:9" x14ac:dyDescent="0.3">
      <c r="A1313" s="2" t="s">
        <v>92</v>
      </c>
      <c r="B1313" s="2" t="s">
        <v>19</v>
      </c>
      <c r="C1313" s="2">
        <v>1152.4000000000001</v>
      </c>
      <c r="D1313" s="6">
        <f>(Table2_1[[#This Row],[Constant Prices]]-C1312)/C1312</f>
        <v>2.1269053527118043E-2</v>
      </c>
      <c r="E1313" s="6">
        <f>(Table2_1[[#This Row],[Constant Prices]]-C1309)/C1309</f>
        <v>2.7919008117028084E-2</v>
      </c>
      <c r="F1313" s="2">
        <v>1049.8</v>
      </c>
      <c r="G1313" s="7">
        <f>(Table2_1[[#This Row],[Current Prices]]-F1312)/F1312</f>
        <v>2.2101061240385599E-2</v>
      </c>
      <c r="H1313" s="7">
        <f>(Table2_1[[#This Row],[Current Prices]]-F1309)/F1309</f>
        <v>6.1690938511326864E-2</v>
      </c>
      <c r="I1313" s="2"/>
    </row>
    <row r="1314" spans="1:9" x14ac:dyDescent="0.3">
      <c r="A1314" s="2" t="s">
        <v>92</v>
      </c>
      <c r="B1314" s="2" t="s">
        <v>20</v>
      </c>
      <c r="C1314" s="2">
        <v>1170.0999999999999</v>
      </c>
      <c r="D1314" s="6">
        <f>(Table2_1[[#This Row],[Constant Prices]]-C1313)/C1313</f>
        <v>1.5359250260326116E-2</v>
      </c>
      <c r="E1314" s="6">
        <f>(Table2_1[[#This Row],[Constant Prices]]-C1310)/C1310</f>
        <v>5.4619197836863372E-2</v>
      </c>
      <c r="F1314" s="2">
        <v>1070.5</v>
      </c>
      <c r="G1314" s="7">
        <f>(Table2_1[[#This Row],[Current Prices]]-F1313)/F1313</f>
        <v>1.9718041531720371E-2</v>
      </c>
      <c r="H1314" s="7">
        <f>(Table2_1[[#This Row],[Current Prices]]-F1310)/F1310</f>
        <v>7.3505816285599629E-2</v>
      </c>
      <c r="I1314" s="2"/>
    </row>
    <row r="1315" spans="1:9" x14ac:dyDescent="0.3">
      <c r="A1315" s="2" t="s">
        <v>92</v>
      </c>
      <c r="B1315" s="2" t="s">
        <v>21</v>
      </c>
      <c r="C1315" s="2">
        <v>1194.7</v>
      </c>
      <c r="D1315" s="6">
        <f>(Table2_1[[#This Row],[Constant Prices]]-C1314)/C1314</f>
        <v>2.102384411588765E-2</v>
      </c>
      <c r="E1315" s="6">
        <f>(Table2_1[[#This Row],[Constant Prices]]-C1311)/C1311</f>
        <v>6.7745106801322688E-2</v>
      </c>
      <c r="F1315" s="2">
        <v>1092.8</v>
      </c>
      <c r="G1315" s="7">
        <f>(Table2_1[[#This Row],[Current Prices]]-F1314)/F1314</f>
        <v>2.08313872022419E-2</v>
      </c>
      <c r="H1315" s="7">
        <f>(Table2_1[[#This Row],[Current Prices]]-F1311)/F1311</f>
        <v>7.718087727944796E-2</v>
      </c>
      <c r="I1315" s="2">
        <v>2</v>
      </c>
    </row>
    <row r="1316" spans="1:9" x14ac:dyDescent="0.3">
      <c r="A1316" s="2" t="s">
        <v>92</v>
      </c>
      <c r="B1316" s="2" t="s">
        <v>22</v>
      </c>
      <c r="C1316" s="2">
        <v>1208.7</v>
      </c>
      <c r="D1316" s="6">
        <f>(Table2_1[[#This Row],[Constant Prices]]-C1315)/C1315</f>
        <v>1.1718423035071566E-2</v>
      </c>
      <c r="E1316" s="6">
        <f>(Table2_1[[#This Row],[Constant Prices]]-C1312)/C1312</f>
        <v>7.1162708259482413E-2</v>
      </c>
      <c r="F1316" s="2">
        <v>1140.9000000000001</v>
      </c>
      <c r="G1316" s="7">
        <f>(Table2_1[[#This Row],[Current Prices]]-F1315)/F1315</f>
        <v>4.4015373352855179E-2</v>
      </c>
      <c r="H1316" s="7">
        <f>(Table2_1[[#This Row],[Current Prices]]-F1312)/F1312</f>
        <v>0.11079739071171278</v>
      </c>
      <c r="I1316" s="2"/>
    </row>
    <row r="1317" spans="1:9" x14ac:dyDescent="0.3">
      <c r="A1317" s="2" t="s">
        <v>92</v>
      </c>
      <c r="B1317" s="2" t="s">
        <v>23</v>
      </c>
      <c r="C1317" s="2">
        <v>1226.5999999999999</v>
      </c>
      <c r="D1317" s="6">
        <f>(Table2_1[[#This Row],[Constant Prices]]-C1316)/C1316</f>
        <v>1.4809299247124897E-2</v>
      </c>
      <c r="E1317" s="6">
        <f>(Table2_1[[#This Row],[Constant Prices]]-C1313)/C1313</f>
        <v>6.4387365498090779E-2</v>
      </c>
      <c r="F1317" s="2">
        <v>1163.4000000000001</v>
      </c>
      <c r="G1317" s="7">
        <f>(Table2_1[[#This Row],[Current Prices]]-F1316)/F1316</f>
        <v>1.9721272679463581E-2</v>
      </c>
      <c r="H1317" s="7">
        <f>(Table2_1[[#This Row],[Current Prices]]-F1313)/F1313</f>
        <v>0.10821108782625276</v>
      </c>
      <c r="I1317" s="2"/>
    </row>
    <row r="1318" spans="1:9" x14ac:dyDescent="0.3">
      <c r="A1318" s="2" t="s">
        <v>92</v>
      </c>
      <c r="B1318" s="2" t="s">
        <v>24</v>
      </c>
      <c r="C1318" s="2">
        <v>1239.9000000000001</v>
      </c>
      <c r="D1318" s="6">
        <f>(Table2_1[[#This Row],[Constant Prices]]-C1317)/C1317</f>
        <v>1.0842980596771712E-2</v>
      </c>
      <c r="E1318" s="6">
        <f>(Table2_1[[#This Row],[Constant Prices]]-C1314)/C1314</f>
        <v>5.9653021109307057E-2</v>
      </c>
      <c r="F1318" s="2">
        <v>1179.8</v>
      </c>
      <c r="G1318" s="7">
        <f>(Table2_1[[#This Row],[Current Prices]]-F1317)/F1317</f>
        <v>1.4096613374591595E-2</v>
      </c>
      <c r="H1318" s="7">
        <f>(Table2_1[[#This Row],[Current Prices]]-F1314)/F1314</f>
        <v>0.1021018215787015</v>
      </c>
      <c r="I1318" s="2"/>
    </row>
    <row r="1319" spans="1:9" x14ac:dyDescent="0.3">
      <c r="A1319" s="2" t="s">
        <v>92</v>
      </c>
      <c r="B1319" s="2" t="s">
        <v>25</v>
      </c>
      <c r="C1319" s="2">
        <v>1245.4000000000001</v>
      </c>
      <c r="D1319" s="6">
        <f>(Table2_1[[#This Row],[Constant Prices]]-C1318)/C1318</f>
        <v>4.4358416001290422E-3</v>
      </c>
      <c r="E1319" s="6">
        <f>(Table2_1[[#This Row],[Constant Prices]]-C1315)/C1315</f>
        <v>4.2437431991294919E-2</v>
      </c>
      <c r="F1319" s="2">
        <v>1181.8</v>
      </c>
      <c r="G1319" s="7">
        <f>(Table2_1[[#This Row],[Current Prices]]-F1318)/F1318</f>
        <v>1.6952025767079167E-3</v>
      </c>
      <c r="H1319" s="7">
        <f>(Table2_1[[#This Row],[Current Prices]]-F1315)/F1315</f>
        <v>8.1442166910688146E-2</v>
      </c>
      <c r="I1319" s="2">
        <v>3</v>
      </c>
    </row>
    <row r="1320" spans="1:9" x14ac:dyDescent="0.3">
      <c r="A1320" s="2" t="s">
        <v>92</v>
      </c>
      <c r="B1320" s="2" t="s">
        <v>26</v>
      </c>
      <c r="C1320" s="2">
        <v>1253.5999999999999</v>
      </c>
      <c r="D1320" s="6">
        <f>(Table2_1[[#This Row],[Constant Prices]]-C1319)/C1319</f>
        <v>6.5842299662757491E-3</v>
      </c>
      <c r="E1320" s="6">
        <f>(Table2_1[[#This Row],[Constant Prices]]-C1316)/C1316</f>
        <v>3.7147348390833015E-2</v>
      </c>
      <c r="F1320" s="2">
        <v>1168.8</v>
      </c>
      <c r="G1320" s="7">
        <f>(Table2_1[[#This Row],[Current Prices]]-F1319)/F1319</f>
        <v>-1.1000169233372822E-2</v>
      </c>
      <c r="H1320" s="7">
        <f>(Table2_1[[#This Row],[Current Prices]]-F1316)/F1316</f>
        <v>2.4454378122534721E-2</v>
      </c>
      <c r="I1320" s="2"/>
    </row>
    <row r="1321" spans="1:9" x14ac:dyDescent="0.3">
      <c r="A1321" s="2" t="s">
        <v>92</v>
      </c>
      <c r="B1321" s="2" t="s">
        <v>27</v>
      </c>
      <c r="C1321" s="2">
        <v>1263.4000000000001</v>
      </c>
      <c r="D1321" s="6">
        <f>(Table2_1[[#This Row],[Constant Prices]]-C1320)/C1320</f>
        <v>7.8174856413530495E-3</v>
      </c>
      <c r="E1321" s="6">
        <f>(Table2_1[[#This Row],[Constant Prices]]-C1317)/C1317</f>
        <v>3.0001630523398163E-2</v>
      </c>
      <c r="F1321" s="2">
        <v>1176</v>
      </c>
      <c r="G1321" s="7">
        <f>(Table2_1[[#This Row],[Current Prices]]-F1320)/F1320</f>
        <v>6.1601642710472672E-3</v>
      </c>
      <c r="H1321" s="7">
        <f>(Table2_1[[#This Row],[Current Prices]]-F1317)/F1317</f>
        <v>1.0830324909747214E-2</v>
      </c>
      <c r="I1321" s="2"/>
    </row>
    <row r="1322" spans="1:9" x14ac:dyDescent="0.3">
      <c r="A1322" s="2" t="s">
        <v>92</v>
      </c>
      <c r="B1322" s="2" t="s">
        <v>28</v>
      </c>
      <c r="C1322" s="2">
        <v>1272.5999999999999</v>
      </c>
      <c r="D1322" s="6">
        <f>(Table2_1[[#This Row],[Constant Prices]]-C1321)/C1321</f>
        <v>7.2819376286210368E-3</v>
      </c>
      <c r="E1322" s="6">
        <f>(Table2_1[[#This Row],[Constant Prices]]-C1318)/C1318</f>
        <v>2.6373094604403433E-2</v>
      </c>
      <c r="F1322" s="2">
        <v>1198.2</v>
      </c>
      <c r="G1322" s="7">
        <f>(Table2_1[[#This Row],[Current Prices]]-F1321)/F1321</f>
        <v>1.8877551020408202E-2</v>
      </c>
      <c r="H1322" s="7">
        <f>(Table2_1[[#This Row],[Current Prices]]-F1318)/F1318</f>
        <v>1.559586370571291E-2</v>
      </c>
      <c r="I1322" s="2"/>
    </row>
    <row r="1323" spans="1:9" x14ac:dyDescent="0.3">
      <c r="A1323" s="2" t="s">
        <v>92</v>
      </c>
      <c r="B1323" s="2" t="s">
        <v>29</v>
      </c>
      <c r="C1323" s="2">
        <v>1285.2</v>
      </c>
      <c r="D1323" s="6">
        <f>(Table2_1[[#This Row],[Constant Prices]]-C1322)/C1322</f>
        <v>9.9009900990100087E-3</v>
      </c>
      <c r="E1323" s="6">
        <f>(Table2_1[[#This Row],[Constant Prices]]-C1319)/C1319</f>
        <v>3.1957603982656138E-2</v>
      </c>
      <c r="F1323" s="2">
        <v>1228.7</v>
      </c>
      <c r="G1323" s="7">
        <f>(Table2_1[[#This Row],[Current Prices]]-F1322)/F1322</f>
        <v>2.5454848940076782E-2</v>
      </c>
      <c r="H1323" s="7">
        <f>(Table2_1[[#This Row],[Current Prices]]-F1319)/F1319</f>
        <v>3.9685225926552797E-2</v>
      </c>
      <c r="I1323" s="2">
        <v>4</v>
      </c>
    </row>
    <row r="1324" spans="1:9" x14ac:dyDescent="0.3">
      <c r="A1324" s="2" t="s">
        <v>92</v>
      </c>
      <c r="B1324" s="2" t="s">
        <v>30</v>
      </c>
      <c r="C1324" s="2">
        <v>1294.2</v>
      </c>
      <c r="D1324" s="6">
        <f>(Table2_1[[#This Row],[Constant Prices]]-C1323)/C1323</f>
        <v>7.0028011204481787E-3</v>
      </c>
      <c r="E1324" s="6">
        <f>(Table2_1[[#This Row],[Constant Prices]]-C1320)/C1320</f>
        <v>3.2386726228462143E-2</v>
      </c>
      <c r="F1324" s="2">
        <v>1289.2</v>
      </c>
      <c r="G1324" s="7">
        <f>(Table2_1[[#This Row],[Current Prices]]-F1323)/F1323</f>
        <v>4.9239033124440466E-2</v>
      </c>
      <c r="H1324" s="7">
        <f>(Table2_1[[#This Row],[Current Prices]]-F1320)/F1320</f>
        <v>0.1030116358658454</v>
      </c>
      <c r="I1324" s="2"/>
    </row>
    <row r="1325" spans="1:9" x14ac:dyDescent="0.3">
      <c r="A1325" s="2" t="s">
        <v>92</v>
      </c>
      <c r="B1325" s="2" t="s">
        <v>31</v>
      </c>
      <c r="C1325" s="2">
        <v>1310.2</v>
      </c>
      <c r="D1325" s="6">
        <f>(Table2_1[[#This Row],[Constant Prices]]-C1324)/C1324</f>
        <v>1.2362849636841292E-2</v>
      </c>
      <c r="E1325" s="6">
        <f>(Table2_1[[#This Row],[Constant Prices]]-C1321)/C1321</f>
        <v>3.7042900110812058E-2</v>
      </c>
      <c r="F1325" s="2">
        <v>1300.8</v>
      </c>
      <c r="G1325" s="7">
        <f>(Table2_1[[#This Row],[Current Prices]]-F1324)/F1324</f>
        <v>8.9978281104560257E-3</v>
      </c>
      <c r="H1325" s="7">
        <f>(Table2_1[[#This Row],[Current Prices]]-F1321)/F1321</f>
        <v>0.1061224489795918</v>
      </c>
      <c r="I1325" s="2"/>
    </row>
    <row r="1326" spans="1:9" x14ac:dyDescent="0.3">
      <c r="A1326" s="2" t="s">
        <v>92</v>
      </c>
      <c r="B1326" s="2" t="s">
        <v>32</v>
      </c>
      <c r="C1326" s="2">
        <v>1320.7</v>
      </c>
      <c r="D1326" s="6">
        <f>(Table2_1[[#This Row],[Constant Prices]]-C1325)/C1325</f>
        <v>8.0140436574568773E-3</v>
      </c>
      <c r="E1326" s="6">
        <f>(Table2_1[[#This Row],[Constant Prices]]-C1322)/C1322</f>
        <v>3.7796636806537907E-2</v>
      </c>
      <c r="F1326" s="2">
        <v>1326</v>
      </c>
      <c r="G1326" s="7">
        <f>(Table2_1[[#This Row],[Current Prices]]-F1325)/F1325</f>
        <v>1.9372693726937305E-2</v>
      </c>
      <c r="H1326" s="7">
        <f>(Table2_1[[#This Row],[Current Prices]]-F1322)/F1322</f>
        <v>0.10665998998497743</v>
      </c>
      <c r="I1326" s="2"/>
    </row>
    <row r="1327" spans="1:9" x14ac:dyDescent="0.3">
      <c r="A1327" s="2" t="s">
        <v>92</v>
      </c>
      <c r="B1327" s="2" t="s">
        <v>33</v>
      </c>
      <c r="C1327" s="2">
        <v>1333.7</v>
      </c>
      <c r="D1327" s="6">
        <f>(Table2_1[[#This Row],[Constant Prices]]-C1326)/C1326</f>
        <v>9.8432649352616034E-3</v>
      </c>
      <c r="E1327" s="6">
        <f>(Table2_1[[#This Row],[Constant Prices]]-C1323)/C1323</f>
        <v>3.773731714908185E-2</v>
      </c>
      <c r="F1327" s="2">
        <v>1342.7</v>
      </c>
      <c r="G1327" s="7">
        <f>(Table2_1[[#This Row],[Current Prices]]-F1326)/F1326</f>
        <v>1.2594268476621453E-2</v>
      </c>
      <c r="H1327" s="7">
        <f>(Table2_1[[#This Row],[Current Prices]]-F1323)/F1323</f>
        <v>9.2780988036135756E-2</v>
      </c>
      <c r="I1327" s="2">
        <v>5</v>
      </c>
    </row>
    <row r="1328" spans="1:9" x14ac:dyDescent="0.3">
      <c r="A1328" s="2" t="s">
        <v>92</v>
      </c>
      <c r="B1328" s="2" t="s">
        <v>34</v>
      </c>
      <c r="C1328" s="2">
        <v>1361.7</v>
      </c>
      <c r="D1328" s="6">
        <f>(Table2_1[[#This Row],[Constant Prices]]-C1327)/C1327</f>
        <v>2.0994226587688385E-2</v>
      </c>
      <c r="E1328" s="6">
        <f>(Table2_1[[#This Row],[Constant Prices]]-C1324)/C1324</f>
        <v>5.2155771905424197E-2</v>
      </c>
      <c r="F1328" s="2">
        <v>1361.2</v>
      </c>
      <c r="G1328" s="7">
        <f>(Table2_1[[#This Row],[Current Prices]]-F1327)/F1327</f>
        <v>1.3778208088180531E-2</v>
      </c>
      <c r="H1328" s="7">
        <f>(Table2_1[[#This Row],[Current Prices]]-F1324)/F1324</f>
        <v>5.5848588271796458E-2</v>
      </c>
      <c r="I1328" s="2"/>
    </row>
    <row r="1329" spans="1:9" x14ac:dyDescent="0.3">
      <c r="A1329" s="2" t="s">
        <v>92</v>
      </c>
      <c r="B1329" s="2" t="s">
        <v>35</v>
      </c>
      <c r="C1329" s="2">
        <v>1372.3</v>
      </c>
      <c r="D1329" s="6">
        <f>(Table2_1[[#This Row],[Constant Prices]]-C1328)/C1328</f>
        <v>7.7843871631048753E-3</v>
      </c>
      <c r="E1329" s="6">
        <f>(Table2_1[[#This Row],[Constant Prices]]-C1325)/C1325</f>
        <v>4.739734391695917E-2</v>
      </c>
      <c r="F1329" s="2">
        <v>1368.7</v>
      </c>
      <c r="G1329" s="7">
        <f>(Table2_1[[#This Row],[Current Prices]]-F1328)/F1328</f>
        <v>5.5098442550690569E-3</v>
      </c>
      <c r="H1329" s="7">
        <f>(Table2_1[[#This Row],[Current Prices]]-F1325)/F1325</f>
        <v>5.2198646986469935E-2</v>
      </c>
      <c r="I1329" s="2"/>
    </row>
    <row r="1330" spans="1:9" x14ac:dyDescent="0.3">
      <c r="A1330" s="2" t="s">
        <v>92</v>
      </c>
      <c r="B1330" s="2" t="s">
        <v>36</v>
      </c>
      <c r="C1330" s="2">
        <v>1378.7</v>
      </c>
      <c r="D1330" s="6">
        <f>(Table2_1[[#This Row],[Constant Prices]]-C1329)/C1329</f>
        <v>4.6637032718793931E-3</v>
      </c>
      <c r="E1330" s="6">
        <f>(Table2_1[[#This Row],[Constant Prices]]-C1326)/C1326</f>
        <v>4.3916105095782539E-2</v>
      </c>
      <c r="F1330" s="2">
        <v>1393.8</v>
      </c>
      <c r="G1330" s="7">
        <f>(Table2_1[[#This Row],[Current Prices]]-F1329)/F1329</f>
        <v>1.8338569445459127E-2</v>
      </c>
      <c r="H1330" s="7">
        <f>(Table2_1[[#This Row],[Current Prices]]-F1326)/F1326</f>
        <v>5.1131221719456978E-2</v>
      </c>
      <c r="I1330" s="2"/>
    </row>
    <row r="1331" spans="1:9" x14ac:dyDescent="0.3">
      <c r="A1331" s="2" t="s">
        <v>92</v>
      </c>
      <c r="B1331" s="2" t="s">
        <v>37</v>
      </c>
      <c r="C1331" s="2">
        <v>1381.3</v>
      </c>
      <c r="D1331" s="6">
        <f>(Table2_1[[#This Row],[Constant Prices]]-C1330)/C1330</f>
        <v>1.885834481758112E-3</v>
      </c>
      <c r="E1331" s="6">
        <f>(Table2_1[[#This Row],[Constant Prices]]-C1327)/C1327</f>
        <v>3.5690185199070183E-2</v>
      </c>
      <c r="F1331" s="2">
        <v>1406.7</v>
      </c>
      <c r="G1331" s="7">
        <f>(Table2_1[[#This Row],[Current Prices]]-F1330)/F1330</f>
        <v>9.2552733534223639E-3</v>
      </c>
      <c r="H1331" s="7">
        <f>(Table2_1[[#This Row],[Current Prices]]-F1327)/F1327</f>
        <v>4.7665152305056975E-2</v>
      </c>
      <c r="I1331" s="2">
        <v>6</v>
      </c>
    </row>
    <row r="1332" spans="1:9" x14ac:dyDescent="0.3">
      <c r="A1332" s="2" t="s">
        <v>92</v>
      </c>
      <c r="B1332" s="2" t="s">
        <v>38</v>
      </c>
      <c r="C1332" s="2">
        <v>1397.4</v>
      </c>
      <c r="D1332" s="6">
        <f>(Table2_1[[#This Row],[Constant Prices]]-C1331)/C1331</f>
        <v>1.1655686671975774E-2</v>
      </c>
      <c r="E1332" s="6">
        <f>(Table2_1[[#This Row],[Constant Prices]]-C1328)/C1328</f>
        <v>2.6217228464419508E-2</v>
      </c>
      <c r="F1332" s="2">
        <v>1447.9</v>
      </c>
      <c r="G1332" s="7">
        <f>(Table2_1[[#This Row],[Current Prices]]-F1331)/F1331</f>
        <v>2.9288405488021644E-2</v>
      </c>
      <c r="H1332" s="7">
        <f>(Table2_1[[#This Row],[Current Prices]]-F1328)/F1328</f>
        <v>6.3693799588598332E-2</v>
      </c>
      <c r="I1332" s="2"/>
    </row>
    <row r="1333" spans="1:9" x14ac:dyDescent="0.3">
      <c r="A1333" s="2" t="s">
        <v>92</v>
      </c>
      <c r="B1333" s="2" t="s">
        <v>39</v>
      </c>
      <c r="C1333" s="2">
        <v>1393</v>
      </c>
      <c r="D1333" s="6">
        <f>(Table2_1[[#This Row],[Constant Prices]]-C1332)/C1332</f>
        <v>-3.1487047373694654E-3</v>
      </c>
      <c r="E1333" s="6">
        <f>(Table2_1[[#This Row],[Constant Prices]]-C1329)/C1329</f>
        <v>1.5084165269984731E-2</v>
      </c>
      <c r="F1333" s="2">
        <v>1447.1</v>
      </c>
      <c r="G1333" s="7">
        <f>(Table2_1[[#This Row],[Current Prices]]-F1332)/F1332</f>
        <v>-5.525243456041038E-4</v>
      </c>
      <c r="H1333" s="7">
        <f>(Table2_1[[#This Row],[Current Prices]]-F1329)/F1329</f>
        <v>5.7280631255936187E-2</v>
      </c>
      <c r="I1333" s="2"/>
    </row>
    <row r="1334" spans="1:9" x14ac:dyDescent="0.3">
      <c r="A1334" s="2" t="s">
        <v>92</v>
      </c>
      <c r="B1334" s="2" t="s">
        <v>40</v>
      </c>
      <c r="C1334" s="2">
        <v>1395.3</v>
      </c>
      <c r="D1334" s="6">
        <f>(Table2_1[[#This Row],[Constant Prices]]-C1333)/C1333</f>
        <v>1.6511127063890557E-3</v>
      </c>
      <c r="E1334" s="6">
        <f>(Table2_1[[#This Row],[Constant Prices]]-C1330)/C1330</f>
        <v>1.2040327845071377E-2</v>
      </c>
      <c r="F1334" s="2">
        <v>1475</v>
      </c>
      <c r="G1334" s="7">
        <f>(Table2_1[[#This Row],[Current Prices]]-F1333)/F1333</f>
        <v>1.9279939188722336E-2</v>
      </c>
      <c r="H1334" s="7">
        <f>(Table2_1[[#This Row],[Current Prices]]-F1330)/F1330</f>
        <v>5.8257999713014812E-2</v>
      </c>
      <c r="I1334" s="2"/>
    </row>
    <row r="1335" spans="1:9" x14ac:dyDescent="0.3">
      <c r="A1335" s="2" t="s">
        <v>92</v>
      </c>
      <c r="B1335" s="2" t="s">
        <v>41</v>
      </c>
      <c r="C1335" s="2">
        <v>1410.1</v>
      </c>
      <c r="D1335" s="6">
        <f>(Table2_1[[#This Row],[Constant Prices]]-C1334)/C1334</f>
        <v>1.0607037912993588E-2</v>
      </c>
      <c r="E1335" s="6">
        <f>(Table2_1[[#This Row],[Constant Prices]]-C1331)/C1331</f>
        <v>2.0849923984652106E-2</v>
      </c>
      <c r="F1335" s="2">
        <v>1515.8</v>
      </c>
      <c r="G1335" s="7">
        <f>(Table2_1[[#This Row],[Current Prices]]-F1334)/F1334</f>
        <v>2.766101694915251E-2</v>
      </c>
      <c r="H1335" s="7">
        <f>(Table2_1[[#This Row],[Current Prices]]-F1331)/F1331</f>
        <v>7.7557403852989204E-2</v>
      </c>
      <c r="I1335" s="2">
        <v>7</v>
      </c>
    </row>
    <row r="1336" spans="1:9" x14ac:dyDescent="0.3">
      <c r="A1336" s="2" t="s">
        <v>92</v>
      </c>
      <c r="B1336" s="2" t="s">
        <v>42</v>
      </c>
      <c r="C1336" s="2">
        <v>1416.5</v>
      </c>
      <c r="D1336" s="6">
        <f>(Table2_1[[#This Row],[Constant Prices]]-C1335)/C1335</f>
        <v>4.5386851996312965E-3</v>
      </c>
      <c r="E1336" s="6">
        <f>(Table2_1[[#This Row],[Constant Prices]]-C1332)/C1332</f>
        <v>1.3668241019035285E-2</v>
      </c>
      <c r="F1336" s="2">
        <v>1581.2</v>
      </c>
      <c r="G1336" s="7">
        <f>(Table2_1[[#This Row],[Current Prices]]-F1335)/F1335</f>
        <v>4.314553371157151E-2</v>
      </c>
      <c r="H1336" s="7">
        <f>(Table2_1[[#This Row],[Current Prices]]-F1332)/F1332</f>
        <v>9.2064369086262823E-2</v>
      </c>
      <c r="I1336" s="2"/>
    </row>
    <row r="1337" spans="1:9" x14ac:dyDescent="0.3">
      <c r="A1337" s="2" t="s">
        <v>92</v>
      </c>
      <c r="B1337" s="2" t="s">
        <v>43</v>
      </c>
      <c r="C1337" s="2">
        <v>1430.9</v>
      </c>
      <c r="D1337" s="6">
        <f>(Table2_1[[#This Row],[Constant Prices]]-C1336)/C1336</f>
        <v>1.0165901870808394E-2</v>
      </c>
      <c r="E1337" s="6">
        <f>(Table2_1[[#This Row],[Constant Prices]]-C1333)/C1333</f>
        <v>2.7207465900933304E-2</v>
      </c>
      <c r="F1337" s="2">
        <v>1588.2</v>
      </c>
      <c r="G1337" s="7">
        <f>(Table2_1[[#This Row],[Current Prices]]-F1336)/F1336</f>
        <v>4.4270174550973939E-3</v>
      </c>
      <c r="H1337" s="7">
        <f>(Table2_1[[#This Row],[Current Prices]]-F1333)/F1333</f>
        <v>9.7505355538663629E-2</v>
      </c>
      <c r="I1337" s="2"/>
    </row>
    <row r="1338" spans="1:9" x14ac:dyDescent="0.3">
      <c r="A1338" s="2" t="s">
        <v>92</v>
      </c>
      <c r="B1338" s="2" t="s">
        <v>44</v>
      </c>
      <c r="C1338" s="2">
        <v>1447.2</v>
      </c>
      <c r="D1338" s="6">
        <f>(Table2_1[[#This Row],[Constant Prices]]-C1337)/C1337</f>
        <v>1.1391431965895558E-2</v>
      </c>
      <c r="E1338" s="6">
        <f>(Table2_1[[#This Row],[Constant Prices]]-C1334)/C1334</f>
        <v>3.7196301870565537E-2</v>
      </c>
      <c r="F1338" s="2">
        <v>1624.4</v>
      </c>
      <c r="G1338" s="7">
        <f>(Table2_1[[#This Row],[Current Prices]]-F1337)/F1337</f>
        <v>2.2793099105906087E-2</v>
      </c>
      <c r="H1338" s="7">
        <f>(Table2_1[[#This Row],[Current Prices]]-F1334)/F1334</f>
        <v>0.1012881355932204</v>
      </c>
      <c r="I1338" s="2"/>
    </row>
    <row r="1339" spans="1:9" x14ac:dyDescent="0.3">
      <c r="A1339" s="2" t="s">
        <v>92</v>
      </c>
      <c r="B1339" s="2" t="s">
        <v>45</v>
      </c>
      <c r="C1339" s="2">
        <v>1461.3</v>
      </c>
      <c r="D1339" s="6">
        <f>(Table2_1[[#This Row],[Constant Prices]]-C1338)/C1338</f>
        <v>9.7429519071309482E-3</v>
      </c>
      <c r="E1339" s="6">
        <f>(Table2_1[[#This Row],[Constant Prices]]-C1335)/C1335</f>
        <v>3.6309481597049886E-2</v>
      </c>
      <c r="F1339" s="2">
        <v>1682.8</v>
      </c>
      <c r="G1339" s="7">
        <f>(Table2_1[[#This Row],[Current Prices]]-F1338)/F1338</f>
        <v>3.5951736025609367E-2</v>
      </c>
      <c r="H1339" s="7">
        <f>(Table2_1[[#This Row],[Current Prices]]-F1335)/F1335</f>
        <v>0.11017284602190262</v>
      </c>
      <c r="I1339" s="2">
        <v>8</v>
      </c>
    </row>
    <row r="1340" spans="1:9" x14ac:dyDescent="0.3">
      <c r="A1340" s="2" t="s">
        <v>92</v>
      </c>
      <c r="B1340" s="2" t="s">
        <v>46</v>
      </c>
      <c r="C1340" s="2">
        <v>1491</v>
      </c>
      <c r="D1340" s="6">
        <f>(Table2_1[[#This Row],[Constant Prices]]-C1339)/C1339</f>
        <v>2.0324368712790013E-2</v>
      </c>
      <c r="E1340" s="6">
        <f>(Table2_1[[#This Row],[Constant Prices]]-C1336)/C1336</f>
        <v>5.2594422873279208E-2</v>
      </c>
      <c r="F1340" s="2">
        <v>1734.3</v>
      </c>
      <c r="G1340" s="7">
        <f>(Table2_1[[#This Row],[Current Prices]]-F1339)/F1339</f>
        <v>3.0603755645352983E-2</v>
      </c>
      <c r="H1340" s="7">
        <f>(Table2_1[[#This Row],[Current Prices]]-F1336)/F1336</f>
        <v>9.6825196053630089E-2</v>
      </c>
      <c r="I1340" s="2"/>
    </row>
    <row r="1341" spans="1:9" x14ac:dyDescent="0.3">
      <c r="A1341" s="2" t="s">
        <v>92</v>
      </c>
      <c r="B1341" s="2" t="s">
        <v>47</v>
      </c>
      <c r="C1341" s="2">
        <v>1493.9</v>
      </c>
      <c r="D1341" s="6">
        <f>(Table2_1[[#This Row],[Constant Prices]]-C1340)/C1340</f>
        <v>1.9450033534541187E-3</v>
      </c>
      <c r="E1341" s="6">
        <f>(Table2_1[[#This Row],[Constant Prices]]-C1337)/C1337</f>
        <v>4.4028233978614856E-2</v>
      </c>
      <c r="F1341" s="2">
        <v>1779.1</v>
      </c>
      <c r="G1341" s="7">
        <f>(Table2_1[[#This Row],[Current Prices]]-F1340)/F1340</f>
        <v>2.5831747679178892E-2</v>
      </c>
      <c r="H1341" s="7">
        <f>(Table2_1[[#This Row],[Current Prices]]-F1337)/F1337</f>
        <v>0.1201989673844603</v>
      </c>
      <c r="I1341" s="2"/>
    </row>
    <row r="1342" spans="1:9" x14ac:dyDescent="0.3">
      <c r="A1342" s="2" t="s">
        <v>92</v>
      </c>
      <c r="B1342" s="2" t="s">
        <v>48</v>
      </c>
      <c r="C1342" s="2">
        <v>1490</v>
      </c>
      <c r="D1342" s="6">
        <f>(Table2_1[[#This Row],[Constant Prices]]-C1341)/C1341</f>
        <v>-2.6106165071290519E-3</v>
      </c>
      <c r="E1342" s="6">
        <f>(Table2_1[[#This Row],[Constant Prices]]-C1338)/C1338</f>
        <v>2.9574350469872824E-2</v>
      </c>
      <c r="F1342" s="2">
        <v>1807.3</v>
      </c>
      <c r="G1342" s="7">
        <f>(Table2_1[[#This Row],[Current Prices]]-F1341)/F1341</f>
        <v>1.5850711033668734E-2</v>
      </c>
      <c r="H1342" s="7">
        <f>(Table2_1[[#This Row],[Current Prices]]-F1338)/F1338</f>
        <v>0.11259541984732815</v>
      </c>
      <c r="I1342" s="2"/>
    </row>
    <row r="1343" spans="1:9" x14ac:dyDescent="0.3">
      <c r="A1343" s="2" t="s">
        <v>92</v>
      </c>
      <c r="B1343" s="2" t="s">
        <v>49</v>
      </c>
      <c r="C1343" s="2">
        <v>1453.3</v>
      </c>
      <c r="D1343" s="6">
        <f>(Table2_1[[#This Row],[Constant Prices]]-C1342)/C1342</f>
        <v>-2.4630872483221506E-2</v>
      </c>
      <c r="E1343" s="6">
        <f>(Table2_1[[#This Row],[Constant Prices]]-C1339)/C1339</f>
        <v>-5.4745774310545406E-3</v>
      </c>
      <c r="F1343" s="2">
        <v>1809.8</v>
      </c>
      <c r="G1343" s="7">
        <f>(Table2_1[[#This Row],[Current Prices]]-F1342)/F1342</f>
        <v>1.3832789243623084E-3</v>
      </c>
      <c r="H1343" s="7">
        <f>(Table2_1[[#This Row],[Current Prices]]-F1339)/F1339</f>
        <v>7.5469455669122887E-2</v>
      </c>
      <c r="I1343" s="2">
        <v>9</v>
      </c>
    </row>
    <row r="1344" spans="1:9" x14ac:dyDescent="0.3">
      <c r="A1344" s="2" t="s">
        <v>92</v>
      </c>
      <c r="B1344" s="2" t="s">
        <v>50</v>
      </c>
      <c r="C1344" s="2">
        <v>1375.7</v>
      </c>
      <c r="D1344" s="6">
        <f>(Table2_1[[#This Row],[Constant Prices]]-C1343)/C1343</f>
        <v>-5.3395720085322999E-2</v>
      </c>
      <c r="E1344" s="6">
        <f>(Table2_1[[#This Row],[Constant Prices]]-C1340)/C1340</f>
        <v>-7.7330650570087159E-2</v>
      </c>
      <c r="F1344" s="2">
        <v>1689.2</v>
      </c>
      <c r="G1344" s="7">
        <f>(Table2_1[[#This Row],[Current Prices]]-F1343)/F1343</f>
        <v>-6.6637197480384519E-2</v>
      </c>
      <c r="H1344" s="7">
        <f>(Table2_1[[#This Row],[Current Prices]]-F1340)/F1340</f>
        <v>-2.6004728132387654E-2</v>
      </c>
      <c r="I1344" s="2"/>
    </row>
    <row r="1345" spans="1:9" x14ac:dyDescent="0.3">
      <c r="A1345" s="2" t="s">
        <v>92</v>
      </c>
      <c r="B1345" s="2" t="s">
        <v>51</v>
      </c>
      <c r="C1345" s="2">
        <v>1278.7</v>
      </c>
      <c r="D1345" s="6">
        <f>(Table2_1[[#This Row],[Constant Prices]]-C1344)/C1344</f>
        <v>-7.050955877008068E-2</v>
      </c>
      <c r="E1345" s="6">
        <f>(Table2_1[[#This Row],[Constant Prices]]-C1341)/C1341</f>
        <v>-0.14405248008568181</v>
      </c>
      <c r="F1345" s="2">
        <v>1471.6</v>
      </c>
      <c r="G1345" s="7">
        <f>(Table2_1[[#This Row],[Current Prices]]-F1344)/F1344</f>
        <v>-0.12881837556239648</v>
      </c>
      <c r="H1345" s="7">
        <f>(Table2_1[[#This Row],[Current Prices]]-F1341)/F1341</f>
        <v>-0.17284020010117476</v>
      </c>
      <c r="I1345" s="2"/>
    </row>
    <row r="1346" spans="1:9" x14ac:dyDescent="0.3">
      <c r="A1346" s="2" t="s">
        <v>92</v>
      </c>
      <c r="B1346" s="2" t="s">
        <v>52</v>
      </c>
      <c r="C1346" s="2">
        <v>1282.8</v>
      </c>
      <c r="D1346" s="6">
        <f>(Table2_1[[#This Row],[Constant Prices]]-C1345)/C1345</f>
        <v>3.2063814811917643E-3</v>
      </c>
      <c r="E1346" s="6">
        <f>(Table2_1[[#This Row],[Constant Prices]]-C1342)/C1342</f>
        <v>-0.13906040268456379</v>
      </c>
      <c r="F1346" s="2">
        <v>1662.5</v>
      </c>
      <c r="G1346" s="7">
        <f>(Table2_1[[#This Row],[Current Prices]]-F1345)/F1345</f>
        <v>0.12972275074748579</v>
      </c>
      <c r="H1346" s="7">
        <f>(Table2_1[[#This Row],[Current Prices]]-F1342)/F1342</f>
        <v>-8.0119515299064886E-2</v>
      </c>
      <c r="I1346" s="2"/>
    </row>
    <row r="1347" spans="1:9" x14ac:dyDescent="0.3">
      <c r="A1347" s="2" t="s">
        <v>92</v>
      </c>
      <c r="B1347" s="2" t="s">
        <v>53</v>
      </c>
      <c r="C1347" s="2">
        <v>1348.8</v>
      </c>
      <c r="D1347" s="6">
        <f>(Table2_1[[#This Row],[Constant Prices]]-C1346)/C1346</f>
        <v>5.144995322731525E-2</v>
      </c>
      <c r="E1347" s="6">
        <f>(Table2_1[[#This Row],[Constant Prices]]-C1343)/C1343</f>
        <v>-7.1905318929333245E-2</v>
      </c>
      <c r="F1347" s="2">
        <v>1737.6</v>
      </c>
      <c r="G1347" s="7">
        <f>(Table2_1[[#This Row],[Current Prices]]-F1346)/F1346</f>
        <v>4.5172932330827011E-2</v>
      </c>
      <c r="H1347" s="7">
        <f>(Table2_1[[#This Row],[Current Prices]]-F1343)/F1343</f>
        <v>-3.9893910929384491E-2</v>
      </c>
      <c r="I1347" s="2">
        <v>10</v>
      </c>
    </row>
    <row r="1348" spans="1:9" x14ac:dyDescent="0.3">
      <c r="A1348" s="2" t="s">
        <v>92</v>
      </c>
      <c r="B1348" s="2" t="s">
        <v>54</v>
      </c>
      <c r="C1348" s="2">
        <v>1335.4</v>
      </c>
      <c r="D1348" s="6">
        <f>(Table2_1[[#This Row],[Constant Prices]]-C1347)/C1347</f>
        <v>-9.9347568208777159E-3</v>
      </c>
      <c r="E1348" s="6">
        <f>(Table2_1[[#This Row],[Constant Prices]]-C1344)/C1344</f>
        <v>-2.9294177509631425E-2</v>
      </c>
      <c r="F1348" s="2">
        <v>1739.6</v>
      </c>
      <c r="G1348" s="7">
        <f>(Table2_1[[#This Row],[Current Prices]]-F1347)/F1347</f>
        <v>1.1510128913443832E-3</v>
      </c>
      <c r="H1348" s="7">
        <f>(Table2_1[[#This Row],[Current Prices]]-F1344)/F1344</f>
        <v>2.9836609045702026E-2</v>
      </c>
      <c r="I1348" s="2"/>
    </row>
    <row r="1349" spans="1:9" x14ac:dyDescent="0.3">
      <c r="A1349" s="2" t="s">
        <v>92</v>
      </c>
      <c r="B1349" s="2" t="s">
        <v>55</v>
      </c>
      <c r="C1349" s="2">
        <v>1321.2</v>
      </c>
      <c r="D1349" s="6">
        <f>(Table2_1[[#This Row],[Constant Prices]]-C1348)/C1348</f>
        <v>-1.0633518047027141E-2</v>
      </c>
      <c r="E1349" s="6">
        <f>(Table2_1[[#This Row],[Constant Prices]]-C1345)/C1345</f>
        <v>3.3236881207476345E-2</v>
      </c>
      <c r="F1349" s="2">
        <v>1706.7</v>
      </c>
      <c r="G1349" s="7">
        <f>(Table2_1[[#This Row],[Current Prices]]-F1348)/F1348</f>
        <v>-1.891239365371342E-2</v>
      </c>
      <c r="H1349" s="7">
        <f>(Table2_1[[#This Row],[Current Prices]]-F1345)/F1345</f>
        <v>0.15975808643653178</v>
      </c>
      <c r="I1349" s="2"/>
    </row>
    <row r="1350" spans="1:9" x14ac:dyDescent="0.3">
      <c r="A1350" s="2" t="s">
        <v>92</v>
      </c>
      <c r="B1350" s="2" t="s">
        <v>56</v>
      </c>
      <c r="C1350" s="2">
        <v>1312.7</v>
      </c>
      <c r="D1350" s="6">
        <f>(Table2_1[[#This Row],[Constant Prices]]-C1349)/C1349</f>
        <v>-6.4335452618831364E-3</v>
      </c>
      <c r="E1350" s="6">
        <f>(Table2_1[[#This Row],[Constant Prices]]-C1346)/C1346</f>
        <v>2.3308387901465617E-2</v>
      </c>
      <c r="F1350" s="2">
        <v>1749.3</v>
      </c>
      <c r="G1350" s="7">
        <f>(Table2_1[[#This Row],[Current Prices]]-F1349)/F1349</f>
        <v>2.4960449991211057E-2</v>
      </c>
      <c r="H1350" s="7">
        <f>(Table2_1[[#This Row],[Current Prices]]-F1346)/F1346</f>
        <v>5.2210526315789443E-2</v>
      </c>
      <c r="I1350" s="2"/>
    </row>
    <row r="1351" spans="1:9" x14ac:dyDescent="0.3">
      <c r="A1351" s="2" t="s">
        <v>92</v>
      </c>
      <c r="B1351" s="2" t="s">
        <v>57</v>
      </c>
      <c r="C1351" s="2">
        <v>1347.7</v>
      </c>
      <c r="D1351" s="6">
        <f>(Table2_1[[#This Row],[Constant Prices]]-C1350)/C1350</f>
        <v>2.6662603793707624E-2</v>
      </c>
      <c r="E1351" s="6">
        <f>(Table2_1[[#This Row],[Constant Prices]]-C1347)/C1347</f>
        <v>-8.1553973902721616E-4</v>
      </c>
      <c r="F1351" s="2">
        <v>1764.4</v>
      </c>
      <c r="G1351" s="7">
        <f>(Table2_1[[#This Row],[Current Prices]]-F1350)/F1350</f>
        <v>8.6320242382668128E-3</v>
      </c>
      <c r="H1351" s="7">
        <f>(Table2_1[[#This Row],[Current Prices]]-F1347)/F1347</f>
        <v>1.5423572744014839E-2</v>
      </c>
      <c r="I1351" s="2">
        <v>11</v>
      </c>
    </row>
    <row r="1352" spans="1:9" x14ac:dyDescent="0.3">
      <c r="A1352" s="2" t="s">
        <v>92</v>
      </c>
      <c r="B1352" s="2" t="s">
        <v>58</v>
      </c>
      <c r="C1352" s="2">
        <v>1367.6</v>
      </c>
      <c r="D1352" s="6">
        <f>(Table2_1[[#This Row],[Constant Prices]]-C1351)/C1351</f>
        <v>1.4765897454923101E-2</v>
      </c>
      <c r="E1352" s="6">
        <f>(Table2_1[[#This Row],[Constant Prices]]-C1348)/C1348</f>
        <v>2.4112625430582461E-2</v>
      </c>
      <c r="F1352" s="2">
        <v>1888.5</v>
      </c>
      <c r="G1352" s="7">
        <f>(Table2_1[[#This Row],[Current Prices]]-F1351)/F1351</f>
        <v>7.0335524824302831E-2</v>
      </c>
      <c r="H1352" s="7">
        <f>(Table2_1[[#This Row],[Current Prices]]-F1348)/F1348</f>
        <v>8.5594389514831046E-2</v>
      </c>
      <c r="I1352" s="2"/>
    </row>
    <row r="1353" spans="1:9" x14ac:dyDescent="0.3">
      <c r="A1353" s="2" t="s">
        <v>92</v>
      </c>
      <c r="B1353" s="2" t="s">
        <v>59</v>
      </c>
      <c r="C1353" s="2">
        <v>1359.8</v>
      </c>
      <c r="D1353" s="6">
        <f>(Table2_1[[#This Row],[Constant Prices]]-C1352)/C1352</f>
        <v>-5.7034220532319064E-3</v>
      </c>
      <c r="E1353" s="6">
        <f>(Table2_1[[#This Row],[Constant Prices]]-C1349)/C1349</f>
        <v>2.9215864365728057E-2</v>
      </c>
      <c r="F1353" s="2">
        <v>1888.6</v>
      </c>
      <c r="G1353" s="7">
        <f>(Table2_1[[#This Row],[Current Prices]]-F1352)/F1352</f>
        <v>5.2952078369027824E-5</v>
      </c>
      <c r="H1353" s="7">
        <f>(Table2_1[[#This Row],[Current Prices]]-F1349)/F1349</f>
        <v>0.10657994961035909</v>
      </c>
      <c r="I1353" s="2"/>
    </row>
    <row r="1354" spans="1:9" x14ac:dyDescent="0.3">
      <c r="A1354" s="2" t="s">
        <v>92</v>
      </c>
      <c r="B1354" s="2" t="s">
        <v>60</v>
      </c>
      <c r="C1354" s="2">
        <v>1375.7</v>
      </c>
      <c r="D1354" s="6">
        <f>(Table2_1[[#This Row],[Constant Prices]]-C1353)/C1353</f>
        <v>1.169289601411979E-2</v>
      </c>
      <c r="E1354" s="6">
        <f>(Table2_1[[#This Row],[Constant Prices]]-C1350)/C1350</f>
        <v>4.7992686828673727E-2</v>
      </c>
      <c r="F1354" s="2">
        <v>1963.5</v>
      </c>
      <c r="G1354" s="7">
        <f>(Table2_1[[#This Row],[Current Prices]]-F1353)/F1353</f>
        <v>3.9659006671608647E-2</v>
      </c>
      <c r="H1354" s="7">
        <f>(Table2_1[[#This Row],[Current Prices]]-F1350)/F1350</f>
        <v>0.12244897959183676</v>
      </c>
      <c r="I1354" s="2"/>
    </row>
    <row r="1355" spans="1:9" x14ac:dyDescent="0.3">
      <c r="A1355" s="2" t="s">
        <v>92</v>
      </c>
      <c r="B1355" s="2" t="s">
        <v>61</v>
      </c>
      <c r="C1355" s="2">
        <v>1393.5</v>
      </c>
      <c r="D1355" s="6">
        <f>(Table2_1[[#This Row],[Constant Prices]]-C1354)/C1354</f>
        <v>1.293886748564364E-2</v>
      </c>
      <c r="E1355" s="6">
        <f>(Table2_1[[#This Row],[Constant Prices]]-C1351)/C1351</f>
        <v>3.3983824293240303E-2</v>
      </c>
      <c r="F1355" s="2">
        <v>1969.3</v>
      </c>
      <c r="G1355" s="7">
        <f>(Table2_1[[#This Row],[Current Prices]]-F1354)/F1354</f>
        <v>2.9539088362617542E-3</v>
      </c>
      <c r="H1355" s="7">
        <f>(Table2_1[[#This Row],[Current Prices]]-F1351)/F1351</f>
        <v>0.11613012922239846</v>
      </c>
      <c r="I1355" s="2">
        <v>12</v>
      </c>
    </row>
    <row r="1356" spans="1:9" x14ac:dyDescent="0.3">
      <c r="A1356" s="2" t="s">
        <v>92</v>
      </c>
      <c r="B1356" s="2" t="s">
        <v>62</v>
      </c>
      <c r="C1356" s="2">
        <v>1414.8</v>
      </c>
      <c r="D1356" s="6">
        <f>(Table2_1[[#This Row],[Constant Prices]]-C1355)/C1355</f>
        <v>1.5285252960172196E-2</v>
      </c>
      <c r="E1356" s="6">
        <f>(Table2_1[[#This Row],[Constant Prices]]-C1352)/C1352</f>
        <v>3.4513015501608693E-2</v>
      </c>
      <c r="F1356" s="2">
        <v>2203.9</v>
      </c>
      <c r="G1356" s="7">
        <f>(Table2_1[[#This Row],[Current Prices]]-F1355)/F1355</f>
        <v>0.11912862438429907</v>
      </c>
      <c r="H1356" s="7">
        <f>(Table2_1[[#This Row],[Current Prices]]-F1352)/F1352</f>
        <v>0.1670108551760657</v>
      </c>
      <c r="I1356" s="2"/>
    </row>
    <row r="1357" spans="1:9" x14ac:dyDescent="0.3">
      <c r="A1357" s="2" t="s">
        <v>92</v>
      </c>
      <c r="B1357" s="2" t="s">
        <v>63</v>
      </c>
      <c r="C1357" s="2">
        <v>1423.1</v>
      </c>
      <c r="D1357" s="6">
        <f>(Table2_1[[#This Row],[Constant Prices]]-C1356)/C1356</f>
        <v>5.8665535764772089E-3</v>
      </c>
      <c r="E1357" s="6">
        <f>(Table2_1[[#This Row],[Constant Prices]]-C1353)/C1353</f>
        <v>4.6550963376967167E-2</v>
      </c>
      <c r="F1357" s="2">
        <v>2225.3000000000002</v>
      </c>
      <c r="G1357" s="7">
        <f>(Table2_1[[#This Row],[Current Prices]]-F1356)/F1356</f>
        <v>9.7100594400835287E-3</v>
      </c>
      <c r="H1357" s="7">
        <f>(Table2_1[[#This Row],[Current Prices]]-F1353)/F1353</f>
        <v>0.17828020756115656</v>
      </c>
      <c r="I1357" s="2"/>
    </row>
    <row r="1358" spans="1:9" x14ac:dyDescent="0.3">
      <c r="A1358" s="2" t="s">
        <v>92</v>
      </c>
      <c r="B1358" s="2" t="s">
        <v>64</v>
      </c>
      <c r="C1358" s="2">
        <v>1435.4</v>
      </c>
      <c r="D1358" s="6">
        <f>(Table2_1[[#This Row],[Constant Prices]]-C1357)/C1357</f>
        <v>8.6431030848149685E-3</v>
      </c>
      <c r="E1358" s="6">
        <f>(Table2_1[[#This Row],[Constant Prices]]-C1354)/C1354</f>
        <v>4.339608926364763E-2</v>
      </c>
      <c r="F1358" s="2">
        <v>2284.3000000000002</v>
      </c>
      <c r="G1358" s="7">
        <f>(Table2_1[[#This Row],[Current Prices]]-F1357)/F1357</f>
        <v>2.6513279108434814E-2</v>
      </c>
      <c r="H1358" s="7">
        <f>(Table2_1[[#This Row],[Current Prices]]-F1354)/F1354</f>
        <v>0.16338171632289289</v>
      </c>
      <c r="I1358" s="2"/>
    </row>
    <row r="1359" spans="1:9" x14ac:dyDescent="0.3">
      <c r="A1359" s="2" t="s">
        <v>92</v>
      </c>
      <c r="B1359" s="2" t="s">
        <v>65</v>
      </c>
      <c r="C1359" s="2">
        <v>1448.5</v>
      </c>
      <c r="D1359" s="6">
        <f>(Table2_1[[#This Row],[Constant Prices]]-C1358)/C1358</f>
        <v>9.1263759230875777E-3</v>
      </c>
      <c r="E1359" s="6">
        <f>(Table2_1[[#This Row],[Constant Prices]]-C1355)/C1355</f>
        <v>3.9468963042698244E-2</v>
      </c>
      <c r="F1359" s="2">
        <v>2287.6999999999998</v>
      </c>
      <c r="G1359" s="7">
        <f>(Table2_1[[#This Row],[Current Prices]]-F1358)/F1358</f>
        <v>1.4884209604691309E-3</v>
      </c>
      <c r="H1359" s="7">
        <f>(Table2_1[[#This Row],[Current Prices]]-F1355)/F1355</f>
        <v>0.16168181587366062</v>
      </c>
      <c r="I1359" s="2">
        <v>13</v>
      </c>
    </row>
    <row r="1360" spans="1:9" x14ac:dyDescent="0.3">
      <c r="A1360" s="2" t="s">
        <v>92</v>
      </c>
      <c r="B1360" s="2" t="s">
        <v>66</v>
      </c>
      <c r="C1360" s="2">
        <v>1458.5</v>
      </c>
      <c r="D1360" s="6">
        <f>(Table2_1[[#This Row],[Constant Prices]]-C1359)/C1359</f>
        <v>6.9036934760096655E-3</v>
      </c>
      <c r="E1360" s="6">
        <f>(Table2_1[[#This Row],[Constant Prices]]-C1356)/C1356</f>
        <v>3.0887757986994661E-2</v>
      </c>
      <c r="F1360" s="2">
        <v>2431.6</v>
      </c>
      <c r="G1360" s="7">
        <f>(Table2_1[[#This Row],[Current Prices]]-F1359)/F1359</f>
        <v>6.2901604231324085E-2</v>
      </c>
      <c r="H1360" s="7">
        <f>(Table2_1[[#This Row],[Current Prices]]-F1356)/F1356</f>
        <v>0.10331684740686956</v>
      </c>
      <c r="I1360" s="2"/>
    </row>
    <row r="1361" spans="1:9" x14ac:dyDescent="0.3">
      <c r="A1361" s="2" t="s">
        <v>92</v>
      </c>
      <c r="B1361" s="2" t="s">
        <v>67</v>
      </c>
      <c r="C1361" s="2">
        <v>1465.8</v>
      </c>
      <c r="D1361" s="6">
        <f>(Table2_1[[#This Row],[Constant Prices]]-C1360)/C1360</f>
        <v>5.0051422694548878E-3</v>
      </c>
      <c r="E1361" s="6">
        <f>(Table2_1[[#This Row],[Constant Prices]]-C1357)/C1357</f>
        <v>3.0004918839153995E-2</v>
      </c>
      <c r="F1361" s="2">
        <v>2444.3000000000002</v>
      </c>
      <c r="G1361" s="7">
        <f>(Table2_1[[#This Row],[Current Prices]]-F1360)/F1360</f>
        <v>5.2228985030433762E-3</v>
      </c>
      <c r="H1361" s="7">
        <f>(Table2_1[[#This Row],[Current Prices]]-F1357)/F1357</f>
        <v>9.8413697029613972E-2</v>
      </c>
      <c r="I1361" s="2"/>
    </row>
    <row r="1362" spans="1:9" x14ac:dyDescent="0.3">
      <c r="A1362" s="2" t="s">
        <v>92</v>
      </c>
      <c r="B1362" s="2" t="s">
        <v>68</v>
      </c>
      <c r="C1362" s="2">
        <v>1473.1</v>
      </c>
      <c r="D1362" s="6">
        <f>(Table2_1[[#This Row],[Constant Prices]]-C1361)/C1361</f>
        <v>4.9802155819347492E-3</v>
      </c>
      <c r="E1362" s="6">
        <f>(Table2_1[[#This Row],[Constant Prices]]-C1358)/C1358</f>
        <v>2.6264455900794074E-2</v>
      </c>
      <c r="F1362" s="2">
        <v>2488.1999999999998</v>
      </c>
      <c r="G1362" s="7">
        <f>(Table2_1[[#This Row],[Current Prices]]-F1361)/F1361</f>
        <v>1.7960152190811124E-2</v>
      </c>
      <c r="H1362" s="7">
        <f>(Table2_1[[#This Row],[Current Prices]]-F1358)/F1358</f>
        <v>8.9261480541084626E-2</v>
      </c>
      <c r="I1362" s="2"/>
    </row>
    <row r="1363" spans="1:9" x14ac:dyDescent="0.3">
      <c r="A1363" s="2" t="s">
        <v>92</v>
      </c>
      <c r="B1363" s="2" t="s">
        <v>69</v>
      </c>
      <c r="C1363" s="2">
        <v>1476.9</v>
      </c>
      <c r="D1363" s="6">
        <f>(Table2_1[[#This Row],[Constant Prices]]-C1362)/C1362</f>
        <v>2.57959405335699E-3</v>
      </c>
      <c r="E1363" s="6">
        <f>(Table2_1[[#This Row],[Constant Prices]]-C1359)/C1359</f>
        <v>1.9606489471867512E-2</v>
      </c>
      <c r="F1363" s="5">
        <f>Table2_1[[#This Row],[Constant Prices]]*AVERAGE(Inflation!$C$72:$C$74)*0.01</f>
        <v>2673.6813000000002</v>
      </c>
      <c r="G1363" s="7">
        <f>(Table2_1[[#This Row],[Current Prices]]-F1362)/F1362</f>
        <v>7.4544369423679924E-2</v>
      </c>
      <c r="H1363" s="7">
        <f>(Table2_1[[#This Row],[Current Prices]]-F1359)/F1359</f>
        <v>0.16872024303886016</v>
      </c>
      <c r="I1363" s="2">
        <v>14</v>
      </c>
    </row>
    <row r="1364" spans="1:9" x14ac:dyDescent="0.3">
      <c r="A1364" s="2" t="s">
        <v>92</v>
      </c>
      <c r="B1364" s="2" t="s">
        <v>70</v>
      </c>
      <c r="C1364" s="2">
        <v>1490.6</v>
      </c>
      <c r="D1364" s="6">
        <f>(Table2_1[[#This Row],[Constant Prices]]-C1363)/C1363</f>
        <v>9.276186607082279E-3</v>
      </c>
      <c r="E1364" s="6">
        <f>(Table2_1[[#This Row],[Constant Prices]]-C1360)/C1360</f>
        <v>2.2008913267055133E-2</v>
      </c>
      <c r="F1364" s="5">
        <f>Table2_1[[#This Row],[Constant Prices]]*AVERAGE(Inflation!$C$75:$C$77)*0.01</f>
        <v>2719.3512666666661</v>
      </c>
      <c r="G1364" s="7">
        <f>(Table2_1[[#This Row],[Current Prices]]-F1363)/F1363</f>
        <v>1.7081305339819639E-2</v>
      </c>
      <c r="H1364" s="7">
        <f>(Table2_1[[#This Row],[Current Prices]]-F1360)/F1360</f>
        <v>0.1183382409387507</v>
      </c>
      <c r="I1364" s="2"/>
    </row>
    <row r="1365" spans="1:9" x14ac:dyDescent="0.3">
      <c r="A1365" s="2" t="s">
        <v>92</v>
      </c>
      <c r="B1365" s="2" t="s">
        <v>71</v>
      </c>
      <c r="C1365" s="2">
        <v>1507</v>
      </c>
      <c r="D1365" s="6">
        <f>(Table2_1[[#This Row],[Constant Prices]]-C1364)/C1364</f>
        <v>1.1002280960687033E-2</v>
      </c>
      <c r="E1365" s="6">
        <f>(Table2_1[[#This Row],[Constant Prices]]-C1361)/C1361</f>
        <v>2.8107518078864815E-2</v>
      </c>
      <c r="F1365" s="5">
        <f>Table2_1[[#This Row],[Constant Prices]]*AVERAGE(Inflation!$C$78:$C$80)*0.01</f>
        <v>2792.9733333333338</v>
      </c>
      <c r="G1365" s="7">
        <f>(Table2_1[[#This Row],[Current Prices]]-F1364)/F1364</f>
        <v>2.7073393411551558E-2</v>
      </c>
      <c r="H1365" s="7">
        <f>(Table2_1[[#This Row],[Current Prices]]-F1361)/F1361</f>
        <v>0.14264752008073214</v>
      </c>
      <c r="I1365" s="2"/>
    </row>
    <row r="1366" spans="1:9" x14ac:dyDescent="0.3">
      <c r="A1366" s="2" t="s">
        <v>93</v>
      </c>
      <c r="B1366" s="2" t="s">
        <v>10</v>
      </c>
      <c r="C1366" s="2">
        <v>1342.2</v>
      </c>
      <c r="D1366" s="6"/>
      <c r="E1366" s="6"/>
      <c r="F1366" s="2">
        <v>1120.0999999999999</v>
      </c>
      <c r="G1366" s="7"/>
      <c r="H1366" s="7"/>
      <c r="I1366" s="2"/>
    </row>
    <row r="1367" spans="1:9" x14ac:dyDescent="0.3">
      <c r="A1367" s="2" t="s">
        <v>93</v>
      </c>
      <c r="B1367" s="2" t="s">
        <v>11</v>
      </c>
      <c r="C1367" s="2">
        <v>1337.6</v>
      </c>
      <c r="D1367" s="6">
        <f>(Table2_1[[#This Row],[Constant Prices]]-C1366)/C1366</f>
        <v>-3.4272090597527462E-3</v>
      </c>
      <c r="E1367" s="6"/>
      <c r="F1367" s="2">
        <v>1128.2</v>
      </c>
      <c r="G1367" s="7">
        <f>(Table2_1[[#This Row],[Current Prices]]-F1366)/F1366</f>
        <v>7.2314971877512164E-3</v>
      </c>
      <c r="H1367" s="7"/>
      <c r="I1367" s="2"/>
    </row>
    <row r="1368" spans="1:9" x14ac:dyDescent="0.3">
      <c r="A1368" s="2" t="s">
        <v>93</v>
      </c>
      <c r="B1368" s="2" t="s">
        <v>12</v>
      </c>
      <c r="C1368" s="2">
        <v>1339.2</v>
      </c>
      <c r="D1368" s="6">
        <f>(Table2_1[[#This Row],[Constant Prices]]-C1367)/C1367</f>
        <v>1.1961722488039298E-3</v>
      </c>
      <c r="E1368" s="6"/>
      <c r="F1368" s="2">
        <v>1140</v>
      </c>
      <c r="G1368" s="7">
        <f>(Table2_1[[#This Row],[Current Prices]]-F1367)/F1367</f>
        <v>1.045913845062928E-2</v>
      </c>
      <c r="H1368" s="7"/>
      <c r="I1368" s="2"/>
    </row>
    <row r="1369" spans="1:9" x14ac:dyDescent="0.3">
      <c r="A1369" s="2" t="s">
        <v>93</v>
      </c>
      <c r="B1369" s="2" t="s">
        <v>13</v>
      </c>
      <c r="C1369" s="2">
        <v>1342.3</v>
      </c>
      <c r="D1369" s="6">
        <f>(Table2_1[[#This Row],[Constant Prices]]-C1368)/C1368</f>
        <v>2.314814814814747E-3</v>
      </c>
      <c r="E1369" s="6"/>
      <c r="F1369" s="2">
        <v>1154.0999999999999</v>
      </c>
      <c r="G1369" s="7">
        <f>(Table2_1[[#This Row],[Current Prices]]-F1368)/F1368</f>
        <v>1.2368421052631499E-2</v>
      </c>
      <c r="H1369" s="7"/>
      <c r="I1369" s="2"/>
    </row>
    <row r="1370" spans="1:9" x14ac:dyDescent="0.3">
      <c r="A1370" s="2" t="s">
        <v>93</v>
      </c>
      <c r="B1370" s="2" t="s">
        <v>14</v>
      </c>
      <c r="C1370" s="2">
        <v>1350.7</v>
      </c>
      <c r="D1370" s="6">
        <f>(Table2_1[[#This Row],[Constant Prices]]-C1369)/C1369</f>
        <v>6.2579155181405732E-3</v>
      </c>
      <c r="E1370" s="6">
        <f>(Table2_1[[#This Row],[Constant Prices]]-C1366)/C1366</f>
        <v>6.3328863060646695E-3</v>
      </c>
      <c r="F1370" s="2">
        <v>1160.2</v>
      </c>
      <c r="G1370" s="7">
        <f>(Table2_1[[#This Row],[Current Prices]]-F1369)/F1369</f>
        <v>5.285503855818505E-3</v>
      </c>
      <c r="H1370" s="7">
        <f>(Table2_1[[#This Row],[Current Prices]]-F1366)/F1366</f>
        <v>3.580037496652097E-2</v>
      </c>
      <c r="I1370" s="2"/>
    </row>
    <row r="1371" spans="1:9" x14ac:dyDescent="0.3">
      <c r="A1371" s="2" t="s">
        <v>93</v>
      </c>
      <c r="B1371" s="2" t="s">
        <v>15</v>
      </c>
      <c r="C1371" s="2">
        <v>1359.1</v>
      </c>
      <c r="D1371" s="6">
        <f>(Table2_1[[#This Row],[Constant Prices]]-C1370)/C1370</f>
        <v>6.2189975568222875E-3</v>
      </c>
      <c r="E1371" s="6">
        <f>(Table2_1[[#This Row],[Constant Prices]]-C1367)/C1367</f>
        <v>1.6073564593301438E-2</v>
      </c>
      <c r="F1371" s="2">
        <v>1170.8</v>
      </c>
      <c r="G1371" s="7">
        <f>(Table2_1[[#This Row],[Current Prices]]-F1370)/F1370</f>
        <v>9.1363558007239339E-3</v>
      </c>
      <c r="H1371" s="7">
        <f>(Table2_1[[#This Row],[Current Prices]]-F1367)/F1367</f>
        <v>3.7759262542102379E-2</v>
      </c>
      <c r="I1371" s="2"/>
    </row>
    <row r="1372" spans="1:9" x14ac:dyDescent="0.3">
      <c r="A1372" s="2" t="s">
        <v>93</v>
      </c>
      <c r="B1372" s="2" t="s">
        <v>16</v>
      </c>
      <c r="C1372" s="2">
        <v>1365.8</v>
      </c>
      <c r="D1372" s="6">
        <f>(Table2_1[[#This Row],[Constant Prices]]-C1371)/C1371</f>
        <v>4.9297329114855754E-3</v>
      </c>
      <c r="E1372" s="6">
        <f>(Table2_1[[#This Row],[Constant Prices]]-C1368)/C1368</f>
        <v>1.9862604540023827E-2</v>
      </c>
      <c r="F1372" s="2">
        <v>1181.5999999999999</v>
      </c>
      <c r="G1372" s="7">
        <f>(Table2_1[[#This Row],[Current Prices]]-F1371)/F1371</f>
        <v>9.2244619063887555E-3</v>
      </c>
      <c r="H1372" s="7">
        <f>(Table2_1[[#This Row],[Current Prices]]-F1368)/F1368</f>
        <v>3.6491228070175359E-2</v>
      </c>
      <c r="I1372" s="2"/>
    </row>
    <row r="1373" spans="1:9" x14ac:dyDescent="0.3">
      <c r="A1373" s="2" t="s">
        <v>93</v>
      </c>
      <c r="B1373" s="2" t="s">
        <v>17</v>
      </c>
      <c r="C1373" s="2">
        <v>1373.8</v>
      </c>
      <c r="D1373" s="6">
        <f>(Table2_1[[#This Row],[Constant Prices]]-C1372)/C1372</f>
        <v>5.8573729682237516E-3</v>
      </c>
      <c r="E1373" s="6">
        <f>(Table2_1[[#This Row],[Constant Prices]]-C1369)/C1369</f>
        <v>2.3467183193026896E-2</v>
      </c>
      <c r="F1373" s="2">
        <v>1202</v>
      </c>
      <c r="G1373" s="7">
        <f>(Table2_1[[#This Row],[Current Prices]]-F1372)/F1372</f>
        <v>1.7264725795531562E-2</v>
      </c>
      <c r="H1373" s="7">
        <f>(Table2_1[[#This Row],[Current Prices]]-F1369)/F1369</f>
        <v>4.1504202408803481E-2</v>
      </c>
      <c r="I1373" s="2">
        <v>1</v>
      </c>
    </row>
    <row r="1374" spans="1:9" x14ac:dyDescent="0.3">
      <c r="A1374" s="2" t="s">
        <v>93</v>
      </c>
      <c r="B1374" s="2" t="s">
        <v>18</v>
      </c>
      <c r="C1374" s="2">
        <v>1372</v>
      </c>
      <c r="D1374" s="6">
        <f>(Table2_1[[#This Row],[Constant Prices]]-C1373)/C1373</f>
        <v>-1.3102343863735293E-3</v>
      </c>
      <c r="E1374" s="6">
        <f>(Table2_1[[#This Row],[Constant Prices]]-C1370)/C1370</f>
        <v>1.5769600947656736E-2</v>
      </c>
      <c r="F1374" s="2">
        <v>1222.0999999999999</v>
      </c>
      <c r="G1374" s="7">
        <f>(Table2_1[[#This Row],[Current Prices]]-F1373)/F1373</f>
        <v>1.6722129783693768E-2</v>
      </c>
      <c r="H1374" s="7">
        <f>(Table2_1[[#This Row],[Current Prices]]-F1370)/F1370</f>
        <v>5.3352870194793879E-2</v>
      </c>
      <c r="I1374" s="2"/>
    </row>
    <row r="1375" spans="1:9" x14ac:dyDescent="0.3">
      <c r="A1375" s="2" t="s">
        <v>93</v>
      </c>
      <c r="B1375" s="2" t="s">
        <v>19</v>
      </c>
      <c r="C1375" s="2">
        <v>1379.5</v>
      </c>
      <c r="D1375" s="6">
        <f>(Table2_1[[#This Row],[Constant Prices]]-C1374)/C1374</f>
        <v>5.4664723032069968E-3</v>
      </c>
      <c r="E1375" s="6">
        <f>(Table2_1[[#This Row],[Constant Prices]]-C1371)/C1371</f>
        <v>1.5009933043926196E-2</v>
      </c>
      <c r="F1375" s="2">
        <v>1246</v>
      </c>
      <c r="G1375" s="7">
        <f>(Table2_1[[#This Row],[Current Prices]]-F1374)/F1374</f>
        <v>1.9556501104655996E-2</v>
      </c>
      <c r="H1375" s="7">
        <f>(Table2_1[[#This Row],[Current Prices]]-F1371)/F1371</f>
        <v>6.4229586607447944E-2</v>
      </c>
      <c r="I1375" s="2"/>
    </row>
    <row r="1376" spans="1:9" x14ac:dyDescent="0.3">
      <c r="A1376" s="2" t="s">
        <v>93</v>
      </c>
      <c r="B1376" s="2" t="s">
        <v>20</v>
      </c>
      <c r="C1376" s="2">
        <v>1383.4</v>
      </c>
      <c r="D1376" s="6">
        <f>(Table2_1[[#This Row],[Constant Prices]]-C1375)/C1375</f>
        <v>2.8271112722001385E-3</v>
      </c>
      <c r="E1376" s="6">
        <f>(Table2_1[[#This Row],[Constant Prices]]-C1372)/C1372</f>
        <v>1.2886220530092354E-2</v>
      </c>
      <c r="F1376" s="2">
        <v>1263.8</v>
      </c>
      <c r="G1376" s="7">
        <f>(Table2_1[[#This Row],[Current Prices]]-F1375)/F1375</f>
        <v>1.4285714285714249E-2</v>
      </c>
      <c r="H1376" s="7">
        <f>(Table2_1[[#This Row],[Current Prices]]-F1372)/F1372</f>
        <v>6.9566689234935725E-2</v>
      </c>
      <c r="I1376" s="2"/>
    </row>
    <row r="1377" spans="1:9" x14ac:dyDescent="0.3">
      <c r="A1377" s="2" t="s">
        <v>93</v>
      </c>
      <c r="B1377" s="2" t="s">
        <v>21</v>
      </c>
      <c r="C1377" s="2">
        <v>1390.9</v>
      </c>
      <c r="D1377" s="6">
        <f>(Table2_1[[#This Row],[Constant Prices]]-C1376)/C1376</f>
        <v>5.4214254734711578E-3</v>
      </c>
      <c r="E1377" s="6">
        <f>(Table2_1[[#This Row],[Constant Prices]]-C1373)/C1373</f>
        <v>1.2447226670548941E-2</v>
      </c>
      <c r="F1377" s="2">
        <v>1277.9000000000001</v>
      </c>
      <c r="G1377" s="7">
        <f>(Table2_1[[#This Row],[Current Prices]]-F1376)/F1376</f>
        <v>1.1156828612122279E-2</v>
      </c>
      <c r="H1377" s="7">
        <f>(Table2_1[[#This Row],[Current Prices]]-F1373)/F1373</f>
        <v>6.3144758735441009E-2</v>
      </c>
      <c r="I1377" s="2">
        <v>2</v>
      </c>
    </row>
    <row r="1378" spans="1:9" x14ac:dyDescent="0.3">
      <c r="A1378" s="2" t="s">
        <v>93</v>
      </c>
      <c r="B1378" s="2" t="s">
        <v>22</v>
      </c>
      <c r="C1378" s="2">
        <v>1391.2</v>
      </c>
      <c r="D1378" s="6">
        <f>(Table2_1[[#This Row],[Constant Prices]]-C1377)/C1377</f>
        <v>2.1568768423319758E-4</v>
      </c>
      <c r="E1378" s="6">
        <f>(Table2_1[[#This Row],[Constant Prices]]-C1374)/C1374</f>
        <v>1.3994169096209945E-2</v>
      </c>
      <c r="F1378" s="2">
        <v>1303.7</v>
      </c>
      <c r="G1378" s="7">
        <f>(Table2_1[[#This Row],[Current Prices]]-F1377)/F1377</f>
        <v>2.0189373190390447E-2</v>
      </c>
      <c r="H1378" s="7">
        <f>(Table2_1[[#This Row],[Current Prices]]-F1374)/F1374</f>
        <v>6.677031339497598E-2</v>
      </c>
      <c r="I1378" s="2"/>
    </row>
    <row r="1379" spans="1:9" x14ac:dyDescent="0.3">
      <c r="A1379" s="2" t="s">
        <v>93</v>
      </c>
      <c r="B1379" s="2" t="s">
        <v>23</v>
      </c>
      <c r="C1379" s="2">
        <v>1396.3</v>
      </c>
      <c r="D1379" s="6">
        <f>(Table2_1[[#This Row],[Constant Prices]]-C1378)/C1378</f>
        <v>3.6658999424956217E-3</v>
      </c>
      <c r="E1379" s="6">
        <f>(Table2_1[[#This Row],[Constant Prices]]-C1375)/C1375</f>
        <v>1.2178325480246433E-2</v>
      </c>
      <c r="F1379" s="2">
        <v>1319.2</v>
      </c>
      <c r="G1379" s="7">
        <f>(Table2_1[[#This Row],[Current Prices]]-F1378)/F1378</f>
        <v>1.1889238321699778E-2</v>
      </c>
      <c r="H1379" s="7">
        <f>(Table2_1[[#This Row],[Current Prices]]-F1375)/F1375</f>
        <v>5.8747993579454288E-2</v>
      </c>
      <c r="I1379" s="2"/>
    </row>
    <row r="1380" spans="1:9" x14ac:dyDescent="0.3">
      <c r="A1380" s="2" t="s">
        <v>93</v>
      </c>
      <c r="B1380" s="2" t="s">
        <v>24</v>
      </c>
      <c r="C1380" s="2">
        <v>1400.9</v>
      </c>
      <c r="D1380" s="6">
        <f>(Table2_1[[#This Row],[Constant Prices]]-C1379)/C1379</f>
        <v>3.2944209697057486E-3</v>
      </c>
      <c r="E1380" s="6">
        <f>(Table2_1[[#This Row],[Constant Prices]]-C1376)/C1376</f>
        <v>1.2649992771432701E-2</v>
      </c>
      <c r="F1380" s="2">
        <v>1336.6</v>
      </c>
      <c r="G1380" s="7">
        <f>(Table2_1[[#This Row],[Current Prices]]-F1379)/F1379</f>
        <v>1.3189812007277034E-2</v>
      </c>
      <c r="H1380" s="7">
        <f>(Table2_1[[#This Row],[Current Prices]]-F1376)/F1376</f>
        <v>5.7604051273935718E-2</v>
      </c>
      <c r="I1380" s="2"/>
    </row>
    <row r="1381" spans="1:9" x14ac:dyDescent="0.3">
      <c r="A1381" s="2" t="s">
        <v>93</v>
      </c>
      <c r="B1381" s="2" t="s">
        <v>25</v>
      </c>
      <c r="C1381" s="2">
        <v>1402.5</v>
      </c>
      <c r="D1381" s="6">
        <f>(Table2_1[[#This Row],[Constant Prices]]-C1380)/C1380</f>
        <v>1.1421229209793054E-3</v>
      </c>
      <c r="E1381" s="6">
        <f>(Table2_1[[#This Row],[Constant Prices]]-C1377)/C1377</f>
        <v>8.3399237903515056E-3</v>
      </c>
      <c r="F1381" s="2">
        <v>1349.2</v>
      </c>
      <c r="G1381" s="7">
        <f>(Table2_1[[#This Row],[Current Prices]]-F1380)/F1380</f>
        <v>9.4269040849918728E-3</v>
      </c>
      <c r="H1381" s="7">
        <f>(Table2_1[[#This Row],[Current Prices]]-F1377)/F1377</f>
        <v>5.5794663119179862E-2</v>
      </c>
      <c r="I1381" s="2">
        <v>3</v>
      </c>
    </row>
    <row r="1382" spans="1:9" x14ac:dyDescent="0.3">
      <c r="A1382" s="2" t="s">
        <v>93</v>
      </c>
      <c r="B1382" s="2" t="s">
        <v>26</v>
      </c>
      <c r="C1382" s="2">
        <v>1406.5</v>
      </c>
      <c r="D1382" s="6">
        <f>(Table2_1[[#This Row],[Constant Prices]]-C1381)/C1381</f>
        <v>2.8520499108734402E-3</v>
      </c>
      <c r="E1382" s="6">
        <f>(Table2_1[[#This Row],[Constant Prices]]-C1378)/C1378</f>
        <v>1.0997699827487028E-2</v>
      </c>
      <c r="F1382" s="2">
        <v>1366.5</v>
      </c>
      <c r="G1382" s="7">
        <f>(Table2_1[[#This Row],[Current Prices]]-F1381)/F1381</f>
        <v>1.2822413281944823E-2</v>
      </c>
      <c r="H1382" s="7">
        <f>(Table2_1[[#This Row],[Current Prices]]-F1378)/F1378</f>
        <v>4.8170591393725516E-2</v>
      </c>
      <c r="I1382" s="2"/>
    </row>
    <row r="1383" spans="1:9" x14ac:dyDescent="0.3">
      <c r="A1383" s="2" t="s">
        <v>93</v>
      </c>
      <c r="B1383" s="2" t="s">
        <v>27</v>
      </c>
      <c r="C1383" s="2">
        <v>1412.1</v>
      </c>
      <c r="D1383" s="6">
        <f>(Table2_1[[#This Row],[Constant Prices]]-C1382)/C1382</f>
        <v>3.9815143974403907E-3</v>
      </c>
      <c r="E1383" s="6">
        <f>(Table2_1[[#This Row],[Constant Prices]]-C1379)/C1379</f>
        <v>1.1315619852467203E-2</v>
      </c>
      <c r="F1383" s="2">
        <v>1383.4</v>
      </c>
      <c r="G1383" s="7">
        <f>(Table2_1[[#This Row],[Current Prices]]-F1382)/F1382</f>
        <v>1.2367361873399261E-2</v>
      </c>
      <c r="H1383" s="7">
        <f>(Table2_1[[#This Row],[Current Prices]]-F1379)/F1379</f>
        <v>4.8665858095815681E-2</v>
      </c>
      <c r="I1383" s="2"/>
    </row>
    <row r="1384" spans="1:9" x14ac:dyDescent="0.3">
      <c r="A1384" s="2" t="s">
        <v>93</v>
      </c>
      <c r="B1384" s="2" t="s">
        <v>28</v>
      </c>
      <c r="C1384" s="2">
        <v>1417.1</v>
      </c>
      <c r="D1384" s="6">
        <f>(Table2_1[[#This Row],[Constant Prices]]-C1383)/C1383</f>
        <v>3.5408257205580343E-3</v>
      </c>
      <c r="E1384" s="6">
        <f>(Table2_1[[#This Row],[Constant Prices]]-C1380)/C1380</f>
        <v>1.1563994574915994E-2</v>
      </c>
      <c r="F1384" s="2">
        <v>1402.6</v>
      </c>
      <c r="G1384" s="7">
        <f>(Table2_1[[#This Row],[Current Prices]]-F1383)/F1383</f>
        <v>1.3878849212086031E-2</v>
      </c>
      <c r="H1384" s="7">
        <f>(Table2_1[[#This Row],[Current Prices]]-F1380)/F1380</f>
        <v>4.937902139757594E-2</v>
      </c>
      <c r="I1384" s="2"/>
    </row>
    <row r="1385" spans="1:9" x14ac:dyDescent="0.3">
      <c r="A1385" s="2" t="s">
        <v>93</v>
      </c>
      <c r="B1385" s="2" t="s">
        <v>29</v>
      </c>
      <c r="C1385" s="2">
        <v>1424.2</v>
      </c>
      <c r="D1385" s="6">
        <f>(Table2_1[[#This Row],[Constant Prices]]-C1384)/C1384</f>
        <v>5.0102321642792585E-3</v>
      </c>
      <c r="E1385" s="6">
        <f>(Table2_1[[#This Row],[Constant Prices]]-C1381)/C1381</f>
        <v>1.5472370766488447E-2</v>
      </c>
      <c r="F1385" s="2">
        <v>1415.5</v>
      </c>
      <c r="G1385" s="7">
        <f>(Table2_1[[#This Row],[Current Prices]]-F1384)/F1384</f>
        <v>9.1972051903608243E-3</v>
      </c>
      <c r="H1385" s="7">
        <f>(Table2_1[[#This Row],[Current Prices]]-F1381)/F1381</f>
        <v>4.9140231248147016E-2</v>
      </c>
      <c r="I1385" s="2">
        <v>4</v>
      </c>
    </row>
    <row r="1386" spans="1:9" x14ac:dyDescent="0.3">
      <c r="A1386" s="2" t="s">
        <v>93</v>
      </c>
      <c r="B1386" s="2" t="s">
        <v>30</v>
      </c>
      <c r="C1386" s="2">
        <v>1428.4</v>
      </c>
      <c r="D1386" s="6">
        <f>(Table2_1[[#This Row],[Constant Prices]]-C1385)/C1385</f>
        <v>2.9490240134812844E-3</v>
      </c>
      <c r="E1386" s="6">
        <f>(Table2_1[[#This Row],[Constant Prices]]-C1382)/C1382</f>
        <v>1.5570565232847559E-2</v>
      </c>
      <c r="F1386" s="2">
        <v>1425.4</v>
      </c>
      <c r="G1386" s="7">
        <f>(Table2_1[[#This Row],[Current Prices]]-F1385)/F1385</f>
        <v>6.9939950547510355E-3</v>
      </c>
      <c r="H1386" s="7">
        <f>(Table2_1[[#This Row],[Current Prices]]-F1382)/F1382</f>
        <v>4.3102817416758206E-2</v>
      </c>
      <c r="I1386" s="2"/>
    </row>
    <row r="1387" spans="1:9" x14ac:dyDescent="0.3">
      <c r="A1387" s="2" t="s">
        <v>93</v>
      </c>
      <c r="B1387" s="2" t="s">
        <v>31</v>
      </c>
      <c r="C1387" s="2">
        <v>1437.6</v>
      </c>
      <c r="D1387" s="6">
        <f>(Table2_1[[#This Row],[Constant Prices]]-C1386)/C1386</f>
        <v>6.4407728927470022E-3</v>
      </c>
      <c r="E1387" s="6">
        <f>(Table2_1[[#This Row],[Constant Prices]]-C1383)/C1383</f>
        <v>1.8058211174845976E-2</v>
      </c>
      <c r="F1387" s="2">
        <v>1421.1</v>
      </c>
      <c r="G1387" s="7">
        <f>(Table2_1[[#This Row],[Current Prices]]-F1386)/F1386</f>
        <v>-3.0166970674899546E-3</v>
      </c>
      <c r="H1387" s="7">
        <f>(Table2_1[[#This Row],[Current Prices]]-F1383)/F1383</f>
        <v>2.7251698713314888E-2</v>
      </c>
      <c r="I1387" s="2"/>
    </row>
    <row r="1388" spans="1:9" x14ac:dyDescent="0.3">
      <c r="A1388" s="2" t="s">
        <v>93</v>
      </c>
      <c r="B1388" s="2" t="s">
        <v>32</v>
      </c>
      <c r="C1388" s="2">
        <v>1444.3</v>
      </c>
      <c r="D1388" s="6">
        <f>(Table2_1[[#This Row],[Constant Prices]]-C1387)/C1387</f>
        <v>4.6605453533667546E-3</v>
      </c>
      <c r="E1388" s="6">
        <f>(Table2_1[[#This Row],[Constant Prices]]-C1384)/C1384</f>
        <v>1.9194128854703299E-2</v>
      </c>
      <c r="F1388" s="2">
        <v>1444.1</v>
      </c>
      <c r="G1388" s="7">
        <f>(Table2_1[[#This Row],[Current Prices]]-F1387)/F1387</f>
        <v>1.6184645696995285E-2</v>
      </c>
      <c r="H1388" s="7">
        <f>(Table2_1[[#This Row],[Current Prices]]-F1384)/F1384</f>
        <v>2.9587908170540429E-2</v>
      </c>
      <c r="I1388" s="2"/>
    </row>
    <row r="1389" spans="1:9" x14ac:dyDescent="0.3">
      <c r="A1389" s="2" t="s">
        <v>93</v>
      </c>
      <c r="B1389" s="2" t="s">
        <v>33</v>
      </c>
      <c r="C1389" s="2">
        <v>1452.9</v>
      </c>
      <c r="D1389" s="6">
        <f>(Table2_1[[#This Row],[Constant Prices]]-C1388)/C1388</f>
        <v>5.9544415980060487E-3</v>
      </c>
      <c r="E1389" s="6">
        <f>(Table2_1[[#This Row],[Constant Prices]]-C1385)/C1385</f>
        <v>2.0151664092121924E-2</v>
      </c>
      <c r="F1389" s="2">
        <v>1472.7</v>
      </c>
      <c r="G1389" s="7">
        <f>(Table2_1[[#This Row],[Current Prices]]-F1388)/F1388</f>
        <v>1.980472266463551E-2</v>
      </c>
      <c r="H1389" s="7">
        <f>(Table2_1[[#This Row],[Current Prices]]-F1385)/F1385</f>
        <v>4.0409749205227864E-2</v>
      </c>
      <c r="I1389" s="2">
        <v>5</v>
      </c>
    </row>
    <row r="1390" spans="1:9" x14ac:dyDescent="0.3">
      <c r="A1390" s="2" t="s">
        <v>93</v>
      </c>
      <c r="B1390" s="2" t="s">
        <v>34</v>
      </c>
      <c r="C1390" s="2">
        <v>1472.3</v>
      </c>
      <c r="D1390" s="6">
        <f>(Table2_1[[#This Row],[Constant Prices]]-C1389)/C1389</f>
        <v>1.3352605134558375E-2</v>
      </c>
      <c r="E1390" s="6">
        <f>(Table2_1[[#This Row],[Constant Prices]]-C1386)/C1386</f>
        <v>3.0733688042565009E-2</v>
      </c>
      <c r="F1390" s="2">
        <v>1530.9</v>
      </c>
      <c r="G1390" s="7">
        <f>(Table2_1[[#This Row],[Current Prices]]-F1389)/F1389</f>
        <v>3.9519250356488116E-2</v>
      </c>
      <c r="H1390" s="7">
        <f>(Table2_1[[#This Row],[Current Prices]]-F1386)/F1386</f>
        <v>7.4014311772134134E-2</v>
      </c>
      <c r="I1390" s="2"/>
    </row>
    <row r="1391" spans="1:9" x14ac:dyDescent="0.3">
      <c r="A1391" s="2" t="s">
        <v>93</v>
      </c>
      <c r="B1391" s="2" t="s">
        <v>35</v>
      </c>
      <c r="C1391" s="2">
        <v>1480</v>
      </c>
      <c r="D1391" s="6">
        <f>(Table2_1[[#This Row],[Constant Prices]]-C1390)/C1390</f>
        <v>5.2299123819873981E-3</v>
      </c>
      <c r="E1391" s="6">
        <f>(Table2_1[[#This Row],[Constant Prices]]-C1387)/C1387</f>
        <v>2.9493600445186487E-2</v>
      </c>
      <c r="F1391" s="2">
        <v>1553.3</v>
      </c>
      <c r="G1391" s="7">
        <f>(Table2_1[[#This Row],[Current Prices]]-F1390)/F1390</f>
        <v>1.4631915866483677E-2</v>
      </c>
      <c r="H1391" s="7">
        <f>(Table2_1[[#This Row],[Current Prices]]-F1387)/F1387</f>
        <v>9.302652874533815E-2</v>
      </c>
      <c r="I1391" s="2"/>
    </row>
    <row r="1392" spans="1:9" x14ac:dyDescent="0.3">
      <c r="A1392" s="2" t="s">
        <v>93</v>
      </c>
      <c r="B1392" s="2" t="s">
        <v>36</v>
      </c>
      <c r="C1392" s="2">
        <v>1484.9</v>
      </c>
      <c r="D1392" s="6">
        <f>(Table2_1[[#This Row],[Constant Prices]]-C1391)/C1391</f>
        <v>3.3108108108108724E-3</v>
      </c>
      <c r="E1392" s="6">
        <f>(Table2_1[[#This Row],[Constant Prices]]-C1388)/C1388</f>
        <v>2.8110503358028206E-2</v>
      </c>
      <c r="F1392" s="2">
        <v>1580.8</v>
      </c>
      <c r="G1392" s="7">
        <f>(Table2_1[[#This Row],[Current Prices]]-F1391)/F1391</f>
        <v>1.7704242580312883E-2</v>
      </c>
      <c r="H1392" s="7">
        <f>(Table2_1[[#This Row],[Current Prices]]-F1388)/F1388</f>
        <v>9.4661034554393772E-2</v>
      </c>
      <c r="I1392" s="2"/>
    </row>
    <row r="1393" spans="1:9" x14ac:dyDescent="0.3">
      <c r="A1393" s="2" t="s">
        <v>93</v>
      </c>
      <c r="B1393" s="2" t="s">
        <v>37</v>
      </c>
      <c r="C1393" s="2">
        <v>1487.4</v>
      </c>
      <c r="D1393" s="6">
        <f>(Table2_1[[#This Row],[Constant Prices]]-C1392)/C1392</f>
        <v>1.6836150582530808E-3</v>
      </c>
      <c r="E1393" s="6">
        <f>(Table2_1[[#This Row],[Constant Prices]]-C1389)/C1389</f>
        <v>2.3745612223828205E-2</v>
      </c>
      <c r="F1393" s="2">
        <v>1588.8</v>
      </c>
      <c r="G1393" s="7">
        <f>(Table2_1[[#This Row],[Current Prices]]-F1392)/F1392</f>
        <v>5.0607287449392713E-3</v>
      </c>
      <c r="H1393" s="7">
        <f>(Table2_1[[#This Row],[Current Prices]]-F1389)/F1389</f>
        <v>7.8834793236911727E-2</v>
      </c>
      <c r="I1393" s="2">
        <v>6</v>
      </c>
    </row>
    <row r="1394" spans="1:9" x14ac:dyDescent="0.3">
      <c r="A1394" s="2" t="s">
        <v>93</v>
      </c>
      <c r="B1394" s="2" t="s">
        <v>38</v>
      </c>
      <c r="C1394" s="2">
        <v>1497</v>
      </c>
      <c r="D1394" s="6">
        <f>(Table2_1[[#This Row],[Constant Prices]]-C1393)/C1393</f>
        <v>6.4542154094392283E-3</v>
      </c>
      <c r="E1394" s="6">
        <f>(Table2_1[[#This Row],[Constant Prices]]-C1390)/C1390</f>
        <v>1.677647218637509E-2</v>
      </c>
      <c r="F1394" s="2">
        <v>1607.9</v>
      </c>
      <c r="G1394" s="7">
        <f>(Table2_1[[#This Row],[Current Prices]]-F1393)/F1393</f>
        <v>1.2021651560926572E-2</v>
      </c>
      <c r="H1394" s="7">
        <f>(Table2_1[[#This Row],[Current Prices]]-F1390)/F1390</f>
        <v>5.0297210791037945E-2</v>
      </c>
      <c r="I1394" s="2"/>
    </row>
    <row r="1395" spans="1:9" x14ac:dyDescent="0.3">
      <c r="A1395" s="2" t="s">
        <v>93</v>
      </c>
      <c r="B1395" s="2" t="s">
        <v>39</v>
      </c>
      <c r="C1395" s="2">
        <v>1495.1</v>
      </c>
      <c r="D1395" s="6">
        <f>(Table2_1[[#This Row],[Constant Prices]]-C1394)/C1394</f>
        <v>-1.269205076820368E-3</v>
      </c>
      <c r="E1395" s="6">
        <f>(Table2_1[[#This Row],[Constant Prices]]-C1391)/C1391</f>
        <v>1.0202702702702642E-2</v>
      </c>
      <c r="F1395" s="2">
        <v>1601.6</v>
      </c>
      <c r="G1395" s="7">
        <f>(Table2_1[[#This Row],[Current Prices]]-F1394)/F1394</f>
        <v>-3.9181541140619327E-3</v>
      </c>
      <c r="H1395" s="7">
        <f>(Table2_1[[#This Row],[Current Prices]]-F1391)/F1391</f>
        <v>3.1095087877422233E-2</v>
      </c>
      <c r="I1395" s="2"/>
    </row>
    <row r="1396" spans="1:9" x14ac:dyDescent="0.3">
      <c r="A1396" s="2" t="s">
        <v>93</v>
      </c>
      <c r="B1396" s="2" t="s">
        <v>40</v>
      </c>
      <c r="C1396" s="2">
        <v>1497.1</v>
      </c>
      <c r="D1396" s="6">
        <f>(Table2_1[[#This Row],[Constant Prices]]-C1395)/C1395</f>
        <v>1.3377031636679821E-3</v>
      </c>
      <c r="E1396" s="6">
        <f>(Table2_1[[#This Row],[Constant Prices]]-C1392)/C1392</f>
        <v>8.2160414842749122E-3</v>
      </c>
      <c r="F1396" s="2">
        <v>1627</v>
      </c>
      <c r="G1396" s="7">
        <f>(Table2_1[[#This Row],[Current Prices]]-F1395)/F1395</f>
        <v>1.5859140859140915E-2</v>
      </c>
      <c r="H1396" s="7">
        <f>(Table2_1[[#This Row],[Current Prices]]-F1392)/F1392</f>
        <v>2.9225708502024321E-2</v>
      </c>
      <c r="I1396" s="2"/>
    </row>
    <row r="1397" spans="1:9" x14ac:dyDescent="0.3">
      <c r="A1397" s="2" t="s">
        <v>93</v>
      </c>
      <c r="B1397" s="2" t="s">
        <v>41</v>
      </c>
      <c r="C1397" s="2">
        <v>1506.6</v>
      </c>
      <c r="D1397" s="6">
        <f>(Table2_1[[#This Row],[Constant Prices]]-C1396)/C1396</f>
        <v>6.345601496226037E-3</v>
      </c>
      <c r="E1397" s="6">
        <f>(Table2_1[[#This Row],[Constant Prices]]-C1393)/C1393</f>
        <v>1.2908430818878457E-2</v>
      </c>
      <c r="F1397" s="2">
        <v>1667.5</v>
      </c>
      <c r="G1397" s="7">
        <f>(Table2_1[[#This Row],[Current Prices]]-F1396)/F1396</f>
        <v>2.4892440073755379E-2</v>
      </c>
      <c r="H1397" s="7">
        <f>(Table2_1[[#This Row],[Current Prices]]-F1393)/F1393</f>
        <v>4.9534239677744236E-2</v>
      </c>
      <c r="I1397" s="2">
        <v>7</v>
      </c>
    </row>
    <row r="1398" spans="1:9" x14ac:dyDescent="0.3">
      <c r="A1398" s="2" t="s">
        <v>93</v>
      </c>
      <c r="B1398" s="2" t="s">
        <v>42</v>
      </c>
      <c r="C1398" s="2">
        <v>1516.1</v>
      </c>
      <c r="D1398" s="6">
        <f>(Table2_1[[#This Row],[Constant Prices]]-C1397)/C1397</f>
        <v>6.3055887428647289E-3</v>
      </c>
      <c r="E1398" s="6">
        <f>(Table2_1[[#This Row],[Constant Prices]]-C1394)/C1394</f>
        <v>1.2758851035404081E-2</v>
      </c>
      <c r="F1398" s="2">
        <v>1746.4</v>
      </c>
      <c r="G1398" s="7">
        <f>(Table2_1[[#This Row],[Current Prices]]-F1397)/F1397</f>
        <v>4.7316341829085513E-2</v>
      </c>
      <c r="H1398" s="7">
        <f>(Table2_1[[#This Row],[Current Prices]]-F1394)/F1394</f>
        <v>8.6137197586914599E-2</v>
      </c>
      <c r="I1398" s="2"/>
    </row>
    <row r="1399" spans="1:9" x14ac:dyDescent="0.3">
      <c r="A1399" s="2" t="s">
        <v>93</v>
      </c>
      <c r="B1399" s="2" t="s">
        <v>43</v>
      </c>
      <c r="C1399" s="2">
        <v>1526.4</v>
      </c>
      <c r="D1399" s="6">
        <f>(Table2_1[[#This Row],[Constant Prices]]-C1398)/C1398</f>
        <v>6.7937471143065644E-3</v>
      </c>
      <c r="E1399" s="6">
        <f>(Table2_1[[#This Row],[Constant Prices]]-C1395)/C1395</f>
        <v>2.0935054511404042E-2</v>
      </c>
      <c r="F1399" s="2">
        <v>1754.2</v>
      </c>
      <c r="G1399" s="7">
        <f>(Table2_1[[#This Row],[Current Prices]]-F1398)/F1398</f>
        <v>4.4663307375171516E-3</v>
      </c>
      <c r="H1399" s="7">
        <f>(Table2_1[[#This Row],[Current Prices]]-F1395)/F1395</f>
        <v>9.527972027972037E-2</v>
      </c>
      <c r="I1399" s="2"/>
    </row>
    <row r="1400" spans="1:9" x14ac:dyDescent="0.3">
      <c r="A1400" s="2" t="s">
        <v>93</v>
      </c>
      <c r="B1400" s="2" t="s">
        <v>44</v>
      </c>
      <c r="C1400" s="2">
        <v>1537.2</v>
      </c>
      <c r="D1400" s="6">
        <f>(Table2_1[[#This Row],[Constant Prices]]-C1399)/C1399</f>
        <v>7.0754716981131774E-3</v>
      </c>
      <c r="E1400" s="6">
        <f>(Table2_1[[#This Row],[Constant Prices]]-C1396)/C1396</f>
        <v>2.6785117894596311E-2</v>
      </c>
      <c r="F1400" s="2">
        <v>1785.5</v>
      </c>
      <c r="G1400" s="7">
        <f>(Table2_1[[#This Row],[Current Prices]]-F1399)/F1399</f>
        <v>1.78428913464827E-2</v>
      </c>
      <c r="H1400" s="7">
        <f>(Table2_1[[#This Row],[Current Prices]]-F1396)/F1396</f>
        <v>9.7418561770129072E-2</v>
      </c>
      <c r="I1400" s="2"/>
    </row>
    <row r="1401" spans="1:9" x14ac:dyDescent="0.3">
      <c r="A1401" s="2" t="s">
        <v>93</v>
      </c>
      <c r="B1401" s="2" t="s">
        <v>45</v>
      </c>
      <c r="C1401" s="2">
        <v>1548</v>
      </c>
      <c r="D1401" s="6">
        <f>(Table2_1[[#This Row],[Constant Prices]]-C1400)/C1400</f>
        <v>7.0257611241217504E-3</v>
      </c>
      <c r="E1401" s="6">
        <f>(Table2_1[[#This Row],[Constant Prices]]-C1397)/C1397</f>
        <v>2.747909199522109E-2</v>
      </c>
      <c r="F1401" s="2">
        <v>1835.8</v>
      </c>
      <c r="G1401" s="7">
        <f>(Table2_1[[#This Row],[Current Prices]]-F1400)/F1400</f>
        <v>2.8171380565667856E-2</v>
      </c>
      <c r="H1401" s="7">
        <f>(Table2_1[[#This Row],[Current Prices]]-F1397)/F1397</f>
        <v>0.10092953523238378</v>
      </c>
      <c r="I1401" s="2">
        <v>8</v>
      </c>
    </row>
    <row r="1402" spans="1:9" x14ac:dyDescent="0.3">
      <c r="A1402" s="2" t="s">
        <v>93</v>
      </c>
      <c r="B1402" s="2" t="s">
        <v>46</v>
      </c>
      <c r="C1402" s="2">
        <v>1564.8</v>
      </c>
      <c r="D1402" s="6">
        <f>(Table2_1[[#This Row],[Constant Prices]]-C1401)/C1401</f>
        <v>1.0852713178294544E-2</v>
      </c>
      <c r="E1402" s="6">
        <f>(Table2_1[[#This Row],[Constant Prices]]-C1398)/C1398</f>
        <v>3.212189169579846E-2</v>
      </c>
      <c r="F1402" s="2">
        <v>1872.3</v>
      </c>
      <c r="G1402" s="7">
        <f>(Table2_1[[#This Row],[Current Prices]]-F1401)/F1401</f>
        <v>1.9882340124196537E-2</v>
      </c>
      <c r="H1402" s="7">
        <f>(Table2_1[[#This Row],[Current Prices]]-F1398)/F1398</f>
        <v>7.2091158955565657E-2</v>
      </c>
      <c r="I1402" s="2"/>
    </row>
    <row r="1403" spans="1:9" x14ac:dyDescent="0.3">
      <c r="A1403" s="2" t="s">
        <v>93</v>
      </c>
      <c r="B1403" s="2" t="s">
        <v>47</v>
      </c>
      <c r="C1403" s="2">
        <v>1572.1</v>
      </c>
      <c r="D1403" s="6">
        <f>(Table2_1[[#This Row],[Constant Prices]]-C1402)/C1402</f>
        <v>4.6651329243353494E-3</v>
      </c>
      <c r="E1403" s="6">
        <f>(Table2_1[[#This Row],[Constant Prices]]-C1399)/C1399</f>
        <v>2.9939727463312249E-2</v>
      </c>
      <c r="F1403" s="2">
        <v>1919.2</v>
      </c>
      <c r="G1403" s="7">
        <f>(Table2_1[[#This Row],[Current Prices]]-F1402)/F1402</f>
        <v>2.5049404475778504E-2</v>
      </c>
      <c r="H1403" s="7">
        <f>(Table2_1[[#This Row],[Current Prices]]-F1399)/F1399</f>
        <v>9.4059970356857828E-2</v>
      </c>
      <c r="I1403" s="2"/>
    </row>
    <row r="1404" spans="1:9" x14ac:dyDescent="0.3">
      <c r="A1404" s="2" t="s">
        <v>93</v>
      </c>
      <c r="B1404" s="2" t="s">
        <v>48</v>
      </c>
      <c r="C1404" s="2">
        <v>1575.2</v>
      </c>
      <c r="D1404" s="6">
        <f>(Table2_1[[#This Row],[Constant Prices]]-C1403)/C1403</f>
        <v>1.9718847401565655E-3</v>
      </c>
      <c r="E1404" s="6">
        <f>(Table2_1[[#This Row],[Constant Prices]]-C1400)/C1400</f>
        <v>2.4720270621909967E-2</v>
      </c>
      <c r="F1404" s="2">
        <v>1971.7</v>
      </c>
      <c r="G1404" s="7">
        <f>(Table2_1[[#This Row],[Current Prices]]-F1403)/F1403</f>
        <v>2.73551479783243E-2</v>
      </c>
      <c r="H1404" s="7">
        <f>(Table2_1[[#This Row],[Current Prices]]-F1400)/F1400</f>
        <v>0.10428451414169702</v>
      </c>
      <c r="I1404" s="2"/>
    </row>
    <row r="1405" spans="1:9" x14ac:dyDescent="0.3">
      <c r="A1405" s="2" t="s">
        <v>93</v>
      </c>
      <c r="B1405" s="2" t="s">
        <v>49</v>
      </c>
      <c r="C1405" s="2">
        <v>1568.8</v>
      </c>
      <c r="D1405" s="6">
        <f>(Table2_1[[#This Row],[Constant Prices]]-C1404)/C1404</f>
        <v>-4.0629761300152939E-3</v>
      </c>
      <c r="E1405" s="6">
        <f>(Table2_1[[#This Row],[Constant Prices]]-C1401)/C1401</f>
        <v>1.3436692506459919E-2</v>
      </c>
      <c r="F1405" s="2">
        <v>2027.4</v>
      </c>
      <c r="G1405" s="7">
        <f>(Table2_1[[#This Row],[Current Prices]]-F1404)/F1404</f>
        <v>2.8249733732312241E-2</v>
      </c>
      <c r="H1405" s="7">
        <f>(Table2_1[[#This Row],[Current Prices]]-F1401)/F1401</f>
        <v>0.10436866761085094</v>
      </c>
      <c r="I1405" s="2">
        <v>9</v>
      </c>
    </row>
    <row r="1406" spans="1:9" x14ac:dyDescent="0.3">
      <c r="A1406" s="2" t="s">
        <v>93</v>
      </c>
      <c r="B1406" s="2" t="s">
        <v>50</v>
      </c>
      <c r="C1406" s="2">
        <v>1514.6</v>
      </c>
      <c r="D1406" s="6">
        <f>(Table2_1[[#This Row],[Constant Prices]]-C1405)/C1405</f>
        <v>-3.4548699643039298E-2</v>
      </c>
      <c r="E1406" s="6">
        <f>(Table2_1[[#This Row],[Constant Prices]]-C1402)/C1402</f>
        <v>-3.2080777096114552E-2</v>
      </c>
      <c r="F1406" s="2">
        <v>1997.6</v>
      </c>
      <c r="G1406" s="7">
        <f>(Table2_1[[#This Row],[Current Prices]]-F1405)/F1405</f>
        <v>-1.4698628785636865E-2</v>
      </c>
      <c r="H1406" s="7">
        <f>(Table2_1[[#This Row],[Current Prices]]-F1402)/F1402</f>
        <v>6.6923035838273762E-2</v>
      </c>
      <c r="I1406" s="2"/>
    </row>
    <row r="1407" spans="1:9" x14ac:dyDescent="0.3">
      <c r="A1407" s="2" t="s">
        <v>93</v>
      </c>
      <c r="B1407" s="2" t="s">
        <v>51</v>
      </c>
      <c r="C1407" s="2">
        <v>1499.7</v>
      </c>
      <c r="D1407" s="6">
        <f>(Table2_1[[#This Row],[Constant Prices]]-C1406)/C1406</f>
        <v>-9.8375808794400263E-3</v>
      </c>
      <c r="E1407" s="6">
        <f>(Table2_1[[#This Row],[Constant Prices]]-C1403)/C1403</f>
        <v>-4.6053050060428639E-2</v>
      </c>
      <c r="F1407" s="2">
        <v>1792.3</v>
      </c>
      <c r="G1407" s="7">
        <f>(Table2_1[[#This Row],[Current Prices]]-F1406)/F1406</f>
        <v>-0.10277332799359229</v>
      </c>
      <c r="H1407" s="7">
        <f>(Table2_1[[#This Row],[Current Prices]]-F1403)/F1403</f>
        <v>-6.6121300541892497E-2</v>
      </c>
      <c r="I1407" s="2"/>
    </row>
    <row r="1408" spans="1:9" x14ac:dyDescent="0.3">
      <c r="A1408" s="2" t="s">
        <v>93</v>
      </c>
      <c r="B1408" s="2" t="s">
        <v>52</v>
      </c>
      <c r="C1408" s="2">
        <v>1535</v>
      </c>
      <c r="D1408" s="6">
        <f>(Table2_1[[#This Row],[Constant Prices]]-C1407)/C1407</f>
        <v>2.3538040941521607E-2</v>
      </c>
      <c r="E1408" s="6">
        <f>(Table2_1[[#This Row],[Constant Prices]]-C1404)/C1404</f>
        <v>-2.5520568816658231E-2</v>
      </c>
      <c r="F1408" s="2">
        <v>2049.3000000000002</v>
      </c>
      <c r="G1408" s="7">
        <f>(Table2_1[[#This Row],[Current Prices]]-F1407)/F1407</f>
        <v>0.14339117335267546</v>
      </c>
      <c r="H1408" s="7">
        <f>(Table2_1[[#This Row],[Current Prices]]-F1404)/F1404</f>
        <v>3.9356900136937739E-2</v>
      </c>
      <c r="I1408" s="2"/>
    </row>
    <row r="1409" spans="1:9" x14ac:dyDescent="0.3">
      <c r="A1409" s="2" t="s">
        <v>93</v>
      </c>
      <c r="B1409" s="2" t="s">
        <v>53</v>
      </c>
      <c r="C1409" s="2">
        <v>1538.2</v>
      </c>
      <c r="D1409" s="6">
        <f>(Table2_1[[#This Row],[Constant Prices]]-C1408)/C1408</f>
        <v>2.0846905537459581E-3</v>
      </c>
      <c r="E1409" s="6">
        <f>(Table2_1[[#This Row],[Constant Prices]]-C1405)/C1405</f>
        <v>-1.9505354411014732E-2</v>
      </c>
      <c r="F1409" s="2">
        <v>2062.1999999999998</v>
      </c>
      <c r="G1409" s="7">
        <f>(Table2_1[[#This Row],[Current Prices]]-F1408)/F1408</f>
        <v>6.2948323817887258E-3</v>
      </c>
      <c r="H1409" s="7">
        <f>(Table2_1[[#This Row],[Current Prices]]-F1405)/F1405</f>
        <v>1.7164841669132746E-2</v>
      </c>
      <c r="I1409" s="2">
        <v>10</v>
      </c>
    </row>
    <row r="1410" spans="1:9" x14ac:dyDescent="0.3">
      <c r="A1410" s="2" t="s">
        <v>93</v>
      </c>
      <c r="B1410" s="2" t="s">
        <v>54</v>
      </c>
      <c r="C1410" s="2">
        <v>1521.3</v>
      </c>
      <c r="D1410" s="6">
        <f>(Table2_1[[#This Row],[Constant Prices]]-C1409)/C1409</f>
        <v>-1.0986867767520538E-2</v>
      </c>
      <c r="E1410" s="6">
        <f>(Table2_1[[#This Row],[Constant Prices]]-C1406)/C1406</f>
        <v>4.4236101941106864E-3</v>
      </c>
      <c r="F1410" s="2">
        <v>2064.6</v>
      </c>
      <c r="G1410" s="7">
        <f>(Table2_1[[#This Row],[Current Prices]]-F1409)/F1409</f>
        <v>1.1638056444574199E-3</v>
      </c>
      <c r="H1410" s="7">
        <f>(Table2_1[[#This Row],[Current Prices]]-F1406)/F1406</f>
        <v>3.3540248297957549E-2</v>
      </c>
      <c r="I1410" s="2"/>
    </row>
    <row r="1411" spans="1:9" x14ac:dyDescent="0.3">
      <c r="A1411" s="2" t="s">
        <v>93</v>
      </c>
      <c r="B1411" s="2" t="s">
        <v>55</v>
      </c>
      <c r="C1411" s="2">
        <v>1558.1</v>
      </c>
      <c r="D1411" s="6">
        <f>(Table2_1[[#This Row],[Constant Prices]]-C1410)/C1410</f>
        <v>2.4189837638861469E-2</v>
      </c>
      <c r="E1411" s="6">
        <f>(Table2_1[[#This Row],[Constant Prices]]-C1407)/C1407</f>
        <v>3.8941121557644773E-2</v>
      </c>
      <c r="F1411" s="2">
        <v>2102.4</v>
      </c>
      <c r="G1411" s="7">
        <f>(Table2_1[[#This Row],[Current Prices]]-F1410)/F1410</f>
        <v>1.8308631211857107E-2</v>
      </c>
      <c r="H1411" s="7">
        <f>(Table2_1[[#This Row],[Current Prices]]-F1407)/F1407</f>
        <v>0.17301790994811145</v>
      </c>
      <c r="I1411" s="2"/>
    </row>
    <row r="1412" spans="1:9" x14ac:dyDescent="0.3">
      <c r="A1412" s="2" t="s">
        <v>93</v>
      </c>
      <c r="B1412" s="2" t="s">
        <v>56</v>
      </c>
      <c r="C1412" s="2">
        <v>1560.9</v>
      </c>
      <c r="D1412" s="6">
        <f>(Table2_1[[#This Row],[Constant Prices]]-C1411)/C1411</f>
        <v>1.797060522431283E-3</v>
      </c>
      <c r="E1412" s="6">
        <f>(Table2_1[[#This Row],[Constant Prices]]-C1408)/C1408</f>
        <v>1.6872964169381166E-2</v>
      </c>
      <c r="F1412" s="2">
        <v>2122.4</v>
      </c>
      <c r="G1412" s="7">
        <f>(Table2_1[[#This Row],[Current Prices]]-F1411)/F1411</f>
        <v>9.5129375951293754E-3</v>
      </c>
      <c r="H1412" s="7">
        <f>(Table2_1[[#This Row],[Current Prices]]-F1408)/F1408</f>
        <v>3.5670716830137075E-2</v>
      </c>
      <c r="I1412" s="2"/>
    </row>
    <row r="1413" spans="1:9" x14ac:dyDescent="0.3">
      <c r="A1413" s="2" t="s">
        <v>93</v>
      </c>
      <c r="B1413" s="2" t="s">
        <v>57</v>
      </c>
      <c r="C1413" s="2">
        <v>1562.8</v>
      </c>
      <c r="D1413" s="6">
        <f>(Table2_1[[#This Row],[Constant Prices]]-C1412)/C1412</f>
        <v>1.217246460375337E-3</v>
      </c>
      <c r="E1413" s="6">
        <f>(Table2_1[[#This Row],[Constant Prices]]-C1409)/C1409</f>
        <v>1.5992718762189512E-2</v>
      </c>
      <c r="F1413" s="2">
        <v>2125.6999999999998</v>
      </c>
      <c r="G1413" s="7">
        <f>(Table2_1[[#This Row],[Current Prices]]-F1412)/F1412</f>
        <v>1.5548435733131016E-3</v>
      </c>
      <c r="H1413" s="7">
        <f>(Table2_1[[#This Row],[Current Prices]]-F1409)/F1409</f>
        <v>3.0792357676268065E-2</v>
      </c>
      <c r="I1413" s="2">
        <v>11</v>
      </c>
    </row>
    <row r="1414" spans="1:9" x14ac:dyDescent="0.3">
      <c r="A1414" s="2" t="s">
        <v>93</v>
      </c>
      <c r="B1414" s="2" t="s">
        <v>58</v>
      </c>
      <c r="C1414" s="2">
        <v>1564</v>
      </c>
      <c r="D1414" s="6">
        <f>(Table2_1[[#This Row],[Constant Prices]]-C1413)/C1413</f>
        <v>7.6785257230614634E-4</v>
      </c>
      <c r="E1414" s="6">
        <f>(Table2_1[[#This Row],[Constant Prices]]-C1410)/C1410</f>
        <v>2.8068099651613783E-2</v>
      </c>
      <c r="F1414" s="2">
        <v>2125.3000000000002</v>
      </c>
      <c r="G1414" s="7">
        <f>(Table2_1[[#This Row],[Current Prices]]-F1413)/F1413</f>
        <v>-1.881733076161435E-4</v>
      </c>
      <c r="H1414" s="7">
        <f>(Table2_1[[#This Row],[Current Prices]]-F1410)/F1410</f>
        <v>2.9400368110045663E-2</v>
      </c>
      <c r="I1414" s="2"/>
    </row>
    <row r="1415" spans="1:9" x14ac:dyDescent="0.3">
      <c r="A1415" s="2" t="s">
        <v>93</v>
      </c>
      <c r="B1415" s="2" t="s">
        <v>59</v>
      </c>
      <c r="C1415" s="2">
        <v>1570.6</v>
      </c>
      <c r="D1415" s="6">
        <f>(Table2_1[[#This Row],[Constant Prices]]-C1414)/C1414</f>
        <v>4.2199488491048015E-3</v>
      </c>
      <c r="E1415" s="6">
        <f>(Table2_1[[#This Row],[Constant Prices]]-C1411)/C1411</f>
        <v>8.0225916179962782E-3</v>
      </c>
      <c r="F1415" s="2">
        <v>2131.5</v>
      </c>
      <c r="G1415" s="7">
        <f>(Table2_1[[#This Row],[Current Prices]]-F1414)/F1414</f>
        <v>2.917235213852076E-3</v>
      </c>
      <c r="H1415" s="7">
        <f>(Table2_1[[#This Row],[Current Prices]]-F1411)/F1411</f>
        <v>1.3841324200913198E-2</v>
      </c>
      <c r="I1415" s="2"/>
    </row>
    <row r="1416" spans="1:9" x14ac:dyDescent="0.3">
      <c r="A1416" s="2" t="s">
        <v>93</v>
      </c>
      <c r="B1416" s="2" t="s">
        <v>60</v>
      </c>
      <c r="C1416" s="2">
        <v>1574.6</v>
      </c>
      <c r="D1416" s="6">
        <f>(Table2_1[[#This Row],[Constant Prices]]-C1415)/C1415</f>
        <v>2.5467974022666496E-3</v>
      </c>
      <c r="E1416" s="6">
        <f>(Table2_1[[#This Row],[Constant Prices]]-C1412)/C1412</f>
        <v>8.7769876353384693E-3</v>
      </c>
      <c r="F1416" s="2">
        <v>2132.1999999999998</v>
      </c>
      <c r="G1416" s="7">
        <f>(Table2_1[[#This Row],[Current Prices]]-F1415)/F1415</f>
        <v>3.2840722495886378E-4</v>
      </c>
      <c r="H1416" s="7">
        <f>(Table2_1[[#This Row],[Current Prices]]-F1412)/F1412</f>
        <v>4.617414248020979E-3</v>
      </c>
      <c r="I1416" s="2"/>
    </row>
    <row r="1417" spans="1:9" x14ac:dyDescent="0.3">
      <c r="A1417" s="2" t="s">
        <v>93</v>
      </c>
      <c r="B1417" s="2" t="s">
        <v>61</v>
      </c>
      <c r="C1417" s="2">
        <v>1576.5</v>
      </c>
      <c r="D1417" s="6">
        <f>(Table2_1[[#This Row],[Constant Prices]]-C1416)/C1416</f>
        <v>1.2066556585800146E-3</v>
      </c>
      <c r="E1417" s="6">
        <f>(Table2_1[[#This Row],[Constant Prices]]-C1413)/C1413</f>
        <v>8.766316867161535E-3</v>
      </c>
      <c r="F1417" s="2">
        <v>2137.9</v>
      </c>
      <c r="G1417" s="7">
        <f>(Table2_1[[#This Row],[Current Prices]]-F1416)/F1416</f>
        <v>2.6732951880687897E-3</v>
      </c>
      <c r="H1417" s="7">
        <f>(Table2_1[[#This Row],[Current Prices]]-F1413)/F1413</f>
        <v>5.7392858822977247E-3</v>
      </c>
      <c r="I1417" s="2">
        <v>12</v>
      </c>
    </row>
    <row r="1418" spans="1:9" x14ac:dyDescent="0.3">
      <c r="A1418" s="2" t="s">
        <v>93</v>
      </c>
      <c r="B1418" s="2" t="s">
        <v>62</v>
      </c>
      <c r="C1418" s="2">
        <v>1580.7</v>
      </c>
      <c r="D1418" s="6">
        <f>(Table2_1[[#This Row],[Constant Prices]]-C1417)/C1417</f>
        <v>2.6641294005709136E-3</v>
      </c>
      <c r="E1418" s="6">
        <f>(Table2_1[[#This Row],[Constant Prices]]-C1414)/C1414</f>
        <v>1.0677749360613839E-2</v>
      </c>
      <c r="F1418" s="2">
        <v>2183.9</v>
      </c>
      <c r="G1418" s="7">
        <f>(Table2_1[[#This Row],[Current Prices]]-F1417)/F1417</f>
        <v>2.1516441367697273E-2</v>
      </c>
      <c r="H1418" s="7">
        <f>(Table2_1[[#This Row],[Current Prices]]-F1414)/F1414</f>
        <v>2.7572577988989745E-2</v>
      </c>
      <c r="I1418" s="2"/>
    </row>
    <row r="1419" spans="1:9" x14ac:dyDescent="0.3">
      <c r="A1419" s="2" t="s">
        <v>93</v>
      </c>
      <c r="B1419" s="2" t="s">
        <v>63</v>
      </c>
      <c r="C1419" s="2">
        <v>1582.1</v>
      </c>
      <c r="D1419" s="6">
        <f>(Table2_1[[#This Row],[Constant Prices]]-C1418)/C1418</f>
        <v>8.8568355791729207E-4</v>
      </c>
      <c r="E1419" s="6">
        <f>(Table2_1[[#This Row],[Constant Prices]]-C1415)/C1415</f>
        <v>7.322042531516618E-3</v>
      </c>
      <c r="F1419" s="2">
        <v>2278.6</v>
      </c>
      <c r="G1419" s="7">
        <f>(Table2_1[[#This Row],[Current Prices]]-F1418)/F1418</f>
        <v>4.3362791336599579E-2</v>
      </c>
      <c r="H1419" s="7">
        <f>(Table2_1[[#This Row],[Current Prices]]-F1415)/F1415</f>
        <v>6.9012432559230549E-2</v>
      </c>
      <c r="I1419" s="2"/>
    </row>
    <row r="1420" spans="1:9" x14ac:dyDescent="0.3">
      <c r="A1420" s="2" t="s">
        <v>93</v>
      </c>
      <c r="B1420" s="2" t="s">
        <v>64</v>
      </c>
      <c r="C1420" s="2">
        <v>1591.2</v>
      </c>
      <c r="D1420" s="6">
        <f>(Table2_1[[#This Row],[Constant Prices]]-C1419)/C1419</f>
        <v>5.7518488085456908E-3</v>
      </c>
      <c r="E1420" s="6">
        <f>(Table2_1[[#This Row],[Constant Prices]]-C1416)/C1416</f>
        <v>1.05423599644355E-2</v>
      </c>
      <c r="F1420" s="2">
        <v>2286</v>
      </c>
      <c r="G1420" s="7">
        <f>(Table2_1[[#This Row],[Current Prices]]-F1419)/F1419</f>
        <v>3.2476081804617271E-3</v>
      </c>
      <c r="H1420" s="7">
        <f>(Table2_1[[#This Row],[Current Prices]]-F1416)/F1416</f>
        <v>7.2132070162273798E-2</v>
      </c>
      <c r="I1420" s="2"/>
    </row>
    <row r="1421" spans="1:9" x14ac:dyDescent="0.3">
      <c r="A1421" s="2" t="s">
        <v>93</v>
      </c>
      <c r="B1421" s="2" t="s">
        <v>65</v>
      </c>
      <c r="C1421" s="2">
        <v>1597.4</v>
      </c>
      <c r="D1421" s="6">
        <f>(Table2_1[[#This Row],[Constant Prices]]-C1420)/C1420</f>
        <v>3.896430367018631E-3</v>
      </c>
      <c r="E1421" s="6">
        <f>(Table2_1[[#This Row],[Constant Prices]]-C1417)/C1417</f>
        <v>1.3257215350459936E-2</v>
      </c>
      <c r="F1421" s="2">
        <v>2289.6999999999998</v>
      </c>
      <c r="G1421" s="7">
        <f>(Table2_1[[#This Row],[Current Prices]]-F1420)/F1420</f>
        <v>1.618547681539728E-3</v>
      </c>
      <c r="H1421" s="7">
        <f>(Table2_1[[#This Row],[Current Prices]]-F1417)/F1417</f>
        <v>7.1004256513400865E-2</v>
      </c>
      <c r="I1421" s="2">
        <v>13</v>
      </c>
    </row>
    <row r="1422" spans="1:9" x14ac:dyDescent="0.3">
      <c r="A1422" s="2" t="s">
        <v>93</v>
      </c>
      <c r="B1422" s="2" t="s">
        <v>66</v>
      </c>
      <c r="C1422" s="2">
        <v>1611.3</v>
      </c>
      <c r="D1422" s="6">
        <f>(Table2_1[[#This Row],[Constant Prices]]-C1421)/C1421</f>
        <v>8.7016401652684761E-3</v>
      </c>
      <c r="E1422" s="6">
        <f>(Table2_1[[#This Row],[Constant Prices]]-C1418)/C1418</f>
        <v>1.9358512051622642E-2</v>
      </c>
      <c r="F1422" s="2">
        <v>2333.1</v>
      </c>
      <c r="G1422" s="7">
        <f>(Table2_1[[#This Row],[Current Prices]]-F1421)/F1421</f>
        <v>1.8954448180984448E-2</v>
      </c>
      <c r="H1422" s="7">
        <f>(Table2_1[[#This Row],[Current Prices]]-F1418)/F1418</f>
        <v>6.8318146435276256E-2</v>
      </c>
      <c r="I1422" s="2"/>
    </row>
    <row r="1423" spans="1:9" x14ac:dyDescent="0.3">
      <c r="A1423" s="2" t="s">
        <v>93</v>
      </c>
      <c r="B1423" s="2" t="s">
        <v>67</v>
      </c>
      <c r="C1423" s="2">
        <v>1614.8</v>
      </c>
      <c r="D1423" s="6">
        <f>(Table2_1[[#This Row],[Constant Prices]]-C1422)/C1422</f>
        <v>2.1721591261714144E-3</v>
      </c>
      <c r="E1423" s="6">
        <f>(Table2_1[[#This Row],[Constant Prices]]-C1419)/C1419</f>
        <v>2.0668731432905662E-2</v>
      </c>
      <c r="F1423" s="2">
        <v>2431.1</v>
      </c>
      <c r="G1423" s="7">
        <f>(Table2_1[[#This Row],[Current Prices]]-F1422)/F1422</f>
        <v>4.2004200420042007E-2</v>
      </c>
      <c r="H1423" s="7">
        <f>(Table2_1[[#This Row],[Current Prices]]-F1419)/F1419</f>
        <v>6.6927060475730715E-2</v>
      </c>
      <c r="I1423" s="2"/>
    </row>
    <row r="1424" spans="1:9" x14ac:dyDescent="0.3">
      <c r="A1424" s="2" t="s">
        <v>93</v>
      </c>
      <c r="B1424" s="2" t="s">
        <v>68</v>
      </c>
      <c r="C1424" s="2">
        <v>1634.1</v>
      </c>
      <c r="D1424" s="6">
        <f>(Table2_1[[#This Row],[Constant Prices]]-C1423)/C1423</f>
        <v>1.1951944513252388E-2</v>
      </c>
      <c r="E1424" s="6">
        <f>(Table2_1[[#This Row],[Constant Prices]]-C1420)/C1420</f>
        <v>2.6960784313725405E-2</v>
      </c>
      <c r="F1424" s="2">
        <v>2450.5</v>
      </c>
      <c r="G1424" s="7">
        <f>(Table2_1[[#This Row],[Current Prices]]-F1423)/F1423</f>
        <v>7.9799267821151296E-3</v>
      </c>
      <c r="H1424" s="7">
        <f>(Table2_1[[#This Row],[Current Prices]]-F1420)/F1420</f>
        <v>7.1959755030621173E-2</v>
      </c>
      <c r="I1424" s="2"/>
    </row>
    <row r="1425" spans="1:9" x14ac:dyDescent="0.3">
      <c r="A1425" s="2" t="s">
        <v>93</v>
      </c>
      <c r="B1425" s="2" t="s">
        <v>69</v>
      </c>
      <c r="C1425" s="2">
        <v>1634.1</v>
      </c>
      <c r="D1425" s="6">
        <f>(Table2_1[[#This Row],[Constant Prices]]-C1424)/C1424</f>
        <v>0</v>
      </c>
      <c r="E1425" s="6">
        <f>(Table2_1[[#This Row],[Constant Prices]]-C1421)/C1421</f>
        <v>2.2974834105421196E-2</v>
      </c>
      <c r="F1425" s="5">
        <f>Table2_1[[#This Row],[Constant Prices]]*AVERAGE(Inflation!$C$72:$C$74)*0.01</f>
        <v>2958.2656999999999</v>
      </c>
      <c r="G1425" s="7">
        <f>(Table2_1[[#This Row],[Current Prices]]-F1424)/F1424</f>
        <v>0.20720901856763924</v>
      </c>
      <c r="H1425" s="7">
        <f>(Table2_1[[#This Row],[Current Prices]]-F1421)/F1421</f>
        <v>0.29198833908372285</v>
      </c>
      <c r="I1425" s="2">
        <v>14</v>
      </c>
    </row>
    <row r="1426" spans="1:9" x14ac:dyDescent="0.3">
      <c r="A1426" s="2" t="s">
        <v>93</v>
      </c>
      <c r="B1426" s="2" t="s">
        <v>70</v>
      </c>
      <c r="C1426" s="2">
        <v>1638.1</v>
      </c>
      <c r="D1426" s="6">
        <f>(Table2_1[[#This Row],[Constant Prices]]-C1425)/C1425</f>
        <v>2.4478306101217797E-3</v>
      </c>
      <c r="E1426" s="6">
        <f>(Table2_1[[#This Row],[Constant Prices]]-C1422)/C1422</f>
        <v>1.6632532737541089E-2</v>
      </c>
      <c r="F1426" s="5">
        <f>Table2_1[[#This Row],[Constant Prices]]*AVERAGE(Inflation!$C$75:$C$77)*0.01</f>
        <v>2988.4404333333327</v>
      </c>
      <c r="G1426" s="7">
        <f>(Table2_1[[#This Row],[Current Prices]]-F1425)/F1425</f>
        <v>1.0200143054537942E-2</v>
      </c>
      <c r="H1426" s="7">
        <f>(Table2_1[[#This Row],[Current Prices]]-F1422)/F1422</f>
        <v>0.2808882745417397</v>
      </c>
      <c r="I1426" s="2"/>
    </row>
    <row r="1427" spans="1:9" x14ac:dyDescent="0.3">
      <c r="A1427" s="2" t="s">
        <v>93</v>
      </c>
      <c r="B1427" s="2" t="s">
        <v>71</v>
      </c>
      <c r="C1427" s="2">
        <v>1641.7</v>
      </c>
      <c r="D1427" s="6">
        <f>(Table2_1[[#This Row],[Constant Prices]]-C1426)/C1426</f>
        <v>2.1976680300348798E-3</v>
      </c>
      <c r="E1427" s="6">
        <f>(Table2_1[[#This Row],[Constant Prices]]-C1423)/C1423</f>
        <v>1.6658409710180885E-2</v>
      </c>
      <c r="F1427" s="5">
        <f>Table2_1[[#This Row],[Constant Prices]]*AVERAGE(Inflation!$C$78:$C$80)*0.01</f>
        <v>3042.6173333333336</v>
      </c>
      <c r="G1427" s="7">
        <f>(Table2_1[[#This Row],[Current Prices]]-F1426)/F1426</f>
        <v>1.8128820436140149E-2</v>
      </c>
      <c r="H1427" s="7">
        <f>(Table2_1[[#This Row],[Current Prices]]-F1423)/F1423</f>
        <v>0.25153935804094185</v>
      </c>
      <c r="I1427" s="2"/>
    </row>
    <row r="1428" spans="1:9" x14ac:dyDescent="0.3">
      <c r="A1428" s="2" t="s">
        <v>94</v>
      </c>
      <c r="B1428" s="2" t="s">
        <v>10</v>
      </c>
      <c r="C1428" s="2">
        <v>43.8</v>
      </c>
      <c r="D1428" s="6"/>
      <c r="E1428" s="6"/>
      <c r="F1428" s="2">
        <v>37</v>
      </c>
      <c r="G1428" s="7"/>
      <c r="H1428" s="7"/>
      <c r="I1428" s="2"/>
    </row>
    <row r="1429" spans="1:9" x14ac:dyDescent="0.3">
      <c r="A1429" s="2" t="s">
        <v>94</v>
      </c>
      <c r="B1429" s="2" t="s">
        <v>11</v>
      </c>
      <c r="C1429" s="2">
        <v>44.2</v>
      </c>
      <c r="D1429" s="6">
        <f>(Table2_1[[#This Row],[Constant Prices]]-C1428)/C1428</f>
        <v>9.1324200913243305E-3</v>
      </c>
      <c r="E1429" s="6"/>
      <c r="F1429" s="2">
        <v>37.6</v>
      </c>
      <c r="G1429" s="7">
        <f>(Table2_1[[#This Row],[Current Prices]]-F1428)/F1428</f>
        <v>1.6216216216216255E-2</v>
      </c>
      <c r="H1429" s="7"/>
      <c r="I1429" s="2"/>
    </row>
    <row r="1430" spans="1:9" x14ac:dyDescent="0.3">
      <c r="A1430" s="2" t="s">
        <v>94</v>
      </c>
      <c r="B1430" s="2" t="s">
        <v>12</v>
      </c>
      <c r="C1430" s="2">
        <v>44.8</v>
      </c>
      <c r="D1430" s="6">
        <f>(Table2_1[[#This Row],[Constant Prices]]-C1429)/C1429</f>
        <v>1.3574660633484033E-2</v>
      </c>
      <c r="E1430" s="6"/>
      <c r="F1430" s="2">
        <v>38.5</v>
      </c>
      <c r="G1430" s="7">
        <f>(Table2_1[[#This Row],[Current Prices]]-F1429)/F1429</f>
        <v>2.3936170212765919E-2</v>
      </c>
      <c r="H1430" s="7"/>
      <c r="I1430" s="2"/>
    </row>
    <row r="1431" spans="1:9" x14ac:dyDescent="0.3">
      <c r="A1431" s="2" t="s">
        <v>94</v>
      </c>
      <c r="B1431" s="2" t="s">
        <v>13</v>
      </c>
      <c r="C1431" s="2">
        <v>45.5</v>
      </c>
      <c r="D1431" s="6">
        <f>(Table2_1[[#This Row],[Constant Prices]]-C1430)/C1430</f>
        <v>1.5625000000000066E-2</v>
      </c>
      <c r="E1431" s="6"/>
      <c r="F1431" s="2">
        <v>39.1</v>
      </c>
      <c r="G1431" s="7">
        <f>(Table2_1[[#This Row],[Current Prices]]-F1430)/F1430</f>
        <v>1.5584415584415621E-2</v>
      </c>
      <c r="H1431" s="7"/>
      <c r="I1431" s="2"/>
    </row>
    <row r="1432" spans="1:9" x14ac:dyDescent="0.3">
      <c r="A1432" s="2" t="s">
        <v>94</v>
      </c>
      <c r="B1432" s="2" t="s">
        <v>14</v>
      </c>
      <c r="C1432" s="2">
        <v>46.4</v>
      </c>
      <c r="D1432" s="6">
        <f>(Table2_1[[#This Row],[Constant Prices]]-C1431)/C1431</f>
        <v>1.9780219780219748E-2</v>
      </c>
      <c r="E1432" s="6">
        <f>(Table2_1[[#This Row],[Constant Prices]]-C1428)/C1428</f>
        <v>5.9360730593607344E-2</v>
      </c>
      <c r="F1432" s="2">
        <v>41</v>
      </c>
      <c r="G1432" s="7">
        <f>(Table2_1[[#This Row],[Current Prices]]-F1431)/F1431</f>
        <v>4.8593350383631675E-2</v>
      </c>
      <c r="H1432" s="7">
        <f>(Table2_1[[#This Row],[Current Prices]]-F1428)/F1428</f>
        <v>0.10810810810810811</v>
      </c>
      <c r="I1432" s="2"/>
    </row>
    <row r="1433" spans="1:9" x14ac:dyDescent="0.3">
      <c r="A1433" s="2" t="s">
        <v>94</v>
      </c>
      <c r="B1433" s="2" t="s">
        <v>15</v>
      </c>
      <c r="C1433" s="2">
        <v>47.2</v>
      </c>
      <c r="D1433" s="6">
        <f>(Table2_1[[#This Row],[Constant Prices]]-C1432)/C1432</f>
        <v>1.7241379310344921E-2</v>
      </c>
      <c r="E1433" s="6">
        <f>(Table2_1[[#This Row],[Constant Prices]]-C1429)/C1429</f>
        <v>6.7873303167420809E-2</v>
      </c>
      <c r="F1433" s="2">
        <v>41.9</v>
      </c>
      <c r="G1433" s="7">
        <f>(Table2_1[[#This Row],[Current Prices]]-F1432)/F1432</f>
        <v>2.1951219512195086E-2</v>
      </c>
      <c r="H1433" s="7">
        <f>(Table2_1[[#This Row],[Current Prices]]-F1429)/F1429</f>
        <v>0.11436170212765949</v>
      </c>
      <c r="I1433" s="2"/>
    </row>
    <row r="1434" spans="1:9" x14ac:dyDescent="0.3">
      <c r="A1434" s="2" t="s">
        <v>94</v>
      </c>
      <c r="B1434" s="2" t="s">
        <v>16</v>
      </c>
      <c r="C1434" s="2">
        <v>47.9</v>
      </c>
      <c r="D1434" s="6">
        <f>(Table2_1[[#This Row],[Constant Prices]]-C1433)/C1433</f>
        <v>1.483050847457618E-2</v>
      </c>
      <c r="E1434" s="6">
        <f>(Table2_1[[#This Row],[Constant Prices]]-C1430)/C1430</f>
        <v>6.9196428571428603E-2</v>
      </c>
      <c r="F1434" s="2">
        <v>43.1</v>
      </c>
      <c r="G1434" s="7">
        <f>(Table2_1[[#This Row],[Current Prices]]-F1433)/F1433</f>
        <v>2.8639618138424888E-2</v>
      </c>
      <c r="H1434" s="7">
        <f>(Table2_1[[#This Row],[Current Prices]]-F1430)/F1430</f>
        <v>0.11948051948051952</v>
      </c>
      <c r="I1434" s="2"/>
    </row>
    <row r="1435" spans="1:9" x14ac:dyDescent="0.3">
      <c r="A1435" s="2" t="s">
        <v>94</v>
      </c>
      <c r="B1435" s="2" t="s">
        <v>17</v>
      </c>
      <c r="C1435" s="2">
        <v>48.4</v>
      </c>
      <c r="D1435" s="6">
        <f>(Table2_1[[#This Row],[Constant Prices]]-C1434)/C1434</f>
        <v>1.0438413361169102E-2</v>
      </c>
      <c r="E1435" s="6">
        <f>(Table2_1[[#This Row],[Constant Prices]]-C1431)/C1431</f>
        <v>6.3736263736263704E-2</v>
      </c>
      <c r="F1435" s="2">
        <v>43.8</v>
      </c>
      <c r="G1435" s="7">
        <f>(Table2_1[[#This Row],[Current Prices]]-F1434)/F1434</f>
        <v>1.6241299303944218E-2</v>
      </c>
      <c r="H1435" s="7">
        <f>(Table2_1[[#This Row],[Current Prices]]-F1431)/F1431</f>
        <v>0.12020460358056255</v>
      </c>
      <c r="I1435" s="2">
        <v>1</v>
      </c>
    </row>
    <row r="1436" spans="1:9" x14ac:dyDescent="0.3">
      <c r="A1436" s="2" t="s">
        <v>94</v>
      </c>
      <c r="B1436" s="2" t="s">
        <v>18</v>
      </c>
      <c r="C1436" s="2">
        <v>47.7</v>
      </c>
      <c r="D1436" s="6">
        <f>(Table2_1[[#This Row],[Constant Prices]]-C1435)/C1435</f>
        <v>-1.4462809917355284E-2</v>
      </c>
      <c r="E1436" s="6">
        <f>(Table2_1[[#This Row],[Constant Prices]]-C1432)/C1432</f>
        <v>2.8017241379310439E-2</v>
      </c>
      <c r="F1436" s="2">
        <v>44</v>
      </c>
      <c r="G1436" s="7">
        <f>(Table2_1[[#This Row],[Current Prices]]-F1435)/F1435</f>
        <v>4.5662100456621653E-3</v>
      </c>
      <c r="H1436" s="7">
        <f>(Table2_1[[#This Row],[Current Prices]]-F1432)/F1432</f>
        <v>7.3170731707317069E-2</v>
      </c>
      <c r="I1436" s="2"/>
    </row>
    <row r="1437" spans="1:9" x14ac:dyDescent="0.3">
      <c r="A1437" s="2" t="s">
        <v>94</v>
      </c>
      <c r="B1437" s="2" t="s">
        <v>19</v>
      </c>
      <c r="C1437" s="2">
        <v>48.1</v>
      </c>
      <c r="D1437" s="6">
        <f>(Table2_1[[#This Row],[Constant Prices]]-C1436)/C1436</f>
        <v>8.3857442348008078E-3</v>
      </c>
      <c r="E1437" s="6">
        <f>(Table2_1[[#This Row],[Constant Prices]]-C1433)/C1433</f>
        <v>1.9067796610169462E-2</v>
      </c>
      <c r="F1437" s="2">
        <v>45</v>
      </c>
      <c r="G1437" s="7">
        <f>(Table2_1[[#This Row],[Current Prices]]-F1436)/F1436</f>
        <v>2.2727272727272728E-2</v>
      </c>
      <c r="H1437" s="7">
        <f>(Table2_1[[#This Row],[Current Prices]]-F1433)/F1433</f>
        <v>7.3985680190930825E-2</v>
      </c>
      <c r="I1437" s="2"/>
    </row>
    <row r="1438" spans="1:9" x14ac:dyDescent="0.3">
      <c r="A1438" s="2" t="s">
        <v>94</v>
      </c>
      <c r="B1438" s="2" t="s">
        <v>20</v>
      </c>
      <c r="C1438" s="2">
        <v>48.7</v>
      </c>
      <c r="D1438" s="6">
        <f>(Table2_1[[#This Row],[Constant Prices]]-C1437)/C1437</f>
        <v>1.2474012474012502E-2</v>
      </c>
      <c r="E1438" s="6">
        <f>(Table2_1[[#This Row],[Constant Prices]]-C1434)/C1434</f>
        <v>1.6701461377870652E-2</v>
      </c>
      <c r="F1438" s="2">
        <v>45.9</v>
      </c>
      <c r="G1438" s="7">
        <f>(Table2_1[[#This Row],[Current Prices]]-F1437)/F1437</f>
        <v>1.9999999999999969E-2</v>
      </c>
      <c r="H1438" s="7">
        <f>(Table2_1[[#This Row],[Current Prices]]-F1434)/F1434</f>
        <v>6.496519721577719E-2</v>
      </c>
      <c r="I1438" s="2"/>
    </row>
    <row r="1439" spans="1:9" x14ac:dyDescent="0.3">
      <c r="A1439" s="2" t="s">
        <v>94</v>
      </c>
      <c r="B1439" s="2" t="s">
        <v>21</v>
      </c>
      <c r="C1439" s="2">
        <v>49.3</v>
      </c>
      <c r="D1439" s="6">
        <f>(Table2_1[[#This Row],[Constant Prices]]-C1438)/C1438</f>
        <v>1.2320328542094338E-2</v>
      </c>
      <c r="E1439" s="6">
        <f>(Table2_1[[#This Row],[Constant Prices]]-C1435)/C1435</f>
        <v>1.8595041322314022E-2</v>
      </c>
      <c r="F1439" s="2">
        <v>46.5</v>
      </c>
      <c r="G1439" s="7">
        <f>(Table2_1[[#This Row],[Current Prices]]-F1438)/F1438</f>
        <v>1.3071895424836633E-2</v>
      </c>
      <c r="H1439" s="7">
        <f>(Table2_1[[#This Row],[Current Prices]]-F1435)/F1435</f>
        <v>6.1643835616438422E-2</v>
      </c>
      <c r="I1439" s="2">
        <v>2</v>
      </c>
    </row>
    <row r="1440" spans="1:9" x14ac:dyDescent="0.3">
      <c r="A1440" s="2" t="s">
        <v>94</v>
      </c>
      <c r="B1440" s="2" t="s">
        <v>22</v>
      </c>
      <c r="C1440" s="2">
        <v>50.3</v>
      </c>
      <c r="D1440" s="6">
        <f>(Table2_1[[#This Row],[Constant Prices]]-C1439)/C1439</f>
        <v>2.0283975659229209E-2</v>
      </c>
      <c r="E1440" s="6">
        <f>(Table2_1[[#This Row],[Constant Prices]]-C1436)/C1436</f>
        <v>5.4507337526205325E-2</v>
      </c>
      <c r="F1440" s="2">
        <v>47.2</v>
      </c>
      <c r="G1440" s="7">
        <f>(Table2_1[[#This Row],[Current Prices]]-F1439)/F1439</f>
        <v>1.5053763440860277E-2</v>
      </c>
      <c r="H1440" s="7">
        <f>(Table2_1[[#This Row],[Current Prices]]-F1436)/F1436</f>
        <v>7.2727272727272793E-2</v>
      </c>
      <c r="I1440" s="2"/>
    </row>
    <row r="1441" spans="1:9" x14ac:dyDescent="0.3">
      <c r="A1441" s="2" t="s">
        <v>94</v>
      </c>
      <c r="B1441" s="2" t="s">
        <v>23</v>
      </c>
      <c r="C1441" s="2">
        <v>51</v>
      </c>
      <c r="D1441" s="6">
        <f>(Table2_1[[#This Row],[Constant Prices]]-C1440)/C1440</f>
        <v>1.3916500994035843E-2</v>
      </c>
      <c r="E1441" s="6">
        <f>(Table2_1[[#This Row],[Constant Prices]]-C1437)/C1437</f>
        <v>6.029106029106026E-2</v>
      </c>
      <c r="F1441" s="2">
        <v>48.4</v>
      </c>
      <c r="G1441" s="7">
        <f>(Table2_1[[#This Row],[Current Prices]]-F1440)/F1440</f>
        <v>2.542372881355923E-2</v>
      </c>
      <c r="H1441" s="7">
        <f>(Table2_1[[#This Row],[Current Prices]]-F1437)/F1437</f>
        <v>7.5555555555555529E-2</v>
      </c>
      <c r="I1441" s="2"/>
    </row>
    <row r="1442" spans="1:9" x14ac:dyDescent="0.3">
      <c r="A1442" s="2" t="s">
        <v>94</v>
      </c>
      <c r="B1442" s="2" t="s">
        <v>24</v>
      </c>
      <c r="C1442" s="2">
        <v>51.6</v>
      </c>
      <c r="D1442" s="6">
        <f>(Table2_1[[#This Row],[Constant Prices]]-C1441)/C1441</f>
        <v>1.1764705882352969E-2</v>
      </c>
      <c r="E1442" s="6">
        <f>(Table2_1[[#This Row],[Constant Prices]]-C1438)/C1438</f>
        <v>5.954825462012317E-2</v>
      </c>
      <c r="F1442" s="2">
        <v>49.5</v>
      </c>
      <c r="G1442" s="7">
        <f>(Table2_1[[#This Row],[Current Prices]]-F1441)/F1441</f>
        <v>2.2727272727272756E-2</v>
      </c>
      <c r="H1442" s="7">
        <f>(Table2_1[[#This Row],[Current Prices]]-F1438)/F1438</f>
        <v>7.8431372549019635E-2</v>
      </c>
      <c r="I1442" s="2"/>
    </row>
    <row r="1443" spans="1:9" x14ac:dyDescent="0.3">
      <c r="A1443" s="2" t="s">
        <v>94</v>
      </c>
      <c r="B1443" s="2" t="s">
        <v>25</v>
      </c>
      <c r="C1443" s="2">
        <v>51.9</v>
      </c>
      <c r="D1443" s="6">
        <f>(Table2_1[[#This Row],[Constant Prices]]-C1442)/C1442</f>
        <v>5.8139534883720374E-3</v>
      </c>
      <c r="E1443" s="6">
        <f>(Table2_1[[#This Row],[Constant Prices]]-C1439)/C1439</f>
        <v>5.2738336713995977E-2</v>
      </c>
      <c r="F1443" s="2">
        <v>50.3</v>
      </c>
      <c r="G1443" s="7">
        <f>(Table2_1[[#This Row],[Current Prices]]-F1442)/F1442</f>
        <v>1.6161616161616103E-2</v>
      </c>
      <c r="H1443" s="7">
        <f>(Table2_1[[#This Row],[Current Prices]]-F1439)/F1439</f>
        <v>8.1720430107526817E-2</v>
      </c>
      <c r="I1443" s="2">
        <v>3</v>
      </c>
    </row>
    <row r="1444" spans="1:9" x14ac:dyDescent="0.3">
      <c r="A1444" s="2" t="s">
        <v>94</v>
      </c>
      <c r="B1444" s="2" t="s">
        <v>26</v>
      </c>
      <c r="C1444" s="2">
        <v>52.9</v>
      </c>
      <c r="D1444" s="6">
        <f>(Table2_1[[#This Row],[Constant Prices]]-C1443)/C1443</f>
        <v>1.926782273603083E-2</v>
      </c>
      <c r="E1444" s="6">
        <f>(Table2_1[[#This Row],[Constant Prices]]-C1440)/C1440</f>
        <v>5.1689860834990088E-2</v>
      </c>
      <c r="F1444" s="2">
        <v>50.7</v>
      </c>
      <c r="G1444" s="7">
        <f>(Table2_1[[#This Row],[Current Prices]]-F1443)/F1443</f>
        <v>7.9522862823062767E-3</v>
      </c>
      <c r="H1444" s="7">
        <f>(Table2_1[[#This Row],[Current Prices]]-F1440)/F1440</f>
        <v>7.4152542372881353E-2</v>
      </c>
      <c r="I1444" s="2"/>
    </row>
    <row r="1445" spans="1:9" x14ac:dyDescent="0.3">
      <c r="A1445" s="2" t="s">
        <v>94</v>
      </c>
      <c r="B1445" s="2" t="s">
        <v>27</v>
      </c>
      <c r="C1445" s="2">
        <v>53.6</v>
      </c>
      <c r="D1445" s="6">
        <f>(Table2_1[[#This Row],[Constant Prices]]-C1444)/C1444</f>
        <v>1.3232514177693815E-2</v>
      </c>
      <c r="E1445" s="6">
        <f>(Table2_1[[#This Row],[Constant Prices]]-C1441)/C1441</f>
        <v>5.0980392156862772E-2</v>
      </c>
      <c r="F1445" s="2">
        <v>51.8</v>
      </c>
      <c r="G1445" s="7">
        <f>(Table2_1[[#This Row],[Current Prices]]-F1444)/F1444</f>
        <v>2.169625246548312E-2</v>
      </c>
      <c r="H1445" s="7">
        <f>(Table2_1[[#This Row],[Current Prices]]-F1441)/F1441</f>
        <v>7.0247933884297495E-2</v>
      </c>
      <c r="I1445" s="2"/>
    </row>
    <row r="1446" spans="1:9" x14ac:dyDescent="0.3">
      <c r="A1446" s="2" t="s">
        <v>94</v>
      </c>
      <c r="B1446" s="2" t="s">
        <v>28</v>
      </c>
      <c r="C1446" s="2">
        <v>54.2</v>
      </c>
      <c r="D1446" s="6">
        <f>(Table2_1[[#This Row],[Constant Prices]]-C1445)/C1445</f>
        <v>1.1194029850746294E-2</v>
      </c>
      <c r="E1446" s="6">
        <f>(Table2_1[[#This Row],[Constant Prices]]-C1442)/C1442</f>
        <v>5.0387596899224833E-2</v>
      </c>
      <c r="F1446" s="2">
        <v>52.9</v>
      </c>
      <c r="G1446" s="7">
        <f>(Table2_1[[#This Row],[Current Prices]]-F1445)/F1445</f>
        <v>2.1235521235521262E-2</v>
      </c>
      <c r="H1446" s="7">
        <f>(Table2_1[[#This Row],[Current Prices]]-F1442)/F1442</f>
        <v>6.8686868686868657E-2</v>
      </c>
      <c r="I1446" s="2"/>
    </row>
    <row r="1447" spans="1:9" x14ac:dyDescent="0.3">
      <c r="A1447" s="2" t="s">
        <v>94</v>
      </c>
      <c r="B1447" s="2" t="s">
        <v>29</v>
      </c>
      <c r="C1447" s="2">
        <v>54.7</v>
      </c>
      <c r="D1447" s="6">
        <f>(Table2_1[[#This Row],[Constant Prices]]-C1446)/C1446</f>
        <v>9.2250922509225092E-3</v>
      </c>
      <c r="E1447" s="6">
        <f>(Table2_1[[#This Row],[Constant Prices]]-C1443)/C1443</f>
        <v>5.3949903660886402E-2</v>
      </c>
      <c r="F1447" s="2">
        <v>53.7</v>
      </c>
      <c r="G1447" s="7">
        <f>(Table2_1[[#This Row],[Current Prices]]-F1446)/F1446</f>
        <v>1.5122873345935808E-2</v>
      </c>
      <c r="H1447" s="7">
        <f>(Table2_1[[#This Row],[Current Prices]]-F1443)/F1443</f>
        <v>6.7594433399602499E-2</v>
      </c>
      <c r="I1447" s="2">
        <v>4</v>
      </c>
    </row>
    <row r="1448" spans="1:9" x14ac:dyDescent="0.3">
      <c r="A1448" s="2" t="s">
        <v>94</v>
      </c>
      <c r="B1448" s="2" t="s">
        <v>30</v>
      </c>
      <c r="C1448" s="2">
        <v>55.3</v>
      </c>
      <c r="D1448" s="6">
        <f>(Table2_1[[#This Row],[Constant Prices]]-C1447)/C1447</f>
        <v>1.0968921389396605E-2</v>
      </c>
      <c r="E1448" s="6">
        <f>(Table2_1[[#This Row],[Constant Prices]]-C1444)/C1444</f>
        <v>4.5368620037807159E-2</v>
      </c>
      <c r="F1448" s="2">
        <v>54.7</v>
      </c>
      <c r="G1448" s="7">
        <f>(Table2_1[[#This Row],[Current Prices]]-F1447)/F1447</f>
        <v>1.8621973929236497E-2</v>
      </c>
      <c r="H1448" s="7">
        <f>(Table2_1[[#This Row],[Current Prices]]-F1444)/F1444</f>
        <v>7.8895463510848127E-2</v>
      </c>
      <c r="I1448" s="2"/>
    </row>
    <row r="1449" spans="1:9" x14ac:dyDescent="0.3">
      <c r="A1449" s="2" t="s">
        <v>94</v>
      </c>
      <c r="B1449" s="2" t="s">
        <v>31</v>
      </c>
      <c r="C1449" s="2">
        <v>55.9</v>
      </c>
      <c r="D1449" s="6">
        <f>(Table2_1[[#This Row],[Constant Prices]]-C1448)/C1448</f>
        <v>1.0849909584086825E-2</v>
      </c>
      <c r="E1449" s="6">
        <f>(Table2_1[[#This Row],[Constant Prices]]-C1445)/C1445</f>
        <v>4.2910447761193973E-2</v>
      </c>
      <c r="F1449" s="2">
        <v>55.5</v>
      </c>
      <c r="G1449" s="7">
        <f>(Table2_1[[#This Row],[Current Prices]]-F1448)/F1448</f>
        <v>1.462522851919556E-2</v>
      </c>
      <c r="H1449" s="7">
        <f>(Table2_1[[#This Row],[Current Prices]]-F1445)/F1445</f>
        <v>7.1428571428571494E-2</v>
      </c>
      <c r="I1449" s="2"/>
    </row>
    <row r="1450" spans="1:9" x14ac:dyDescent="0.3">
      <c r="A1450" s="2" t="s">
        <v>94</v>
      </c>
      <c r="B1450" s="2" t="s">
        <v>32</v>
      </c>
      <c r="C1450" s="2">
        <v>56.5</v>
      </c>
      <c r="D1450" s="6">
        <f>(Table2_1[[#This Row],[Constant Prices]]-C1449)/C1449</f>
        <v>1.0733452593917735E-2</v>
      </c>
      <c r="E1450" s="6">
        <f>(Table2_1[[#This Row],[Constant Prices]]-C1446)/C1446</f>
        <v>4.2435424354243488E-2</v>
      </c>
      <c r="F1450" s="2">
        <v>56.2</v>
      </c>
      <c r="G1450" s="7">
        <f>(Table2_1[[#This Row],[Current Prices]]-F1449)/F1449</f>
        <v>1.2612612612612664E-2</v>
      </c>
      <c r="H1450" s="7">
        <f>(Table2_1[[#This Row],[Current Prices]]-F1446)/F1446</f>
        <v>6.2381852551984959E-2</v>
      </c>
      <c r="I1450" s="2"/>
    </row>
    <row r="1451" spans="1:9" x14ac:dyDescent="0.3">
      <c r="A1451" s="2" t="s">
        <v>94</v>
      </c>
      <c r="B1451" s="2" t="s">
        <v>33</v>
      </c>
      <c r="C1451" s="2">
        <v>57</v>
      </c>
      <c r="D1451" s="6">
        <f>(Table2_1[[#This Row],[Constant Prices]]-C1450)/C1450</f>
        <v>8.8495575221238937E-3</v>
      </c>
      <c r="E1451" s="6">
        <f>(Table2_1[[#This Row],[Constant Prices]]-C1447)/C1447</f>
        <v>4.2047531992687334E-2</v>
      </c>
      <c r="F1451" s="2">
        <v>58.3</v>
      </c>
      <c r="G1451" s="7">
        <f>(Table2_1[[#This Row],[Current Prices]]-F1450)/F1450</f>
        <v>3.736654804270452E-2</v>
      </c>
      <c r="H1451" s="7">
        <f>(Table2_1[[#This Row],[Current Prices]]-F1447)/F1447</f>
        <v>8.5661080074487791E-2</v>
      </c>
      <c r="I1451" s="2">
        <v>5</v>
      </c>
    </row>
    <row r="1452" spans="1:9" x14ac:dyDescent="0.3">
      <c r="A1452" s="2" t="s">
        <v>94</v>
      </c>
      <c r="B1452" s="2" t="s">
        <v>34</v>
      </c>
      <c r="C1452" s="2">
        <v>57.6</v>
      </c>
      <c r="D1452" s="6">
        <f>(Table2_1[[#This Row],[Constant Prices]]-C1451)/C1451</f>
        <v>1.052631578947371E-2</v>
      </c>
      <c r="E1452" s="6">
        <f>(Table2_1[[#This Row],[Constant Prices]]-C1448)/C1448</f>
        <v>4.1591320072332807E-2</v>
      </c>
      <c r="F1452" s="2">
        <v>58.4</v>
      </c>
      <c r="G1452" s="7">
        <f>(Table2_1[[#This Row],[Current Prices]]-F1451)/F1451</f>
        <v>1.7152658662092869E-3</v>
      </c>
      <c r="H1452" s="7">
        <f>(Table2_1[[#This Row],[Current Prices]]-F1448)/F1448</f>
        <v>6.7641681901279629E-2</v>
      </c>
      <c r="I1452" s="2"/>
    </row>
    <row r="1453" spans="1:9" x14ac:dyDescent="0.3">
      <c r="A1453" s="2" t="s">
        <v>94</v>
      </c>
      <c r="B1453" s="2" t="s">
        <v>35</v>
      </c>
      <c r="C1453" s="2">
        <v>58.2</v>
      </c>
      <c r="D1453" s="6">
        <f>(Table2_1[[#This Row],[Constant Prices]]-C1452)/C1452</f>
        <v>1.041666666666669E-2</v>
      </c>
      <c r="E1453" s="6">
        <f>(Table2_1[[#This Row],[Constant Prices]]-C1449)/C1449</f>
        <v>4.1144901610017964E-2</v>
      </c>
      <c r="F1453" s="2">
        <v>59.1</v>
      </c>
      <c r="G1453" s="7">
        <f>(Table2_1[[#This Row],[Current Prices]]-F1452)/F1452</f>
        <v>1.1986301369863063E-2</v>
      </c>
      <c r="H1453" s="7">
        <f>(Table2_1[[#This Row],[Current Prices]]-F1449)/F1449</f>
        <v>6.4864864864864896E-2</v>
      </c>
      <c r="I1453" s="2"/>
    </row>
    <row r="1454" spans="1:9" x14ac:dyDescent="0.3">
      <c r="A1454" s="2" t="s">
        <v>94</v>
      </c>
      <c r="B1454" s="2" t="s">
        <v>36</v>
      </c>
      <c r="C1454" s="2">
        <v>58.8</v>
      </c>
      <c r="D1454" s="6">
        <f>(Table2_1[[#This Row],[Constant Prices]]-C1453)/C1453</f>
        <v>1.0309278350515367E-2</v>
      </c>
      <c r="E1454" s="6">
        <f>(Table2_1[[#This Row],[Constant Prices]]-C1450)/C1450</f>
        <v>4.0707964601769862E-2</v>
      </c>
      <c r="F1454" s="2">
        <v>60</v>
      </c>
      <c r="G1454" s="7">
        <f>(Table2_1[[#This Row],[Current Prices]]-F1453)/F1453</f>
        <v>1.5228426395939063E-2</v>
      </c>
      <c r="H1454" s="7">
        <f>(Table2_1[[#This Row],[Current Prices]]-F1450)/F1450</f>
        <v>6.7615658362989273E-2</v>
      </c>
      <c r="I1454" s="2"/>
    </row>
    <row r="1455" spans="1:9" x14ac:dyDescent="0.3">
      <c r="A1455" s="2" t="s">
        <v>94</v>
      </c>
      <c r="B1455" s="2" t="s">
        <v>37</v>
      </c>
      <c r="C1455" s="2">
        <v>59.4</v>
      </c>
      <c r="D1455" s="6">
        <f>(Table2_1[[#This Row],[Constant Prices]]-C1454)/C1454</f>
        <v>1.0204081632653086E-2</v>
      </c>
      <c r="E1455" s="6">
        <f>(Table2_1[[#This Row],[Constant Prices]]-C1451)/C1451</f>
        <v>4.2105263157894715E-2</v>
      </c>
      <c r="F1455" s="2">
        <v>61.1</v>
      </c>
      <c r="G1455" s="7">
        <f>(Table2_1[[#This Row],[Current Prices]]-F1454)/F1454</f>
        <v>1.8333333333333358E-2</v>
      </c>
      <c r="H1455" s="7">
        <f>(Table2_1[[#This Row],[Current Prices]]-F1451)/F1451</f>
        <v>4.8027444253859422E-2</v>
      </c>
      <c r="I1455" s="2">
        <v>6</v>
      </c>
    </row>
    <row r="1456" spans="1:9" x14ac:dyDescent="0.3">
      <c r="A1456" s="2" t="s">
        <v>94</v>
      </c>
      <c r="B1456" s="2" t="s">
        <v>38</v>
      </c>
      <c r="C1456" s="2">
        <v>60</v>
      </c>
      <c r="D1456" s="6">
        <f>(Table2_1[[#This Row],[Constant Prices]]-C1455)/C1455</f>
        <v>1.0101010101010124E-2</v>
      </c>
      <c r="E1456" s="6">
        <f>(Table2_1[[#This Row],[Constant Prices]]-C1452)/C1452</f>
        <v>4.1666666666666644E-2</v>
      </c>
      <c r="F1456" s="2">
        <v>62.4</v>
      </c>
      <c r="G1456" s="7">
        <f>(Table2_1[[#This Row],[Current Prices]]-F1455)/F1455</f>
        <v>2.1276595744680805E-2</v>
      </c>
      <c r="H1456" s="7">
        <f>(Table2_1[[#This Row],[Current Prices]]-F1452)/F1452</f>
        <v>6.8493150684931503E-2</v>
      </c>
      <c r="I1456" s="2"/>
    </row>
    <row r="1457" spans="1:9" x14ac:dyDescent="0.3">
      <c r="A1457" s="2" t="s">
        <v>94</v>
      </c>
      <c r="B1457" s="2" t="s">
        <v>39</v>
      </c>
      <c r="C1457" s="2">
        <v>60.6</v>
      </c>
      <c r="D1457" s="6">
        <f>(Table2_1[[#This Row],[Constant Prices]]-C1456)/C1456</f>
        <v>1.0000000000000024E-2</v>
      </c>
      <c r="E1457" s="6">
        <f>(Table2_1[[#This Row],[Constant Prices]]-C1453)/C1453</f>
        <v>4.1237113402061827E-2</v>
      </c>
      <c r="F1457" s="2">
        <v>63.4</v>
      </c>
      <c r="G1457" s="7">
        <f>(Table2_1[[#This Row],[Current Prices]]-F1456)/F1456</f>
        <v>1.6025641025641028E-2</v>
      </c>
      <c r="H1457" s="7">
        <f>(Table2_1[[#This Row],[Current Prices]]-F1453)/F1453</f>
        <v>7.2758037225042246E-2</v>
      </c>
      <c r="I1457" s="2"/>
    </row>
    <row r="1458" spans="1:9" x14ac:dyDescent="0.3">
      <c r="A1458" s="2" t="s">
        <v>94</v>
      </c>
      <c r="B1458" s="2" t="s">
        <v>40</v>
      </c>
      <c r="C1458" s="2">
        <v>61.2</v>
      </c>
      <c r="D1458" s="6">
        <f>(Table2_1[[#This Row],[Constant Prices]]-C1457)/C1457</f>
        <v>9.9009900990099237E-3</v>
      </c>
      <c r="E1458" s="6">
        <f>(Table2_1[[#This Row],[Constant Prices]]-C1454)/C1454</f>
        <v>4.0816326530612346E-2</v>
      </c>
      <c r="F1458" s="2">
        <v>64.599999999999994</v>
      </c>
      <c r="G1458" s="7">
        <f>(Table2_1[[#This Row],[Current Prices]]-F1457)/F1457</f>
        <v>1.8927444794952616E-2</v>
      </c>
      <c r="H1458" s="7">
        <f>(Table2_1[[#This Row],[Current Prices]]-F1454)/F1454</f>
        <v>7.6666666666666577E-2</v>
      </c>
      <c r="I1458" s="2"/>
    </row>
    <row r="1459" spans="1:9" x14ac:dyDescent="0.3">
      <c r="A1459" s="2" t="s">
        <v>94</v>
      </c>
      <c r="B1459" s="2" t="s">
        <v>41</v>
      </c>
      <c r="C1459" s="2">
        <v>61.8</v>
      </c>
      <c r="D1459" s="6">
        <f>(Table2_1[[#This Row],[Constant Prices]]-C1458)/C1458</f>
        <v>9.8039215686273572E-3</v>
      </c>
      <c r="E1459" s="6">
        <f>(Table2_1[[#This Row],[Constant Prices]]-C1455)/C1455</f>
        <v>4.040404040404038E-2</v>
      </c>
      <c r="F1459" s="2">
        <v>64.8</v>
      </c>
      <c r="G1459" s="7">
        <f>(Table2_1[[#This Row],[Current Prices]]-F1458)/F1458</f>
        <v>3.0959752321981868E-3</v>
      </c>
      <c r="H1459" s="7">
        <f>(Table2_1[[#This Row],[Current Prices]]-F1455)/F1455</f>
        <v>6.0556464811783887E-2</v>
      </c>
      <c r="I1459" s="2">
        <v>7</v>
      </c>
    </row>
    <row r="1460" spans="1:9" x14ac:dyDescent="0.3">
      <c r="A1460" s="2" t="s">
        <v>94</v>
      </c>
      <c r="B1460" s="2" t="s">
        <v>42</v>
      </c>
      <c r="C1460" s="2">
        <v>62.8</v>
      </c>
      <c r="D1460" s="6">
        <f>(Table2_1[[#This Row],[Constant Prices]]-C1459)/C1459</f>
        <v>1.6181229773462785E-2</v>
      </c>
      <c r="E1460" s="6">
        <f>(Table2_1[[#This Row],[Constant Prices]]-C1456)/C1456</f>
        <v>4.666666666666662E-2</v>
      </c>
      <c r="F1460" s="2">
        <v>67.900000000000006</v>
      </c>
      <c r="G1460" s="7">
        <f>(Table2_1[[#This Row],[Current Prices]]-F1459)/F1459</f>
        <v>4.7839506172839642E-2</v>
      </c>
      <c r="H1460" s="7">
        <f>(Table2_1[[#This Row],[Current Prices]]-F1456)/F1456</f>
        <v>8.8141025641025758E-2</v>
      </c>
      <c r="I1460" s="2"/>
    </row>
    <row r="1461" spans="1:9" x14ac:dyDescent="0.3">
      <c r="A1461" s="2" t="s">
        <v>94</v>
      </c>
      <c r="B1461" s="2" t="s">
        <v>43</v>
      </c>
      <c r="C1461" s="2">
        <v>63.4</v>
      </c>
      <c r="D1461" s="6">
        <f>(Table2_1[[#This Row],[Constant Prices]]-C1460)/C1460</f>
        <v>9.5541401273885589E-3</v>
      </c>
      <c r="E1461" s="6">
        <f>(Table2_1[[#This Row],[Constant Prices]]-C1457)/C1457</f>
        <v>4.620462046204616E-2</v>
      </c>
      <c r="F1461" s="2">
        <v>68.8</v>
      </c>
      <c r="G1461" s="7">
        <f>(Table2_1[[#This Row],[Current Prices]]-F1460)/F1460</f>
        <v>1.3254786450662612E-2</v>
      </c>
      <c r="H1461" s="7">
        <f>(Table2_1[[#This Row],[Current Prices]]-F1457)/F1457</f>
        <v>8.517350157728705E-2</v>
      </c>
      <c r="I1461" s="2"/>
    </row>
    <row r="1462" spans="1:9" x14ac:dyDescent="0.3">
      <c r="A1462" s="2" t="s">
        <v>94</v>
      </c>
      <c r="B1462" s="2" t="s">
        <v>44</v>
      </c>
      <c r="C1462" s="2">
        <v>63.9</v>
      </c>
      <c r="D1462" s="6">
        <f>(Table2_1[[#This Row],[Constant Prices]]-C1461)/C1461</f>
        <v>7.8864353312302835E-3</v>
      </c>
      <c r="E1462" s="6">
        <f>(Table2_1[[#This Row],[Constant Prices]]-C1458)/C1458</f>
        <v>4.4117647058823456E-2</v>
      </c>
      <c r="F1462" s="2">
        <v>69.7</v>
      </c>
      <c r="G1462" s="7">
        <f>(Table2_1[[#This Row],[Current Prices]]-F1461)/F1461</f>
        <v>1.3081395348837293E-2</v>
      </c>
      <c r="H1462" s="7">
        <f>(Table2_1[[#This Row],[Current Prices]]-F1458)/F1458</f>
        <v>7.8947368421052766E-2</v>
      </c>
      <c r="I1462" s="2"/>
    </row>
    <row r="1463" spans="1:9" x14ac:dyDescent="0.3">
      <c r="A1463" s="2" t="s">
        <v>94</v>
      </c>
      <c r="B1463" s="2" t="s">
        <v>45</v>
      </c>
      <c r="C1463" s="2">
        <v>64.3</v>
      </c>
      <c r="D1463" s="6">
        <f>(Table2_1[[#This Row],[Constant Prices]]-C1462)/C1462</f>
        <v>6.2597809076682092E-3</v>
      </c>
      <c r="E1463" s="6">
        <f>(Table2_1[[#This Row],[Constant Prices]]-C1459)/C1459</f>
        <v>4.0453074433656963E-2</v>
      </c>
      <c r="F1463" s="2">
        <v>71.900000000000006</v>
      </c>
      <c r="G1463" s="7">
        <f>(Table2_1[[#This Row],[Current Prices]]-F1462)/F1462</f>
        <v>3.1563845050215249E-2</v>
      </c>
      <c r="H1463" s="7">
        <f>(Table2_1[[#This Row],[Current Prices]]-F1459)/F1459</f>
        <v>0.10956790123456804</v>
      </c>
      <c r="I1463" s="2">
        <v>8</v>
      </c>
    </row>
    <row r="1464" spans="1:9" x14ac:dyDescent="0.3">
      <c r="A1464" s="2" t="s">
        <v>94</v>
      </c>
      <c r="B1464" s="2" t="s">
        <v>46</v>
      </c>
      <c r="C1464" s="2">
        <v>65</v>
      </c>
      <c r="D1464" s="6">
        <f>(Table2_1[[#This Row],[Constant Prices]]-C1463)/C1463</f>
        <v>1.0886469673405955E-2</v>
      </c>
      <c r="E1464" s="6">
        <f>(Table2_1[[#This Row],[Constant Prices]]-C1460)/C1460</f>
        <v>3.503184713375801E-2</v>
      </c>
      <c r="F1464" s="2">
        <v>73.400000000000006</v>
      </c>
      <c r="G1464" s="7">
        <f>(Table2_1[[#This Row],[Current Prices]]-F1463)/F1463</f>
        <v>2.0862308762169678E-2</v>
      </c>
      <c r="H1464" s="7">
        <f>(Table2_1[[#This Row],[Current Prices]]-F1460)/F1460</f>
        <v>8.1001472754050063E-2</v>
      </c>
      <c r="I1464" s="2"/>
    </row>
    <row r="1465" spans="1:9" x14ac:dyDescent="0.3">
      <c r="A1465" s="2" t="s">
        <v>94</v>
      </c>
      <c r="B1465" s="2" t="s">
        <v>47</v>
      </c>
      <c r="C1465" s="2">
        <v>64.8</v>
      </c>
      <c r="D1465" s="6">
        <f>(Table2_1[[#This Row],[Constant Prices]]-C1464)/C1464</f>
        <v>-3.0769230769231207E-3</v>
      </c>
      <c r="E1465" s="6">
        <f>(Table2_1[[#This Row],[Constant Prices]]-C1461)/C1461</f>
        <v>2.2082018927444772E-2</v>
      </c>
      <c r="F1465" s="2">
        <v>75.2</v>
      </c>
      <c r="G1465" s="7">
        <f>(Table2_1[[#This Row],[Current Prices]]-F1464)/F1464</f>
        <v>2.4523160762942739E-2</v>
      </c>
      <c r="H1465" s="7">
        <f>(Table2_1[[#This Row],[Current Prices]]-F1461)/F1461</f>
        <v>9.302325581395357E-2</v>
      </c>
      <c r="I1465" s="2"/>
    </row>
    <row r="1466" spans="1:9" x14ac:dyDescent="0.3">
      <c r="A1466" s="2" t="s">
        <v>94</v>
      </c>
      <c r="B1466" s="2" t="s">
        <v>48</v>
      </c>
      <c r="C1466" s="2">
        <v>63.4</v>
      </c>
      <c r="D1466" s="6">
        <f>(Table2_1[[#This Row],[Constant Prices]]-C1465)/C1465</f>
        <v>-2.1604938271604916E-2</v>
      </c>
      <c r="E1466" s="6">
        <f>(Table2_1[[#This Row],[Constant Prices]]-C1462)/C1462</f>
        <v>-7.8247261345852897E-3</v>
      </c>
      <c r="F1466" s="2">
        <v>75.599999999999994</v>
      </c>
      <c r="G1466" s="7">
        <f>(Table2_1[[#This Row],[Current Prices]]-F1465)/F1465</f>
        <v>5.319148936170099E-3</v>
      </c>
      <c r="H1466" s="7">
        <f>(Table2_1[[#This Row],[Current Prices]]-F1462)/F1462</f>
        <v>8.4648493543758835E-2</v>
      </c>
      <c r="I1466" s="2"/>
    </row>
    <row r="1467" spans="1:9" x14ac:dyDescent="0.3">
      <c r="A1467" s="2" t="s">
        <v>94</v>
      </c>
      <c r="B1467" s="2" t="s">
        <v>49</v>
      </c>
      <c r="C1467" s="2">
        <v>64.599999999999994</v>
      </c>
      <c r="D1467" s="6">
        <f>(Table2_1[[#This Row],[Constant Prices]]-C1466)/C1466</f>
        <v>1.8927444794952616E-2</v>
      </c>
      <c r="E1467" s="6">
        <f>(Table2_1[[#This Row],[Constant Prices]]-C1463)/C1463</f>
        <v>4.6656298600310604E-3</v>
      </c>
      <c r="F1467" s="2">
        <v>76.900000000000006</v>
      </c>
      <c r="G1467" s="7">
        <f>(Table2_1[[#This Row],[Current Prices]]-F1466)/F1466</f>
        <v>1.7195767195767347E-2</v>
      </c>
      <c r="H1467" s="7">
        <f>(Table2_1[[#This Row],[Current Prices]]-F1463)/F1463</f>
        <v>6.9541029207232263E-2</v>
      </c>
      <c r="I1467" s="2">
        <v>9</v>
      </c>
    </row>
    <row r="1468" spans="1:9" x14ac:dyDescent="0.3">
      <c r="A1468" s="2" t="s">
        <v>94</v>
      </c>
      <c r="B1468" s="2" t="s">
        <v>50</v>
      </c>
      <c r="C1468" s="2">
        <v>62.8</v>
      </c>
      <c r="D1468" s="6">
        <f>(Table2_1[[#This Row],[Constant Prices]]-C1467)/C1467</f>
        <v>-2.7863777089783239E-2</v>
      </c>
      <c r="E1468" s="6">
        <f>(Table2_1[[#This Row],[Constant Prices]]-C1464)/C1464</f>
        <v>-3.3846153846153887E-2</v>
      </c>
      <c r="F1468" s="2">
        <v>75.8</v>
      </c>
      <c r="G1468" s="7">
        <f>(Table2_1[[#This Row],[Current Prices]]-F1467)/F1467</f>
        <v>-1.4304291287386325E-2</v>
      </c>
      <c r="H1468" s="7">
        <f>(Table2_1[[#This Row],[Current Prices]]-F1464)/F1464</f>
        <v>3.2697547683923585E-2</v>
      </c>
      <c r="I1468" s="2"/>
    </row>
    <row r="1469" spans="1:9" x14ac:dyDescent="0.3">
      <c r="A1469" s="2" t="s">
        <v>94</v>
      </c>
      <c r="B1469" s="2" t="s">
        <v>51</v>
      </c>
      <c r="C1469" s="2">
        <v>55.7</v>
      </c>
      <c r="D1469" s="6">
        <f>(Table2_1[[#This Row],[Constant Prices]]-C1468)/C1468</f>
        <v>-0.11305732484076425</v>
      </c>
      <c r="E1469" s="6">
        <f>(Table2_1[[#This Row],[Constant Prices]]-C1465)/C1465</f>
        <v>-0.14043209876543203</v>
      </c>
      <c r="F1469" s="2">
        <v>68.8</v>
      </c>
      <c r="G1469" s="7">
        <f>(Table2_1[[#This Row],[Current Prices]]-F1468)/F1468</f>
        <v>-9.2348284960422161E-2</v>
      </c>
      <c r="H1469" s="7">
        <f>(Table2_1[[#This Row],[Current Prices]]-F1465)/F1465</f>
        <v>-8.5106382978723472E-2</v>
      </c>
      <c r="I1469" s="2"/>
    </row>
    <row r="1470" spans="1:9" x14ac:dyDescent="0.3">
      <c r="A1470" s="2" t="s">
        <v>94</v>
      </c>
      <c r="B1470" s="2" t="s">
        <v>52</v>
      </c>
      <c r="C1470" s="2">
        <v>57</v>
      </c>
      <c r="D1470" s="6">
        <f>(Table2_1[[#This Row],[Constant Prices]]-C1469)/C1469</f>
        <v>2.3339317773788098E-2</v>
      </c>
      <c r="E1470" s="6">
        <f>(Table2_1[[#This Row],[Constant Prices]]-C1466)/C1466</f>
        <v>-0.10094637223974762</v>
      </c>
      <c r="F1470" s="2">
        <v>71.5</v>
      </c>
      <c r="G1470" s="7">
        <f>(Table2_1[[#This Row],[Current Prices]]-F1469)/F1469</f>
        <v>3.924418604651167E-2</v>
      </c>
      <c r="H1470" s="7">
        <f>(Table2_1[[#This Row],[Current Prices]]-F1466)/F1466</f>
        <v>-5.423280423280416E-2</v>
      </c>
      <c r="I1470" s="2"/>
    </row>
    <row r="1471" spans="1:9" x14ac:dyDescent="0.3">
      <c r="A1471" s="2" t="s">
        <v>94</v>
      </c>
      <c r="B1471" s="2" t="s">
        <v>53</v>
      </c>
      <c r="C1471" s="2">
        <v>58.7</v>
      </c>
      <c r="D1471" s="6">
        <f>(Table2_1[[#This Row],[Constant Prices]]-C1470)/C1470</f>
        <v>2.9824561403508823E-2</v>
      </c>
      <c r="E1471" s="6">
        <f>(Table2_1[[#This Row],[Constant Prices]]-C1467)/C1467</f>
        <v>-9.1331269349845076E-2</v>
      </c>
      <c r="F1471" s="2">
        <v>72.7</v>
      </c>
      <c r="G1471" s="7">
        <f>(Table2_1[[#This Row],[Current Prices]]-F1470)/F1470</f>
        <v>1.6783216783216821E-2</v>
      </c>
      <c r="H1471" s="7">
        <f>(Table2_1[[#This Row],[Current Prices]]-F1467)/F1467</f>
        <v>-5.4616384915474672E-2</v>
      </c>
      <c r="I1471" s="2">
        <v>10</v>
      </c>
    </row>
    <row r="1472" spans="1:9" x14ac:dyDescent="0.3">
      <c r="A1472" s="2" t="s">
        <v>94</v>
      </c>
      <c r="B1472" s="2" t="s">
        <v>54</v>
      </c>
      <c r="C1472" s="2">
        <v>59.2</v>
      </c>
      <c r="D1472" s="6">
        <f>(Table2_1[[#This Row],[Constant Prices]]-C1471)/C1471</f>
        <v>8.5178875638841564E-3</v>
      </c>
      <c r="E1472" s="6">
        <f>(Table2_1[[#This Row],[Constant Prices]]-C1468)/C1468</f>
        <v>-5.7324840764331121E-2</v>
      </c>
      <c r="F1472" s="2">
        <v>77.5</v>
      </c>
      <c r="G1472" s="7">
        <f>(Table2_1[[#This Row],[Current Prices]]-F1471)/F1471</f>
        <v>6.6024759284731727E-2</v>
      </c>
      <c r="H1472" s="7">
        <f>(Table2_1[[#This Row],[Current Prices]]-F1468)/F1468</f>
        <v>2.2427440633245421E-2</v>
      </c>
      <c r="I1472" s="2"/>
    </row>
    <row r="1473" spans="1:9" x14ac:dyDescent="0.3">
      <c r="A1473" s="2" t="s">
        <v>94</v>
      </c>
      <c r="B1473" s="2" t="s">
        <v>55</v>
      </c>
      <c r="C1473" s="2">
        <v>59.3</v>
      </c>
      <c r="D1473" s="6">
        <f>(Table2_1[[#This Row],[Constant Prices]]-C1472)/C1472</f>
        <v>1.689189189189093E-3</v>
      </c>
      <c r="E1473" s="6">
        <f>(Table2_1[[#This Row],[Constant Prices]]-C1469)/C1469</f>
        <v>6.4631956912028624E-2</v>
      </c>
      <c r="F1473" s="2">
        <v>78.099999999999994</v>
      </c>
      <c r="G1473" s="7">
        <f>(Table2_1[[#This Row],[Current Prices]]-F1472)/F1472</f>
        <v>7.741935483870894E-3</v>
      </c>
      <c r="H1473" s="7">
        <f>(Table2_1[[#This Row],[Current Prices]]-F1469)/F1469</f>
        <v>0.13517441860465113</v>
      </c>
      <c r="I1473" s="2"/>
    </row>
    <row r="1474" spans="1:9" x14ac:dyDescent="0.3">
      <c r="A1474" s="2" t="s">
        <v>94</v>
      </c>
      <c r="B1474" s="2" t="s">
        <v>56</v>
      </c>
      <c r="C1474" s="2">
        <v>57.8</v>
      </c>
      <c r="D1474" s="6">
        <f>(Table2_1[[#This Row],[Constant Prices]]-C1473)/C1473</f>
        <v>-2.5295109612141653E-2</v>
      </c>
      <c r="E1474" s="6">
        <f>(Table2_1[[#This Row],[Constant Prices]]-C1470)/C1470</f>
        <v>1.4035087719298196E-2</v>
      </c>
      <c r="F1474" s="2">
        <v>75.7</v>
      </c>
      <c r="G1474" s="7">
        <f>(Table2_1[[#This Row],[Current Prices]]-F1473)/F1473</f>
        <v>-3.072983354673485E-2</v>
      </c>
      <c r="H1474" s="7">
        <f>(Table2_1[[#This Row],[Current Prices]]-F1470)/F1470</f>
        <v>5.8741258741258781E-2</v>
      </c>
      <c r="I1474" s="2"/>
    </row>
    <row r="1475" spans="1:9" x14ac:dyDescent="0.3">
      <c r="A1475" s="2" t="s">
        <v>94</v>
      </c>
      <c r="B1475" s="2" t="s">
        <v>57</v>
      </c>
      <c r="C1475" s="2">
        <v>58.9</v>
      </c>
      <c r="D1475" s="6">
        <f>(Table2_1[[#This Row],[Constant Prices]]-C1474)/C1474</f>
        <v>1.9031141868512135E-2</v>
      </c>
      <c r="E1475" s="6">
        <f>(Table2_1[[#This Row],[Constant Prices]]-C1471)/C1471</f>
        <v>3.4071550255535899E-3</v>
      </c>
      <c r="F1475" s="2">
        <v>75.599999999999994</v>
      </c>
      <c r="G1475" s="7">
        <f>(Table2_1[[#This Row],[Current Prices]]-F1474)/F1474</f>
        <v>-1.3210039630120016E-3</v>
      </c>
      <c r="H1475" s="7">
        <f>(Table2_1[[#This Row],[Current Prices]]-F1471)/F1471</f>
        <v>3.9889958734525326E-2</v>
      </c>
      <c r="I1475" s="2">
        <v>11</v>
      </c>
    </row>
    <row r="1476" spans="1:9" x14ac:dyDescent="0.3">
      <c r="A1476" s="2" t="s">
        <v>94</v>
      </c>
      <c r="B1476" s="2" t="s">
        <v>58</v>
      </c>
      <c r="C1476" s="2">
        <v>60.3</v>
      </c>
      <c r="D1476" s="6">
        <f>(Table2_1[[#This Row],[Constant Prices]]-C1475)/C1475</f>
        <v>2.3769100169779265E-2</v>
      </c>
      <c r="E1476" s="6">
        <f>(Table2_1[[#This Row],[Constant Prices]]-C1472)/C1472</f>
        <v>1.8581081081080985E-2</v>
      </c>
      <c r="F1476" s="2">
        <v>83.8</v>
      </c>
      <c r="G1476" s="7">
        <f>(Table2_1[[#This Row],[Current Prices]]-F1475)/F1475</f>
        <v>0.10846560846560852</v>
      </c>
      <c r="H1476" s="7">
        <f>(Table2_1[[#This Row],[Current Prices]]-F1472)/F1472</f>
        <v>8.1290322580645127E-2</v>
      </c>
      <c r="I1476" s="2"/>
    </row>
    <row r="1477" spans="1:9" x14ac:dyDescent="0.3">
      <c r="A1477" s="2" t="s">
        <v>94</v>
      </c>
      <c r="B1477" s="2" t="s">
        <v>59</v>
      </c>
      <c r="C1477" s="2">
        <v>60.7</v>
      </c>
      <c r="D1477" s="6">
        <f>(Table2_1[[#This Row],[Constant Prices]]-C1476)/C1476</f>
        <v>6.6334991708126984E-3</v>
      </c>
      <c r="E1477" s="6">
        <f>(Table2_1[[#This Row],[Constant Prices]]-C1473)/C1473</f>
        <v>2.3608768971332305E-2</v>
      </c>
      <c r="F1477" s="2">
        <v>85.7</v>
      </c>
      <c r="G1477" s="7">
        <f>(Table2_1[[#This Row],[Current Prices]]-F1476)/F1476</f>
        <v>2.2673031026253052E-2</v>
      </c>
      <c r="H1477" s="7">
        <f>(Table2_1[[#This Row],[Current Prices]]-F1473)/F1473</f>
        <v>9.7311139564660809E-2</v>
      </c>
      <c r="I1477" s="2"/>
    </row>
    <row r="1478" spans="1:9" x14ac:dyDescent="0.3">
      <c r="A1478" s="2" t="s">
        <v>94</v>
      </c>
      <c r="B1478" s="2" t="s">
        <v>60</v>
      </c>
      <c r="C1478" s="2">
        <v>60.2</v>
      </c>
      <c r="D1478" s="6">
        <f>(Table2_1[[#This Row],[Constant Prices]]-C1477)/C1477</f>
        <v>-8.2372322899505763E-3</v>
      </c>
      <c r="E1478" s="6">
        <f>(Table2_1[[#This Row],[Constant Prices]]-C1474)/C1474</f>
        <v>4.1522491349481071E-2</v>
      </c>
      <c r="F1478" s="2">
        <v>86.1</v>
      </c>
      <c r="G1478" s="7">
        <f>(Table2_1[[#This Row],[Current Prices]]-F1477)/F1477</f>
        <v>4.6674445740955833E-3</v>
      </c>
      <c r="H1478" s="7">
        <f>(Table2_1[[#This Row],[Current Prices]]-F1474)/F1474</f>
        <v>0.13738441215323635</v>
      </c>
      <c r="I1478" s="2"/>
    </row>
    <row r="1479" spans="1:9" x14ac:dyDescent="0.3">
      <c r="A1479" s="2" t="s">
        <v>94</v>
      </c>
      <c r="B1479" s="2" t="s">
        <v>61</v>
      </c>
      <c r="C1479" s="2">
        <v>60.6</v>
      </c>
      <c r="D1479" s="6">
        <f>(Table2_1[[#This Row],[Constant Prices]]-C1478)/C1478</f>
        <v>6.644518272425225E-3</v>
      </c>
      <c r="E1479" s="6">
        <f>(Table2_1[[#This Row],[Constant Prices]]-C1475)/C1475</f>
        <v>2.8862478777589184E-2</v>
      </c>
      <c r="F1479" s="2">
        <v>85.6</v>
      </c>
      <c r="G1479" s="7">
        <f>(Table2_1[[#This Row],[Current Prices]]-F1478)/F1478</f>
        <v>-5.8072009291521487E-3</v>
      </c>
      <c r="H1479" s="7">
        <f>(Table2_1[[#This Row],[Current Prices]]-F1475)/F1475</f>
        <v>0.1322751322751323</v>
      </c>
      <c r="I1479" s="2">
        <v>12</v>
      </c>
    </row>
    <row r="1480" spans="1:9" x14ac:dyDescent="0.3">
      <c r="A1480" s="2" t="s">
        <v>94</v>
      </c>
      <c r="B1480" s="2" t="s">
        <v>62</v>
      </c>
      <c r="C1480" s="2">
        <v>63.2</v>
      </c>
      <c r="D1480" s="6">
        <f>(Table2_1[[#This Row],[Constant Prices]]-C1479)/C1479</f>
        <v>4.2904290429042924E-2</v>
      </c>
      <c r="E1480" s="6">
        <f>(Table2_1[[#This Row],[Constant Prices]]-C1476)/C1476</f>
        <v>4.809286898839147E-2</v>
      </c>
      <c r="F1480" s="2">
        <v>94.1</v>
      </c>
      <c r="G1480" s="7">
        <f>(Table2_1[[#This Row],[Current Prices]]-F1479)/F1479</f>
        <v>9.9299065420560759E-2</v>
      </c>
      <c r="H1480" s="7">
        <f>(Table2_1[[#This Row],[Current Prices]]-F1476)/F1476</f>
        <v>0.12291169451073983</v>
      </c>
      <c r="I1480" s="2"/>
    </row>
    <row r="1481" spans="1:9" x14ac:dyDescent="0.3">
      <c r="A1481" s="2" t="s">
        <v>94</v>
      </c>
      <c r="B1481" s="2" t="s">
        <v>63</v>
      </c>
      <c r="C1481" s="2">
        <v>65.099999999999994</v>
      </c>
      <c r="D1481" s="6">
        <f>(Table2_1[[#This Row],[Constant Prices]]-C1480)/C1480</f>
        <v>3.0063291139240372E-2</v>
      </c>
      <c r="E1481" s="6">
        <f>(Table2_1[[#This Row],[Constant Prices]]-C1477)/C1477</f>
        <v>7.2487644151564931E-2</v>
      </c>
      <c r="F1481" s="2">
        <v>96.8</v>
      </c>
      <c r="G1481" s="7">
        <f>(Table2_1[[#This Row],[Current Prices]]-F1480)/F1480</f>
        <v>2.8692879914984093E-2</v>
      </c>
      <c r="H1481" s="7">
        <f>(Table2_1[[#This Row],[Current Prices]]-F1477)/F1477</f>
        <v>0.12952158693115512</v>
      </c>
      <c r="I1481" s="2"/>
    </row>
    <row r="1482" spans="1:9" x14ac:dyDescent="0.3">
      <c r="A1482" s="2" t="s">
        <v>94</v>
      </c>
      <c r="B1482" s="2" t="s">
        <v>64</v>
      </c>
      <c r="C1482" s="2">
        <v>65.3</v>
      </c>
      <c r="D1482" s="6">
        <f>(Table2_1[[#This Row],[Constant Prices]]-C1481)/C1481</f>
        <v>3.0721966205837612E-3</v>
      </c>
      <c r="E1482" s="6">
        <f>(Table2_1[[#This Row],[Constant Prices]]-C1478)/C1478</f>
        <v>8.471760797342183E-2</v>
      </c>
      <c r="F1482" s="2">
        <v>97.2</v>
      </c>
      <c r="G1482" s="7">
        <f>(Table2_1[[#This Row],[Current Prices]]-F1481)/F1481</f>
        <v>4.1322314049587368E-3</v>
      </c>
      <c r="H1482" s="7">
        <f>(Table2_1[[#This Row],[Current Prices]]-F1478)/F1478</f>
        <v>0.12891986062717781</v>
      </c>
      <c r="I1482" s="2"/>
    </row>
    <row r="1483" spans="1:9" x14ac:dyDescent="0.3">
      <c r="A1483" s="2" t="s">
        <v>94</v>
      </c>
      <c r="B1483" s="2" t="s">
        <v>65</v>
      </c>
      <c r="C1483" s="2">
        <v>65.5</v>
      </c>
      <c r="D1483" s="6">
        <f>(Table2_1[[#This Row],[Constant Prices]]-C1482)/C1482</f>
        <v>3.0627871362940711E-3</v>
      </c>
      <c r="E1483" s="6">
        <f>(Table2_1[[#This Row],[Constant Prices]]-C1479)/C1479</f>
        <v>8.0858085808580837E-2</v>
      </c>
      <c r="F1483" s="2">
        <v>96.8</v>
      </c>
      <c r="G1483" s="7">
        <f>(Table2_1[[#This Row],[Current Prices]]-F1482)/F1482</f>
        <v>-4.1152263374486181E-3</v>
      </c>
      <c r="H1483" s="7">
        <f>(Table2_1[[#This Row],[Current Prices]]-F1479)/F1479</f>
        <v>0.13084112149532715</v>
      </c>
      <c r="I1483" s="2">
        <v>13</v>
      </c>
    </row>
    <row r="1484" spans="1:9" x14ac:dyDescent="0.3">
      <c r="A1484" s="2" t="s">
        <v>94</v>
      </c>
      <c r="B1484" s="2" t="s">
        <v>66</v>
      </c>
      <c r="C1484" s="2">
        <v>64.8</v>
      </c>
      <c r="D1484" s="6">
        <f>(Table2_1[[#This Row],[Constant Prices]]-C1483)/C1483</f>
        <v>-1.0687022900763402E-2</v>
      </c>
      <c r="E1484" s="6">
        <f>(Table2_1[[#This Row],[Constant Prices]]-C1480)/C1480</f>
        <v>2.5316455696202441E-2</v>
      </c>
      <c r="F1484" s="2">
        <v>99.9</v>
      </c>
      <c r="G1484" s="7">
        <f>(Table2_1[[#This Row],[Current Prices]]-F1483)/F1483</f>
        <v>3.202479338842984E-2</v>
      </c>
      <c r="H1484" s="7">
        <f>(Table2_1[[#This Row],[Current Prices]]-F1480)/F1480</f>
        <v>6.1636556854410329E-2</v>
      </c>
      <c r="I1484" s="2"/>
    </row>
    <row r="1485" spans="1:9" x14ac:dyDescent="0.3">
      <c r="A1485" s="2" t="s">
        <v>94</v>
      </c>
      <c r="B1485" s="2" t="s">
        <v>67</v>
      </c>
      <c r="C1485" s="2">
        <v>65.7</v>
      </c>
      <c r="D1485" s="6">
        <f>(Table2_1[[#This Row],[Constant Prices]]-C1484)/C1484</f>
        <v>1.3888888888888977E-2</v>
      </c>
      <c r="E1485" s="6">
        <f>(Table2_1[[#This Row],[Constant Prices]]-C1481)/C1481</f>
        <v>9.2165898617512839E-3</v>
      </c>
      <c r="F1485" s="2">
        <v>103.3</v>
      </c>
      <c r="G1485" s="7">
        <f>(Table2_1[[#This Row],[Current Prices]]-F1484)/F1484</f>
        <v>3.4034034034033947E-2</v>
      </c>
      <c r="H1485" s="7">
        <f>(Table2_1[[#This Row],[Current Prices]]-F1481)/F1481</f>
        <v>6.7148760330578511E-2</v>
      </c>
      <c r="I1485" s="2"/>
    </row>
    <row r="1486" spans="1:9" x14ac:dyDescent="0.3">
      <c r="A1486" s="2" t="s">
        <v>94</v>
      </c>
      <c r="B1486" s="2" t="s">
        <v>68</v>
      </c>
      <c r="C1486" s="2">
        <v>65.900000000000006</v>
      </c>
      <c r="D1486" s="6">
        <f>(Table2_1[[#This Row],[Constant Prices]]-C1485)/C1485</f>
        <v>3.0441400304414435E-3</v>
      </c>
      <c r="E1486" s="6">
        <f>(Table2_1[[#This Row],[Constant Prices]]-C1482)/C1482</f>
        <v>9.1883614088822136E-3</v>
      </c>
      <c r="F1486" s="2">
        <v>103.2</v>
      </c>
      <c r="G1486" s="7">
        <f>(Table2_1[[#This Row],[Current Prices]]-F1485)/F1485</f>
        <v>-9.6805421103576296E-4</v>
      </c>
      <c r="H1486" s="7">
        <f>(Table2_1[[#This Row],[Current Prices]]-F1482)/F1482</f>
        <v>6.1728395061728392E-2</v>
      </c>
      <c r="I1486" s="2"/>
    </row>
    <row r="1487" spans="1:9" x14ac:dyDescent="0.3">
      <c r="A1487" s="2" t="s">
        <v>94</v>
      </c>
      <c r="B1487" s="2" t="s">
        <v>69</v>
      </c>
      <c r="C1487" s="2">
        <v>65.900000000000006</v>
      </c>
      <c r="D1487" s="6">
        <f>(Table2_1[[#This Row],[Constant Prices]]-C1486)/C1486</f>
        <v>0</v>
      </c>
      <c r="E1487" s="6">
        <f>(Table2_1[[#This Row],[Constant Prices]]-C1483)/C1483</f>
        <v>6.1068702290077203E-3</v>
      </c>
      <c r="F1487" s="5">
        <f>Table2_1[[#This Row],[Constant Prices]]*AVERAGE(Inflation!$C$72:$C$74)*0.01</f>
        <v>119.30096666666668</v>
      </c>
      <c r="G1487" s="7">
        <f>(Table2_1[[#This Row],[Current Prices]]-F1486)/F1486</f>
        <v>0.1560171188630492</v>
      </c>
      <c r="H1487" s="7">
        <f>(Table2_1[[#This Row],[Current Prices]]-F1483)/F1483</f>
        <v>0.23244800275482114</v>
      </c>
      <c r="I1487" s="2">
        <v>14</v>
      </c>
    </row>
    <row r="1488" spans="1:9" x14ac:dyDescent="0.3">
      <c r="A1488" s="2" t="s">
        <v>94</v>
      </c>
      <c r="B1488" s="2" t="s">
        <v>70</v>
      </c>
      <c r="C1488" s="2">
        <v>66.2</v>
      </c>
      <c r="D1488" s="6">
        <f>(Table2_1[[#This Row],[Constant Prices]]-C1487)/C1487</f>
        <v>4.5523520485583786E-3</v>
      </c>
      <c r="E1488" s="6">
        <f>(Table2_1[[#This Row],[Constant Prices]]-C1484)/C1484</f>
        <v>2.1604938271605027E-2</v>
      </c>
      <c r="F1488" s="5">
        <f>Table2_1[[#This Row],[Constant Prices]]*AVERAGE(Inflation!$C$75:$C$77)*0.01</f>
        <v>120.77086666666666</v>
      </c>
      <c r="G1488" s="7">
        <f>(Table2_1[[#This Row],[Current Prices]]-F1487)/F1487</f>
        <v>1.2320939562098948E-2</v>
      </c>
      <c r="H1488" s="7">
        <f>(Table2_1[[#This Row],[Current Prices]]-F1484)/F1484</f>
        <v>0.20891758425091747</v>
      </c>
      <c r="I1488" s="2"/>
    </row>
    <row r="1489" spans="1:9" x14ac:dyDescent="0.3">
      <c r="A1489" s="2" t="s">
        <v>94</v>
      </c>
      <c r="B1489" s="2" t="s">
        <v>71</v>
      </c>
      <c r="C1489" s="2">
        <v>67.2</v>
      </c>
      <c r="D1489" s="6">
        <f>(Table2_1[[#This Row],[Constant Prices]]-C1488)/C1488</f>
        <v>1.5105740181268881E-2</v>
      </c>
      <c r="E1489" s="6">
        <f>(Table2_1[[#This Row],[Constant Prices]]-C1485)/C1485</f>
        <v>2.2831050228310501E-2</v>
      </c>
      <c r="F1489" s="5">
        <f>Table2_1[[#This Row],[Constant Prices]]*AVERAGE(Inflation!$C$78:$C$80)*0.01</f>
        <v>124.54400000000001</v>
      </c>
      <c r="G1489" s="7">
        <f>(Table2_1[[#This Row],[Current Prices]]-F1488)/F1488</f>
        <v>3.1242082113622449E-2</v>
      </c>
      <c r="H1489" s="7">
        <f>(Table2_1[[#This Row],[Current Prices]]-F1485)/F1485</f>
        <v>0.20565343659244931</v>
      </c>
      <c r="I1489" s="2"/>
    </row>
    <row r="1490" spans="1:9" x14ac:dyDescent="0.3">
      <c r="A1490" s="2" t="s">
        <v>95</v>
      </c>
      <c r="B1490" s="2" t="s">
        <v>10</v>
      </c>
      <c r="C1490" s="2">
        <v>16116</v>
      </c>
      <c r="D1490" s="6"/>
      <c r="E1490" s="6"/>
      <c r="F1490" s="2">
        <v>12586.8</v>
      </c>
      <c r="G1490" s="7"/>
      <c r="H1490" s="7"/>
      <c r="I1490" s="2"/>
    </row>
    <row r="1491" spans="1:9" x14ac:dyDescent="0.3">
      <c r="A1491" s="2" t="s">
        <v>95</v>
      </c>
      <c r="B1491" s="2" t="s">
        <v>11</v>
      </c>
      <c r="C1491" s="2">
        <v>16166.9</v>
      </c>
      <c r="D1491" s="6">
        <f>(Table2_1[[#This Row],[Constant Prices]]-C1490)/C1490</f>
        <v>3.1583519483742639E-3</v>
      </c>
      <c r="E1491" s="6"/>
      <c r="F1491" s="2">
        <v>12665.7</v>
      </c>
      <c r="G1491" s="7">
        <f>(Table2_1[[#This Row],[Current Prices]]-F1490)/F1490</f>
        <v>6.2684717322910874E-3</v>
      </c>
      <c r="H1491" s="7"/>
      <c r="I1491" s="2"/>
    </row>
    <row r="1492" spans="1:9" x14ac:dyDescent="0.3">
      <c r="A1492" s="2" t="s">
        <v>95</v>
      </c>
      <c r="B1492" s="2" t="s">
        <v>12</v>
      </c>
      <c r="C1492" s="2">
        <v>16325.6</v>
      </c>
      <c r="D1492" s="6">
        <f>(Table2_1[[#This Row],[Constant Prices]]-C1491)/C1491</f>
        <v>9.8163531660368248E-3</v>
      </c>
      <c r="E1492" s="6"/>
      <c r="F1492" s="2">
        <v>12884.9</v>
      </c>
      <c r="G1492" s="7">
        <f>(Table2_1[[#This Row],[Current Prices]]-F1491)/F1491</f>
        <v>1.7306583923509866E-2</v>
      </c>
      <c r="H1492" s="7"/>
      <c r="I1492" s="2"/>
    </row>
    <row r="1493" spans="1:9" x14ac:dyDescent="0.3">
      <c r="A1493" s="2" t="s">
        <v>95</v>
      </c>
      <c r="B1493" s="2" t="s">
        <v>13</v>
      </c>
      <c r="C1493" s="2">
        <v>16168.1</v>
      </c>
      <c r="D1493" s="6">
        <f>(Table2_1[[#This Row],[Constant Prices]]-C1492)/C1492</f>
        <v>-9.6474249032194835E-3</v>
      </c>
      <c r="E1493" s="6"/>
      <c r="F1493" s="2">
        <v>13028.1</v>
      </c>
      <c r="G1493" s="7">
        <f>(Table2_1[[#This Row],[Current Prices]]-F1492)/F1492</f>
        <v>1.1113784352226307E-2</v>
      </c>
      <c r="H1493" s="7"/>
      <c r="I1493" s="2"/>
    </row>
    <row r="1494" spans="1:9" x14ac:dyDescent="0.3">
      <c r="A1494" s="2" t="s">
        <v>95</v>
      </c>
      <c r="B1494" s="2" t="s">
        <v>14</v>
      </c>
      <c r="C1494" s="2">
        <v>15447.8</v>
      </c>
      <c r="D1494" s="6">
        <f>(Table2_1[[#This Row],[Constant Prices]]-C1493)/C1493</f>
        <v>-4.4550689320328365E-2</v>
      </c>
      <c r="E1494" s="6">
        <f>(Table2_1[[#This Row],[Constant Prices]]-C1490)/C1490</f>
        <v>-4.146190121618272E-2</v>
      </c>
      <c r="F1494" s="2">
        <v>12935.3</v>
      </c>
      <c r="G1494" s="7">
        <f>(Table2_1[[#This Row],[Current Prices]]-F1493)/F1493</f>
        <v>-7.1230647600188119E-3</v>
      </c>
      <c r="H1494" s="7">
        <f>(Table2_1[[#This Row],[Current Prices]]-F1490)/F1490</f>
        <v>2.7687736358725016E-2</v>
      </c>
      <c r="I1494" s="2"/>
    </row>
    <row r="1495" spans="1:9" x14ac:dyDescent="0.3">
      <c r="A1495" s="2" t="s">
        <v>95</v>
      </c>
      <c r="B1495" s="2" t="s">
        <v>15</v>
      </c>
      <c r="C1495" s="2">
        <v>15649.4</v>
      </c>
      <c r="D1495" s="6">
        <f>(Table2_1[[#This Row],[Constant Prices]]-C1494)/C1494</f>
        <v>1.3050401998990172E-2</v>
      </c>
      <c r="E1495" s="6">
        <f>(Table2_1[[#This Row],[Constant Prices]]-C1491)/C1491</f>
        <v>-3.2009847280554712E-2</v>
      </c>
      <c r="F1495" s="2">
        <v>13275.1</v>
      </c>
      <c r="G1495" s="7">
        <f>(Table2_1[[#This Row],[Current Prices]]-F1494)/F1494</f>
        <v>2.6269201332787109E-2</v>
      </c>
      <c r="H1495" s="7">
        <f>(Table2_1[[#This Row],[Current Prices]]-F1491)/F1491</f>
        <v>4.8114198188809111E-2</v>
      </c>
      <c r="I1495" s="2"/>
    </row>
    <row r="1496" spans="1:9" x14ac:dyDescent="0.3">
      <c r="A1496" s="2" t="s">
        <v>95</v>
      </c>
      <c r="B1496" s="2" t="s">
        <v>16</v>
      </c>
      <c r="C1496" s="2">
        <v>15653.5</v>
      </c>
      <c r="D1496" s="6">
        <f>(Table2_1[[#This Row],[Constant Prices]]-C1495)/C1495</f>
        <v>2.6199087504954593E-4</v>
      </c>
      <c r="E1496" s="6">
        <f>(Table2_1[[#This Row],[Constant Prices]]-C1492)/C1492</f>
        <v>-4.1168471602881389E-2</v>
      </c>
      <c r="F1496" s="2">
        <v>13334</v>
      </c>
      <c r="G1496" s="7">
        <f>(Table2_1[[#This Row],[Current Prices]]-F1495)/F1495</f>
        <v>4.4368780649486359E-3</v>
      </c>
      <c r="H1496" s="7">
        <f>(Table2_1[[#This Row],[Current Prices]]-F1492)/F1492</f>
        <v>3.4854752462184446E-2</v>
      </c>
      <c r="I1496" s="2"/>
    </row>
    <row r="1497" spans="1:9" x14ac:dyDescent="0.3">
      <c r="A1497" s="2" t="s">
        <v>95</v>
      </c>
      <c r="B1497" s="2" t="s">
        <v>17</v>
      </c>
      <c r="C1497" s="2">
        <v>15715.2</v>
      </c>
      <c r="D1497" s="6">
        <f>(Table2_1[[#This Row],[Constant Prices]]-C1496)/C1496</f>
        <v>3.9416105024435892E-3</v>
      </c>
      <c r="E1497" s="6">
        <f>(Table2_1[[#This Row],[Constant Prices]]-C1493)/C1493</f>
        <v>-2.8011949456027588E-2</v>
      </c>
      <c r="F1497" s="2">
        <v>13666.6</v>
      </c>
      <c r="G1497" s="7">
        <f>(Table2_1[[#This Row],[Current Prices]]-F1496)/F1496</f>
        <v>2.4943752812359408E-2</v>
      </c>
      <c r="H1497" s="7">
        <f>(Table2_1[[#This Row],[Current Prices]]-F1493)/F1493</f>
        <v>4.9009448806809894E-2</v>
      </c>
      <c r="I1497" s="2">
        <v>1</v>
      </c>
    </row>
    <row r="1498" spans="1:9" x14ac:dyDescent="0.3">
      <c r="A1498" s="2" t="s">
        <v>95</v>
      </c>
      <c r="B1498" s="2" t="s">
        <v>18</v>
      </c>
      <c r="C1498" s="2">
        <v>15948.1</v>
      </c>
      <c r="D1498" s="6">
        <f>(Table2_1[[#This Row],[Constant Prices]]-C1497)/C1497</f>
        <v>1.4820046833638746E-2</v>
      </c>
      <c r="E1498" s="6">
        <f>(Table2_1[[#This Row],[Constant Prices]]-C1494)/C1494</f>
        <v>3.2386488690946354E-2</v>
      </c>
      <c r="F1498" s="2">
        <v>14097.2</v>
      </c>
      <c r="G1498" s="7">
        <f>(Table2_1[[#This Row],[Current Prices]]-F1497)/F1497</f>
        <v>3.1507470768150116E-2</v>
      </c>
      <c r="H1498" s="7">
        <f>(Table2_1[[#This Row],[Current Prices]]-F1494)/F1494</f>
        <v>8.9823970066407549E-2</v>
      </c>
      <c r="I1498" s="2"/>
    </row>
    <row r="1499" spans="1:9" x14ac:dyDescent="0.3">
      <c r="A1499" s="2" t="s">
        <v>95</v>
      </c>
      <c r="B1499" s="2" t="s">
        <v>19</v>
      </c>
      <c r="C1499" s="2">
        <v>16096.5</v>
      </c>
      <c r="D1499" s="6">
        <f>(Table2_1[[#This Row],[Constant Prices]]-C1498)/C1498</f>
        <v>9.3051836895930943E-3</v>
      </c>
      <c r="E1499" s="6">
        <f>(Table2_1[[#This Row],[Constant Prices]]-C1495)/C1495</f>
        <v>2.8569785423083336E-2</v>
      </c>
      <c r="F1499" s="2">
        <v>14340.2</v>
      </c>
      <c r="G1499" s="7">
        <f>(Table2_1[[#This Row],[Current Prices]]-F1498)/F1498</f>
        <v>1.7237465596004878E-2</v>
      </c>
      <c r="H1499" s="7">
        <f>(Table2_1[[#This Row],[Current Prices]]-F1495)/F1495</f>
        <v>8.0232917266159984E-2</v>
      </c>
      <c r="I1499" s="2"/>
    </row>
    <row r="1500" spans="1:9" x14ac:dyDescent="0.3">
      <c r="A1500" s="2" t="s">
        <v>95</v>
      </c>
      <c r="B1500" s="2" t="s">
        <v>20</v>
      </c>
      <c r="C1500" s="2">
        <v>16348.9</v>
      </c>
      <c r="D1500" s="6">
        <f>(Table2_1[[#This Row],[Constant Prices]]-C1499)/C1499</f>
        <v>1.5680427422110375E-2</v>
      </c>
      <c r="E1500" s="6">
        <f>(Table2_1[[#This Row],[Constant Prices]]-C1496)/C1496</f>
        <v>4.4424569585076797E-2</v>
      </c>
      <c r="F1500" s="2">
        <v>14775.3</v>
      </c>
      <c r="G1500" s="7">
        <f>(Table2_1[[#This Row],[Current Prices]]-F1499)/F1499</f>
        <v>3.0341278364318387E-2</v>
      </c>
      <c r="H1500" s="7">
        <f>(Table2_1[[#This Row],[Current Prices]]-F1496)/F1496</f>
        <v>0.10809209539523018</v>
      </c>
      <c r="I1500" s="2"/>
    </row>
    <row r="1501" spans="1:9" x14ac:dyDescent="0.3">
      <c r="A1501" s="2" t="s">
        <v>95</v>
      </c>
      <c r="B1501" s="2" t="s">
        <v>21</v>
      </c>
      <c r="C1501" s="2">
        <v>16497.8</v>
      </c>
      <c r="D1501" s="6">
        <f>(Table2_1[[#This Row],[Constant Prices]]-C1500)/C1500</f>
        <v>9.1076463859953664E-3</v>
      </c>
      <c r="E1501" s="6">
        <f>(Table2_1[[#This Row],[Constant Prices]]-C1497)/C1497</f>
        <v>4.9798920790063025E-2</v>
      </c>
      <c r="F1501" s="2">
        <v>15012.7</v>
      </c>
      <c r="G1501" s="7">
        <f>(Table2_1[[#This Row],[Current Prices]]-F1500)/F1500</f>
        <v>1.6067355654369217E-2</v>
      </c>
      <c r="H1501" s="7">
        <f>(Table2_1[[#This Row],[Current Prices]]-F1497)/F1497</f>
        <v>9.8495602417572797E-2</v>
      </c>
      <c r="I1501" s="2">
        <v>2</v>
      </c>
    </row>
    <row r="1502" spans="1:9" x14ac:dyDescent="0.3">
      <c r="A1502" s="2" t="s">
        <v>95</v>
      </c>
      <c r="B1502" s="2" t="s">
        <v>22</v>
      </c>
      <c r="C1502" s="2">
        <v>16246.2</v>
      </c>
      <c r="D1502" s="6">
        <f>(Table2_1[[#This Row],[Constant Prices]]-C1501)/C1501</f>
        <v>-1.5250518250918216E-2</v>
      </c>
      <c r="E1502" s="6">
        <f>(Table2_1[[#This Row],[Constant Prices]]-C1498)/C1498</f>
        <v>1.86918817915614E-2</v>
      </c>
      <c r="F1502" s="2">
        <v>15225.8</v>
      </c>
      <c r="G1502" s="7">
        <f>(Table2_1[[#This Row],[Current Prices]]-F1501)/F1501</f>
        <v>1.4194648530910398E-2</v>
      </c>
      <c r="H1502" s="7">
        <f>(Table2_1[[#This Row],[Current Prices]]-F1498)/F1498</f>
        <v>8.0058451323666999E-2</v>
      </c>
      <c r="I1502" s="2"/>
    </row>
    <row r="1503" spans="1:9" x14ac:dyDescent="0.3">
      <c r="A1503" s="2" t="s">
        <v>95</v>
      </c>
      <c r="B1503" s="2" t="s">
        <v>23</v>
      </c>
      <c r="C1503" s="2">
        <v>16391.599999999999</v>
      </c>
      <c r="D1503" s="6">
        <f>(Table2_1[[#This Row],[Constant Prices]]-C1502)/C1502</f>
        <v>8.9497851805343896E-3</v>
      </c>
      <c r="E1503" s="6">
        <f>(Table2_1[[#This Row],[Constant Prices]]-C1499)/C1499</f>
        <v>1.8333178020066385E-2</v>
      </c>
      <c r="F1503" s="2">
        <v>15450.4</v>
      </c>
      <c r="G1503" s="7">
        <f>(Table2_1[[#This Row],[Current Prices]]-F1502)/F1502</f>
        <v>1.4751277436981989E-2</v>
      </c>
      <c r="H1503" s="7">
        <f>(Table2_1[[#This Row],[Current Prices]]-F1499)/F1499</f>
        <v>7.7418724982915077E-2</v>
      </c>
      <c r="I1503" s="2"/>
    </row>
    <row r="1504" spans="1:9" x14ac:dyDescent="0.3">
      <c r="A1504" s="2" t="s">
        <v>95</v>
      </c>
      <c r="B1504" s="2" t="s">
        <v>24</v>
      </c>
      <c r="C1504" s="2">
        <v>16459.900000000001</v>
      </c>
      <c r="D1504" s="6">
        <f>(Table2_1[[#This Row],[Constant Prices]]-C1503)/C1503</f>
        <v>4.1667683447621289E-3</v>
      </c>
      <c r="E1504" s="6">
        <f>(Table2_1[[#This Row],[Constant Prices]]-C1500)/C1500</f>
        <v>6.7894476080960688E-3</v>
      </c>
      <c r="F1504" s="2">
        <v>15428.3</v>
      </c>
      <c r="G1504" s="7">
        <f>(Table2_1[[#This Row],[Current Prices]]-F1503)/F1503</f>
        <v>-1.430383679386965E-3</v>
      </c>
      <c r="H1504" s="7">
        <f>(Table2_1[[#This Row],[Current Prices]]-F1500)/F1500</f>
        <v>4.4195380127645463E-2</v>
      </c>
      <c r="I1504" s="2"/>
    </row>
    <row r="1505" spans="1:9" x14ac:dyDescent="0.3">
      <c r="A1505" s="2" t="s">
        <v>95</v>
      </c>
      <c r="B1505" s="2" t="s">
        <v>25</v>
      </c>
      <c r="C1505" s="2">
        <v>16604</v>
      </c>
      <c r="D1505" s="6">
        <f>(Table2_1[[#This Row],[Constant Prices]]-C1504)/C1504</f>
        <v>8.7546096877865916E-3</v>
      </c>
      <c r="E1505" s="6">
        <f>(Table2_1[[#This Row],[Constant Prices]]-C1501)/C1501</f>
        <v>6.4372219326213637E-3</v>
      </c>
      <c r="F1505" s="2">
        <v>15635.5</v>
      </c>
      <c r="G1505" s="7">
        <f>(Table2_1[[#This Row],[Current Prices]]-F1504)/F1504</f>
        <v>1.3429865895788954E-2</v>
      </c>
      <c r="H1505" s="7">
        <f>(Table2_1[[#This Row],[Current Prices]]-F1501)/F1501</f>
        <v>4.1484876138202939E-2</v>
      </c>
      <c r="I1505" s="2">
        <v>3</v>
      </c>
    </row>
    <row r="1506" spans="1:9" x14ac:dyDescent="0.3">
      <c r="A1506" s="2" t="s">
        <v>95</v>
      </c>
      <c r="B1506" s="2" t="s">
        <v>26</v>
      </c>
      <c r="C1506" s="2">
        <v>16697.400000000001</v>
      </c>
      <c r="D1506" s="6">
        <f>(Table2_1[[#This Row],[Constant Prices]]-C1505)/C1505</f>
        <v>5.6251505661287313E-3</v>
      </c>
      <c r="E1506" s="6">
        <f>(Table2_1[[#This Row],[Constant Prices]]-C1502)/C1502</f>
        <v>2.7772648373158074E-2</v>
      </c>
      <c r="F1506" s="2">
        <v>15916.9</v>
      </c>
      <c r="G1506" s="7">
        <f>(Table2_1[[#This Row],[Current Prices]]-F1505)/F1505</f>
        <v>1.799750567618558E-2</v>
      </c>
      <c r="H1506" s="7">
        <f>(Table2_1[[#This Row],[Current Prices]]-F1502)/F1502</f>
        <v>4.5390061605958335E-2</v>
      </c>
      <c r="I1506" s="2"/>
    </row>
    <row r="1507" spans="1:9" x14ac:dyDescent="0.3">
      <c r="A1507" s="2" t="s">
        <v>95</v>
      </c>
      <c r="B1507" s="2" t="s">
        <v>27</v>
      </c>
      <c r="C1507" s="2">
        <v>16763.2</v>
      </c>
      <c r="D1507" s="6">
        <f>(Table2_1[[#This Row],[Constant Prices]]-C1506)/C1506</f>
        <v>3.9407332878172207E-3</v>
      </c>
      <c r="E1507" s="6">
        <f>(Table2_1[[#This Row],[Constant Prices]]-C1503)/C1503</f>
        <v>2.2670148124649347E-2</v>
      </c>
      <c r="F1507" s="2">
        <v>16017.5</v>
      </c>
      <c r="G1507" s="7">
        <f>(Table2_1[[#This Row],[Current Prices]]-F1506)/F1506</f>
        <v>6.3203261941709981E-3</v>
      </c>
      <c r="H1507" s="7">
        <f>(Table2_1[[#This Row],[Current Prices]]-F1503)/F1503</f>
        <v>3.67045513384767E-2</v>
      </c>
      <c r="I1507" s="2"/>
    </row>
    <row r="1508" spans="1:9" x14ac:dyDescent="0.3">
      <c r="A1508" s="2" t="s">
        <v>95</v>
      </c>
      <c r="B1508" s="2" t="s">
        <v>28</v>
      </c>
      <c r="C1508" s="2">
        <v>16865.3</v>
      </c>
      <c r="D1508" s="6">
        <f>(Table2_1[[#This Row],[Constant Prices]]-C1507)/C1507</f>
        <v>6.0907225350767475E-3</v>
      </c>
      <c r="E1508" s="6">
        <f>(Table2_1[[#This Row],[Constant Prices]]-C1504)/C1504</f>
        <v>2.4629554250025686E-2</v>
      </c>
      <c r="F1508" s="2">
        <v>16390.599999999999</v>
      </c>
      <c r="G1508" s="7">
        <f>(Table2_1[[#This Row],[Current Prices]]-F1507)/F1507</f>
        <v>2.3293272982675108E-2</v>
      </c>
      <c r="H1508" s="7">
        <f>(Table2_1[[#This Row],[Current Prices]]-F1504)/F1504</f>
        <v>6.2372393588405677E-2</v>
      </c>
      <c r="I1508" s="2"/>
    </row>
    <row r="1509" spans="1:9" x14ac:dyDescent="0.3">
      <c r="A1509" s="2" t="s">
        <v>95</v>
      </c>
      <c r="B1509" s="2" t="s">
        <v>29</v>
      </c>
      <c r="C1509" s="2">
        <v>16949</v>
      </c>
      <c r="D1509" s="6">
        <f>(Table2_1[[#This Row],[Constant Prices]]-C1508)/C1508</f>
        <v>4.9628527212679718E-3</v>
      </c>
      <c r="E1509" s="6">
        <f>(Table2_1[[#This Row],[Constant Prices]]-C1505)/C1505</f>
        <v>2.0778125752830643E-2</v>
      </c>
      <c r="F1509" s="2">
        <v>16578.900000000001</v>
      </c>
      <c r="G1509" s="7">
        <f>(Table2_1[[#This Row],[Current Prices]]-F1508)/F1508</f>
        <v>1.148829206984509E-2</v>
      </c>
      <c r="H1509" s="7">
        <f>(Table2_1[[#This Row],[Current Prices]]-F1505)/F1505</f>
        <v>6.033705350004806E-2</v>
      </c>
      <c r="I1509" s="2">
        <v>4</v>
      </c>
    </row>
    <row r="1510" spans="1:9" x14ac:dyDescent="0.3">
      <c r="A1510" s="2" t="s">
        <v>95</v>
      </c>
      <c r="B1510" s="2" t="s">
        <v>30</v>
      </c>
      <c r="C1510" s="2">
        <v>16898.900000000001</v>
      </c>
      <c r="D1510" s="6">
        <f>(Table2_1[[#This Row],[Constant Prices]]-C1509)/C1509</f>
        <v>-2.9559266033393444E-3</v>
      </c>
      <c r="E1510" s="6">
        <f>(Table2_1[[#This Row],[Constant Prices]]-C1506)/C1506</f>
        <v>1.2067747074394815E-2</v>
      </c>
      <c r="F1510" s="2">
        <v>16848.2</v>
      </c>
      <c r="G1510" s="7">
        <f>(Table2_1[[#This Row],[Current Prices]]-F1509)/F1509</f>
        <v>1.6243538473601944E-2</v>
      </c>
      <c r="H1510" s="7">
        <f>(Table2_1[[#This Row],[Current Prices]]-F1506)/F1506</f>
        <v>5.8510137024169351E-2</v>
      </c>
      <c r="I1510" s="2"/>
    </row>
    <row r="1511" spans="1:9" x14ac:dyDescent="0.3">
      <c r="A1511" s="2" t="s">
        <v>95</v>
      </c>
      <c r="B1511" s="2" t="s">
        <v>31</v>
      </c>
      <c r="C1511" s="2">
        <v>16868.5</v>
      </c>
      <c r="D1511" s="6">
        <f>(Table2_1[[#This Row],[Constant Prices]]-C1510)/C1510</f>
        <v>-1.7989336584038874E-3</v>
      </c>
      <c r="E1511" s="6">
        <f>(Table2_1[[#This Row],[Constant Prices]]-C1507)/C1507</f>
        <v>6.281616875059611E-3</v>
      </c>
      <c r="F1511" s="2">
        <v>16750.900000000001</v>
      </c>
      <c r="G1511" s="7">
        <f>(Table2_1[[#This Row],[Current Prices]]-F1510)/F1510</f>
        <v>-5.7750976365427325E-3</v>
      </c>
      <c r="H1511" s="7">
        <f>(Table2_1[[#This Row],[Current Prices]]-F1507)/F1507</f>
        <v>4.5787420009364851E-2</v>
      </c>
      <c r="I1511" s="2"/>
    </row>
    <row r="1512" spans="1:9" x14ac:dyDescent="0.3">
      <c r="A1512" s="2" t="s">
        <v>95</v>
      </c>
      <c r="B1512" s="2" t="s">
        <v>32</v>
      </c>
      <c r="C1512" s="2">
        <v>16842.2</v>
      </c>
      <c r="D1512" s="6">
        <f>(Table2_1[[#This Row],[Constant Prices]]-C1511)/C1511</f>
        <v>-1.5591190680854417E-3</v>
      </c>
      <c r="E1512" s="6">
        <f>(Table2_1[[#This Row],[Constant Prices]]-C1508)/C1508</f>
        <v>-1.3696761990595215E-3</v>
      </c>
      <c r="F1512" s="2">
        <v>16905.099999999999</v>
      </c>
      <c r="G1512" s="7">
        <f>(Table2_1[[#This Row],[Current Prices]]-F1511)/F1511</f>
        <v>9.2054755266879444E-3</v>
      </c>
      <c r="H1512" s="7">
        <f>(Table2_1[[#This Row],[Current Prices]]-F1508)/F1508</f>
        <v>3.1389943016118999E-2</v>
      </c>
      <c r="I1512" s="2"/>
    </row>
    <row r="1513" spans="1:9" x14ac:dyDescent="0.3">
      <c r="A1513" s="2" t="s">
        <v>95</v>
      </c>
      <c r="B1513" s="2" t="s">
        <v>33</v>
      </c>
      <c r="C1513" s="2">
        <v>16931.900000000001</v>
      </c>
      <c r="D1513" s="6">
        <f>(Table2_1[[#This Row],[Constant Prices]]-C1512)/C1512</f>
        <v>5.3259075417701205E-3</v>
      </c>
      <c r="E1513" s="6">
        <f>(Table2_1[[#This Row],[Constant Prices]]-C1509)/C1509</f>
        <v>-1.0089090801816357E-3</v>
      </c>
      <c r="F1513" s="2">
        <v>17037.3</v>
      </c>
      <c r="G1513" s="7">
        <f>(Table2_1[[#This Row],[Current Prices]]-F1512)/F1512</f>
        <v>7.8201252876351369E-3</v>
      </c>
      <c r="H1513" s="7">
        <f>(Table2_1[[#This Row],[Current Prices]]-F1509)/F1509</f>
        <v>2.7649602808388841E-2</v>
      </c>
      <c r="I1513" s="2">
        <v>5</v>
      </c>
    </row>
    <row r="1514" spans="1:9" x14ac:dyDescent="0.3">
      <c r="A1514" s="2" t="s">
        <v>95</v>
      </c>
      <c r="B1514" s="2" t="s">
        <v>34</v>
      </c>
      <c r="C1514" s="2">
        <v>16849.599999999999</v>
      </c>
      <c r="D1514" s="6">
        <f>(Table2_1[[#This Row],[Constant Prices]]-C1513)/C1513</f>
        <v>-4.860647653246411E-3</v>
      </c>
      <c r="E1514" s="6">
        <f>(Table2_1[[#This Row],[Constant Prices]]-C1510)/C1510</f>
        <v>-2.9173496499773893E-3</v>
      </c>
      <c r="F1514" s="2">
        <v>17258.5</v>
      </c>
      <c r="G1514" s="7">
        <f>(Table2_1[[#This Row],[Current Prices]]-F1513)/F1513</f>
        <v>1.2983277866798187E-2</v>
      </c>
      <c r="H1514" s="7">
        <f>(Table2_1[[#This Row],[Current Prices]]-F1510)/F1510</f>
        <v>2.4352749848648478E-2</v>
      </c>
      <c r="I1514" s="2"/>
    </row>
    <row r="1515" spans="1:9" x14ac:dyDescent="0.3">
      <c r="A1515" s="2" t="s">
        <v>95</v>
      </c>
      <c r="B1515" s="2" t="s">
        <v>35</v>
      </c>
      <c r="C1515" s="2">
        <v>16885.900000000001</v>
      </c>
      <c r="D1515" s="6">
        <f>(Table2_1[[#This Row],[Constant Prices]]-C1514)/C1514</f>
        <v>2.1543538125535868E-3</v>
      </c>
      <c r="E1515" s="6">
        <f>(Table2_1[[#This Row],[Constant Prices]]-C1511)/C1511</f>
        <v>1.0315084328779355E-3</v>
      </c>
      <c r="F1515" s="2">
        <v>17363.599999999999</v>
      </c>
      <c r="G1515" s="7">
        <f>(Table2_1[[#This Row],[Current Prices]]-F1514)/F1514</f>
        <v>6.0897528753946486E-3</v>
      </c>
      <c r="H1515" s="7">
        <f>(Table2_1[[#This Row],[Current Prices]]-F1511)/F1511</f>
        <v>3.6577139138792368E-2</v>
      </c>
      <c r="I1515" s="2"/>
    </row>
    <row r="1516" spans="1:9" x14ac:dyDescent="0.3">
      <c r="A1516" s="2" t="s">
        <v>95</v>
      </c>
      <c r="B1516" s="2" t="s">
        <v>36</v>
      </c>
      <c r="C1516" s="2">
        <v>16882.099999999999</v>
      </c>
      <c r="D1516" s="6">
        <f>(Table2_1[[#This Row],[Constant Prices]]-C1515)/C1515</f>
        <v>-2.2503982612729614E-4</v>
      </c>
      <c r="E1516" s="6">
        <f>(Table2_1[[#This Row],[Constant Prices]]-C1512)/C1512</f>
        <v>2.369049174098266E-3</v>
      </c>
      <c r="F1516" s="2">
        <v>17636.599999999999</v>
      </c>
      <c r="G1516" s="7">
        <f>(Table2_1[[#This Row],[Current Prices]]-F1515)/F1515</f>
        <v>1.5722546015803175E-2</v>
      </c>
      <c r="H1516" s="7">
        <f>(Table2_1[[#This Row],[Current Prices]]-F1512)/F1512</f>
        <v>4.3270965566604168E-2</v>
      </c>
      <c r="I1516" s="2"/>
    </row>
    <row r="1517" spans="1:9" x14ac:dyDescent="0.3">
      <c r="A1517" s="2" t="s">
        <v>95</v>
      </c>
      <c r="B1517" s="2" t="s">
        <v>37</v>
      </c>
      <c r="C1517" s="2">
        <v>17142.2</v>
      </c>
      <c r="D1517" s="6">
        <f>(Table2_1[[#This Row],[Constant Prices]]-C1516)/C1516</f>
        <v>1.5406851043412976E-2</v>
      </c>
      <c r="E1517" s="6">
        <f>(Table2_1[[#This Row],[Constant Prices]]-C1513)/C1513</f>
        <v>1.2420342666800492E-2</v>
      </c>
      <c r="F1517" s="2">
        <v>17910.099999999999</v>
      </c>
      <c r="G1517" s="7">
        <f>(Table2_1[[#This Row],[Current Prices]]-F1516)/F1516</f>
        <v>1.5507524125965323E-2</v>
      </c>
      <c r="H1517" s="7">
        <f>(Table2_1[[#This Row],[Current Prices]]-F1513)/F1513</f>
        <v>5.1228774512393355E-2</v>
      </c>
      <c r="I1517" s="2">
        <v>6</v>
      </c>
    </row>
    <row r="1518" spans="1:9" x14ac:dyDescent="0.3">
      <c r="A1518" s="2" t="s">
        <v>95</v>
      </c>
      <c r="B1518" s="2" t="s">
        <v>38</v>
      </c>
      <c r="C1518" s="2">
        <v>17260.099999999999</v>
      </c>
      <c r="D1518" s="6">
        <f>(Table2_1[[#This Row],[Constant Prices]]-C1517)/C1517</f>
        <v>6.8777636476063638E-3</v>
      </c>
      <c r="E1518" s="6">
        <f>(Table2_1[[#This Row],[Constant Prices]]-C1514)/C1514</f>
        <v>2.4362596144715604E-2</v>
      </c>
      <c r="F1518" s="2">
        <v>18284.599999999999</v>
      </c>
      <c r="G1518" s="7">
        <f>(Table2_1[[#This Row],[Current Prices]]-F1517)/F1517</f>
        <v>2.0909989335626267E-2</v>
      </c>
      <c r="H1518" s="7">
        <f>(Table2_1[[#This Row],[Current Prices]]-F1514)/F1514</f>
        <v>5.9454761421907962E-2</v>
      </c>
      <c r="I1518" s="2"/>
    </row>
    <row r="1519" spans="1:9" x14ac:dyDescent="0.3">
      <c r="A1519" s="2" t="s">
        <v>95</v>
      </c>
      <c r="B1519" s="2" t="s">
        <v>39</v>
      </c>
      <c r="C1519" s="2">
        <v>17239.3</v>
      </c>
      <c r="D1519" s="6">
        <f>(Table2_1[[#This Row],[Constant Prices]]-C1518)/C1518</f>
        <v>-1.2050915116366228E-3</v>
      </c>
      <c r="E1519" s="6">
        <f>(Table2_1[[#This Row],[Constant Prices]]-C1515)/C1515</f>
        <v>2.0928703829822384E-2</v>
      </c>
      <c r="F1519" s="2">
        <v>18593.5</v>
      </c>
      <c r="G1519" s="7">
        <f>(Table2_1[[#This Row],[Current Prices]]-F1518)/F1518</f>
        <v>1.6893998228017102E-2</v>
      </c>
      <c r="H1519" s="7">
        <f>(Table2_1[[#This Row],[Current Prices]]-F1515)/F1515</f>
        <v>7.083208551222106E-2</v>
      </c>
      <c r="I1519" s="2"/>
    </row>
    <row r="1520" spans="1:9" x14ac:dyDescent="0.3">
      <c r="A1520" s="2" t="s">
        <v>95</v>
      </c>
      <c r="B1520" s="2" t="s">
        <v>40</v>
      </c>
      <c r="C1520" s="2">
        <v>17361.3</v>
      </c>
      <c r="D1520" s="6">
        <f>(Table2_1[[#This Row],[Constant Prices]]-C1519)/C1519</f>
        <v>7.0768534685283048E-3</v>
      </c>
      <c r="E1520" s="6">
        <f>(Table2_1[[#This Row],[Constant Prices]]-C1516)/C1516</f>
        <v>2.8385094271447319E-2</v>
      </c>
      <c r="F1520" s="2">
        <v>19053.5</v>
      </c>
      <c r="G1520" s="7">
        <f>(Table2_1[[#This Row],[Current Prices]]-F1519)/F1519</f>
        <v>2.4739828434668029E-2</v>
      </c>
      <c r="H1520" s="7">
        <f>(Table2_1[[#This Row],[Current Prices]]-F1516)/F1516</f>
        <v>8.0338614018575102E-2</v>
      </c>
      <c r="I1520" s="2"/>
    </row>
    <row r="1521" spans="1:9" x14ac:dyDescent="0.3">
      <c r="A1521" s="2" t="s">
        <v>95</v>
      </c>
      <c r="B1521" s="2" t="s">
        <v>41</v>
      </c>
      <c r="C1521" s="2">
        <v>17625.900000000001</v>
      </c>
      <c r="D1521" s="6">
        <f>(Table2_1[[#This Row],[Constant Prices]]-C1520)/C1520</f>
        <v>1.5240794180159447E-2</v>
      </c>
      <c r="E1521" s="6">
        <f>(Table2_1[[#This Row],[Constant Prices]]-C1517)/C1517</f>
        <v>2.8216914981741007E-2</v>
      </c>
      <c r="F1521" s="2">
        <v>19493.900000000001</v>
      </c>
      <c r="G1521" s="7">
        <f>(Table2_1[[#This Row],[Current Prices]]-F1520)/F1520</f>
        <v>2.3113863594615237E-2</v>
      </c>
      <c r="H1521" s="7">
        <f>(Table2_1[[#This Row],[Current Prices]]-F1517)/F1517</f>
        <v>8.8430550359852991E-2</v>
      </c>
      <c r="I1521" s="2">
        <v>7</v>
      </c>
    </row>
    <row r="1522" spans="1:9" x14ac:dyDescent="0.3">
      <c r="A1522" s="2" t="s">
        <v>95</v>
      </c>
      <c r="B1522" s="2" t="s">
        <v>42</v>
      </c>
      <c r="C1522" s="2">
        <v>17765.099999999999</v>
      </c>
      <c r="D1522" s="6">
        <f>(Table2_1[[#This Row],[Constant Prices]]-C1521)/C1521</f>
        <v>7.8974690654092603E-3</v>
      </c>
      <c r="E1522" s="6">
        <f>(Table2_1[[#This Row],[Constant Prices]]-C1518)/C1518</f>
        <v>2.925823141233249E-2</v>
      </c>
      <c r="F1522" s="2">
        <v>20603.7</v>
      </c>
      <c r="G1522" s="7">
        <f>(Table2_1[[#This Row],[Current Prices]]-F1521)/F1521</f>
        <v>5.6930629581561372E-2</v>
      </c>
      <c r="H1522" s="7">
        <f>(Table2_1[[#This Row],[Current Prices]]-F1518)/F1518</f>
        <v>0.12683351016702593</v>
      </c>
      <c r="I1522" s="2"/>
    </row>
    <row r="1523" spans="1:9" x14ac:dyDescent="0.3">
      <c r="A1523" s="2" t="s">
        <v>95</v>
      </c>
      <c r="B1523" s="2" t="s">
        <v>43</v>
      </c>
      <c r="C1523" s="2">
        <v>17841.2</v>
      </c>
      <c r="D1523" s="6">
        <f>(Table2_1[[#This Row],[Constant Prices]]-C1522)/C1522</f>
        <v>4.2836797991568972E-3</v>
      </c>
      <c r="E1523" s="6">
        <f>(Table2_1[[#This Row],[Constant Prices]]-C1519)/C1519</f>
        <v>3.4914410677927846E-2</v>
      </c>
      <c r="F1523" s="2">
        <v>20966.5</v>
      </c>
      <c r="G1523" s="7">
        <f>(Table2_1[[#This Row],[Current Prices]]-F1522)/F1522</f>
        <v>1.7608487795881287E-2</v>
      </c>
      <c r="H1523" s="7">
        <f>(Table2_1[[#This Row],[Current Prices]]-F1519)/F1519</f>
        <v>0.12762524538145051</v>
      </c>
      <c r="I1523" s="2"/>
    </row>
    <row r="1524" spans="1:9" x14ac:dyDescent="0.3">
      <c r="A1524" s="2" t="s">
        <v>95</v>
      </c>
      <c r="B1524" s="2" t="s">
        <v>44</v>
      </c>
      <c r="C1524" s="2">
        <v>17929.599999999999</v>
      </c>
      <c r="D1524" s="6">
        <f>(Table2_1[[#This Row],[Constant Prices]]-C1523)/C1523</f>
        <v>4.9548236665693905E-3</v>
      </c>
      <c r="E1524" s="6">
        <f>(Table2_1[[#This Row],[Constant Prices]]-C1520)/C1520</f>
        <v>3.2733723857084396E-2</v>
      </c>
      <c r="F1524" s="2">
        <v>21497.4</v>
      </c>
      <c r="G1524" s="7">
        <f>(Table2_1[[#This Row],[Current Prices]]-F1523)/F1523</f>
        <v>2.5321345956645192E-2</v>
      </c>
      <c r="H1524" s="7">
        <f>(Table2_1[[#This Row],[Current Prices]]-F1520)/F1520</f>
        <v>0.12826514813551324</v>
      </c>
      <c r="I1524" s="2"/>
    </row>
    <row r="1525" spans="1:9" x14ac:dyDescent="0.3">
      <c r="A1525" s="2" t="s">
        <v>95</v>
      </c>
      <c r="B1525" s="2" t="s">
        <v>45</v>
      </c>
      <c r="C1525" s="2">
        <v>18039.400000000001</v>
      </c>
      <c r="D1525" s="6">
        <f>(Table2_1[[#This Row],[Constant Prices]]-C1524)/C1524</f>
        <v>6.1239514545780678E-3</v>
      </c>
      <c r="E1525" s="6">
        <f>(Table2_1[[#This Row],[Constant Prices]]-C1521)/C1521</f>
        <v>2.3459794960824693E-2</v>
      </c>
      <c r="F1525" s="2">
        <v>21864.7</v>
      </c>
      <c r="G1525" s="7">
        <f>(Table2_1[[#This Row],[Current Prices]]-F1524)/F1524</f>
        <v>1.7085787118442195E-2</v>
      </c>
      <c r="H1525" s="7">
        <f>(Table2_1[[#This Row],[Current Prices]]-F1521)/F1521</f>
        <v>0.12161753163810213</v>
      </c>
      <c r="I1525" s="2">
        <v>8</v>
      </c>
    </row>
    <row r="1526" spans="1:9" x14ac:dyDescent="0.3">
      <c r="A1526" s="2" t="s">
        <v>95</v>
      </c>
      <c r="B1526" s="2" t="s">
        <v>46</v>
      </c>
      <c r="C1526" s="2">
        <v>18145.599999999999</v>
      </c>
      <c r="D1526" s="6">
        <f>(Table2_1[[#This Row],[Constant Prices]]-C1525)/C1525</f>
        <v>5.887113762098356E-3</v>
      </c>
      <c r="E1526" s="6">
        <f>(Table2_1[[#This Row],[Constant Prices]]-C1522)/C1522</f>
        <v>2.141839899578387E-2</v>
      </c>
      <c r="F1526" s="2">
        <v>22416.400000000001</v>
      </c>
      <c r="G1526" s="7">
        <f>(Table2_1[[#This Row],[Current Prices]]-F1525)/F1525</f>
        <v>2.5232452308972943E-2</v>
      </c>
      <c r="H1526" s="7">
        <f>(Table2_1[[#This Row],[Current Prices]]-F1522)/F1522</f>
        <v>8.7979343515970462E-2</v>
      </c>
      <c r="I1526" s="2"/>
    </row>
    <row r="1527" spans="1:9" x14ac:dyDescent="0.3">
      <c r="A1527" s="2" t="s">
        <v>95</v>
      </c>
      <c r="B1527" s="2" t="s">
        <v>47</v>
      </c>
      <c r="C1527" s="2">
        <v>18228.099999999999</v>
      </c>
      <c r="D1527" s="6">
        <f>(Table2_1[[#This Row],[Constant Prices]]-C1526)/C1526</f>
        <v>4.5465567410281288E-3</v>
      </c>
      <c r="E1527" s="6">
        <f>(Table2_1[[#This Row],[Constant Prices]]-C1523)/C1523</f>
        <v>2.1685761047463052E-2</v>
      </c>
      <c r="F1527" s="2">
        <v>23008</v>
      </c>
      <c r="G1527" s="7">
        <f>(Table2_1[[#This Row],[Current Prices]]-F1526)/F1526</f>
        <v>2.639139201655924E-2</v>
      </c>
      <c r="H1527" s="7">
        <f>(Table2_1[[#This Row],[Current Prices]]-F1523)/F1523</f>
        <v>9.7369613430949367E-2</v>
      </c>
      <c r="I1527" s="2"/>
    </row>
    <row r="1528" spans="1:9" x14ac:dyDescent="0.3">
      <c r="A1528" s="2" t="s">
        <v>95</v>
      </c>
      <c r="B1528" s="2" t="s">
        <v>48</v>
      </c>
      <c r="C1528" s="2">
        <v>18227.900000000001</v>
      </c>
      <c r="D1528" s="6">
        <f>(Table2_1[[#This Row],[Constant Prices]]-C1527)/C1527</f>
        <v>-1.0972070594142541E-5</v>
      </c>
      <c r="E1528" s="6">
        <f>(Table2_1[[#This Row],[Constant Prices]]-C1524)/C1524</f>
        <v>1.663729252186345E-2</v>
      </c>
      <c r="F1528" s="2">
        <v>23340.9</v>
      </c>
      <c r="G1528" s="7">
        <f>(Table2_1[[#This Row],[Current Prices]]-F1527)/F1527</f>
        <v>1.4468880389429827E-2</v>
      </c>
      <c r="H1528" s="7">
        <f>(Table2_1[[#This Row],[Current Prices]]-F1524)/F1524</f>
        <v>8.5754556364955756E-2</v>
      </c>
      <c r="I1528" s="2"/>
    </row>
    <row r="1529" spans="1:9" x14ac:dyDescent="0.3">
      <c r="A1529" s="2" t="s">
        <v>95</v>
      </c>
      <c r="B1529" s="2" t="s">
        <v>49</v>
      </c>
      <c r="C1529" s="2">
        <v>18219.099999999999</v>
      </c>
      <c r="D1529" s="6">
        <f>(Table2_1[[#This Row],[Constant Prices]]-C1528)/C1528</f>
        <v>-4.8277640320623384E-4</v>
      </c>
      <c r="E1529" s="6">
        <f>(Table2_1[[#This Row],[Constant Prices]]-C1525)/C1525</f>
        <v>9.9615286539462E-3</v>
      </c>
      <c r="F1529" s="2">
        <v>23345.1</v>
      </c>
      <c r="G1529" s="7">
        <f>(Table2_1[[#This Row],[Current Prices]]-F1528)/F1528</f>
        <v>1.7994164749418785E-4</v>
      </c>
      <c r="H1529" s="7">
        <f>(Table2_1[[#This Row],[Current Prices]]-F1525)/F1525</f>
        <v>6.7707309041514299E-2</v>
      </c>
      <c r="I1529" s="2">
        <v>9</v>
      </c>
    </row>
    <row r="1530" spans="1:9" x14ac:dyDescent="0.3">
      <c r="A1530" s="2" t="s">
        <v>95</v>
      </c>
      <c r="B1530" s="2" t="s">
        <v>50</v>
      </c>
      <c r="C1530" s="2">
        <v>17387.099999999999</v>
      </c>
      <c r="D1530" s="6">
        <f>(Table2_1[[#This Row],[Constant Prices]]-C1529)/C1529</f>
        <v>-4.5666361126510097E-2</v>
      </c>
      <c r="E1530" s="6">
        <f>(Table2_1[[#This Row],[Constant Prices]]-C1526)/C1526</f>
        <v>-4.1800767128119219E-2</v>
      </c>
      <c r="F1530" s="2">
        <v>22334.9</v>
      </c>
      <c r="G1530" s="7">
        <f>(Table2_1[[#This Row],[Current Prices]]-F1529)/F1529</f>
        <v>-4.3272464028853902E-2</v>
      </c>
      <c r="H1530" s="7">
        <f>(Table2_1[[#This Row],[Current Prices]]-F1526)/F1526</f>
        <v>-3.6357309826733995E-3</v>
      </c>
      <c r="I1530" s="2"/>
    </row>
    <row r="1531" spans="1:9" x14ac:dyDescent="0.3">
      <c r="A1531" s="2" t="s">
        <v>95</v>
      </c>
      <c r="B1531" s="2" t="s">
        <v>51</v>
      </c>
      <c r="C1531" s="2">
        <v>14537.9</v>
      </c>
      <c r="D1531" s="6">
        <f>(Table2_1[[#This Row],[Constant Prices]]-C1530)/C1530</f>
        <v>-0.16386861523773366</v>
      </c>
      <c r="E1531" s="6">
        <f>(Table2_1[[#This Row],[Constant Prices]]-C1527)/C1527</f>
        <v>-0.20244567453546991</v>
      </c>
      <c r="F1531" s="2">
        <v>18615.599999999999</v>
      </c>
      <c r="G1531" s="7">
        <f>(Table2_1[[#This Row],[Current Prices]]-F1530)/F1530</f>
        <v>-0.16652413935141874</v>
      </c>
      <c r="H1531" s="7">
        <f>(Table2_1[[#This Row],[Current Prices]]-F1527)/F1527</f>
        <v>-0.19090751043115445</v>
      </c>
      <c r="I1531" s="2"/>
    </row>
    <row r="1532" spans="1:9" x14ac:dyDescent="0.3">
      <c r="A1532" s="2" t="s">
        <v>95</v>
      </c>
      <c r="B1532" s="2" t="s">
        <v>52</v>
      </c>
      <c r="C1532" s="2">
        <v>16669.400000000001</v>
      </c>
      <c r="D1532" s="6">
        <f>(Table2_1[[#This Row],[Constant Prices]]-C1531)/C1531</f>
        <v>0.14661677408704157</v>
      </c>
      <c r="E1532" s="6">
        <f>(Table2_1[[#This Row],[Constant Prices]]-C1528)/C1528</f>
        <v>-8.5500798226893937E-2</v>
      </c>
      <c r="F1532" s="2">
        <v>22079.3</v>
      </c>
      <c r="G1532" s="7">
        <f>(Table2_1[[#This Row],[Current Prices]]-F1531)/F1531</f>
        <v>0.18606437611465657</v>
      </c>
      <c r="H1532" s="7">
        <f>(Table2_1[[#This Row],[Current Prices]]-F1528)/F1528</f>
        <v>-5.4051043447339311E-2</v>
      </c>
      <c r="I1532" s="2"/>
    </row>
    <row r="1533" spans="1:9" x14ac:dyDescent="0.3">
      <c r="A1533" s="2" t="s">
        <v>95</v>
      </c>
      <c r="B1533" s="2" t="s">
        <v>53</v>
      </c>
      <c r="C1533" s="2">
        <v>16962.599999999999</v>
      </c>
      <c r="D1533" s="6">
        <f>(Table2_1[[#This Row],[Constant Prices]]-C1532)/C1532</f>
        <v>1.7589115385076671E-2</v>
      </c>
      <c r="E1533" s="6">
        <f>(Table2_1[[#This Row],[Constant Prices]]-C1529)/C1529</f>
        <v>-6.8966085042620112E-2</v>
      </c>
      <c r="F1533" s="2">
        <v>22402.2</v>
      </c>
      <c r="G1533" s="7">
        <f>(Table2_1[[#This Row],[Current Prices]]-F1532)/F1532</f>
        <v>1.4624557843772288E-2</v>
      </c>
      <c r="H1533" s="7">
        <f>(Table2_1[[#This Row],[Current Prices]]-F1529)/F1529</f>
        <v>-4.0389632085533915E-2</v>
      </c>
      <c r="I1533" s="2">
        <v>10</v>
      </c>
    </row>
    <row r="1534" spans="1:9" x14ac:dyDescent="0.3">
      <c r="A1534" s="2" t="s">
        <v>95</v>
      </c>
      <c r="B1534" s="2" t="s">
        <v>54</v>
      </c>
      <c r="C1534" s="2">
        <v>17183.599999999999</v>
      </c>
      <c r="D1534" s="6">
        <f>(Table2_1[[#This Row],[Constant Prices]]-C1533)/C1533</f>
        <v>1.3028663058729205E-2</v>
      </c>
      <c r="E1534" s="6">
        <f>(Table2_1[[#This Row],[Constant Prices]]-C1530)/C1530</f>
        <v>-1.1704079461209748E-2</v>
      </c>
      <c r="F1534" s="2">
        <v>23170.400000000001</v>
      </c>
      <c r="G1534" s="7">
        <f>(Table2_1[[#This Row],[Current Prices]]-F1533)/F1533</f>
        <v>3.429127496406606E-2</v>
      </c>
      <c r="H1534" s="7">
        <f>(Table2_1[[#This Row],[Current Prices]]-F1530)/F1530</f>
        <v>3.7407823630282652E-2</v>
      </c>
      <c r="I1534" s="2"/>
    </row>
    <row r="1535" spans="1:9" x14ac:dyDescent="0.3">
      <c r="A1535" s="2" t="s">
        <v>95</v>
      </c>
      <c r="B1535" s="2" t="s">
        <v>55</v>
      </c>
      <c r="C1535" s="2">
        <v>17127.7</v>
      </c>
      <c r="D1535" s="6">
        <f>(Table2_1[[#This Row],[Constant Prices]]-C1534)/C1534</f>
        <v>-3.2531017947343877E-3</v>
      </c>
      <c r="E1535" s="6">
        <f>(Table2_1[[#This Row],[Constant Prices]]-C1531)/C1531</f>
        <v>0.17814127212320907</v>
      </c>
      <c r="F1535" s="2">
        <v>23913.200000000001</v>
      </c>
      <c r="G1535" s="7">
        <f>(Table2_1[[#This Row],[Current Prices]]-F1534)/F1534</f>
        <v>3.2058143148154507E-2</v>
      </c>
      <c r="H1535" s="7">
        <f>(Table2_1[[#This Row],[Current Prices]]-F1531)/F1531</f>
        <v>0.28457852553772117</v>
      </c>
      <c r="I1535" s="2"/>
    </row>
    <row r="1536" spans="1:9" x14ac:dyDescent="0.3">
      <c r="A1536" s="2" t="s">
        <v>95</v>
      </c>
      <c r="B1536" s="2" t="s">
        <v>56</v>
      </c>
      <c r="C1536" s="2">
        <v>17172.8</v>
      </c>
      <c r="D1536" s="6">
        <f>(Table2_1[[#This Row],[Constant Prices]]-C1535)/C1535</f>
        <v>2.6331614869479583E-3</v>
      </c>
      <c r="E1536" s="6">
        <f>(Table2_1[[#This Row],[Constant Prices]]-C1532)/C1532</f>
        <v>3.0199047356233445E-2</v>
      </c>
      <c r="F1536" s="2">
        <v>24414.1</v>
      </c>
      <c r="G1536" s="7">
        <f>(Table2_1[[#This Row],[Current Prices]]-F1535)/F1535</f>
        <v>2.0946590167773355E-2</v>
      </c>
      <c r="H1536" s="7">
        <f>(Table2_1[[#This Row],[Current Prices]]-F1532)/F1532</f>
        <v>0.1057461060812616</v>
      </c>
      <c r="I1536" s="2"/>
    </row>
    <row r="1537" spans="1:9" x14ac:dyDescent="0.3">
      <c r="A1537" s="2" t="s">
        <v>95</v>
      </c>
      <c r="B1537" s="2" t="s">
        <v>57</v>
      </c>
      <c r="C1537" s="2">
        <v>17614.400000000001</v>
      </c>
      <c r="D1537" s="6">
        <f>(Table2_1[[#This Row],[Constant Prices]]-C1536)/C1536</f>
        <v>2.5715084319388928E-2</v>
      </c>
      <c r="E1537" s="6">
        <f>(Table2_1[[#This Row],[Constant Prices]]-C1533)/C1533</f>
        <v>3.8425713039274813E-2</v>
      </c>
      <c r="F1537" s="2">
        <v>24557.5</v>
      </c>
      <c r="G1537" s="7">
        <f>(Table2_1[[#This Row],[Current Prices]]-F1536)/F1536</f>
        <v>5.8736549780660135E-3</v>
      </c>
      <c r="H1537" s="7">
        <f>(Table2_1[[#This Row],[Current Prices]]-F1533)/F1533</f>
        <v>9.6209300872235726E-2</v>
      </c>
      <c r="I1537" s="2">
        <v>11</v>
      </c>
    </row>
    <row r="1538" spans="1:9" x14ac:dyDescent="0.3">
      <c r="A1538" s="2" t="s">
        <v>95</v>
      </c>
      <c r="B1538" s="2" t="s">
        <v>58</v>
      </c>
      <c r="C1538" s="2">
        <v>17663</v>
      </c>
      <c r="D1538" s="6">
        <f>(Table2_1[[#This Row],[Constant Prices]]-C1537)/C1537</f>
        <v>2.7591061858478596E-3</v>
      </c>
      <c r="E1538" s="6">
        <f>(Table2_1[[#This Row],[Constant Prices]]-C1534)/C1534</f>
        <v>2.789869410368034E-2</v>
      </c>
      <c r="F1538" s="2">
        <v>26055.4</v>
      </c>
      <c r="G1538" s="7">
        <f>(Table2_1[[#This Row],[Current Prices]]-F1537)/F1537</f>
        <v>6.0995622518578901E-2</v>
      </c>
      <c r="H1538" s="7">
        <f>(Table2_1[[#This Row],[Current Prices]]-F1534)/F1534</f>
        <v>0.12451230880778924</v>
      </c>
      <c r="I1538" s="2"/>
    </row>
    <row r="1539" spans="1:9" x14ac:dyDescent="0.3">
      <c r="A1539" s="2" t="s">
        <v>95</v>
      </c>
      <c r="B1539" s="2" t="s">
        <v>59</v>
      </c>
      <c r="C1539" s="2">
        <v>17681.5</v>
      </c>
      <c r="D1539" s="6">
        <f>(Table2_1[[#This Row],[Constant Prices]]-C1538)/C1538</f>
        <v>1.0473871935684765E-3</v>
      </c>
      <c r="E1539" s="6">
        <f>(Table2_1[[#This Row],[Constant Prices]]-C1535)/C1535</f>
        <v>3.2333588280971715E-2</v>
      </c>
      <c r="F1539" s="2">
        <v>26489.8</v>
      </c>
      <c r="G1539" s="7">
        <f>(Table2_1[[#This Row],[Current Prices]]-F1538)/F1538</f>
        <v>1.6672167765607045E-2</v>
      </c>
      <c r="H1539" s="7">
        <f>(Table2_1[[#This Row],[Current Prices]]-F1535)/F1535</f>
        <v>0.10774802201294675</v>
      </c>
      <c r="I1539" s="2"/>
    </row>
    <row r="1540" spans="1:9" x14ac:dyDescent="0.3">
      <c r="A1540" s="2" t="s">
        <v>95</v>
      </c>
      <c r="B1540" s="2" t="s">
        <v>60</v>
      </c>
      <c r="C1540" s="2">
        <v>17859</v>
      </c>
      <c r="D1540" s="6">
        <f>(Table2_1[[#This Row],[Constant Prices]]-C1539)/C1539</f>
        <v>1.0038741057037016E-2</v>
      </c>
      <c r="E1540" s="6">
        <f>(Table2_1[[#This Row],[Constant Prices]]-C1536)/C1536</f>
        <v>3.9958539085064797E-2</v>
      </c>
      <c r="F1540" s="2">
        <v>27227.4</v>
      </c>
      <c r="G1540" s="7">
        <f>(Table2_1[[#This Row],[Current Prices]]-F1539)/F1539</f>
        <v>2.7844679839032466E-2</v>
      </c>
      <c r="H1540" s="7">
        <f>(Table2_1[[#This Row],[Current Prices]]-F1536)/F1536</f>
        <v>0.11523259100274034</v>
      </c>
      <c r="I1540" s="2"/>
    </row>
    <row r="1541" spans="1:9" x14ac:dyDescent="0.3">
      <c r="A1541" s="2" t="s">
        <v>95</v>
      </c>
      <c r="B1541" s="2" t="s">
        <v>61</v>
      </c>
      <c r="C1541" s="2">
        <v>17978.8</v>
      </c>
      <c r="D1541" s="6">
        <f>(Table2_1[[#This Row],[Constant Prices]]-C1540)/C1540</f>
        <v>6.7081023573547947E-3</v>
      </c>
      <c r="E1541" s="6">
        <f>(Table2_1[[#This Row],[Constant Prices]]-C1537)/C1537</f>
        <v>2.0687619220637533E-2</v>
      </c>
      <c r="F1541" s="2">
        <v>27533.1</v>
      </c>
      <c r="G1541" s="7">
        <f>(Table2_1[[#This Row],[Current Prices]]-F1540)/F1540</f>
        <v>1.1227660371537388E-2</v>
      </c>
      <c r="H1541" s="7">
        <f>(Table2_1[[#This Row],[Current Prices]]-F1537)/F1537</f>
        <v>0.12116868573755465</v>
      </c>
      <c r="I1541" s="2">
        <v>12</v>
      </c>
    </row>
    <row r="1542" spans="1:9" x14ac:dyDescent="0.3">
      <c r="A1542" s="2" t="s">
        <v>95</v>
      </c>
      <c r="B1542" s="2" t="s">
        <v>62</v>
      </c>
      <c r="C1542" s="2">
        <v>17871</v>
      </c>
      <c r="D1542" s="6">
        <f>(Table2_1[[#This Row],[Constant Prices]]-C1541)/C1541</f>
        <v>-5.9959507864818162E-3</v>
      </c>
      <c r="E1542" s="6">
        <f>(Table2_1[[#This Row],[Constant Prices]]-C1538)/C1538</f>
        <v>1.1776028987148275E-2</v>
      </c>
      <c r="F1542" s="2">
        <v>28419.9</v>
      </c>
      <c r="G1542" s="7">
        <f>(Table2_1[[#This Row],[Current Prices]]-F1541)/F1541</f>
        <v>3.2208505398956276E-2</v>
      </c>
      <c r="H1542" s="7">
        <f>(Table2_1[[#This Row],[Current Prices]]-F1538)/F1538</f>
        <v>9.074894263761063E-2</v>
      </c>
      <c r="I1542" s="2"/>
    </row>
    <row r="1543" spans="1:9" x14ac:dyDescent="0.3">
      <c r="A1543" s="2" t="s">
        <v>95</v>
      </c>
      <c r="B1543" s="2" t="s">
        <v>63</v>
      </c>
      <c r="C1543" s="2">
        <v>17744.2</v>
      </c>
      <c r="D1543" s="6">
        <f>(Table2_1[[#This Row],[Constant Prices]]-C1542)/C1542</f>
        <v>-7.0952940518157499E-3</v>
      </c>
      <c r="E1543" s="6">
        <f>(Table2_1[[#This Row],[Constant Prices]]-C1539)/C1539</f>
        <v>3.5460792353590323E-3</v>
      </c>
      <c r="F1543" s="2">
        <v>28400.9</v>
      </c>
      <c r="G1543" s="7">
        <f>(Table2_1[[#This Row],[Current Prices]]-F1542)/F1542</f>
        <v>-6.6854563175802869E-4</v>
      </c>
      <c r="H1543" s="7">
        <f>(Table2_1[[#This Row],[Current Prices]]-F1539)/F1539</f>
        <v>7.2144750054738138E-2</v>
      </c>
      <c r="I1543" s="2"/>
    </row>
    <row r="1544" spans="1:9" x14ac:dyDescent="0.3">
      <c r="A1544" s="2" t="s">
        <v>95</v>
      </c>
      <c r="B1544" s="2" t="s">
        <v>64</v>
      </c>
      <c r="C1544" s="2">
        <v>17739.5</v>
      </c>
      <c r="D1544" s="6">
        <f>(Table2_1[[#This Row],[Constant Prices]]-C1543)/C1543</f>
        <v>-2.6487528319116824E-4</v>
      </c>
      <c r="E1544" s="6">
        <f>(Table2_1[[#This Row],[Constant Prices]]-C1540)/C1540</f>
        <v>-6.691304104373145E-3</v>
      </c>
      <c r="F1544" s="2">
        <v>28727.200000000001</v>
      </c>
      <c r="G1544" s="7">
        <f>(Table2_1[[#This Row],[Current Prices]]-F1543)/F1543</f>
        <v>1.1489072529391648E-2</v>
      </c>
      <c r="H1544" s="7">
        <f>(Table2_1[[#This Row],[Current Prices]]-F1540)/F1540</f>
        <v>5.508421663471353E-2</v>
      </c>
      <c r="I1544" s="2"/>
    </row>
    <row r="1545" spans="1:9" x14ac:dyDescent="0.3">
      <c r="A1545" s="2" t="s">
        <v>95</v>
      </c>
      <c r="B1545" s="2" t="s">
        <v>65</v>
      </c>
      <c r="C1545" s="2">
        <v>17807.7</v>
      </c>
      <c r="D1545" s="6">
        <f>(Table2_1[[#This Row],[Constant Prices]]-C1544)/C1544</f>
        <v>3.8445277488091956E-3</v>
      </c>
      <c r="E1545" s="6">
        <f>(Table2_1[[#This Row],[Constant Prices]]-C1541)/C1541</f>
        <v>-9.5167641889335516E-3</v>
      </c>
      <c r="F1545" s="2">
        <v>29021.8</v>
      </c>
      <c r="G1545" s="7">
        <f>(Table2_1[[#This Row],[Current Prices]]-F1544)/F1544</f>
        <v>1.0255089253390463E-2</v>
      </c>
      <c r="H1545" s="7">
        <f>(Table2_1[[#This Row],[Current Prices]]-F1541)/F1541</f>
        <v>5.4069465479731696E-2</v>
      </c>
      <c r="I1545" s="2">
        <v>13</v>
      </c>
    </row>
    <row r="1546" spans="1:9" x14ac:dyDescent="0.3">
      <c r="A1546" s="2" t="s">
        <v>95</v>
      </c>
      <c r="B1546" s="2" t="s">
        <v>66</v>
      </c>
      <c r="C1546" s="2">
        <v>17911</v>
      </c>
      <c r="D1546" s="6">
        <f>(Table2_1[[#This Row],[Constant Prices]]-C1545)/C1545</f>
        <v>5.800861425113814E-3</v>
      </c>
      <c r="E1546" s="6">
        <f>(Table2_1[[#This Row],[Constant Prices]]-C1542)/C1542</f>
        <v>2.2382631078283251E-3</v>
      </c>
      <c r="F1546" s="2">
        <v>29752.400000000001</v>
      </c>
      <c r="G1546" s="7">
        <f>(Table2_1[[#This Row],[Current Prices]]-F1545)/F1545</f>
        <v>2.5174179409960865E-2</v>
      </c>
      <c r="H1546" s="7">
        <f>(Table2_1[[#This Row],[Current Prices]]-F1542)/F1542</f>
        <v>4.6886160753556484E-2</v>
      </c>
      <c r="I1546" s="2"/>
    </row>
    <row r="1547" spans="1:9" x14ac:dyDescent="0.3">
      <c r="A1547" s="2" t="s">
        <v>95</v>
      </c>
      <c r="B1547" s="2" t="s">
        <v>67</v>
      </c>
      <c r="C1547" s="2">
        <v>17977.900000000001</v>
      </c>
      <c r="D1547" s="6">
        <f>(Table2_1[[#This Row],[Constant Prices]]-C1546)/C1546</f>
        <v>3.7351348333427197E-3</v>
      </c>
      <c r="E1547" s="6">
        <f>(Table2_1[[#This Row],[Constant Prices]]-C1543)/C1543</f>
        <v>1.3170500783354602E-2</v>
      </c>
      <c r="F1547" s="2">
        <v>30080.799999999999</v>
      </c>
      <c r="G1547" s="7">
        <f>(Table2_1[[#This Row],[Current Prices]]-F1546)/F1546</f>
        <v>1.1037765020636917E-2</v>
      </c>
      <c r="H1547" s="7">
        <f>(Table2_1[[#This Row],[Current Prices]]-F1543)/F1543</f>
        <v>5.9149533993640965E-2</v>
      </c>
      <c r="I1547" s="2"/>
    </row>
    <row r="1548" spans="1:9" x14ac:dyDescent="0.3">
      <c r="A1548" s="2" t="s">
        <v>95</v>
      </c>
      <c r="B1548" s="2" t="s">
        <v>68</v>
      </c>
      <c r="C1548" s="2">
        <v>18175.3</v>
      </c>
      <c r="D1548" s="6">
        <f>(Table2_1[[#This Row],[Constant Prices]]-C1547)/C1547</f>
        <v>1.0980147848191268E-2</v>
      </c>
      <c r="E1548" s="6">
        <f>(Table2_1[[#This Row],[Constant Prices]]-C1544)/C1544</f>
        <v>2.456664505763969E-2</v>
      </c>
      <c r="F1548" s="2">
        <v>30646.5</v>
      </c>
      <c r="G1548" s="7">
        <f>(Table2_1[[#This Row],[Current Prices]]-F1547)/F1547</f>
        <v>1.8806015797452221E-2</v>
      </c>
      <c r="H1548" s="7">
        <f>(Table2_1[[#This Row],[Current Prices]]-F1544)/F1544</f>
        <v>6.6811245091759702E-2</v>
      </c>
      <c r="I1548" s="2"/>
    </row>
    <row r="1549" spans="1:9" x14ac:dyDescent="0.3">
      <c r="A1549" s="2" t="s">
        <v>95</v>
      </c>
      <c r="B1549" s="2" t="s">
        <v>69</v>
      </c>
      <c r="C1549" s="2">
        <v>18245.8</v>
      </c>
      <c r="D1549" s="6">
        <f>(Table2_1[[#This Row],[Constant Prices]]-C1548)/C1548</f>
        <v>3.8788905822737451E-3</v>
      </c>
      <c r="E1549" s="6">
        <f>(Table2_1[[#This Row],[Constant Prices]]-C1545)/C1545</f>
        <v>2.4601717234679299E-2</v>
      </c>
      <c r="F1549" s="5">
        <f>Table2_1[[#This Row],[Constant Prices]]*AVERAGE(Inflation!$C$72:$C$74)*0.01</f>
        <v>33030.979933333336</v>
      </c>
      <c r="G1549" s="7">
        <f>(Table2_1[[#This Row],[Current Prices]]-F1548)/F1548</f>
        <v>7.7805946301644099E-2</v>
      </c>
      <c r="H1549" s="7">
        <f>(Table2_1[[#This Row],[Current Prices]]-F1545)/F1545</f>
        <v>0.1381437379257433</v>
      </c>
      <c r="I1549" s="2">
        <v>14</v>
      </c>
    </row>
    <row r="1550" spans="1:9" x14ac:dyDescent="0.3">
      <c r="A1550" s="2" t="s">
        <v>95</v>
      </c>
      <c r="B1550" s="2" t="s">
        <v>70</v>
      </c>
      <c r="C1550" s="2">
        <v>18213.5</v>
      </c>
      <c r="D1550" s="6">
        <f>(Table2_1[[#This Row],[Constant Prices]]-C1549)/C1549</f>
        <v>-1.7702704183976189E-3</v>
      </c>
      <c r="E1550" s="6">
        <f>(Table2_1[[#This Row],[Constant Prices]]-C1546)/C1546</f>
        <v>1.6889062587236894E-2</v>
      </c>
      <c r="F1550" s="5">
        <f>Table2_1[[#This Row],[Constant Prices]]*AVERAGE(Inflation!$C$75:$C$77)*0.01</f>
        <v>33227.49516666666</v>
      </c>
      <c r="G1550" s="7">
        <f>(Table2_1[[#This Row],[Current Prices]]-F1549)/F1549</f>
        <v>5.9494218376188821E-3</v>
      </c>
      <c r="H1550" s="7">
        <f>(Table2_1[[#This Row],[Current Prices]]-F1546)/F1546</f>
        <v>0.11680049900736272</v>
      </c>
      <c r="I1550" s="2"/>
    </row>
    <row r="1551" spans="1:9" x14ac:dyDescent="0.3">
      <c r="A1551" s="2" t="s">
        <v>95</v>
      </c>
      <c r="B1551" s="2" t="s">
        <v>71</v>
      </c>
      <c r="C1551" s="2">
        <v>18646</v>
      </c>
      <c r="D1551" s="6">
        <f>(Table2_1[[#This Row],[Constant Prices]]-C1550)/C1550</f>
        <v>2.37461223817498E-2</v>
      </c>
      <c r="E1551" s="6">
        <f>(Table2_1[[#This Row],[Constant Prices]]-C1547)/C1547</f>
        <v>3.7162293705048893E-2</v>
      </c>
      <c r="F1551" s="5">
        <f>Table2_1[[#This Row],[Constant Prices]]*AVERAGE(Inflation!$C$78:$C$80)*0.01</f>
        <v>34557.253333333334</v>
      </c>
      <c r="G1551" s="7">
        <f>(Table2_1[[#This Row],[Current Prices]]-F1550)/F1550</f>
        <v>4.0019813711406928E-2</v>
      </c>
      <c r="H1551" s="7">
        <f>(Table2_1[[#This Row],[Current Prices]]-F1547)/F1547</f>
        <v>0.148814304584098</v>
      </c>
      <c r="I1551" s="2"/>
    </row>
    <row r="1552" spans="1:9" x14ac:dyDescent="0.3">
      <c r="A1552" s="2" t="s">
        <v>96</v>
      </c>
      <c r="B1552" s="2" t="s">
        <v>10</v>
      </c>
      <c r="C1552" s="2">
        <v>3082.1</v>
      </c>
      <c r="D1552" s="6"/>
      <c r="E1552" s="6"/>
      <c r="F1552" s="2">
        <v>2378.6</v>
      </c>
      <c r="G1552" s="7"/>
      <c r="H1552" s="7"/>
      <c r="I1552" s="2"/>
    </row>
    <row r="1553" spans="1:9" x14ac:dyDescent="0.3">
      <c r="A1553" s="2" t="s">
        <v>96</v>
      </c>
      <c r="B1553" s="2" t="s">
        <v>11</v>
      </c>
      <c r="C1553" s="2">
        <v>3122.1</v>
      </c>
      <c r="D1553" s="6">
        <f>(Table2_1[[#This Row],[Constant Prices]]-C1552)/C1552</f>
        <v>1.2978164238668441E-2</v>
      </c>
      <c r="E1553" s="6"/>
      <c r="F1553" s="2">
        <v>2454.5</v>
      </c>
      <c r="G1553" s="7">
        <f>(Table2_1[[#This Row],[Current Prices]]-F1552)/F1552</f>
        <v>3.1909526612292988E-2</v>
      </c>
      <c r="H1553" s="7"/>
      <c r="I1553" s="2"/>
    </row>
    <row r="1554" spans="1:9" x14ac:dyDescent="0.3">
      <c r="A1554" s="2" t="s">
        <v>96</v>
      </c>
      <c r="B1554" s="2" t="s">
        <v>12</v>
      </c>
      <c r="C1554" s="2">
        <v>3157.8</v>
      </c>
      <c r="D1554" s="6">
        <f>(Table2_1[[#This Row],[Constant Prices]]-C1553)/C1553</f>
        <v>1.1434611319304401E-2</v>
      </c>
      <c r="E1554" s="6"/>
      <c r="F1554" s="2">
        <v>2488.6999999999998</v>
      </c>
      <c r="G1554" s="7">
        <f>(Table2_1[[#This Row],[Current Prices]]-F1553)/F1553</f>
        <v>1.3933591362802941E-2</v>
      </c>
      <c r="H1554" s="7"/>
      <c r="I1554" s="2"/>
    </row>
    <row r="1555" spans="1:9" x14ac:dyDescent="0.3">
      <c r="A1555" s="2" t="s">
        <v>96</v>
      </c>
      <c r="B1555" s="2" t="s">
        <v>13</v>
      </c>
      <c r="C1555" s="2">
        <v>3209.5</v>
      </c>
      <c r="D1555" s="6">
        <f>(Table2_1[[#This Row],[Constant Prices]]-C1554)/C1554</f>
        <v>1.637215783140155E-2</v>
      </c>
      <c r="E1555" s="6"/>
      <c r="F1555" s="2">
        <v>2538.1</v>
      </c>
      <c r="G1555" s="7">
        <f>(Table2_1[[#This Row],[Current Prices]]-F1554)/F1554</f>
        <v>1.9849720737734597E-2</v>
      </c>
      <c r="H1555" s="7"/>
      <c r="I1555" s="2"/>
    </row>
    <row r="1556" spans="1:9" x14ac:dyDescent="0.3">
      <c r="A1556" s="2" t="s">
        <v>96</v>
      </c>
      <c r="B1556" s="2" t="s">
        <v>14</v>
      </c>
      <c r="C1556" s="2">
        <v>3280.9</v>
      </c>
      <c r="D1556" s="6">
        <f>(Table2_1[[#This Row],[Constant Prices]]-C1555)/C1555</f>
        <v>2.2246455834242122E-2</v>
      </c>
      <c r="E1556" s="6">
        <f>(Table2_1[[#This Row],[Constant Prices]]-C1552)/C1552</f>
        <v>6.4501476266182203E-2</v>
      </c>
      <c r="F1556" s="2">
        <v>2636.7</v>
      </c>
      <c r="G1556" s="7">
        <f>(Table2_1[[#This Row],[Current Prices]]-F1555)/F1555</f>
        <v>3.8847957133288646E-2</v>
      </c>
      <c r="H1556" s="7">
        <f>(Table2_1[[#This Row],[Current Prices]]-F1552)/F1552</f>
        <v>0.10850920709661142</v>
      </c>
      <c r="I1556" s="2"/>
    </row>
    <row r="1557" spans="1:9" x14ac:dyDescent="0.3">
      <c r="A1557" s="2" t="s">
        <v>96</v>
      </c>
      <c r="B1557" s="2" t="s">
        <v>15</v>
      </c>
      <c r="C1557" s="2">
        <v>3342.3</v>
      </c>
      <c r="D1557" s="6">
        <f>(Table2_1[[#This Row],[Constant Prices]]-C1556)/C1556</f>
        <v>1.8714377152610592E-2</v>
      </c>
      <c r="E1557" s="6">
        <f>(Table2_1[[#This Row],[Constant Prices]]-C1553)/C1553</f>
        <v>7.0529451330835102E-2</v>
      </c>
      <c r="F1557" s="2">
        <v>2741.8</v>
      </c>
      <c r="G1557" s="7">
        <f>(Table2_1[[#This Row],[Current Prices]]-F1556)/F1556</f>
        <v>3.9860431600106334E-2</v>
      </c>
      <c r="H1557" s="7">
        <f>(Table2_1[[#This Row],[Current Prices]]-F1553)/F1553</f>
        <v>0.11705031574658797</v>
      </c>
      <c r="I1557" s="2"/>
    </row>
    <row r="1558" spans="1:9" x14ac:dyDescent="0.3">
      <c r="A1558" s="2" t="s">
        <v>96</v>
      </c>
      <c r="B1558" s="2" t="s">
        <v>16</v>
      </c>
      <c r="C1558" s="2">
        <v>3413.5</v>
      </c>
      <c r="D1558" s="6">
        <f>(Table2_1[[#This Row],[Constant Prices]]-C1557)/C1557</f>
        <v>2.1302695748436649E-2</v>
      </c>
      <c r="E1558" s="6">
        <f>(Table2_1[[#This Row],[Constant Prices]]-C1554)/C1554</f>
        <v>8.0974095889543296E-2</v>
      </c>
      <c r="F1558" s="2">
        <v>2840.5</v>
      </c>
      <c r="G1558" s="7">
        <f>(Table2_1[[#This Row],[Current Prices]]-F1557)/F1557</f>
        <v>3.599824932526071E-2</v>
      </c>
      <c r="H1558" s="7">
        <f>(Table2_1[[#This Row],[Current Prices]]-F1554)/F1554</f>
        <v>0.14135894241973729</v>
      </c>
      <c r="I1558" s="2"/>
    </row>
    <row r="1559" spans="1:9" x14ac:dyDescent="0.3">
      <c r="A1559" s="2" t="s">
        <v>96</v>
      </c>
      <c r="B1559" s="2" t="s">
        <v>17</v>
      </c>
      <c r="C1559" s="2">
        <v>3469.9</v>
      </c>
      <c r="D1559" s="6">
        <f>(Table2_1[[#This Row],[Constant Prices]]-C1558)/C1558</f>
        <v>1.6522630730921369E-2</v>
      </c>
      <c r="E1559" s="6">
        <f>(Table2_1[[#This Row],[Constant Prices]]-C1555)/C1555</f>
        <v>8.1134133042530018E-2</v>
      </c>
      <c r="F1559" s="2">
        <v>2902.5</v>
      </c>
      <c r="G1559" s="7">
        <f>(Table2_1[[#This Row],[Current Prices]]-F1558)/F1558</f>
        <v>2.182714310860764E-2</v>
      </c>
      <c r="H1559" s="7">
        <f>(Table2_1[[#This Row],[Current Prices]]-F1555)/F1555</f>
        <v>0.14357196327961866</v>
      </c>
      <c r="I1559" s="2">
        <v>1</v>
      </c>
    </row>
    <row r="1560" spans="1:9" x14ac:dyDescent="0.3">
      <c r="A1560" s="2" t="s">
        <v>96</v>
      </c>
      <c r="B1560" s="2" t="s">
        <v>18</v>
      </c>
      <c r="C1560" s="2">
        <v>3493.3</v>
      </c>
      <c r="D1560" s="6">
        <f>(Table2_1[[#This Row],[Constant Prices]]-C1559)/C1559</f>
        <v>6.7437101933773566E-3</v>
      </c>
      <c r="E1560" s="6">
        <f>(Table2_1[[#This Row],[Constant Prices]]-C1556)/C1556</f>
        <v>6.4738333993721267E-2</v>
      </c>
      <c r="F1560" s="2">
        <v>2979.1</v>
      </c>
      <c r="G1560" s="7">
        <f>(Table2_1[[#This Row],[Current Prices]]-F1559)/F1559</f>
        <v>2.6391042204995663E-2</v>
      </c>
      <c r="H1560" s="7">
        <f>(Table2_1[[#This Row],[Current Prices]]-F1556)/F1556</f>
        <v>0.12985929381423753</v>
      </c>
      <c r="I1560" s="2"/>
    </row>
    <row r="1561" spans="1:9" x14ac:dyDescent="0.3">
      <c r="A1561" s="2" t="s">
        <v>96</v>
      </c>
      <c r="B1561" s="2" t="s">
        <v>19</v>
      </c>
      <c r="C1561" s="2">
        <v>3532.1</v>
      </c>
      <c r="D1561" s="6">
        <f>(Table2_1[[#This Row],[Constant Prices]]-C1560)/C1560</f>
        <v>1.1106976211604993E-2</v>
      </c>
      <c r="E1561" s="6">
        <f>(Table2_1[[#This Row],[Constant Prices]]-C1557)/C1557</f>
        <v>5.6787242318164052E-2</v>
      </c>
      <c r="F1561" s="2">
        <v>3042</v>
      </c>
      <c r="G1561" s="7">
        <f>(Table2_1[[#This Row],[Current Prices]]-F1560)/F1560</f>
        <v>2.1113759189016847E-2</v>
      </c>
      <c r="H1561" s="7">
        <f>(Table2_1[[#This Row],[Current Prices]]-F1557)/F1557</f>
        <v>0.1094901159822014</v>
      </c>
      <c r="I1561" s="2"/>
    </row>
    <row r="1562" spans="1:9" x14ac:dyDescent="0.3">
      <c r="A1562" s="2" t="s">
        <v>96</v>
      </c>
      <c r="B1562" s="2" t="s">
        <v>20</v>
      </c>
      <c r="C1562" s="2">
        <v>3582.3</v>
      </c>
      <c r="D1562" s="6">
        <f>(Table2_1[[#This Row],[Constant Prices]]-C1561)/C1561</f>
        <v>1.4212508139633723E-2</v>
      </c>
      <c r="E1562" s="6">
        <f>(Table2_1[[#This Row],[Constant Prices]]-C1558)/C1558</f>
        <v>4.9450710414530592E-2</v>
      </c>
      <c r="F1562" s="2">
        <v>3124.8</v>
      </c>
      <c r="G1562" s="7">
        <f>(Table2_1[[#This Row],[Current Prices]]-F1561)/F1561</f>
        <v>2.7218934911242665E-2</v>
      </c>
      <c r="H1562" s="7">
        <f>(Table2_1[[#This Row],[Current Prices]]-F1558)/F1558</f>
        <v>0.1000880126738251</v>
      </c>
      <c r="I1562" s="2"/>
    </row>
    <row r="1563" spans="1:9" x14ac:dyDescent="0.3">
      <c r="A1563" s="2" t="s">
        <v>96</v>
      </c>
      <c r="B1563" s="2" t="s">
        <v>21</v>
      </c>
      <c r="C1563" s="2">
        <v>3623</v>
      </c>
      <c r="D1563" s="6">
        <f>(Table2_1[[#This Row],[Constant Prices]]-C1562)/C1562</f>
        <v>1.1361415850152086E-2</v>
      </c>
      <c r="E1563" s="6">
        <f>(Table2_1[[#This Row],[Constant Prices]]-C1559)/C1559</f>
        <v>4.4122309000259347E-2</v>
      </c>
      <c r="F1563" s="2">
        <v>3210.9</v>
      </c>
      <c r="G1563" s="7">
        <f>(Table2_1[[#This Row],[Current Prices]]-F1562)/F1562</f>
        <v>2.7553763440860184E-2</v>
      </c>
      <c r="H1563" s="7">
        <f>(Table2_1[[#This Row],[Current Prices]]-F1559)/F1559</f>
        <v>0.10625322997416024</v>
      </c>
      <c r="I1563" s="2">
        <v>2</v>
      </c>
    </row>
    <row r="1564" spans="1:9" x14ac:dyDescent="0.3">
      <c r="A1564" s="2" t="s">
        <v>96</v>
      </c>
      <c r="B1564" s="2" t="s">
        <v>22</v>
      </c>
      <c r="C1564" s="2">
        <v>3691.7</v>
      </c>
      <c r="D1564" s="6">
        <f>(Table2_1[[#This Row],[Constant Prices]]-C1563)/C1563</f>
        <v>1.8962186033673702E-2</v>
      </c>
      <c r="E1564" s="6">
        <f>(Table2_1[[#This Row],[Constant Prices]]-C1560)/C1560</f>
        <v>5.6794435061403151E-2</v>
      </c>
      <c r="F1564" s="2">
        <v>3258.9</v>
      </c>
      <c r="G1564" s="7">
        <f>(Table2_1[[#This Row],[Current Prices]]-F1563)/F1563</f>
        <v>1.4949079697281136E-2</v>
      </c>
      <c r="H1564" s="7">
        <f>(Table2_1[[#This Row],[Current Prices]]-F1560)/F1560</f>
        <v>9.3920982847168669E-2</v>
      </c>
      <c r="I1564" s="2"/>
    </row>
    <row r="1565" spans="1:9" x14ac:dyDescent="0.3">
      <c r="A1565" s="2" t="s">
        <v>96</v>
      </c>
      <c r="B1565" s="2" t="s">
        <v>23</v>
      </c>
      <c r="C1565" s="2">
        <v>3732.4</v>
      </c>
      <c r="D1565" s="6">
        <f>(Table2_1[[#This Row],[Constant Prices]]-C1564)/C1564</f>
        <v>1.1024731153669115E-2</v>
      </c>
      <c r="E1565" s="6">
        <f>(Table2_1[[#This Row],[Constant Prices]]-C1561)/C1561</f>
        <v>5.6708473712522349E-2</v>
      </c>
      <c r="F1565" s="2">
        <v>3331.9</v>
      </c>
      <c r="G1565" s="7">
        <f>(Table2_1[[#This Row],[Current Prices]]-F1564)/F1564</f>
        <v>2.2400196385283379E-2</v>
      </c>
      <c r="H1565" s="7">
        <f>(Table2_1[[#This Row],[Current Prices]]-F1561)/F1561</f>
        <v>9.5299145299145335E-2</v>
      </c>
      <c r="I1565" s="2"/>
    </row>
    <row r="1566" spans="1:9" x14ac:dyDescent="0.3">
      <c r="A1566" s="2" t="s">
        <v>96</v>
      </c>
      <c r="B1566" s="2" t="s">
        <v>24</v>
      </c>
      <c r="C1566" s="2">
        <v>3773.4</v>
      </c>
      <c r="D1566" s="6">
        <f>(Table2_1[[#This Row],[Constant Prices]]-C1565)/C1565</f>
        <v>1.098488907941271E-2</v>
      </c>
      <c r="E1566" s="6">
        <f>(Table2_1[[#This Row],[Constant Prices]]-C1562)/C1562</f>
        <v>5.33456159450632E-2</v>
      </c>
      <c r="F1566" s="2">
        <v>3417</v>
      </c>
      <c r="G1566" s="7">
        <f>(Table2_1[[#This Row],[Current Prices]]-F1565)/F1565</f>
        <v>2.5540982622527658E-2</v>
      </c>
      <c r="H1566" s="7">
        <f>(Table2_1[[#This Row],[Current Prices]]-F1562)/F1562</f>
        <v>9.350998463901683E-2</v>
      </c>
      <c r="I1566" s="2"/>
    </row>
    <row r="1567" spans="1:9" x14ac:dyDescent="0.3">
      <c r="A1567" s="2" t="s">
        <v>96</v>
      </c>
      <c r="B1567" s="2" t="s">
        <v>25</v>
      </c>
      <c r="C1567" s="2">
        <v>3820.4</v>
      </c>
      <c r="D1567" s="6">
        <f>(Table2_1[[#This Row],[Constant Prices]]-C1566)/C1566</f>
        <v>1.2455610324905921E-2</v>
      </c>
      <c r="E1567" s="6">
        <f>(Table2_1[[#This Row],[Constant Prices]]-C1563)/C1563</f>
        <v>5.4485233232128095E-2</v>
      </c>
      <c r="F1567" s="2">
        <v>3497.7</v>
      </c>
      <c r="G1567" s="7">
        <f>(Table2_1[[#This Row],[Current Prices]]-F1566)/F1566</f>
        <v>2.3617208077260702E-2</v>
      </c>
      <c r="H1567" s="7">
        <f>(Table2_1[[#This Row],[Current Prices]]-F1563)/F1563</f>
        <v>8.9320751191254696E-2</v>
      </c>
      <c r="I1567" s="2">
        <v>3</v>
      </c>
    </row>
    <row r="1568" spans="1:9" x14ac:dyDescent="0.3">
      <c r="A1568" s="2" t="s">
        <v>96</v>
      </c>
      <c r="B1568" s="2" t="s">
        <v>26</v>
      </c>
      <c r="C1568" s="2">
        <v>3843.4</v>
      </c>
      <c r="D1568" s="6">
        <f>(Table2_1[[#This Row],[Constant Prices]]-C1567)/C1567</f>
        <v>6.0203120092136948E-3</v>
      </c>
      <c r="E1568" s="6">
        <f>(Table2_1[[#This Row],[Constant Prices]]-C1564)/C1564</f>
        <v>4.1092179754584686E-2</v>
      </c>
      <c r="F1568" s="2">
        <v>3507.9</v>
      </c>
      <c r="G1568" s="7">
        <f>(Table2_1[[#This Row],[Current Prices]]-F1567)/F1567</f>
        <v>2.9162020756497908E-3</v>
      </c>
      <c r="H1568" s="7">
        <f>(Table2_1[[#This Row],[Current Prices]]-F1564)/F1564</f>
        <v>7.6406149314185767E-2</v>
      </c>
      <c r="I1568" s="2"/>
    </row>
    <row r="1569" spans="1:9" x14ac:dyDescent="0.3">
      <c r="A1569" s="2" t="s">
        <v>96</v>
      </c>
      <c r="B1569" s="2" t="s">
        <v>27</v>
      </c>
      <c r="C1569" s="2">
        <v>3883</v>
      </c>
      <c r="D1569" s="6">
        <f>(Table2_1[[#This Row],[Constant Prices]]-C1568)/C1568</f>
        <v>1.0303377218088126E-2</v>
      </c>
      <c r="E1569" s="6">
        <f>(Table2_1[[#This Row],[Constant Prices]]-C1565)/C1565</f>
        <v>4.0349373057550077E-2</v>
      </c>
      <c r="F1569" s="2">
        <v>3594.1</v>
      </c>
      <c r="G1569" s="7">
        <f>(Table2_1[[#This Row],[Current Prices]]-F1568)/F1568</f>
        <v>2.457310641694456E-2</v>
      </c>
      <c r="H1569" s="7">
        <f>(Table2_1[[#This Row],[Current Prices]]-F1565)/F1565</f>
        <v>7.8693838350490652E-2</v>
      </c>
      <c r="I1569" s="2"/>
    </row>
    <row r="1570" spans="1:9" x14ac:dyDescent="0.3">
      <c r="A1570" s="2" t="s">
        <v>96</v>
      </c>
      <c r="B1570" s="2" t="s">
        <v>28</v>
      </c>
      <c r="C1570" s="2">
        <v>3915.7</v>
      </c>
      <c r="D1570" s="6">
        <f>(Table2_1[[#This Row],[Constant Prices]]-C1569)/C1569</f>
        <v>8.4213237187740972E-3</v>
      </c>
      <c r="E1570" s="6">
        <f>(Table2_1[[#This Row],[Constant Prices]]-C1566)/C1566</f>
        <v>3.7711347856044873E-2</v>
      </c>
      <c r="F1570" s="2">
        <v>3702.4</v>
      </c>
      <c r="G1570" s="7">
        <f>(Table2_1[[#This Row],[Current Prices]]-F1569)/F1569</f>
        <v>3.0132717509251325E-2</v>
      </c>
      <c r="H1570" s="7">
        <f>(Table2_1[[#This Row],[Current Prices]]-F1566)/F1566</f>
        <v>8.352355867720225E-2</v>
      </c>
      <c r="I1570" s="2"/>
    </row>
    <row r="1571" spans="1:9" x14ac:dyDescent="0.3">
      <c r="A1571" s="2" t="s">
        <v>96</v>
      </c>
      <c r="B1571" s="2" t="s">
        <v>29</v>
      </c>
      <c r="C1571" s="2">
        <v>3941.1</v>
      </c>
      <c r="D1571" s="6">
        <f>(Table2_1[[#This Row],[Constant Prices]]-C1570)/C1570</f>
        <v>6.4867073575606126E-3</v>
      </c>
      <c r="E1571" s="6">
        <f>(Table2_1[[#This Row],[Constant Prices]]-C1567)/C1567</f>
        <v>3.1593550413569212E-2</v>
      </c>
      <c r="F1571" s="2">
        <v>3839.5</v>
      </c>
      <c r="G1571" s="7">
        <f>(Table2_1[[#This Row],[Current Prices]]-F1570)/F1570</f>
        <v>3.7030034572169378E-2</v>
      </c>
      <c r="H1571" s="7">
        <f>(Table2_1[[#This Row],[Current Prices]]-F1567)/F1567</f>
        <v>9.7721359750693376E-2</v>
      </c>
      <c r="I1571" s="2">
        <v>4</v>
      </c>
    </row>
    <row r="1572" spans="1:9" x14ac:dyDescent="0.3">
      <c r="A1572" s="2" t="s">
        <v>96</v>
      </c>
      <c r="B1572" s="2" t="s">
        <v>30</v>
      </c>
      <c r="C1572" s="2">
        <v>3963.3</v>
      </c>
      <c r="D1572" s="6">
        <f>(Table2_1[[#This Row],[Constant Prices]]-C1571)/C1571</f>
        <v>5.6329451168456203E-3</v>
      </c>
      <c r="E1572" s="6">
        <f>(Table2_1[[#This Row],[Constant Prices]]-C1568)/C1568</f>
        <v>3.1196336576989146E-2</v>
      </c>
      <c r="F1572" s="2">
        <v>3869.4</v>
      </c>
      <c r="G1572" s="7">
        <f>(Table2_1[[#This Row],[Current Prices]]-F1571)/F1571</f>
        <v>7.7874723271259515E-3</v>
      </c>
      <c r="H1572" s="7">
        <f>(Table2_1[[#This Row],[Current Prices]]-F1568)/F1568</f>
        <v>0.10305310869751133</v>
      </c>
      <c r="I1572" s="2"/>
    </row>
    <row r="1573" spans="1:9" x14ac:dyDescent="0.3">
      <c r="A1573" s="2" t="s">
        <v>96</v>
      </c>
      <c r="B1573" s="2" t="s">
        <v>31</v>
      </c>
      <c r="C1573" s="2">
        <v>3987.7</v>
      </c>
      <c r="D1573" s="6">
        <f>(Table2_1[[#This Row],[Constant Prices]]-C1572)/C1572</f>
        <v>6.1564857568187203E-3</v>
      </c>
      <c r="E1573" s="6">
        <f>(Table2_1[[#This Row],[Constant Prices]]-C1569)/C1569</f>
        <v>2.6963687870203402E-2</v>
      </c>
      <c r="F1573" s="2">
        <v>3981.8</v>
      </c>
      <c r="G1573" s="7">
        <f>(Table2_1[[#This Row],[Current Prices]]-F1572)/F1572</f>
        <v>2.9048431281335631E-2</v>
      </c>
      <c r="H1573" s="7">
        <f>(Table2_1[[#This Row],[Current Prices]]-F1569)/F1569</f>
        <v>0.10787123341031142</v>
      </c>
      <c r="I1573" s="2"/>
    </row>
    <row r="1574" spans="1:9" x14ac:dyDescent="0.3">
      <c r="A1574" s="2" t="s">
        <v>96</v>
      </c>
      <c r="B1574" s="2" t="s">
        <v>32</v>
      </c>
      <c r="C1574" s="2">
        <v>4018.3</v>
      </c>
      <c r="D1574" s="6">
        <f>(Table2_1[[#This Row],[Constant Prices]]-C1573)/C1573</f>
        <v>7.6735963086491873E-3</v>
      </c>
      <c r="E1574" s="6">
        <f>(Table2_1[[#This Row],[Constant Prices]]-C1570)/C1570</f>
        <v>2.6202211609673971E-2</v>
      </c>
      <c r="F1574" s="2">
        <v>4046.8</v>
      </c>
      <c r="G1574" s="7">
        <f>(Table2_1[[#This Row],[Current Prices]]-F1573)/F1573</f>
        <v>1.6324275453312571E-2</v>
      </c>
      <c r="H1574" s="7">
        <f>(Table2_1[[#This Row],[Current Prices]]-F1570)/F1570</f>
        <v>9.30207433016422E-2</v>
      </c>
      <c r="I1574" s="2"/>
    </row>
    <row r="1575" spans="1:9" x14ac:dyDescent="0.3">
      <c r="A1575" s="2" t="s">
        <v>96</v>
      </c>
      <c r="B1575" s="2" t="s">
        <v>33</v>
      </c>
      <c r="C1575" s="2">
        <v>4048.8</v>
      </c>
      <c r="D1575" s="6">
        <f>(Table2_1[[#This Row],[Constant Prices]]-C1574)/C1574</f>
        <v>7.5902744941890848E-3</v>
      </c>
      <c r="E1575" s="6">
        <f>(Table2_1[[#This Row],[Constant Prices]]-C1571)/C1571</f>
        <v>2.7327395904696728E-2</v>
      </c>
      <c r="F1575" s="2">
        <v>4120</v>
      </c>
      <c r="G1575" s="7">
        <f>(Table2_1[[#This Row],[Current Prices]]-F1574)/F1574</f>
        <v>1.8088366116437632E-2</v>
      </c>
      <c r="H1575" s="7">
        <f>(Table2_1[[#This Row],[Current Prices]]-F1571)/F1571</f>
        <v>7.3056387550462301E-2</v>
      </c>
      <c r="I1575" s="2">
        <v>5</v>
      </c>
    </row>
    <row r="1576" spans="1:9" x14ac:dyDescent="0.3">
      <c r="A1576" s="2" t="s">
        <v>96</v>
      </c>
      <c r="B1576" s="2" t="s">
        <v>34</v>
      </c>
      <c r="C1576" s="2">
        <v>4076.8</v>
      </c>
      <c r="D1576" s="6">
        <f>(Table2_1[[#This Row],[Constant Prices]]-C1575)/C1575</f>
        <v>6.9156293222683261E-3</v>
      </c>
      <c r="E1576" s="6">
        <f>(Table2_1[[#This Row],[Constant Prices]]-C1572)/C1572</f>
        <v>2.863775136880882E-2</v>
      </c>
      <c r="F1576" s="2">
        <v>4322</v>
      </c>
      <c r="G1576" s="7">
        <f>(Table2_1[[#This Row],[Current Prices]]-F1575)/F1575</f>
        <v>4.9029126213592233E-2</v>
      </c>
      <c r="H1576" s="7">
        <f>(Table2_1[[#This Row],[Current Prices]]-F1572)/F1572</f>
        <v>0.11696903912751329</v>
      </c>
      <c r="I1576" s="2"/>
    </row>
    <row r="1577" spans="1:9" x14ac:dyDescent="0.3">
      <c r="A1577" s="2" t="s">
        <v>96</v>
      </c>
      <c r="B1577" s="2" t="s">
        <v>35</v>
      </c>
      <c r="C1577" s="2">
        <v>4102</v>
      </c>
      <c r="D1577" s="6">
        <f>(Table2_1[[#This Row],[Constant Prices]]-C1576)/C1576</f>
        <v>6.1813186813186368E-3</v>
      </c>
      <c r="E1577" s="6">
        <f>(Table2_1[[#This Row],[Constant Prices]]-C1573)/C1573</f>
        <v>2.8663139152895201E-2</v>
      </c>
      <c r="F1577" s="2">
        <v>4427.8999999999996</v>
      </c>
      <c r="G1577" s="7">
        <f>(Table2_1[[#This Row],[Current Prices]]-F1576)/F1576</f>
        <v>2.4502545118000842E-2</v>
      </c>
      <c r="H1577" s="7">
        <f>(Table2_1[[#This Row],[Current Prices]]-F1573)/F1573</f>
        <v>0.11203475814958044</v>
      </c>
      <c r="I1577" s="2"/>
    </row>
    <row r="1578" spans="1:9" x14ac:dyDescent="0.3">
      <c r="A1578" s="2" t="s">
        <v>96</v>
      </c>
      <c r="B1578" s="2" t="s">
        <v>36</v>
      </c>
      <c r="C1578" s="2">
        <v>4116.2</v>
      </c>
      <c r="D1578" s="6">
        <f>(Table2_1[[#This Row],[Constant Prices]]-C1577)/C1577</f>
        <v>3.4617259873232125E-3</v>
      </c>
      <c r="E1578" s="6">
        <f>(Table2_1[[#This Row],[Constant Prices]]-C1574)/C1574</f>
        <v>2.436353681905274E-2</v>
      </c>
      <c r="F1578" s="2">
        <v>4477.8</v>
      </c>
      <c r="G1578" s="7">
        <f>(Table2_1[[#This Row],[Current Prices]]-F1577)/F1577</f>
        <v>1.1269450529596547E-2</v>
      </c>
      <c r="H1578" s="7">
        <f>(Table2_1[[#This Row],[Current Prices]]-F1574)/F1574</f>
        <v>0.10650390431946229</v>
      </c>
      <c r="I1578" s="2"/>
    </row>
    <row r="1579" spans="1:9" x14ac:dyDescent="0.3">
      <c r="A1579" s="2" t="s">
        <v>96</v>
      </c>
      <c r="B1579" s="2" t="s">
        <v>37</v>
      </c>
      <c r="C1579" s="2">
        <v>4124</v>
      </c>
      <c r="D1579" s="6">
        <f>(Table2_1[[#This Row],[Constant Prices]]-C1578)/C1578</f>
        <v>1.8949516544386042E-3</v>
      </c>
      <c r="E1579" s="6">
        <f>(Table2_1[[#This Row],[Constant Prices]]-C1575)/C1575</f>
        <v>1.8573404465520603E-2</v>
      </c>
      <c r="F1579" s="2">
        <v>4491.3</v>
      </c>
      <c r="G1579" s="7">
        <f>(Table2_1[[#This Row],[Current Prices]]-F1578)/F1578</f>
        <v>3.0148733753182365E-3</v>
      </c>
      <c r="H1579" s="7">
        <f>(Table2_1[[#This Row],[Current Prices]]-F1575)/F1575</f>
        <v>9.0121359223301015E-2</v>
      </c>
      <c r="I1579" s="2">
        <v>6</v>
      </c>
    </row>
    <row r="1580" spans="1:9" x14ac:dyDescent="0.3">
      <c r="A1580" s="2" t="s">
        <v>96</v>
      </c>
      <c r="B1580" s="2" t="s">
        <v>38</v>
      </c>
      <c r="C1580" s="2">
        <v>4132.5</v>
      </c>
      <c r="D1580" s="6">
        <f>(Table2_1[[#This Row],[Constant Prices]]-C1579)/C1579</f>
        <v>2.0611057225994179E-3</v>
      </c>
      <c r="E1580" s="6">
        <f>(Table2_1[[#This Row],[Constant Prices]]-C1576)/C1576</f>
        <v>1.3662676609105135E-2</v>
      </c>
      <c r="F1580" s="2">
        <v>4730.7</v>
      </c>
      <c r="G1580" s="7">
        <f>(Table2_1[[#This Row],[Current Prices]]-F1579)/F1579</f>
        <v>5.3303052568298627E-2</v>
      </c>
      <c r="H1580" s="7">
        <f>(Table2_1[[#This Row],[Current Prices]]-F1576)/F1576</f>
        <v>9.4562702452568217E-2</v>
      </c>
      <c r="I1580" s="2"/>
    </row>
    <row r="1581" spans="1:9" x14ac:dyDescent="0.3">
      <c r="A1581" s="2" t="s">
        <v>96</v>
      </c>
      <c r="B1581" s="2" t="s">
        <v>39</v>
      </c>
      <c r="C1581" s="2">
        <v>4133.2</v>
      </c>
      <c r="D1581" s="6">
        <f>(Table2_1[[#This Row],[Constant Prices]]-C1580)/C1580</f>
        <v>1.6938898971562448E-4</v>
      </c>
      <c r="E1581" s="6">
        <f>(Table2_1[[#This Row],[Constant Prices]]-C1577)/C1577</f>
        <v>7.6060458313017597E-3</v>
      </c>
      <c r="F1581" s="2">
        <v>4786.7</v>
      </c>
      <c r="G1581" s="7">
        <f>(Table2_1[[#This Row],[Current Prices]]-F1580)/F1580</f>
        <v>1.1837571606738961E-2</v>
      </c>
      <c r="H1581" s="7">
        <f>(Table2_1[[#This Row],[Current Prices]]-F1577)/F1577</f>
        <v>8.1031640280945866E-2</v>
      </c>
      <c r="I1581" s="2"/>
    </row>
    <row r="1582" spans="1:9" x14ac:dyDescent="0.3">
      <c r="A1582" s="2" t="s">
        <v>96</v>
      </c>
      <c r="B1582" s="2" t="s">
        <v>40</v>
      </c>
      <c r="C1582" s="2">
        <v>4135.1000000000004</v>
      </c>
      <c r="D1582" s="6">
        <f>(Table2_1[[#This Row],[Constant Prices]]-C1581)/C1581</f>
        <v>4.5969224813716873E-4</v>
      </c>
      <c r="E1582" s="6">
        <f>(Table2_1[[#This Row],[Constant Prices]]-C1578)/C1578</f>
        <v>4.5916136242166432E-3</v>
      </c>
      <c r="F1582" s="2">
        <v>4854.8</v>
      </c>
      <c r="G1582" s="7">
        <f>(Table2_1[[#This Row],[Current Prices]]-F1581)/F1581</f>
        <v>1.4226920425345305E-2</v>
      </c>
      <c r="H1582" s="7">
        <f>(Table2_1[[#This Row],[Current Prices]]-F1578)/F1578</f>
        <v>8.4193130555183349E-2</v>
      </c>
      <c r="I1582" s="2"/>
    </row>
    <row r="1583" spans="1:9" x14ac:dyDescent="0.3">
      <c r="A1583" s="2" t="s">
        <v>96</v>
      </c>
      <c r="B1583" s="2" t="s">
        <v>41</v>
      </c>
      <c r="C1583" s="2">
        <v>4134.6000000000004</v>
      </c>
      <c r="D1583" s="6">
        <f>(Table2_1[[#This Row],[Constant Prices]]-C1582)/C1582</f>
        <v>-1.2091606007109863E-4</v>
      </c>
      <c r="E1583" s="6">
        <f>(Table2_1[[#This Row],[Constant Prices]]-C1579)/C1579</f>
        <v>2.5703200775946565E-3</v>
      </c>
      <c r="F1583" s="2">
        <v>4948.3</v>
      </c>
      <c r="G1583" s="7">
        <f>(Table2_1[[#This Row],[Current Prices]]-F1582)/F1582</f>
        <v>1.9259289775067974E-2</v>
      </c>
      <c r="H1583" s="7">
        <f>(Table2_1[[#This Row],[Current Prices]]-F1579)/F1579</f>
        <v>0.1017522766236947</v>
      </c>
      <c r="I1583" s="2">
        <v>7</v>
      </c>
    </row>
    <row r="1584" spans="1:9" x14ac:dyDescent="0.3">
      <c r="A1584" s="2" t="s">
        <v>96</v>
      </c>
      <c r="B1584" s="2" t="s">
        <v>42</v>
      </c>
      <c r="C1584" s="2">
        <v>4146.8</v>
      </c>
      <c r="D1584" s="6">
        <f>(Table2_1[[#This Row],[Constant Prices]]-C1583)/C1583</f>
        <v>2.9507086537995976E-3</v>
      </c>
      <c r="E1584" s="6">
        <f>(Table2_1[[#This Row],[Constant Prices]]-C1580)/C1580</f>
        <v>3.4603750756201286E-3</v>
      </c>
      <c r="F1584" s="2">
        <v>4937.3</v>
      </c>
      <c r="G1584" s="7">
        <f>(Table2_1[[#This Row],[Current Prices]]-F1583)/F1583</f>
        <v>-2.2229856718468969E-3</v>
      </c>
      <c r="H1584" s="7">
        <f>(Table2_1[[#This Row],[Current Prices]]-F1580)/F1580</f>
        <v>4.3672183820576312E-2</v>
      </c>
      <c r="I1584" s="2"/>
    </row>
    <row r="1585" spans="1:9" x14ac:dyDescent="0.3">
      <c r="A1585" s="2" t="s">
        <v>96</v>
      </c>
      <c r="B1585" s="2" t="s">
        <v>43</v>
      </c>
      <c r="C1585" s="2">
        <v>4150.7</v>
      </c>
      <c r="D1585" s="6">
        <f>(Table2_1[[#This Row],[Constant Prices]]-C1584)/C1584</f>
        <v>9.4048422880284462E-4</v>
      </c>
      <c r="E1585" s="6">
        <f>(Table2_1[[#This Row],[Constant Prices]]-C1581)/C1581</f>
        <v>4.2340075486306016E-3</v>
      </c>
      <c r="F1585" s="2">
        <v>4992.8</v>
      </c>
      <c r="G1585" s="7">
        <f>(Table2_1[[#This Row],[Current Prices]]-F1584)/F1584</f>
        <v>1.1240961659206449E-2</v>
      </c>
      <c r="H1585" s="7">
        <f>(Table2_1[[#This Row],[Current Prices]]-F1581)/F1581</f>
        <v>4.3056803225604359E-2</v>
      </c>
      <c r="I1585" s="2"/>
    </row>
    <row r="1586" spans="1:9" x14ac:dyDescent="0.3">
      <c r="A1586" s="2" t="s">
        <v>96</v>
      </c>
      <c r="B1586" s="2" t="s">
        <v>44</v>
      </c>
      <c r="C1586" s="2">
        <v>4156</v>
      </c>
      <c r="D1586" s="6">
        <f>(Table2_1[[#This Row],[Constant Prices]]-C1585)/C1585</f>
        <v>1.2768930541836756E-3</v>
      </c>
      <c r="E1586" s="6">
        <f>(Table2_1[[#This Row],[Constant Prices]]-C1582)/C1582</f>
        <v>5.0542913109718349E-3</v>
      </c>
      <c r="F1586" s="2">
        <v>5097</v>
      </c>
      <c r="G1586" s="7">
        <f>(Table2_1[[#This Row],[Current Prices]]-F1585)/F1585</f>
        <v>2.0870052876141607E-2</v>
      </c>
      <c r="H1586" s="7">
        <f>(Table2_1[[#This Row],[Current Prices]]-F1582)/F1582</f>
        <v>4.9888769877234861E-2</v>
      </c>
      <c r="I1586" s="2"/>
    </row>
    <row r="1587" spans="1:9" x14ac:dyDescent="0.3">
      <c r="A1587" s="2" t="s">
        <v>96</v>
      </c>
      <c r="B1587" s="2" t="s">
        <v>45</v>
      </c>
      <c r="C1587" s="2">
        <v>4156.6000000000004</v>
      </c>
      <c r="D1587" s="6">
        <f>(Table2_1[[#This Row],[Constant Prices]]-C1586)/C1586</f>
        <v>1.4436958614060726E-4</v>
      </c>
      <c r="E1587" s="6">
        <f>(Table2_1[[#This Row],[Constant Prices]]-C1583)/C1583</f>
        <v>5.3209500314419771E-3</v>
      </c>
      <c r="F1587" s="2">
        <v>5155.2</v>
      </c>
      <c r="G1587" s="7">
        <f>(Table2_1[[#This Row],[Current Prices]]-F1586)/F1586</f>
        <v>1.141848145968213E-2</v>
      </c>
      <c r="H1587" s="7">
        <f>(Table2_1[[#This Row],[Current Prices]]-F1583)/F1583</f>
        <v>4.1812339591374738E-2</v>
      </c>
      <c r="I1587" s="2">
        <v>8</v>
      </c>
    </row>
    <row r="1588" spans="1:9" x14ac:dyDescent="0.3">
      <c r="A1588" s="2" t="s">
        <v>96</v>
      </c>
      <c r="B1588" s="2" t="s">
        <v>46</v>
      </c>
      <c r="C1588" s="2">
        <v>4168.5</v>
      </c>
      <c r="D1588" s="6">
        <f>(Table2_1[[#This Row],[Constant Prices]]-C1587)/C1587</f>
        <v>2.8629168070056382E-3</v>
      </c>
      <c r="E1588" s="6">
        <f>(Table2_1[[#This Row],[Constant Prices]]-C1584)/C1584</f>
        <v>5.2329507089803745E-3</v>
      </c>
      <c r="F1588" s="2">
        <v>5264.7</v>
      </c>
      <c r="G1588" s="7">
        <f>(Table2_1[[#This Row],[Current Prices]]-F1587)/F1587</f>
        <v>2.1240689013035382E-2</v>
      </c>
      <c r="H1588" s="7">
        <f>(Table2_1[[#This Row],[Current Prices]]-F1584)/F1584</f>
        <v>6.6311546796832196E-2</v>
      </c>
      <c r="I1588" s="2"/>
    </row>
    <row r="1589" spans="1:9" x14ac:dyDescent="0.3">
      <c r="A1589" s="2" t="s">
        <v>96</v>
      </c>
      <c r="B1589" s="2" t="s">
        <v>47</v>
      </c>
      <c r="C1589" s="2">
        <v>4179.5</v>
      </c>
      <c r="D1589" s="6">
        <f>(Table2_1[[#This Row],[Constant Prices]]-C1588)/C1588</f>
        <v>2.6388389108792133E-3</v>
      </c>
      <c r="E1589" s="6">
        <f>(Table2_1[[#This Row],[Constant Prices]]-C1585)/C1585</f>
        <v>6.9385886717903446E-3</v>
      </c>
      <c r="F1589" s="2">
        <v>5398.2</v>
      </c>
      <c r="G1589" s="7">
        <f>(Table2_1[[#This Row],[Current Prices]]-F1588)/F1588</f>
        <v>2.5357570231922047E-2</v>
      </c>
      <c r="H1589" s="7">
        <f>(Table2_1[[#This Row],[Current Prices]]-F1585)/F1585</f>
        <v>8.1196923569940641E-2</v>
      </c>
      <c r="I1589" s="2"/>
    </row>
    <row r="1590" spans="1:9" x14ac:dyDescent="0.3">
      <c r="A1590" s="2" t="s">
        <v>96</v>
      </c>
      <c r="B1590" s="2" t="s">
        <v>48</v>
      </c>
      <c r="C1590" s="2">
        <v>4197.5</v>
      </c>
      <c r="D1590" s="6">
        <f>(Table2_1[[#This Row],[Constant Prices]]-C1589)/C1589</f>
        <v>4.3067352554133267E-3</v>
      </c>
      <c r="E1590" s="6">
        <f>(Table2_1[[#This Row],[Constant Prices]]-C1586)/C1586</f>
        <v>9.9855630413859479E-3</v>
      </c>
      <c r="F1590" s="2">
        <v>5659.5</v>
      </c>
      <c r="G1590" s="7">
        <f>(Table2_1[[#This Row],[Current Prices]]-F1589)/F1589</f>
        <v>4.840502389685454E-2</v>
      </c>
      <c r="H1590" s="7">
        <f>(Table2_1[[#This Row],[Current Prices]]-F1586)/F1586</f>
        <v>0.11035903472630959</v>
      </c>
      <c r="I1590" s="2"/>
    </row>
    <row r="1591" spans="1:9" x14ac:dyDescent="0.3">
      <c r="A1591" s="2" t="s">
        <v>96</v>
      </c>
      <c r="B1591" s="2" t="s">
        <v>49</v>
      </c>
      <c r="C1591" s="2">
        <v>4238.8</v>
      </c>
      <c r="D1591" s="6">
        <f>(Table2_1[[#This Row],[Constant Prices]]-C1590)/C1590</f>
        <v>9.8391899940441178E-3</v>
      </c>
      <c r="E1591" s="6">
        <f>(Table2_1[[#This Row],[Constant Prices]]-C1587)/C1587</f>
        <v>1.9775778280325219E-2</v>
      </c>
      <c r="F1591" s="2">
        <v>5858.9</v>
      </c>
      <c r="G1591" s="7">
        <f>(Table2_1[[#This Row],[Current Prices]]-F1590)/F1590</f>
        <v>3.5232794416467823E-2</v>
      </c>
      <c r="H1591" s="7">
        <f>(Table2_1[[#This Row],[Current Prices]]-F1587)/F1587</f>
        <v>0.13650294847920544</v>
      </c>
      <c r="I1591" s="2">
        <v>9</v>
      </c>
    </row>
    <row r="1592" spans="1:9" x14ac:dyDescent="0.3">
      <c r="A1592" s="2" t="s">
        <v>96</v>
      </c>
      <c r="B1592" s="2" t="s">
        <v>50</v>
      </c>
      <c r="C1592" s="2">
        <v>4163.2</v>
      </c>
      <c r="D1592" s="6">
        <f>(Table2_1[[#This Row],[Constant Prices]]-C1591)/C1591</f>
        <v>-1.783523638765697E-2</v>
      </c>
      <c r="E1592" s="6">
        <f>(Table2_1[[#This Row],[Constant Prices]]-C1588)/C1588</f>
        <v>-1.2714405661509373E-3</v>
      </c>
      <c r="F1592" s="2">
        <v>6153</v>
      </c>
      <c r="G1592" s="7">
        <f>(Table2_1[[#This Row],[Current Prices]]-F1591)/F1591</f>
        <v>5.0197135981156937E-2</v>
      </c>
      <c r="H1592" s="7">
        <f>(Table2_1[[#This Row],[Current Prices]]-F1588)/F1588</f>
        <v>0.16872756282409257</v>
      </c>
      <c r="I1592" s="2"/>
    </row>
    <row r="1593" spans="1:9" x14ac:dyDescent="0.3">
      <c r="A1593" s="2" t="s">
        <v>96</v>
      </c>
      <c r="B1593" s="2" t="s">
        <v>51</v>
      </c>
      <c r="C1593" s="2">
        <v>3614.3</v>
      </c>
      <c r="D1593" s="6">
        <f>(Table2_1[[#This Row],[Constant Prices]]-C1592)/C1592</f>
        <v>-0.13184569561875473</v>
      </c>
      <c r="E1593" s="6">
        <f>(Table2_1[[#This Row],[Constant Prices]]-C1589)/C1589</f>
        <v>-0.13523148701997842</v>
      </c>
      <c r="F1593" s="2">
        <v>5416.6</v>
      </c>
      <c r="G1593" s="7">
        <f>(Table2_1[[#This Row],[Current Prices]]-F1592)/F1592</f>
        <v>-0.11968145620022748</v>
      </c>
      <c r="H1593" s="7">
        <f>(Table2_1[[#This Row],[Current Prices]]-F1589)/F1589</f>
        <v>3.4085435886037096E-3</v>
      </c>
      <c r="I1593" s="2"/>
    </row>
    <row r="1594" spans="1:9" x14ac:dyDescent="0.3">
      <c r="A1594" s="2" t="s">
        <v>96</v>
      </c>
      <c r="B1594" s="2" t="s">
        <v>52</v>
      </c>
      <c r="C1594" s="2">
        <v>4259.1000000000004</v>
      </c>
      <c r="D1594" s="6">
        <f>(Table2_1[[#This Row],[Constant Prices]]-C1593)/C1593</f>
        <v>0.17840245690728498</v>
      </c>
      <c r="E1594" s="6">
        <f>(Table2_1[[#This Row],[Constant Prices]]-C1590)/C1590</f>
        <v>1.4675402025014977E-2</v>
      </c>
      <c r="F1594" s="2">
        <v>6445.9</v>
      </c>
      <c r="G1594" s="7">
        <f>(Table2_1[[#This Row],[Current Prices]]-F1593)/F1593</f>
        <v>0.19002695417789742</v>
      </c>
      <c r="H1594" s="7">
        <f>(Table2_1[[#This Row],[Current Prices]]-F1590)/F1590</f>
        <v>0.13895220425832663</v>
      </c>
      <c r="I1594" s="2"/>
    </row>
    <row r="1595" spans="1:9" x14ac:dyDescent="0.3">
      <c r="A1595" s="2" t="s">
        <v>96</v>
      </c>
      <c r="B1595" s="2" t="s">
        <v>53</v>
      </c>
      <c r="C1595" s="2">
        <v>4098.8</v>
      </c>
      <c r="D1595" s="6">
        <f>(Table2_1[[#This Row],[Constant Prices]]-C1594)/C1594</f>
        <v>-3.7637059472658579E-2</v>
      </c>
      <c r="E1595" s="6">
        <f>(Table2_1[[#This Row],[Constant Prices]]-C1591)/C1591</f>
        <v>-3.3028215532697934E-2</v>
      </c>
      <c r="F1595" s="2">
        <v>6606.3</v>
      </c>
      <c r="G1595" s="7">
        <f>(Table2_1[[#This Row],[Current Prices]]-F1594)/F1594</f>
        <v>2.4884034812826843E-2</v>
      </c>
      <c r="H1595" s="7">
        <f>(Table2_1[[#This Row],[Current Prices]]-F1591)/F1591</f>
        <v>0.12756660806636069</v>
      </c>
      <c r="I1595" s="2">
        <v>10</v>
      </c>
    </row>
    <row r="1596" spans="1:9" x14ac:dyDescent="0.3">
      <c r="A1596" s="2" t="s">
        <v>96</v>
      </c>
      <c r="B1596" s="2" t="s">
        <v>54</v>
      </c>
      <c r="C1596" s="2">
        <v>4097.3999999999996</v>
      </c>
      <c r="D1596" s="6">
        <f>(Table2_1[[#This Row],[Constant Prices]]-C1595)/C1595</f>
        <v>-3.4156338440532487E-4</v>
      </c>
      <c r="E1596" s="6">
        <f>(Table2_1[[#This Row],[Constant Prices]]-C1592)/C1592</f>
        <v>-1.5805149884704116E-2</v>
      </c>
      <c r="F1596" s="2">
        <v>6470.6</v>
      </c>
      <c r="G1596" s="7">
        <f>(Table2_1[[#This Row],[Current Prices]]-F1595)/F1595</f>
        <v>-2.0540998743623484E-2</v>
      </c>
      <c r="H1596" s="7">
        <f>(Table2_1[[#This Row],[Current Prices]]-F1592)/F1592</f>
        <v>5.1617097350885807E-2</v>
      </c>
      <c r="I1596" s="2"/>
    </row>
    <row r="1597" spans="1:9" x14ac:dyDescent="0.3">
      <c r="A1597" s="2" t="s">
        <v>96</v>
      </c>
      <c r="B1597" s="2" t="s">
        <v>55</v>
      </c>
      <c r="C1597" s="2">
        <v>4120.1000000000004</v>
      </c>
      <c r="D1597" s="6">
        <f>(Table2_1[[#This Row],[Constant Prices]]-C1596)/C1596</f>
        <v>5.5400985991118099E-3</v>
      </c>
      <c r="E1597" s="6">
        <f>(Table2_1[[#This Row],[Constant Prices]]-C1593)/C1593</f>
        <v>0.13994411089284237</v>
      </c>
      <c r="F1597" s="2">
        <v>6452.3</v>
      </c>
      <c r="G1597" s="7">
        <f>(Table2_1[[#This Row],[Current Prices]]-F1596)/F1596</f>
        <v>-2.8281766760424351E-3</v>
      </c>
      <c r="H1597" s="7">
        <f>(Table2_1[[#This Row],[Current Prices]]-F1593)/F1593</f>
        <v>0.1912085071816268</v>
      </c>
      <c r="I1597" s="2"/>
    </row>
    <row r="1598" spans="1:9" x14ac:dyDescent="0.3">
      <c r="A1598" s="2" t="s">
        <v>96</v>
      </c>
      <c r="B1598" s="2" t="s">
        <v>56</v>
      </c>
      <c r="C1598" s="2">
        <v>4135.8</v>
      </c>
      <c r="D1598" s="6">
        <f>(Table2_1[[#This Row],[Constant Prices]]-C1597)/C1597</f>
        <v>3.8105871216717597E-3</v>
      </c>
      <c r="E1598" s="6">
        <f>(Table2_1[[#This Row],[Constant Prices]]-C1594)/C1594</f>
        <v>-2.894977812213852E-2</v>
      </c>
      <c r="F1598" s="2">
        <v>6503.6</v>
      </c>
      <c r="G1598" s="7">
        <f>(Table2_1[[#This Row],[Current Prices]]-F1597)/F1597</f>
        <v>7.9506532554283246E-3</v>
      </c>
      <c r="H1598" s="7">
        <f>(Table2_1[[#This Row],[Current Prices]]-F1594)/F1594</f>
        <v>8.9514264881553757E-3</v>
      </c>
      <c r="I1598" s="2"/>
    </row>
    <row r="1599" spans="1:9" x14ac:dyDescent="0.3">
      <c r="A1599" s="2" t="s">
        <v>96</v>
      </c>
      <c r="B1599" s="2" t="s">
        <v>57</v>
      </c>
      <c r="C1599" s="2">
        <v>4138.7</v>
      </c>
      <c r="D1599" s="6">
        <f>(Table2_1[[#This Row],[Constant Prices]]-C1598)/C1598</f>
        <v>7.0119444847420963E-4</v>
      </c>
      <c r="E1599" s="6">
        <f>(Table2_1[[#This Row],[Constant Prices]]-C1595)/C1595</f>
        <v>9.7345564555478756E-3</v>
      </c>
      <c r="F1599" s="2">
        <v>6719.3</v>
      </c>
      <c r="G1599" s="7">
        <f>(Table2_1[[#This Row],[Current Prices]]-F1598)/F1598</f>
        <v>3.316624638661661E-2</v>
      </c>
      <c r="H1599" s="7">
        <f>(Table2_1[[#This Row],[Current Prices]]-F1595)/F1595</f>
        <v>1.7104884731241391E-2</v>
      </c>
      <c r="I1599" s="2">
        <v>11</v>
      </c>
    </row>
    <row r="1600" spans="1:9" x14ac:dyDescent="0.3">
      <c r="A1600" s="2" t="s">
        <v>96</v>
      </c>
      <c r="B1600" s="2" t="s">
        <v>58</v>
      </c>
      <c r="C1600" s="2">
        <v>4169.5</v>
      </c>
      <c r="D1600" s="6">
        <f>(Table2_1[[#This Row],[Constant Prices]]-C1599)/C1599</f>
        <v>7.4419503708894538E-3</v>
      </c>
      <c r="E1600" s="6">
        <f>(Table2_1[[#This Row],[Constant Prices]]-C1596)/C1596</f>
        <v>1.7596524625372277E-2</v>
      </c>
      <c r="F1600" s="2">
        <v>6754.7</v>
      </c>
      <c r="G1600" s="7">
        <f>(Table2_1[[#This Row],[Current Prices]]-F1599)/F1599</f>
        <v>5.2684059351419989E-3</v>
      </c>
      <c r="H1600" s="7">
        <f>(Table2_1[[#This Row],[Current Prices]]-F1596)/F1596</f>
        <v>4.3906283806756631E-2</v>
      </c>
      <c r="I1600" s="2"/>
    </row>
    <row r="1601" spans="1:9" x14ac:dyDescent="0.3">
      <c r="A1601" s="2" t="s">
        <v>96</v>
      </c>
      <c r="B1601" s="2" t="s">
        <v>59</v>
      </c>
      <c r="C1601" s="2">
        <v>4169.7</v>
      </c>
      <c r="D1601" s="6">
        <f>(Table2_1[[#This Row],[Constant Prices]]-C1600)/C1600</f>
        <v>4.7967382180073894E-5</v>
      </c>
      <c r="E1601" s="6">
        <f>(Table2_1[[#This Row],[Constant Prices]]-C1597)/C1597</f>
        <v>1.2038542753816521E-2</v>
      </c>
      <c r="F1601" s="2">
        <v>6727.3</v>
      </c>
      <c r="G1601" s="7">
        <f>(Table2_1[[#This Row],[Current Prices]]-F1600)/F1600</f>
        <v>-4.056434778746597E-3</v>
      </c>
      <c r="H1601" s="7">
        <f>(Table2_1[[#This Row],[Current Prices]]-F1597)/F1597</f>
        <v>4.2620460920911922E-2</v>
      </c>
      <c r="I1601" s="2"/>
    </row>
    <row r="1602" spans="1:9" x14ac:dyDescent="0.3">
      <c r="A1602" s="2" t="s">
        <v>96</v>
      </c>
      <c r="B1602" s="2" t="s">
        <v>60</v>
      </c>
      <c r="C1602" s="2">
        <v>4184.2</v>
      </c>
      <c r="D1602" s="6">
        <f>(Table2_1[[#This Row],[Constant Prices]]-C1601)/C1601</f>
        <v>3.4774684030026144E-3</v>
      </c>
      <c r="E1602" s="6">
        <f>(Table2_1[[#This Row],[Constant Prices]]-C1598)/C1598</f>
        <v>1.1702693553846809E-2</v>
      </c>
      <c r="F1602" s="2">
        <v>6785.2</v>
      </c>
      <c r="G1602" s="7">
        <f>(Table2_1[[#This Row],[Current Prices]]-F1601)/F1601</f>
        <v>8.6067218646410353E-3</v>
      </c>
      <c r="H1602" s="7">
        <f>(Table2_1[[#This Row],[Current Prices]]-F1598)/F1598</f>
        <v>4.3299095885355715E-2</v>
      </c>
      <c r="I1602" s="2"/>
    </row>
    <row r="1603" spans="1:9" x14ac:dyDescent="0.3">
      <c r="A1603" s="2" t="s">
        <v>96</v>
      </c>
      <c r="B1603" s="2" t="s">
        <v>61</v>
      </c>
      <c r="C1603" s="2">
        <v>4167.6000000000004</v>
      </c>
      <c r="D1603" s="6">
        <f>(Table2_1[[#This Row],[Constant Prices]]-C1602)/C1602</f>
        <v>-3.9673055781271104E-3</v>
      </c>
      <c r="E1603" s="6">
        <f>(Table2_1[[#This Row],[Constant Prices]]-C1599)/C1599</f>
        <v>6.9828690168411691E-3</v>
      </c>
      <c r="F1603" s="2">
        <v>7008.5</v>
      </c>
      <c r="G1603" s="7">
        <f>(Table2_1[[#This Row],[Current Prices]]-F1602)/F1602</f>
        <v>3.290986264222133E-2</v>
      </c>
      <c r="H1603" s="7">
        <f>(Table2_1[[#This Row],[Current Prices]]-F1599)/F1599</f>
        <v>4.3040197639635056E-2</v>
      </c>
      <c r="I1603" s="2">
        <v>12</v>
      </c>
    </row>
    <row r="1604" spans="1:9" x14ac:dyDescent="0.3">
      <c r="A1604" s="2" t="s">
        <v>96</v>
      </c>
      <c r="B1604" s="2" t="s">
        <v>62</v>
      </c>
      <c r="C1604" s="2">
        <v>4157.8999999999996</v>
      </c>
      <c r="D1604" s="6">
        <f>(Table2_1[[#This Row],[Constant Prices]]-C1603)/C1603</f>
        <v>-2.3274786447837429E-3</v>
      </c>
      <c r="E1604" s="6">
        <f>(Table2_1[[#This Row],[Constant Prices]]-C1600)/C1600</f>
        <v>-2.7821081664469033E-3</v>
      </c>
      <c r="F1604" s="2">
        <v>6821.5</v>
      </c>
      <c r="G1604" s="7">
        <f>(Table2_1[[#This Row],[Current Prices]]-F1603)/F1603</f>
        <v>-2.6681886280944568E-2</v>
      </c>
      <c r="H1604" s="7">
        <f>(Table2_1[[#This Row],[Current Prices]]-F1600)/F1600</f>
        <v>9.8894103365064594E-3</v>
      </c>
      <c r="I1604" s="2"/>
    </row>
    <row r="1605" spans="1:9" x14ac:dyDescent="0.3">
      <c r="A1605" s="2" t="s">
        <v>96</v>
      </c>
      <c r="B1605" s="2" t="s">
        <v>63</v>
      </c>
      <c r="C1605" s="2">
        <v>4167.3999999999996</v>
      </c>
      <c r="D1605" s="6">
        <f>(Table2_1[[#This Row],[Constant Prices]]-C1604)/C1604</f>
        <v>2.2848072344212223E-3</v>
      </c>
      <c r="E1605" s="6">
        <f>(Table2_1[[#This Row],[Constant Prices]]-C1601)/C1601</f>
        <v>-5.5159843633838929E-4</v>
      </c>
      <c r="F1605" s="2">
        <v>6883</v>
      </c>
      <c r="G1605" s="7">
        <f>(Table2_1[[#This Row],[Current Prices]]-F1604)/F1604</f>
        <v>9.0156124019643777E-3</v>
      </c>
      <c r="H1605" s="7">
        <f>(Table2_1[[#This Row],[Current Prices]]-F1601)/F1601</f>
        <v>2.314450076553741E-2</v>
      </c>
      <c r="I1605" s="2"/>
    </row>
    <row r="1606" spans="1:9" x14ac:dyDescent="0.3">
      <c r="A1606" s="2" t="s">
        <v>96</v>
      </c>
      <c r="B1606" s="2" t="s">
        <v>64</v>
      </c>
      <c r="C1606" s="2">
        <v>4182.8999999999996</v>
      </c>
      <c r="D1606" s="6">
        <f>(Table2_1[[#This Row],[Constant Prices]]-C1605)/C1605</f>
        <v>3.7193453952104431E-3</v>
      </c>
      <c r="E1606" s="6">
        <f>(Table2_1[[#This Row],[Constant Prices]]-C1602)/C1602</f>
        <v>-3.1069260551603223E-4</v>
      </c>
      <c r="F1606" s="2">
        <v>6953.2</v>
      </c>
      <c r="G1606" s="7">
        <f>(Table2_1[[#This Row],[Current Prices]]-F1605)/F1605</f>
        <v>1.0199041115792506E-2</v>
      </c>
      <c r="H1606" s="7">
        <f>(Table2_1[[#This Row],[Current Prices]]-F1602)/F1602</f>
        <v>2.4759771266874963E-2</v>
      </c>
      <c r="I1606" s="2"/>
    </row>
    <row r="1607" spans="1:9" x14ac:dyDescent="0.3">
      <c r="A1607" s="2" t="s">
        <v>96</v>
      </c>
      <c r="B1607" s="2" t="s">
        <v>65</v>
      </c>
      <c r="C1607" s="2">
        <v>4190.8999999999996</v>
      </c>
      <c r="D1607" s="6">
        <f>(Table2_1[[#This Row],[Constant Prices]]-C1606)/C1606</f>
        <v>1.9125487102249637E-3</v>
      </c>
      <c r="E1607" s="6">
        <f>(Table2_1[[#This Row],[Constant Prices]]-C1603)/C1603</f>
        <v>5.5907476725211803E-3</v>
      </c>
      <c r="F1607" s="2">
        <v>7160.4</v>
      </c>
      <c r="G1607" s="7">
        <f>(Table2_1[[#This Row],[Current Prices]]-F1606)/F1606</f>
        <v>2.9799229131910462E-2</v>
      </c>
      <c r="H1607" s="7">
        <f>(Table2_1[[#This Row],[Current Prices]]-F1603)/F1603</f>
        <v>2.1673681957622835E-2</v>
      </c>
      <c r="I1607" s="2">
        <v>13</v>
      </c>
    </row>
    <row r="1608" spans="1:9" x14ac:dyDescent="0.3">
      <c r="A1608" s="2" t="s">
        <v>96</v>
      </c>
      <c r="B1608" s="2" t="s">
        <v>66</v>
      </c>
      <c r="C1608" s="2">
        <v>4228.1000000000004</v>
      </c>
      <c r="D1608" s="6">
        <f>(Table2_1[[#This Row],[Constant Prices]]-C1607)/C1607</f>
        <v>8.8763750029828281E-3</v>
      </c>
      <c r="E1608" s="6">
        <f>(Table2_1[[#This Row],[Constant Prices]]-C1604)/C1604</f>
        <v>1.688352293224963E-2</v>
      </c>
      <c r="F1608" s="2">
        <v>7090.5</v>
      </c>
      <c r="G1608" s="7">
        <f>(Table2_1[[#This Row],[Current Prices]]-F1607)/F1607</f>
        <v>-9.76202446790677E-3</v>
      </c>
      <c r="H1608" s="7">
        <f>(Table2_1[[#This Row],[Current Prices]]-F1604)/F1604</f>
        <v>3.9434142050868579E-2</v>
      </c>
      <c r="I1608" s="2"/>
    </row>
    <row r="1609" spans="1:9" x14ac:dyDescent="0.3">
      <c r="A1609" s="2" t="s">
        <v>96</v>
      </c>
      <c r="B1609" s="2" t="s">
        <v>67</v>
      </c>
      <c r="C1609" s="2">
        <v>4223.3</v>
      </c>
      <c r="D1609" s="6">
        <f>(Table2_1[[#This Row],[Constant Prices]]-C1608)/C1608</f>
        <v>-1.135261701473518E-3</v>
      </c>
      <c r="E1609" s="6">
        <f>(Table2_1[[#This Row],[Constant Prices]]-C1605)/C1605</f>
        <v>1.341363919950102E-2</v>
      </c>
      <c r="F1609" s="2">
        <v>7244.8</v>
      </c>
      <c r="G1609" s="7">
        <f>(Table2_1[[#This Row],[Current Prices]]-F1608)/F1608</f>
        <v>2.1761511882095786E-2</v>
      </c>
      <c r="H1609" s="7">
        <f>(Table2_1[[#This Row],[Current Prices]]-F1605)/F1605</f>
        <v>5.2564288827546157E-2</v>
      </c>
      <c r="I1609" s="2"/>
    </row>
    <row r="1610" spans="1:9" x14ac:dyDescent="0.3">
      <c r="A1610" s="2" t="s">
        <v>96</v>
      </c>
      <c r="B1610" s="2" t="s">
        <v>68</v>
      </c>
      <c r="C1610" s="2">
        <v>4208.8</v>
      </c>
      <c r="D1610" s="6">
        <f>(Table2_1[[#This Row],[Constant Prices]]-C1609)/C1609</f>
        <v>-3.4333341226055452E-3</v>
      </c>
      <c r="E1610" s="6">
        <f>(Table2_1[[#This Row],[Constant Prices]]-C1606)/C1606</f>
        <v>6.1918764493534501E-3</v>
      </c>
      <c r="F1610" s="2">
        <v>7108.9</v>
      </c>
      <c r="G1610" s="7">
        <f>(Table2_1[[#This Row],[Current Prices]]-F1609)/F1609</f>
        <v>-1.8758281802120216E-2</v>
      </c>
      <c r="H1610" s="7">
        <f>(Table2_1[[#This Row],[Current Prices]]-F1606)/F1606</f>
        <v>2.2392567450957808E-2</v>
      </c>
      <c r="I1610" s="2"/>
    </row>
    <row r="1611" spans="1:9" x14ac:dyDescent="0.3">
      <c r="A1611" s="2" t="s">
        <v>96</v>
      </c>
      <c r="B1611" s="2" t="s">
        <v>69</v>
      </c>
      <c r="C1611" s="2">
        <v>4276.6000000000004</v>
      </c>
      <c r="D1611" s="6">
        <f>(Table2_1[[#This Row],[Constant Prices]]-C1610)/C1610</f>
        <v>1.6109104732940548E-2</v>
      </c>
      <c r="E1611" s="6">
        <f>(Table2_1[[#This Row],[Constant Prices]]-C1607)/C1607</f>
        <v>2.0449068219237095E-2</v>
      </c>
      <c r="F1611" s="5">
        <f>Table2_1[[#This Row],[Constant Prices]]*AVERAGE(Inflation!$C$72:$C$74)*0.01</f>
        <v>7742.0715333333346</v>
      </c>
      <c r="G1611" s="7">
        <f>(Table2_1[[#This Row],[Current Prices]]-F1610)/F1610</f>
        <v>8.9067441282524029E-2</v>
      </c>
      <c r="H1611" s="7">
        <f>(Table2_1[[#This Row],[Current Prices]]-F1607)/F1607</f>
        <v>8.123450272796702E-2</v>
      </c>
      <c r="I1611" s="2">
        <v>14</v>
      </c>
    </row>
    <row r="1612" spans="1:9" x14ac:dyDescent="0.3">
      <c r="A1612" s="2" t="s">
        <v>96</v>
      </c>
      <c r="B1612" s="2" t="s">
        <v>70</v>
      </c>
      <c r="C1612" s="2">
        <v>4297.3999999999996</v>
      </c>
      <c r="D1612" s="6">
        <f>(Table2_1[[#This Row],[Constant Prices]]-C1611)/C1611</f>
        <v>4.8636767525602745E-3</v>
      </c>
      <c r="E1612" s="6">
        <f>(Table2_1[[#This Row],[Constant Prices]]-C1608)/C1608</f>
        <v>1.6390340815023122E-2</v>
      </c>
      <c r="F1612" s="5">
        <f>Table2_1[[#This Row],[Constant Prices]]*AVERAGE(Inflation!$C$75:$C$77)*0.01</f>
        <v>7839.890066666665</v>
      </c>
      <c r="G1612" s="7">
        <f>(Table2_1[[#This Row],[Current Prices]]-F1611)/F1611</f>
        <v>1.2634671859097999E-2</v>
      </c>
      <c r="H1612" s="7">
        <f>(Table2_1[[#This Row],[Current Prices]]-F1608)/F1608</f>
        <v>0.10568931199022143</v>
      </c>
      <c r="I1612" s="2"/>
    </row>
    <row r="1613" spans="1:9" x14ac:dyDescent="0.3">
      <c r="A1613" s="2" t="s">
        <v>96</v>
      </c>
      <c r="B1613" s="2" t="s">
        <v>71</v>
      </c>
      <c r="C1613" s="2">
        <v>4287.2</v>
      </c>
      <c r="D1613" s="6">
        <f>(Table2_1[[#This Row],[Constant Prices]]-C1612)/C1612</f>
        <v>-2.3735281798296223E-3</v>
      </c>
      <c r="E1613" s="6">
        <f>(Table2_1[[#This Row],[Constant Prices]]-C1609)/C1609</f>
        <v>1.513034830582711E-2</v>
      </c>
      <c r="F1613" s="5">
        <f>Table2_1[[#This Row],[Constant Prices]]*AVERAGE(Inflation!$C$78:$C$80)*0.01</f>
        <v>7945.6106666666665</v>
      </c>
      <c r="G1613" s="7">
        <f>(Table2_1[[#This Row],[Current Prices]]-F1612)/F1612</f>
        <v>1.3484959495733256E-2</v>
      </c>
      <c r="H1613" s="7">
        <f>(Table2_1[[#This Row],[Current Prices]]-F1609)/F1609</f>
        <v>9.6732921083627743E-2</v>
      </c>
      <c r="I1613" s="2"/>
    </row>
    <row r="1614" spans="1:9" x14ac:dyDescent="0.3">
      <c r="A1614" s="2" t="s">
        <v>97</v>
      </c>
      <c r="B1614" s="2" t="s">
        <v>10</v>
      </c>
      <c r="C1614" s="2">
        <v>19198.099999999999</v>
      </c>
      <c r="D1614" s="6"/>
      <c r="E1614" s="6"/>
      <c r="F1614" s="2">
        <v>14965.4</v>
      </c>
      <c r="G1614" s="7"/>
      <c r="H1614" s="7"/>
      <c r="I1614" s="2"/>
    </row>
    <row r="1615" spans="1:9" x14ac:dyDescent="0.3">
      <c r="A1615" s="2" t="s">
        <v>97</v>
      </c>
      <c r="B1615" s="2" t="s">
        <v>11</v>
      </c>
      <c r="C1615" s="2">
        <v>19289</v>
      </c>
      <c r="D1615" s="6">
        <f>(Table2_1[[#This Row],[Constant Prices]]-C1614)/C1614</f>
        <v>4.7348435522265985E-3</v>
      </c>
      <c r="E1615" s="6"/>
      <c r="F1615" s="2">
        <v>15120.2</v>
      </c>
      <c r="G1615" s="7">
        <f>(Table2_1[[#This Row],[Current Prices]]-F1614)/F1614</f>
        <v>1.0343859836690039E-2</v>
      </c>
      <c r="H1615" s="7"/>
      <c r="I1615" s="2"/>
    </row>
    <row r="1616" spans="1:9" x14ac:dyDescent="0.3">
      <c r="A1616" s="2" t="s">
        <v>97</v>
      </c>
      <c r="B1616" s="2" t="s">
        <v>12</v>
      </c>
      <c r="C1616" s="2">
        <v>19483.3</v>
      </c>
      <c r="D1616" s="6">
        <f>(Table2_1[[#This Row],[Constant Prices]]-C1615)/C1615</f>
        <v>1.0073098657265762E-2</v>
      </c>
      <c r="E1616" s="6"/>
      <c r="F1616" s="2">
        <v>15373.6</v>
      </c>
      <c r="G1616" s="7">
        <f>(Table2_1[[#This Row],[Current Prices]]-F1615)/F1615</f>
        <v>1.6759037578867979E-2</v>
      </c>
      <c r="H1616" s="7"/>
      <c r="I1616" s="2"/>
    </row>
    <row r="1617" spans="1:9" x14ac:dyDescent="0.3">
      <c r="A1617" s="2" t="s">
        <v>97</v>
      </c>
      <c r="B1617" s="2" t="s">
        <v>13</v>
      </c>
      <c r="C1617" s="2">
        <v>19377.599999999999</v>
      </c>
      <c r="D1617" s="6">
        <f>(Table2_1[[#This Row],[Constant Prices]]-C1616)/C1616</f>
        <v>-5.4251589823079626E-3</v>
      </c>
      <c r="E1617" s="6"/>
      <c r="F1617" s="2">
        <v>15566.2</v>
      </c>
      <c r="G1617" s="7">
        <f>(Table2_1[[#This Row],[Current Prices]]-F1616)/F1616</f>
        <v>1.2527970026539026E-2</v>
      </c>
      <c r="H1617" s="7"/>
      <c r="I1617" s="2"/>
    </row>
    <row r="1618" spans="1:9" x14ac:dyDescent="0.3">
      <c r="A1618" s="2" t="s">
        <v>97</v>
      </c>
      <c r="B1618" s="2" t="s">
        <v>14</v>
      </c>
      <c r="C1618" s="2">
        <v>18728.7</v>
      </c>
      <c r="D1618" s="6">
        <f>(Table2_1[[#This Row],[Constant Prices]]-C1617)/C1617</f>
        <v>-3.348711914788198E-2</v>
      </c>
      <c r="E1618" s="6">
        <f>(Table2_1[[#This Row],[Constant Prices]]-C1614)/C1614</f>
        <v>-2.4450336231189432E-2</v>
      </c>
      <c r="F1618" s="2">
        <v>15572</v>
      </c>
      <c r="G1618" s="7">
        <f>(Table2_1[[#This Row],[Current Prices]]-F1617)/F1617</f>
        <v>3.7260217651059811E-4</v>
      </c>
      <c r="H1618" s="7">
        <f>(Table2_1[[#This Row],[Current Prices]]-F1614)/F1614</f>
        <v>4.0533497267029303E-2</v>
      </c>
      <c r="I1618" s="2"/>
    </row>
    <row r="1619" spans="1:9" x14ac:dyDescent="0.3">
      <c r="A1619" s="2" t="s">
        <v>97</v>
      </c>
      <c r="B1619" s="2" t="s">
        <v>15</v>
      </c>
      <c r="C1619" s="2">
        <v>18991.8</v>
      </c>
      <c r="D1619" s="6">
        <f>(Table2_1[[#This Row],[Constant Prices]]-C1618)/C1618</f>
        <v>1.404795848083415E-2</v>
      </c>
      <c r="E1619" s="6">
        <f>(Table2_1[[#This Row],[Constant Prices]]-C1615)/C1615</f>
        <v>-1.5407745347089052E-2</v>
      </c>
      <c r="F1619" s="2">
        <v>16016.8</v>
      </c>
      <c r="G1619" s="7">
        <f>(Table2_1[[#This Row],[Current Prices]]-F1618)/F1618</f>
        <v>2.8564089391214954E-2</v>
      </c>
      <c r="H1619" s="7">
        <f>(Table2_1[[#This Row],[Current Prices]]-F1615)/F1615</f>
        <v>5.9298157431779901E-2</v>
      </c>
      <c r="I1619" s="2"/>
    </row>
    <row r="1620" spans="1:9" x14ac:dyDescent="0.3">
      <c r="A1620" s="2" t="s">
        <v>97</v>
      </c>
      <c r="B1620" s="2" t="s">
        <v>16</v>
      </c>
      <c r="C1620" s="2">
        <v>19067</v>
      </c>
      <c r="D1620" s="6">
        <f>(Table2_1[[#This Row],[Constant Prices]]-C1619)/C1619</f>
        <v>3.9596036184037708E-3</v>
      </c>
      <c r="E1620" s="6">
        <f>(Table2_1[[#This Row],[Constant Prices]]-C1616)/C1616</f>
        <v>-2.1367016881123798E-2</v>
      </c>
      <c r="F1620" s="2">
        <v>16174.5</v>
      </c>
      <c r="G1620" s="7">
        <f>(Table2_1[[#This Row],[Current Prices]]-F1619)/F1619</f>
        <v>9.8459117926177966E-3</v>
      </c>
      <c r="H1620" s="7">
        <f>(Table2_1[[#This Row],[Current Prices]]-F1616)/F1616</f>
        <v>5.2095800593224724E-2</v>
      </c>
      <c r="I1620" s="2"/>
    </row>
    <row r="1621" spans="1:9" x14ac:dyDescent="0.3">
      <c r="A1621" s="2" t="s">
        <v>97</v>
      </c>
      <c r="B1621" s="2" t="s">
        <v>17</v>
      </c>
      <c r="C1621" s="2">
        <v>19185.099999999999</v>
      </c>
      <c r="D1621" s="6">
        <f>(Table2_1[[#This Row],[Constant Prices]]-C1620)/C1620</f>
        <v>6.1939476582576463E-3</v>
      </c>
      <c r="E1621" s="6">
        <f>(Table2_1[[#This Row],[Constant Prices]]-C1617)/C1617</f>
        <v>-9.9341507720254324E-3</v>
      </c>
      <c r="F1621" s="2">
        <v>16569.099999999999</v>
      </c>
      <c r="G1621" s="7">
        <f>(Table2_1[[#This Row],[Current Prices]]-F1620)/F1620</f>
        <v>2.4396426473770352E-2</v>
      </c>
      <c r="H1621" s="7">
        <f>(Table2_1[[#This Row],[Current Prices]]-F1617)/F1617</f>
        <v>6.4428055659056016E-2</v>
      </c>
      <c r="I1621" s="2">
        <v>1</v>
      </c>
    </row>
    <row r="1622" spans="1:9" x14ac:dyDescent="0.3">
      <c r="A1622" s="2" t="s">
        <v>97</v>
      </c>
      <c r="B1622" s="2" t="s">
        <v>18</v>
      </c>
      <c r="C1622" s="2">
        <v>19441.400000000001</v>
      </c>
      <c r="D1622" s="6">
        <f>(Table2_1[[#This Row],[Constant Prices]]-C1621)/C1621</f>
        <v>1.3359325726736005E-2</v>
      </c>
      <c r="E1622" s="6">
        <f>(Table2_1[[#This Row],[Constant Prices]]-C1618)/C1618</f>
        <v>3.805389589240047E-2</v>
      </c>
      <c r="F1622" s="2">
        <v>17076.3</v>
      </c>
      <c r="G1622" s="7">
        <f>(Table2_1[[#This Row],[Current Prices]]-F1621)/F1621</f>
        <v>3.0611197952815829E-2</v>
      </c>
      <c r="H1622" s="7">
        <f>(Table2_1[[#This Row],[Current Prices]]-F1618)/F1618</f>
        <v>9.6602876958643669E-2</v>
      </c>
      <c r="I1622" s="2"/>
    </row>
    <row r="1623" spans="1:9" x14ac:dyDescent="0.3">
      <c r="A1623" s="2" t="s">
        <v>97</v>
      </c>
      <c r="B1623" s="2" t="s">
        <v>19</v>
      </c>
      <c r="C1623" s="2">
        <v>19628.7</v>
      </c>
      <c r="D1623" s="6">
        <f>(Table2_1[[#This Row],[Constant Prices]]-C1622)/C1622</f>
        <v>9.6340798502165103E-3</v>
      </c>
      <c r="E1623" s="6">
        <f>(Table2_1[[#This Row],[Constant Prices]]-C1619)/C1619</f>
        <v>3.3535525858528495E-2</v>
      </c>
      <c r="F1623" s="2">
        <v>17382.2</v>
      </c>
      <c r="G1623" s="7">
        <f>(Table2_1[[#This Row],[Current Prices]]-F1622)/F1622</f>
        <v>1.7913716671644413E-2</v>
      </c>
      <c r="H1623" s="7">
        <f>(Table2_1[[#This Row],[Current Prices]]-F1619)/F1619</f>
        <v>8.5247989610908639E-2</v>
      </c>
      <c r="I1623" s="2"/>
    </row>
    <row r="1624" spans="1:9" x14ac:dyDescent="0.3">
      <c r="A1624" s="2" t="s">
        <v>97</v>
      </c>
      <c r="B1624" s="2" t="s">
        <v>20</v>
      </c>
      <c r="C1624" s="2">
        <v>19931.3</v>
      </c>
      <c r="D1624" s="6">
        <f>(Table2_1[[#This Row],[Constant Prices]]-C1623)/C1623</f>
        <v>1.5416201786159987E-2</v>
      </c>
      <c r="E1624" s="6">
        <f>(Table2_1[[#This Row],[Constant Prices]]-C1620)/C1620</f>
        <v>4.5329627104421212E-2</v>
      </c>
      <c r="F1624" s="2">
        <v>17900</v>
      </c>
      <c r="G1624" s="7">
        <f>(Table2_1[[#This Row],[Current Prices]]-F1623)/F1623</f>
        <v>2.9789094591018354E-2</v>
      </c>
      <c r="H1624" s="7">
        <f>(Table2_1[[#This Row],[Current Prices]]-F1620)/F1620</f>
        <v>0.10668026832359578</v>
      </c>
      <c r="I1624" s="2"/>
    </row>
    <row r="1625" spans="1:9" x14ac:dyDescent="0.3">
      <c r="A1625" s="2" t="s">
        <v>97</v>
      </c>
      <c r="B1625" s="2" t="s">
        <v>21</v>
      </c>
      <c r="C1625" s="2">
        <v>20120.900000000001</v>
      </c>
      <c r="D1625" s="6">
        <f>(Table2_1[[#This Row],[Constant Prices]]-C1624)/C1624</f>
        <v>9.5126760422050843E-3</v>
      </c>
      <c r="E1625" s="6">
        <f>(Table2_1[[#This Row],[Constant Prices]]-C1621)/C1621</f>
        <v>4.8777436656572186E-2</v>
      </c>
      <c r="F1625" s="2">
        <v>18223.7</v>
      </c>
      <c r="G1625" s="7">
        <f>(Table2_1[[#This Row],[Current Prices]]-F1624)/F1624</f>
        <v>1.8083798882681607E-2</v>
      </c>
      <c r="H1625" s="7">
        <f>(Table2_1[[#This Row],[Current Prices]]-F1621)/F1621</f>
        <v>9.9860583857904306E-2</v>
      </c>
      <c r="I1625" s="2">
        <v>2</v>
      </c>
    </row>
    <row r="1626" spans="1:9" x14ac:dyDescent="0.3">
      <c r="A1626" s="2" t="s">
        <v>97</v>
      </c>
      <c r="B1626" s="2" t="s">
        <v>22</v>
      </c>
      <c r="C1626" s="2">
        <v>19937.900000000001</v>
      </c>
      <c r="D1626" s="6">
        <f>(Table2_1[[#This Row],[Constant Prices]]-C1625)/C1625</f>
        <v>-9.0950206004701568E-3</v>
      </c>
      <c r="E1626" s="6">
        <f>(Table2_1[[#This Row],[Constant Prices]]-C1622)/C1622</f>
        <v>2.5538284279938685E-2</v>
      </c>
      <c r="F1626" s="2">
        <v>18484.7</v>
      </c>
      <c r="G1626" s="7">
        <f>(Table2_1[[#This Row],[Current Prices]]-F1625)/F1625</f>
        <v>1.4322009251688734E-2</v>
      </c>
      <c r="H1626" s="7">
        <f>(Table2_1[[#This Row],[Current Prices]]-F1622)/F1622</f>
        <v>8.2476883165557027E-2</v>
      </c>
      <c r="I1626" s="2"/>
    </row>
    <row r="1627" spans="1:9" x14ac:dyDescent="0.3">
      <c r="A1627" s="2" t="s">
        <v>97</v>
      </c>
      <c r="B1627" s="2" t="s">
        <v>23</v>
      </c>
      <c r="C1627" s="2">
        <v>20124</v>
      </c>
      <c r="D1627" s="6">
        <f>(Table2_1[[#This Row],[Constant Prices]]-C1626)/C1626</f>
        <v>9.3339820141538736E-3</v>
      </c>
      <c r="E1627" s="6">
        <f>(Table2_1[[#This Row],[Constant Prices]]-C1623)/C1623</f>
        <v>2.5233459169481384E-2</v>
      </c>
      <c r="F1627" s="2">
        <v>18782.3</v>
      </c>
      <c r="G1627" s="7">
        <f>(Table2_1[[#This Row],[Current Prices]]-F1626)/F1626</f>
        <v>1.6099801457421462E-2</v>
      </c>
      <c r="H1627" s="7">
        <f>(Table2_1[[#This Row],[Current Prices]]-F1623)/F1623</f>
        <v>8.054791683446276E-2</v>
      </c>
      <c r="I1627" s="2"/>
    </row>
    <row r="1628" spans="1:9" x14ac:dyDescent="0.3">
      <c r="A1628" s="2" t="s">
        <v>97</v>
      </c>
      <c r="B1628" s="2" t="s">
        <v>24</v>
      </c>
      <c r="C1628" s="2">
        <v>20233.3</v>
      </c>
      <c r="D1628" s="6">
        <f>(Table2_1[[#This Row],[Constant Prices]]-C1627)/C1627</f>
        <v>5.4313257801629532E-3</v>
      </c>
      <c r="E1628" s="6">
        <f>(Table2_1[[#This Row],[Constant Prices]]-C1624)/C1624</f>
        <v>1.5152047282415097E-2</v>
      </c>
      <c r="F1628" s="2">
        <v>18845.3</v>
      </c>
      <c r="G1628" s="7">
        <f>(Table2_1[[#This Row],[Current Prices]]-F1627)/F1627</f>
        <v>3.3542217939230021E-3</v>
      </c>
      <c r="H1628" s="7">
        <f>(Table2_1[[#This Row],[Current Prices]]-F1624)/F1624</f>
        <v>5.2810055865921746E-2</v>
      </c>
      <c r="I1628" s="2"/>
    </row>
    <row r="1629" spans="1:9" x14ac:dyDescent="0.3">
      <c r="A1629" s="2" t="s">
        <v>97</v>
      </c>
      <c r="B1629" s="2" t="s">
        <v>25</v>
      </c>
      <c r="C1629" s="2">
        <v>20424.400000000001</v>
      </c>
      <c r="D1629" s="6">
        <f>(Table2_1[[#This Row],[Constant Prices]]-C1628)/C1628</f>
        <v>9.4448261035027497E-3</v>
      </c>
      <c r="E1629" s="6">
        <f>(Table2_1[[#This Row],[Constant Prices]]-C1625)/C1625</f>
        <v>1.5083818318266081E-2</v>
      </c>
      <c r="F1629" s="2">
        <v>19133.099999999999</v>
      </c>
      <c r="G1629" s="7">
        <f>(Table2_1[[#This Row],[Current Prices]]-F1628)/F1628</f>
        <v>1.527171231023116E-2</v>
      </c>
      <c r="H1629" s="7">
        <f>(Table2_1[[#This Row],[Current Prices]]-F1625)/F1625</f>
        <v>4.9902050626382005E-2</v>
      </c>
      <c r="I1629" s="2">
        <v>3</v>
      </c>
    </row>
    <row r="1630" spans="1:9" x14ac:dyDescent="0.3">
      <c r="A1630" s="2" t="s">
        <v>97</v>
      </c>
      <c r="B1630" s="2" t="s">
        <v>26</v>
      </c>
      <c r="C1630" s="2">
        <v>20540.8</v>
      </c>
      <c r="D1630" s="6">
        <f>(Table2_1[[#This Row],[Constant Prices]]-C1629)/C1629</f>
        <v>5.6990658232309302E-3</v>
      </c>
      <c r="E1630" s="6">
        <f>(Table2_1[[#This Row],[Constant Prices]]-C1626)/C1626</f>
        <v>3.0238891758911309E-2</v>
      </c>
      <c r="F1630" s="2">
        <v>19424.8</v>
      </c>
      <c r="G1630" s="7">
        <f>(Table2_1[[#This Row],[Current Prices]]-F1629)/F1629</f>
        <v>1.5245830524065664E-2</v>
      </c>
      <c r="H1630" s="7">
        <f>(Table2_1[[#This Row],[Current Prices]]-F1626)/F1626</f>
        <v>5.0858277386162533E-2</v>
      </c>
      <c r="I1630" s="2"/>
    </row>
    <row r="1631" spans="1:9" x14ac:dyDescent="0.3">
      <c r="A1631" s="2" t="s">
        <v>97</v>
      </c>
      <c r="B1631" s="2" t="s">
        <v>27</v>
      </c>
      <c r="C1631" s="2">
        <v>20646.2</v>
      </c>
      <c r="D1631" s="6">
        <f>(Table2_1[[#This Row],[Constant Prices]]-C1630)/C1630</f>
        <v>5.1312509736719828E-3</v>
      </c>
      <c r="E1631" s="6">
        <f>(Table2_1[[#This Row],[Constant Prices]]-C1627)/C1627</f>
        <v>2.5949115483999242E-2</v>
      </c>
      <c r="F1631" s="2">
        <v>19611.599999999999</v>
      </c>
      <c r="G1631" s="7">
        <f>(Table2_1[[#This Row],[Current Prices]]-F1630)/F1630</f>
        <v>9.6165726288043787E-3</v>
      </c>
      <c r="H1631" s="7">
        <f>(Table2_1[[#This Row],[Current Prices]]-F1627)/F1627</f>
        <v>4.4153271963497512E-2</v>
      </c>
      <c r="I1631" s="2"/>
    </row>
    <row r="1632" spans="1:9" x14ac:dyDescent="0.3">
      <c r="A1632" s="2" t="s">
        <v>97</v>
      </c>
      <c r="B1632" s="2" t="s">
        <v>28</v>
      </c>
      <c r="C1632" s="2">
        <v>20781</v>
      </c>
      <c r="D1632" s="6">
        <f>(Table2_1[[#This Row],[Constant Prices]]-C1631)/C1631</f>
        <v>6.5290465073475634E-3</v>
      </c>
      <c r="E1632" s="6">
        <f>(Table2_1[[#This Row],[Constant Prices]]-C1628)/C1628</f>
        <v>2.7069237346354809E-2</v>
      </c>
      <c r="F1632" s="2">
        <v>20092.900000000001</v>
      </c>
      <c r="G1632" s="7">
        <f>(Table2_1[[#This Row],[Current Prices]]-F1631)/F1631</f>
        <v>2.454159782985595E-2</v>
      </c>
      <c r="H1632" s="7">
        <f>(Table2_1[[#This Row],[Current Prices]]-F1628)/F1628</f>
        <v>6.6202183037680606E-2</v>
      </c>
      <c r="I1632" s="2"/>
    </row>
    <row r="1633" spans="1:9" x14ac:dyDescent="0.3">
      <c r="A1633" s="2" t="s">
        <v>97</v>
      </c>
      <c r="B1633" s="2" t="s">
        <v>29</v>
      </c>
      <c r="C1633" s="2">
        <v>20890</v>
      </c>
      <c r="D1633" s="6">
        <f>(Table2_1[[#This Row],[Constant Prices]]-C1632)/C1632</f>
        <v>5.2451758818151195E-3</v>
      </c>
      <c r="E1633" s="6">
        <f>(Table2_1[[#This Row],[Constant Prices]]-C1629)/C1629</f>
        <v>2.2796263292924078E-2</v>
      </c>
      <c r="F1633" s="2">
        <v>20418.5</v>
      </c>
      <c r="G1633" s="7">
        <f>(Table2_1[[#This Row],[Current Prices]]-F1632)/F1632</f>
        <v>1.6204729033638673E-2</v>
      </c>
      <c r="H1633" s="7">
        <f>(Table2_1[[#This Row],[Current Prices]]-F1629)/F1629</f>
        <v>6.7182003961720874E-2</v>
      </c>
      <c r="I1633" s="2">
        <v>4</v>
      </c>
    </row>
    <row r="1634" spans="1:9" x14ac:dyDescent="0.3">
      <c r="A1634" s="2" t="s">
        <v>97</v>
      </c>
      <c r="B1634" s="2" t="s">
        <v>30</v>
      </c>
      <c r="C1634" s="2">
        <v>20862.2</v>
      </c>
      <c r="D1634" s="6">
        <f>(Table2_1[[#This Row],[Constant Prices]]-C1633)/C1633</f>
        <v>-1.3307802776447713E-3</v>
      </c>
      <c r="E1634" s="6">
        <f>(Table2_1[[#This Row],[Constant Prices]]-C1630)/C1630</f>
        <v>1.5646907618009107E-2</v>
      </c>
      <c r="F1634" s="2">
        <v>20717.599999999999</v>
      </c>
      <c r="G1634" s="7">
        <f>(Table2_1[[#This Row],[Current Prices]]-F1633)/F1633</f>
        <v>1.4648480544604086E-2</v>
      </c>
      <c r="H1634" s="7">
        <f>(Table2_1[[#This Row],[Current Prices]]-F1630)/F1630</f>
        <v>6.6554095795066062E-2</v>
      </c>
      <c r="I1634" s="2"/>
    </row>
    <row r="1635" spans="1:9" x14ac:dyDescent="0.3">
      <c r="A1635" s="2" t="s">
        <v>97</v>
      </c>
      <c r="B1635" s="2" t="s">
        <v>31</v>
      </c>
      <c r="C1635" s="2">
        <v>20856.2</v>
      </c>
      <c r="D1635" s="6">
        <f>(Table2_1[[#This Row],[Constant Prices]]-C1634)/C1634</f>
        <v>-2.8760149936248334E-4</v>
      </c>
      <c r="E1635" s="6">
        <f>(Table2_1[[#This Row],[Constant Prices]]-C1631)/C1631</f>
        <v>1.0171363253286318E-2</v>
      </c>
      <c r="F1635" s="2">
        <v>20732.7</v>
      </c>
      <c r="G1635" s="7">
        <f>(Table2_1[[#This Row],[Current Prices]]-F1634)/F1634</f>
        <v>7.2884890141725793E-4</v>
      </c>
      <c r="H1635" s="7">
        <f>(Table2_1[[#This Row],[Current Prices]]-F1631)/F1631</f>
        <v>5.7165147157804679E-2</v>
      </c>
      <c r="I1635" s="2"/>
    </row>
    <row r="1636" spans="1:9" x14ac:dyDescent="0.3">
      <c r="A1636" s="2" t="s">
        <v>97</v>
      </c>
      <c r="B1636" s="2" t="s">
        <v>32</v>
      </c>
      <c r="C1636" s="2">
        <v>20860.5</v>
      </c>
      <c r="D1636" s="6">
        <f>(Table2_1[[#This Row],[Constant Prices]]-C1635)/C1635</f>
        <v>2.0617370374273705E-4</v>
      </c>
      <c r="E1636" s="6">
        <f>(Table2_1[[#This Row],[Constant Prices]]-C1632)/C1632</f>
        <v>3.8256099321495596E-3</v>
      </c>
      <c r="F1636" s="2">
        <v>20951.900000000001</v>
      </c>
      <c r="G1636" s="7">
        <f>(Table2_1[[#This Row],[Current Prices]]-F1635)/F1635</f>
        <v>1.0572670226260966E-2</v>
      </c>
      <c r="H1636" s="7">
        <f>(Table2_1[[#This Row],[Current Prices]]-F1632)/F1632</f>
        <v>4.2751419655699271E-2</v>
      </c>
      <c r="I1636" s="2"/>
    </row>
    <row r="1637" spans="1:9" x14ac:dyDescent="0.3">
      <c r="A1637" s="2" t="s">
        <v>97</v>
      </c>
      <c r="B1637" s="2" t="s">
        <v>33</v>
      </c>
      <c r="C1637" s="2">
        <v>20980.7</v>
      </c>
      <c r="D1637" s="6">
        <f>(Table2_1[[#This Row],[Constant Prices]]-C1636)/C1636</f>
        <v>5.7620862395436701E-3</v>
      </c>
      <c r="E1637" s="6">
        <f>(Table2_1[[#This Row],[Constant Prices]]-C1633)/C1633</f>
        <v>4.3417903303016149E-3</v>
      </c>
      <c r="F1637" s="2">
        <v>21157.3</v>
      </c>
      <c r="G1637" s="7">
        <f>(Table2_1[[#This Row],[Current Prices]]-F1636)/F1636</f>
        <v>9.8034068509298827E-3</v>
      </c>
      <c r="H1637" s="7">
        <f>(Table2_1[[#This Row],[Current Prices]]-F1633)/F1633</f>
        <v>3.6182873374635709E-2</v>
      </c>
      <c r="I1637" s="2">
        <v>5</v>
      </c>
    </row>
    <row r="1638" spans="1:9" x14ac:dyDescent="0.3">
      <c r="A1638" s="2" t="s">
        <v>97</v>
      </c>
      <c r="B1638" s="2" t="s">
        <v>34</v>
      </c>
      <c r="C1638" s="2">
        <v>20926.400000000001</v>
      </c>
      <c r="D1638" s="6">
        <f>(Table2_1[[#This Row],[Constant Prices]]-C1637)/C1637</f>
        <v>-2.5880928663008988E-3</v>
      </c>
      <c r="E1638" s="6">
        <f>(Table2_1[[#This Row],[Constant Prices]]-C1634)/C1634</f>
        <v>3.0773360431786065E-3</v>
      </c>
      <c r="F1638" s="2">
        <v>21580.5</v>
      </c>
      <c r="G1638" s="7">
        <f>(Table2_1[[#This Row],[Current Prices]]-F1637)/F1637</f>
        <v>2.0002552310550058E-2</v>
      </c>
      <c r="H1638" s="7">
        <f>(Table2_1[[#This Row],[Current Prices]]-F1634)/F1634</f>
        <v>4.1650577286944504E-2</v>
      </c>
      <c r="I1638" s="2"/>
    </row>
    <row r="1639" spans="1:9" x14ac:dyDescent="0.3">
      <c r="A1639" s="2" t="s">
        <v>97</v>
      </c>
      <c r="B1639" s="2" t="s">
        <v>35</v>
      </c>
      <c r="C1639" s="2">
        <v>20987.9</v>
      </c>
      <c r="D1639" s="6">
        <f>(Table2_1[[#This Row],[Constant Prices]]-C1638)/C1638</f>
        <v>2.9388714733542317E-3</v>
      </c>
      <c r="E1639" s="6">
        <f>(Table2_1[[#This Row],[Constant Prices]]-C1635)/C1635</f>
        <v>6.3146690192844683E-3</v>
      </c>
      <c r="F1639" s="2">
        <v>21791.5</v>
      </c>
      <c r="G1639" s="7">
        <f>(Table2_1[[#This Row],[Current Prices]]-F1638)/F1638</f>
        <v>9.7773452885707001E-3</v>
      </c>
      <c r="H1639" s="7">
        <f>(Table2_1[[#This Row],[Current Prices]]-F1635)/F1635</f>
        <v>5.1069084103855224E-2</v>
      </c>
      <c r="I1639" s="2"/>
    </row>
    <row r="1640" spans="1:9" x14ac:dyDescent="0.3">
      <c r="A1640" s="2" t="s">
        <v>97</v>
      </c>
      <c r="B1640" s="2" t="s">
        <v>36</v>
      </c>
      <c r="C1640" s="2">
        <v>20998.3</v>
      </c>
      <c r="D1640" s="6">
        <f>(Table2_1[[#This Row],[Constant Prices]]-C1639)/C1639</f>
        <v>4.9552361122350572E-4</v>
      </c>
      <c r="E1640" s="6">
        <f>(Table2_1[[#This Row],[Constant Prices]]-C1636)/C1636</f>
        <v>6.6057860549842652E-3</v>
      </c>
      <c r="F1640" s="2">
        <v>22114.400000000001</v>
      </c>
      <c r="G1640" s="7">
        <f>(Table2_1[[#This Row],[Current Prices]]-F1639)/F1639</f>
        <v>1.4817704150701027E-2</v>
      </c>
      <c r="H1640" s="7">
        <f>(Table2_1[[#This Row],[Current Prices]]-F1636)/F1636</f>
        <v>5.5484228160691866E-2</v>
      </c>
      <c r="I1640" s="2"/>
    </row>
    <row r="1641" spans="1:9" x14ac:dyDescent="0.3">
      <c r="A1641" s="2" t="s">
        <v>97</v>
      </c>
      <c r="B1641" s="2" t="s">
        <v>37</v>
      </c>
      <c r="C1641" s="2">
        <v>21266.2</v>
      </c>
      <c r="D1641" s="6">
        <f>(Table2_1[[#This Row],[Constant Prices]]-C1640)/C1640</f>
        <v>1.2758175661839361E-2</v>
      </c>
      <c r="E1641" s="6">
        <f>(Table2_1[[#This Row],[Constant Prices]]-C1637)/C1637</f>
        <v>1.3607744260201041E-2</v>
      </c>
      <c r="F1641" s="2">
        <v>22401.3</v>
      </c>
      <c r="G1641" s="7">
        <f>(Table2_1[[#This Row],[Current Prices]]-F1640)/F1640</f>
        <v>1.2973447165647623E-2</v>
      </c>
      <c r="H1641" s="7">
        <f>(Table2_1[[#This Row],[Current Prices]]-F1637)/F1637</f>
        <v>5.8797672670898464E-2</v>
      </c>
      <c r="I1641" s="2">
        <v>6</v>
      </c>
    </row>
    <row r="1642" spans="1:9" x14ac:dyDescent="0.3">
      <c r="A1642" s="2" t="s">
        <v>97</v>
      </c>
      <c r="B1642" s="2" t="s">
        <v>38</v>
      </c>
      <c r="C1642" s="2">
        <v>21392.6</v>
      </c>
      <c r="D1642" s="6">
        <f>(Table2_1[[#This Row],[Constant Prices]]-C1641)/C1641</f>
        <v>5.9437040938201376E-3</v>
      </c>
      <c r="E1642" s="6">
        <f>(Table2_1[[#This Row],[Constant Prices]]-C1638)/C1638</f>
        <v>2.2278079363865597E-2</v>
      </c>
      <c r="F1642" s="2">
        <v>23015.200000000001</v>
      </c>
      <c r="G1642" s="7">
        <f>(Table2_1[[#This Row],[Current Prices]]-F1641)/F1641</f>
        <v>2.7404659551008265E-2</v>
      </c>
      <c r="H1642" s="7">
        <f>(Table2_1[[#This Row],[Current Prices]]-F1638)/F1638</f>
        <v>6.6481314149347825E-2</v>
      </c>
      <c r="I1642" s="2"/>
    </row>
    <row r="1643" spans="1:9" x14ac:dyDescent="0.3">
      <c r="A1643" s="2" t="s">
        <v>97</v>
      </c>
      <c r="B1643" s="2" t="s">
        <v>39</v>
      </c>
      <c r="C1643" s="2">
        <v>21372.6</v>
      </c>
      <c r="D1643" s="6">
        <f>(Table2_1[[#This Row],[Constant Prices]]-C1642)/C1642</f>
        <v>-9.3490272337163325E-4</v>
      </c>
      <c r="E1643" s="6">
        <f>(Table2_1[[#This Row],[Constant Prices]]-C1639)/C1639</f>
        <v>1.8329608965165504E-2</v>
      </c>
      <c r="F1643" s="2">
        <v>23380.2</v>
      </c>
      <c r="G1643" s="7">
        <f>(Table2_1[[#This Row],[Current Prices]]-F1642)/F1642</f>
        <v>1.5859084431158538E-2</v>
      </c>
      <c r="H1643" s="7">
        <f>(Table2_1[[#This Row],[Current Prices]]-F1639)/F1639</f>
        <v>7.2904572883922658E-2</v>
      </c>
      <c r="I1643" s="2"/>
    </row>
    <row r="1644" spans="1:9" x14ac:dyDescent="0.3">
      <c r="A1644" s="2" t="s">
        <v>97</v>
      </c>
      <c r="B1644" s="2" t="s">
        <v>40</v>
      </c>
      <c r="C1644" s="2">
        <v>21496.400000000001</v>
      </c>
      <c r="D1644" s="6">
        <f>(Table2_1[[#This Row],[Constant Prices]]-C1643)/C1643</f>
        <v>5.79246324733551E-3</v>
      </c>
      <c r="E1644" s="6">
        <f>(Table2_1[[#This Row],[Constant Prices]]-C1640)/C1640</f>
        <v>2.3720967887876743E-2</v>
      </c>
      <c r="F1644" s="2">
        <v>23908.3</v>
      </c>
      <c r="G1644" s="7">
        <f>(Table2_1[[#This Row],[Current Prices]]-F1643)/F1643</f>
        <v>2.2587488558694902E-2</v>
      </c>
      <c r="H1644" s="7">
        <f>(Table2_1[[#This Row],[Current Prices]]-F1640)/F1640</f>
        <v>8.1119089823825097E-2</v>
      </c>
      <c r="I1644" s="2"/>
    </row>
    <row r="1645" spans="1:9" x14ac:dyDescent="0.3">
      <c r="A1645" s="2" t="s">
        <v>97</v>
      </c>
      <c r="B1645" s="2" t="s">
        <v>41</v>
      </c>
      <c r="C1645" s="2">
        <v>21760.5</v>
      </c>
      <c r="D1645" s="6">
        <f>(Table2_1[[#This Row],[Constant Prices]]-C1644)/C1644</f>
        <v>1.2285778083772098E-2</v>
      </c>
      <c r="E1645" s="6">
        <f>(Table2_1[[#This Row],[Constant Prices]]-C1641)/C1641</f>
        <v>2.3243456752969467E-2</v>
      </c>
      <c r="F1645" s="2">
        <v>24442.3</v>
      </c>
      <c r="G1645" s="7">
        <f>(Table2_1[[#This Row],[Current Prices]]-F1644)/F1644</f>
        <v>2.2335339610093565E-2</v>
      </c>
      <c r="H1645" s="7">
        <f>(Table2_1[[#This Row],[Current Prices]]-F1641)/F1641</f>
        <v>9.1110783749157417E-2</v>
      </c>
      <c r="I1645" s="2">
        <v>7</v>
      </c>
    </row>
    <row r="1646" spans="1:9" x14ac:dyDescent="0.3">
      <c r="A1646" s="2" t="s">
        <v>97</v>
      </c>
      <c r="B1646" s="2" t="s">
        <v>42</v>
      </c>
      <c r="C1646" s="2">
        <v>21911.8</v>
      </c>
      <c r="D1646" s="6">
        <f>(Table2_1[[#This Row],[Constant Prices]]-C1645)/C1645</f>
        <v>6.9529652351737904E-3</v>
      </c>
      <c r="E1646" s="6">
        <f>(Table2_1[[#This Row],[Constant Prices]]-C1642)/C1642</f>
        <v>2.4270074698727634E-2</v>
      </c>
      <c r="F1646" s="2">
        <v>25541</v>
      </c>
      <c r="G1646" s="7">
        <f>(Table2_1[[#This Row],[Current Prices]]-F1645)/F1645</f>
        <v>4.4950761589539479E-2</v>
      </c>
      <c r="H1646" s="7">
        <f>(Table2_1[[#This Row],[Current Prices]]-F1642)/F1642</f>
        <v>0.10974486426361706</v>
      </c>
      <c r="I1646" s="2"/>
    </row>
    <row r="1647" spans="1:9" x14ac:dyDescent="0.3">
      <c r="A1647" s="2" t="s">
        <v>97</v>
      </c>
      <c r="B1647" s="2" t="s">
        <v>43</v>
      </c>
      <c r="C1647" s="2">
        <v>21992</v>
      </c>
      <c r="D1647" s="6">
        <f>(Table2_1[[#This Row],[Constant Prices]]-C1646)/C1646</f>
        <v>3.6601283326792291E-3</v>
      </c>
      <c r="E1647" s="6">
        <f>(Table2_1[[#This Row],[Constant Prices]]-C1643)/C1643</f>
        <v>2.8981031788364611E-2</v>
      </c>
      <c r="F1647" s="2">
        <v>25959.200000000001</v>
      </c>
      <c r="G1647" s="7">
        <f>(Table2_1[[#This Row],[Current Prices]]-F1646)/F1646</f>
        <v>1.6373673701108052E-2</v>
      </c>
      <c r="H1647" s="7">
        <f>(Table2_1[[#This Row],[Current Prices]]-F1643)/F1643</f>
        <v>0.11030701191606573</v>
      </c>
      <c r="I1647" s="2"/>
    </row>
    <row r="1648" spans="1:9" x14ac:dyDescent="0.3">
      <c r="A1648" s="2" t="s">
        <v>97</v>
      </c>
      <c r="B1648" s="2" t="s">
        <v>44</v>
      </c>
      <c r="C1648" s="2">
        <v>22085.7</v>
      </c>
      <c r="D1648" s="6">
        <f>(Table2_1[[#This Row],[Constant Prices]]-C1647)/C1647</f>
        <v>4.2606402328119646E-3</v>
      </c>
      <c r="E1648" s="6">
        <f>(Table2_1[[#This Row],[Constant Prices]]-C1644)/C1644</f>
        <v>2.741389255875399E-2</v>
      </c>
      <c r="F1648" s="2">
        <v>26594.400000000001</v>
      </c>
      <c r="G1648" s="7">
        <f>(Table2_1[[#This Row],[Current Prices]]-F1647)/F1647</f>
        <v>2.4469167000523925E-2</v>
      </c>
      <c r="H1648" s="7">
        <f>(Table2_1[[#This Row],[Current Prices]]-F1644)/F1644</f>
        <v>0.11235010435706438</v>
      </c>
      <c r="I1648" s="2"/>
    </row>
    <row r="1649" spans="1:9" x14ac:dyDescent="0.3">
      <c r="A1649" s="2" t="s">
        <v>97</v>
      </c>
      <c r="B1649" s="2" t="s">
        <v>45</v>
      </c>
      <c r="C1649" s="2">
        <v>22196</v>
      </c>
      <c r="D1649" s="6">
        <f>(Table2_1[[#This Row],[Constant Prices]]-C1648)/C1648</f>
        <v>4.9941817556155912E-3</v>
      </c>
      <c r="E1649" s="6">
        <f>(Table2_1[[#This Row],[Constant Prices]]-C1645)/C1645</f>
        <v>2.0013326899657638E-2</v>
      </c>
      <c r="F1649" s="2">
        <v>27019.9</v>
      </c>
      <c r="G1649" s="7">
        <f>(Table2_1[[#This Row],[Current Prices]]-F1648)/F1648</f>
        <v>1.5999608940228015E-2</v>
      </c>
      <c r="H1649" s="7">
        <f>(Table2_1[[#This Row],[Current Prices]]-F1645)/F1645</f>
        <v>0.10545652414052696</v>
      </c>
      <c r="I1649" s="2">
        <v>8</v>
      </c>
    </row>
    <row r="1650" spans="1:9" x14ac:dyDescent="0.3">
      <c r="A1650" s="2" t="s">
        <v>97</v>
      </c>
      <c r="B1650" s="2" t="s">
        <v>46</v>
      </c>
      <c r="C1650" s="2">
        <v>22314.2</v>
      </c>
      <c r="D1650" s="6">
        <f>(Table2_1[[#This Row],[Constant Prices]]-C1649)/C1649</f>
        <v>5.3252838349252445E-3</v>
      </c>
      <c r="E1650" s="6">
        <f>(Table2_1[[#This Row],[Constant Prices]]-C1646)/C1646</f>
        <v>1.8364534177931591E-2</v>
      </c>
      <c r="F1650" s="2">
        <v>27681.200000000001</v>
      </c>
      <c r="G1650" s="7">
        <f>(Table2_1[[#This Row],[Current Prices]]-F1649)/F1649</f>
        <v>2.4474553939873918E-2</v>
      </c>
      <c r="H1650" s="7">
        <f>(Table2_1[[#This Row],[Current Prices]]-F1646)/F1646</f>
        <v>8.3794683058611666E-2</v>
      </c>
      <c r="I1650" s="2"/>
    </row>
    <row r="1651" spans="1:9" x14ac:dyDescent="0.3">
      <c r="A1651" s="2" t="s">
        <v>97</v>
      </c>
      <c r="B1651" s="2" t="s">
        <v>47</v>
      </c>
      <c r="C1651" s="2">
        <v>22407.599999999999</v>
      </c>
      <c r="D1651" s="6">
        <f>(Table2_1[[#This Row],[Constant Prices]]-C1650)/C1650</f>
        <v>4.1856754891503086E-3</v>
      </c>
      <c r="E1651" s="6">
        <f>(Table2_1[[#This Row],[Constant Prices]]-C1647)/C1647</f>
        <v>1.8897781011276763E-2</v>
      </c>
      <c r="F1651" s="2">
        <v>28406.2</v>
      </c>
      <c r="G1651" s="7">
        <f>(Table2_1[[#This Row],[Current Prices]]-F1650)/F1650</f>
        <v>2.6191061081167002E-2</v>
      </c>
      <c r="H1651" s="7">
        <f>(Table2_1[[#This Row],[Current Prices]]-F1647)/F1647</f>
        <v>9.426330549477642E-2</v>
      </c>
      <c r="I1651" s="2"/>
    </row>
    <row r="1652" spans="1:9" x14ac:dyDescent="0.3">
      <c r="A1652" s="2" t="s">
        <v>97</v>
      </c>
      <c r="B1652" s="2" t="s">
        <v>48</v>
      </c>
      <c r="C1652" s="2">
        <v>22425.4</v>
      </c>
      <c r="D1652" s="6">
        <f>(Table2_1[[#This Row],[Constant Prices]]-C1651)/C1651</f>
        <v>7.9437333761772394E-4</v>
      </c>
      <c r="E1652" s="6">
        <f>(Table2_1[[#This Row],[Constant Prices]]-C1648)/C1648</f>
        <v>1.5380993131302187E-2</v>
      </c>
      <c r="F1652" s="2">
        <v>29000.5</v>
      </c>
      <c r="G1652" s="7">
        <f>(Table2_1[[#This Row],[Current Prices]]-F1651)/F1651</f>
        <v>2.0921488970717633E-2</v>
      </c>
      <c r="H1652" s="7">
        <f>(Table2_1[[#This Row],[Current Prices]]-F1648)/F1648</f>
        <v>9.0473934362121283E-2</v>
      </c>
      <c r="I1652" s="2"/>
    </row>
    <row r="1653" spans="1:9" x14ac:dyDescent="0.3">
      <c r="A1653" s="2" t="s">
        <v>97</v>
      </c>
      <c r="B1653" s="2" t="s">
        <v>49</v>
      </c>
      <c r="C1653" s="2">
        <v>22457.8</v>
      </c>
      <c r="D1653" s="6">
        <f>(Table2_1[[#This Row],[Constant Prices]]-C1652)/C1652</f>
        <v>1.4447902824474843E-3</v>
      </c>
      <c r="E1653" s="6">
        <f>(Table2_1[[#This Row],[Constant Prices]]-C1649)/C1649</f>
        <v>1.1794918003243796E-2</v>
      </c>
      <c r="F1653" s="2">
        <v>29204</v>
      </c>
      <c r="G1653" s="7">
        <f>(Table2_1[[#This Row],[Current Prices]]-F1652)/F1652</f>
        <v>7.0171203944759571E-3</v>
      </c>
      <c r="H1653" s="7">
        <f>(Table2_1[[#This Row],[Current Prices]]-F1649)/F1649</f>
        <v>8.0833015666231134E-2</v>
      </c>
      <c r="I1653" s="2">
        <v>9</v>
      </c>
    </row>
    <row r="1654" spans="1:9" x14ac:dyDescent="0.3">
      <c r="A1654" s="2" t="s">
        <v>97</v>
      </c>
      <c r="B1654" s="2" t="s">
        <v>50</v>
      </c>
      <c r="C1654" s="2">
        <v>21550.3</v>
      </c>
      <c r="D1654" s="6">
        <f>(Table2_1[[#This Row],[Constant Prices]]-C1653)/C1653</f>
        <v>-4.0409122888261539E-2</v>
      </c>
      <c r="E1654" s="6">
        <f>(Table2_1[[#This Row],[Constant Prices]]-C1650)/C1650</f>
        <v>-3.4233806275824424E-2</v>
      </c>
      <c r="F1654" s="2">
        <v>28487.9</v>
      </c>
      <c r="G1654" s="7">
        <f>(Table2_1[[#This Row],[Current Prices]]-F1653)/F1653</f>
        <v>-2.4520613614573295E-2</v>
      </c>
      <c r="H1654" s="7">
        <f>(Table2_1[[#This Row],[Current Prices]]-F1650)/F1650</f>
        <v>2.9142522723003363E-2</v>
      </c>
      <c r="I1654" s="2"/>
    </row>
    <row r="1655" spans="1:9" x14ac:dyDescent="0.3">
      <c r="A1655" s="2" t="s">
        <v>97</v>
      </c>
      <c r="B1655" s="2" t="s">
        <v>51</v>
      </c>
      <c r="C1655" s="2">
        <v>18152.2</v>
      </c>
      <c r="D1655" s="6">
        <f>(Table2_1[[#This Row],[Constant Prices]]-C1654)/C1654</f>
        <v>-0.15768225964371718</v>
      </c>
      <c r="E1655" s="6">
        <f>(Table2_1[[#This Row],[Constant Prices]]-C1651)/C1651</f>
        <v>-0.18990878094932068</v>
      </c>
      <c r="F1655" s="2">
        <v>24032.2</v>
      </c>
      <c r="G1655" s="7">
        <f>(Table2_1[[#This Row],[Current Prices]]-F1654)/F1654</f>
        <v>-0.15640675514867716</v>
      </c>
      <c r="H1655" s="7">
        <f>(Table2_1[[#This Row],[Current Prices]]-F1651)/F1651</f>
        <v>-0.15398046905253079</v>
      </c>
      <c r="I1655" s="2"/>
    </row>
    <row r="1656" spans="1:9" x14ac:dyDescent="0.3">
      <c r="A1656" s="2" t="s">
        <v>97</v>
      </c>
      <c r="B1656" s="2" t="s">
        <v>52</v>
      </c>
      <c r="C1656" s="2">
        <v>20928.5</v>
      </c>
      <c r="D1656" s="6">
        <f>(Table2_1[[#This Row],[Constant Prices]]-C1655)/C1655</f>
        <v>0.15294564846134348</v>
      </c>
      <c r="E1656" s="6">
        <f>(Table2_1[[#This Row],[Constant Prices]]-C1652)/C1652</f>
        <v>-6.6750202894931707E-2</v>
      </c>
      <c r="F1656" s="2">
        <v>28525.200000000001</v>
      </c>
      <c r="G1656" s="7">
        <f>(Table2_1[[#This Row],[Current Prices]]-F1655)/F1655</f>
        <v>0.18695749868925857</v>
      </c>
      <c r="H1656" s="7">
        <f>(Table2_1[[#This Row],[Current Prices]]-F1652)/F1652</f>
        <v>-1.6389372597024165E-2</v>
      </c>
      <c r="I1656" s="2"/>
    </row>
    <row r="1657" spans="1:9" x14ac:dyDescent="0.3">
      <c r="A1657" s="2" t="s">
        <v>97</v>
      </c>
      <c r="B1657" s="2" t="s">
        <v>53</v>
      </c>
      <c r="C1657" s="2">
        <v>21061.4</v>
      </c>
      <c r="D1657" s="6">
        <f>(Table2_1[[#This Row],[Constant Prices]]-C1656)/C1656</f>
        <v>6.3501923214755694E-3</v>
      </c>
      <c r="E1657" s="6">
        <f>(Table2_1[[#This Row],[Constant Prices]]-C1653)/C1653</f>
        <v>-6.2178842094951323E-2</v>
      </c>
      <c r="F1657" s="2">
        <v>29008.5</v>
      </c>
      <c r="G1657" s="7">
        <f>(Table2_1[[#This Row],[Current Prices]]-F1656)/F1656</f>
        <v>1.6942913634260207E-2</v>
      </c>
      <c r="H1657" s="7">
        <f>(Table2_1[[#This Row],[Current Prices]]-F1653)/F1653</f>
        <v>-6.6942884536364882E-3</v>
      </c>
      <c r="I1657" s="2">
        <v>10</v>
      </c>
    </row>
    <row r="1658" spans="1:9" x14ac:dyDescent="0.3">
      <c r="A1658" s="2" t="s">
        <v>97</v>
      </c>
      <c r="B1658" s="2" t="s">
        <v>54</v>
      </c>
      <c r="C1658" s="2">
        <v>21281</v>
      </c>
      <c r="D1658" s="6">
        <f>(Table2_1[[#This Row],[Constant Prices]]-C1657)/C1657</f>
        <v>1.0426657297235631E-2</v>
      </c>
      <c r="E1658" s="6">
        <f>(Table2_1[[#This Row],[Constant Prices]]-C1654)/C1654</f>
        <v>-1.2496345758527691E-2</v>
      </c>
      <c r="F1658" s="2">
        <v>29641</v>
      </c>
      <c r="G1658" s="7">
        <f>(Table2_1[[#This Row],[Current Prices]]-F1657)/F1657</f>
        <v>2.1803954013478809E-2</v>
      </c>
      <c r="H1658" s="7">
        <f>(Table2_1[[#This Row],[Current Prices]]-F1654)/F1654</f>
        <v>4.0476834024269902E-2</v>
      </c>
      <c r="I1658" s="2"/>
    </row>
    <row r="1659" spans="1:9" x14ac:dyDescent="0.3">
      <c r="A1659" s="2" t="s">
        <v>97</v>
      </c>
      <c r="B1659" s="2" t="s">
        <v>55</v>
      </c>
      <c r="C1659" s="2">
        <v>21247.7</v>
      </c>
      <c r="D1659" s="6">
        <f>(Table2_1[[#This Row],[Constant Prices]]-C1658)/C1658</f>
        <v>-1.5647760913490565E-3</v>
      </c>
      <c r="E1659" s="6">
        <f>(Table2_1[[#This Row],[Constant Prices]]-C1655)/C1655</f>
        <v>0.17053029384867949</v>
      </c>
      <c r="F1659" s="2">
        <v>30365.5</v>
      </c>
      <c r="G1659" s="7">
        <f>(Table2_1[[#This Row],[Current Prices]]-F1658)/F1658</f>
        <v>2.4442495192469889E-2</v>
      </c>
      <c r="H1659" s="7">
        <f>(Table2_1[[#This Row],[Current Prices]]-F1655)/F1655</f>
        <v>0.26353392531686648</v>
      </c>
      <c r="I1659" s="2"/>
    </row>
    <row r="1660" spans="1:9" x14ac:dyDescent="0.3">
      <c r="A1660" s="2" t="s">
        <v>97</v>
      </c>
      <c r="B1660" s="2" t="s">
        <v>56</v>
      </c>
      <c r="C1660" s="2">
        <v>21308.6</v>
      </c>
      <c r="D1660" s="6">
        <f>(Table2_1[[#This Row],[Constant Prices]]-C1659)/C1659</f>
        <v>2.8661925761375496E-3</v>
      </c>
      <c r="E1660" s="6">
        <f>(Table2_1[[#This Row],[Constant Prices]]-C1656)/C1656</f>
        <v>1.816183672981812E-2</v>
      </c>
      <c r="F1660" s="2">
        <v>30917.7</v>
      </c>
      <c r="G1660" s="7">
        <f>(Table2_1[[#This Row],[Current Prices]]-F1659)/F1659</f>
        <v>1.8185111392863634E-2</v>
      </c>
      <c r="H1660" s="7">
        <f>(Table2_1[[#This Row],[Current Prices]]-F1656)/F1656</f>
        <v>8.3873206848681159E-2</v>
      </c>
      <c r="I1660" s="2"/>
    </row>
    <row r="1661" spans="1:9" x14ac:dyDescent="0.3">
      <c r="A1661" s="2" t="s">
        <v>97</v>
      </c>
      <c r="B1661" s="2" t="s">
        <v>57</v>
      </c>
      <c r="C1661" s="2">
        <v>21753.1</v>
      </c>
      <c r="D1661" s="6">
        <f>(Table2_1[[#This Row],[Constant Prices]]-C1660)/C1660</f>
        <v>2.0860122204180473E-2</v>
      </c>
      <c r="E1661" s="6">
        <f>(Table2_1[[#This Row],[Constant Prices]]-C1657)/C1657</f>
        <v>3.2842071277312861E-2</v>
      </c>
      <c r="F1661" s="2">
        <v>31276.799999999999</v>
      </c>
      <c r="G1661" s="7">
        <f>(Table2_1[[#This Row],[Current Prices]]-F1660)/F1660</f>
        <v>1.1614706139201769E-2</v>
      </c>
      <c r="H1661" s="7">
        <f>(Table2_1[[#This Row],[Current Prices]]-F1657)/F1657</f>
        <v>7.8194322353792825E-2</v>
      </c>
      <c r="I1661" s="2">
        <v>11</v>
      </c>
    </row>
    <row r="1662" spans="1:9" x14ac:dyDescent="0.3">
      <c r="A1662" s="2" t="s">
        <v>97</v>
      </c>
      <c r="B1662" s="2" t="s">
        <v>58</v>
      </c>
      <c r="C1662" s="2">
        <v>21832.5</v>
      </c>
      <c r="D1662" s="6">
        <f>(Table2_1[[#This Row],[Constant Prices]]-C1661)/C1661</f>
        <v>3.6500544749944359E-3</v>
      </c>
      <c r="E1662" s="6">
        <f>(Table2_1[[#This Row],[Constant Prices]]-C1658)/C1658</f>
        <v>2.5915135566937645E-2</v>
      </c>
      <c r="F1662" s="2">
        <v>32810.199999999997</v>
      </c>
      <c r="G1662" s="7">
        <f>(Table2_1[[#This Row],[Current Prices]]-F1661)/F1661</f>
        <v>4.9026754655207623E-2</v>
      </c>
      <c r="H1662" s="7">
        <f>(Table2_1[[#This Row],[Current Prices]]-F1658)/F1658</f>
        <v>0.10691946965352037</v>
      </c>
      <c r="I1662" s="2"/>
    </row>
    <row r="1663" spans="1:9" x14ac:dyDescent="0.3">
      <c r="A1663" s="2" t="s">
        <v>97</v>
      </c>
      <c r="B1663" s="2" t="s">
        <v>59</v>
      </c>
      <c r="C1663" s="2">
        <v>21851.200000000001</v>
      </c>
      <c r="D1663" s="6">
        <f>(Table2_1[[#This Row],[Constant Prices]]-C1662)/C1662</f>
        <v>8.5652124126878409E-4</v>
      </c>
      <c r="E1663" s="6">
        <f>(Table2_1[[#This Row],[Constant Prices]]-C1659)/C1659</f>
        <v>2.8403074215091514E-2</v>
      </c>
      <c r="F1663" s="2">
        <v>33217.1</v>
      </c>
      <c r="G1663" s="7">
        <f>(Table2_1[[#This Row],[Current Prices]]-F1662)/F1662</f>
        <v>1.2401631200053687E-2</v>
      </c>
      <c r="H1663" s="7">
        <f>(Table2_1[[#This Row],[Current Prices]]-F1659)/F1659</f>
        <v>9.3909206171477452E-2</v>
      </c>
      <c r="I1663" s="2"/>
    </row>
    <row r="1664" spans="1:9" x14ac:dyDescent="0.3">
      <c r="A1664" s="2" t="s">
        <v>97</v>
      </c>
      <c r="B1664" s="2" t="s">
        <v>60</v>
      </c>
      <c r="C1664" s="2">
        <v>22043.200000000001</v>
      </c>
      <c r="D1664" s="6">
        <f>(Table2_1[[#This Row],[Constant Prices]]-C1663)/C1663</f>
        <v>8.7867027897781357E-3</v>
      </c>
      <c r="E1664" s="6">
        <f>(Table2_1[[#This Row],[Constant Prices]]-C1660)/C1660</f>
        <v>3.4474343692218273E-2</v>
      </c>
      <c r="F1664" s="2">
        <v>34012.6</v>
      </c>
      <c r="G1664" s="7">
        <f>(Table2_1[[#This Row],[Current Prices]]-F1663)/F1663</f>
        <v>2.3948508448961531E-2</v>
      </c>
      <c r="H1664" s="7">
        <f>(Table2_1[[#This Row],[Current Prices]]-F1660)/F1660</f>
        <v>0.10010123650853711</v>
      </c>
      <c r="I1664" s="2"/>
    </row>
    <row r="1665" spans="1:9" x14ac:dyDescent="0.3">
      <c r="A1665" s="2" t="s">
        <v>97</v>
      </c>
      <c r="B1665" s="2" t="s">
        <v>61</v>
      </c>
      <c r="C1665" s="2">
        <v>22146.3</v>
      </c>
      <c r="D1665" s="6">
        <f>(Table2_1[[#This Row],[Constant Prices]]-C1664)/C1664</f>
        <v>4.6771793568991136E-3</v>
      </c>
      <c r="E1665" s="6">
        <f>(Table2_1[[#This Row],[Constant Prices]]-C1661)/C1661</f>
        <v>1.8075584629317236E-2</v>
      </c>
      <c r="F1665" s="2">
        <v>34541.599999999999</v>
      </c>
      <c r="G1665" s="7">
        <f>(Table2_1[[#This Row],[Current Prices]]-F1664)/F1664</f>
        <v>1.5553059748446165E-2</v>
      </c>
      <c r="H1665" s="7">
        <f>(Table2_1[[#This Row],[Current Prices]]-F1661)/F1661</f>
        <v>0.10438408021280947</v>
      </c>
      <c r="I1665" s="2">
        <v>12</v>
      </c>
    </row>
    <row r="1666" spans="1:9" x14ac:dyDescent="0.3">
      <c r="A1666" s="2" t="s">
        <v>97</v>
      </c>
      <c r="B1666" s="2" t="s">
        <v>62</v>
      </c>
      <c r="C1666" s="2">
        <v>22028.9</v>
      </c>
      <c r="D1666" s="6">
        <f>(Table2_1[[#This Row],[Constant Prices]]-C1665)/C1665</f>
        <v>-5.3011112465738211E-3</v>
      </c>
      <c r="E1666" s="6">
        <f>(Table2_1[[#This Row],[Constant Prices]]-C1662)/C1662</f>
        <v>8.9957631970686569E-3</v>
      </c>
      <c r="F1666" s="2">
        <v>35241.4</v>
      </c>
      <c r="G1666" s="7">
        <f>(Table2_1[[#This Row],[Current Prices]]-F1665)/F1665</f>
        <v>2.0259628969127166E-2</v>
      </c>
      <c r="H1666" s="7">
        <f>(Table2_1[[#This Row],[Current Prices]]-F1662)/F1662</f>
        <v>7.4098908266331948E-2</v>
      </c>
      <c r="I1666" s="2"/>
    </row>
    <row r="1667" spans="1:9" x14ac:dyDescent="0.3">
      <c r="A1667" s="2" t="s">
        <v>97</v>
      </c>
      <c r="B1667" s="2" t="s">
        <v>63</v>
      </c>
      <c r="C1667" s="2">
        <v>21911.599999999999</v>
      </c>
      <c r="D1667" s="6">
        <f>(Table2_1[[#This Row],[Constant Prices]]-C1666)/C1666</f>
        <v>-5.3248233003011002E-3</v>
      </c>
      <c r="E1667" s="6">
        <f>(Table2_1[[#This Row],[Constant Prices]]-C1663)/C1663</f>
        <v>2.7641502526176052E-3</v>
      </c>
      <c r="F1667" s="2">
        <v>35283.9</v>
      </c>
      <c r="G1667" s="7">
        <f>(Table2_1[[#This Row],[Current Prices]]-F1666)/F1666</f>
        <v>1.2059679808407158E-3</v>
      </c>
      <c r="H1667" s="7">
        <f>(Table2_1[[#This Row],[Current Prices]]-F1663)/F1663</f>
        <v>6.2220964503222828E-2</v>
      </c>
      <c r="I1667" s="2"/>
    </row>
    <row r="1668" spans="1:9" x14ac:dyDescent="0.3">
      <c r="A1668" s="2" t="s">
        <v>97</v>
      </c>
      <c r="B1668" s="2" t="s">
        <v>64</v>
      </c>
      <c r="C1668" s="2">
        <v>21922.400000000001</v>
      </c>
      <c r="D1668" s="6">
        <f>(Table2_1[[#This Row],[Constant Prices]]-C1667)/C1667</f>
        <v>4.9288961098244361E-4</v>
      </c>
      <c r="E1668" s="6">
        <f>(Table2_1[[#This Row],[Constant Prices]]-C1664)/C1664</f>
        <v>-5.4801480728750487E-3</v>
      </c>
      <c r="F1668" s="2">
        <v>35680.5</v>
      </c>
      <c r="G1668" s="7">
        <f>(Table2_1[[#This Row],[Current Prices]]-F1667)/F1667</f>
        <v>1.1240254053548461E-2</v>
      </c>
      <c r="H1668" s="7">
        <f>(Table2_1[[#This Row],[Current Prices]]-F1664)/F1664</f>
        <v>4.9037709554694484E-2</v>
      </c>
      <c r="I1668" s="2"/>
    </row>
    <row r="1669" spans="1:9" x14ac:dyDescent="0.3">
      <c r="A1669" s="2" t="s">
        <v>97</v>
      </c>
      <c r="B1669" s="2" t="s">
        <v>65</v>
      </c>
      <c r="C1669" s="2">
        <v>21998.5</v>
      </c>
      <c r="D1669" s="6">
        <f>(Table2_1[[#This Row],[Constant Prices]]-C1668)/C1668</f>
        <v>3.4713352552639557E-3</v>
      </c>
      <c r="E1669" s="6">
        <f>(Table2_1[[#This Row],[Constant Prices]]-C1665)/C1665</f>
        <v>-6.6738010412574237E-3</v>
      </c>
      <c r="F1669" s="2">
        <v>36182.199999999997</v>
      </c>
      <c r="G1669" s="7">
        <f>(Table2_1[[#This Row],[Current Prices]]-F1668)/F1668</f>
        <v>1.4060901612925746E-2</v>
      </c>
      <c r="H1669" s="7">
        <f>(Table2_1[[#This Row],[Current Prices]]-F1665)/F1665</f>
        <v>4.7496352224563963E-2</v>
      </c>
      <c r="I1669" s="2">
        <v>13</v>
      </c>
    </row>
    <row r="1670" spans="1:9" x14ac:dyDescent="0.3">
      <c r="A1670" s="2" t="s">
        <v>97</v>
      </c>
      <c r="B1670" s="2" t="s">
        <v>66</v>
      </c>
      <c r="C1670" s="2">
        <v>22139.1</v>
      </c>
      <c r="D1670" s="6">
        <f>(Table2_1[[#This Row],[Constant Prices]]-C1669)/C1669</f>
        <v>6.3913448644225077E-3</v>
      </c>
      <c r="E1670" s="6">
        <f>(Table2_1[[#This Row],[Constant Prices]]-C1666)/C1666</f>
        <v>5.0025194176739228E-3</v>
      </c>
      <c r="F1670" s="2">
        <v>36842.9</v>
      </c>
      <c r="G1670" s="7">
        <f>(Table2_1[[#This Row],[Current Prices]]-F1669)/F1669</f>
        <v>1.8260360066552184E-2</v>
      </c>
      <c r="H1670" s="7">
        <f>(Table2_1[[#This Row],[Current Prices]]-F1666)/F1666</f>
        <v>4.5443711089797792E-2</v>
      </c>
      <c r="I1670" s="2"/>
    </row>
    <row r="1671" spans="1:9" x14ac:dyDescent="0.3">
      <c r="A1671" s="2" t="s">
        <v>97</v>
      </c>
      <c r="B1671" s="2" t="s">
        <v>67</v>
      </c>
      <c r="C1671" s="2">
        <v>22201.200000000001</v>
      </c>
      <c r="D1671" s="6">
        <f>(Table2_1[[#This Row],[Constant Prices]]-C1670)/C1670</f>
        <v>2.8049920728485883E-3</v>
      </c>
      <c r="E1671" s="6">
        <f>(Table2_1[[#This Row],[Constant Prices]]-C1667)/C1667</f>
        <v>1.3216743642636877E-2</v>
      </c>
      <c r="F1671" s="2">
        <v>37325.599999999999</v>
      </c>
      <c r="G1671" s="7">
        <f>(Table2_1[[#This Row],[Current Prices]]-F1670)/F1670</f>
        <v>1.3101574523178063E-2</v>
      </c>
      <c r="H1671" s="7">
        <f>(Table2_1[[#This Row],[Current Prices]]-F1667)/F1667</f>
        <v>5.7864918560589874E-2</v>
      </c>
      <c r="I1671" s="2"/>
    </row>
    <row r="1672" spans="1:9" x14ac:dyDescent="0.3">
      <c r="A1672" s="2" t="s">
        <v>97</v>
      </c>
      <c r="B1672" s="2" t="s">
        <v>68</v>
      </c>
      <c r="C1672" s="2">
        <v>22384.1</v>
      </c>
      <c r="D1672" s="6">
        <f>(Table2_1[[#This Row],[Constant Prices]]-C1671)/C1671</f>
        <v>8.2382934255805004E-3</v>
      </c>
      <c r="E1672" s="6">
        <f>(Table2_1[[#This Row],[Constant Prices]]-C1668)/C1668</f>
        <v>2.1060650293763323E-2</v>
      </c>
      <c r="F1672" s="2">
        <v>37755.300000000003</v>
      </c>
      <c r="G1672" s="7">
        <f>(Table2_1[[#This Row],[Current Prices]]-F1671)/F1671</f>
        <v>1.1512206099835083E-2</v>
      </c>
      <c r="H1672" s="7">
        <f>(Table2_1[[#This Row],[Current Prices]]-F1668)/F1668</f>
        <v>5.8149409341236892E-2</v>
      </c>
      <c r="I1672" s="2"/>
    </row>
    <row r="1673" spans="1:9" x14ac:dyDescent="0.3">
      <c r="A1673" s="2" t="s">
        <v>97</v>
      </c>
      <c r="B1673" s="2" t="s">
        <v>69</v>
      </c>
      <c r="C1673" s="2">
        <v>22522.400000000001</v>
      </c>
      <c r="D1673" s="6">
        <f>(Table2_1[[#This Row],[Constant Prices]]-C1672)/C1672</f>
        <v>6.1784927694212817E-3</v>
      </c>
      <c r="E1673" s="6">
        <f>(Table2_1[[#This Row],[Constant Prices]]-C1669)/C1669</f>
        <v>2.3815260131372661E-2</v>
      </c>
      <c r="F1673" s="5">
        <f>Table2_1[[#This Row],[Constant Prices]]*AVERAGE(Inflation!$C$72:$C$74)*0.01</f>
        <v>40773.051466666671</v>
      </c>
      <c r="G1673" s="7">
        <f>(Table2_1[[#This Row],[Current Prices]]-F1672)/F1672</f>
        <v>7.9929214353128386E-2</v>
      </c>
      <c r="H1673" s="7">
        <f>(Table2_1[[#This Row],[Current Prices]]-F1669)/F1669</f>
        <v>0.12688149053033465</v>
      </c>
      <c r="I1673" s="2">
        <v>14</v>
      </c>
    </row>
    <row r="1674" spans="1:9" x14ac:dyDescent="0.3">
      <c r="A1674" s="2" t="s">
        <v>97</v>
      </c>
      <c r="B1674" s="2" t="s">
        <v>70</v>
      </c>
      <c r="C1674" s="2">
        <v>22510.9</v>
      </c>
      <c r="D1674" s="6">
        <f>(Table2_1[[#This Row],[Constant Prices]]-C1673)/C1673</f>
        <v>-5.1060277767911054E-4</v>
      </c>
      <c r="E1674" s="6">
        <f>(Table2_1[[#This Row],[Constant Prices]]-C1670)/C1670</f>
        <v>1.6793817273511702E-2</v>
      </c>
      <c r="F1674" s="5">
        <f>Table2_1[[#This Row],[Constant Prices]]*AVERAGE(Inflation!$C$75:$C$77)*0.01</f>
        <v>41067.385233333327</v>
      </c>
      <c r="G1674" s="7">
        <f>(Table2_1[[#This Row],[Current Prices]]-F1673)/F1673</f>
        <v>7.2188309699430615E-3</v>
      </c>
      <c r="H1674" s="7">
        <f>(Table2_1[[#This Row],[Current Prices]]-F1670)/F1670</f>
        <v>0.11466212576462019</v>
      </c>
      <c r="I1674" s="2"/>
    </row>
    <row r="1675" spans="1:9" x14ac:dyDescent="0.3">
      <c r="A1675" s="2" t="s">
        <v>97</v>
      </c>
      <c r="B1675" s="2" t="s">
        <v>71</v>
      </c>
      <c r="C1675" s="2">
        <v>22933.3</v>
      </c>
      <c r="D1675" s="6">
        <f>(Table2_1[[#This Row],[Constant Prices]]-C1674)/C1674</f>
        <v>1.876424310000923E-2</v>
      </c>
      <c r="E1675" s="6">
        <f>(Table2_1[[#This Row],[Constant Prices]]-C1671)/C1671</f>
        <v>3.2975695007477004E-2</v>
      </c>
      <c r="F1675" s="5">
        <f>Table2_1[[#This Row],[Constant Prices]]*AVERAGE(Inflation!$C$78:$C$80)*0.01</f>
        <v>42503.049333333336</v>
      </c>
      <c r="G1675" s="7">
        <f>(Table2_1[[#This Row],[Current Prices]]-F1674)/F1674</f>
        <v>3.4958741391568265E-2</v>
      </c>
      <c r="H1675" s="7">
        <f>(Table2_1[[#This Row],[Current Prices]]-F1671)/F1671</f>
        <v>0.13871041144237031</v>
      </c>
      <c r="I1675" s="2"/>
    </row>
    <row r="1676" spans="1:9" x14ac:dyDescent="0.3">
      <c r="A1676" s="2" t="s">
        <v>98</v>
      </c>
      <c r="B1676" s="2" t="s">
        <v>10</v>
      </c>
      <c r="C1676" s="2">
        <v>1413</v>
      </c>
      <c r="D1676" s="6"/>
      <c r="E1676" s="6"/>
      <c r="F1676" s="2">
        <v>1293</v>
      </c>
      <c r="G1676" s="7"/>
      <c r="H1676" s="7"/>
      <c r="I1676" s="2"/>
    </row>
    <row r="1677" spans="1:9" x14ac:dyDescent="0.3">
      <c r="A1677" s="2" t="s">
        <v>98</v>
      </c>
      <c r="B1677" s="2" t="s">
        <v>11</v>
      </c>
      <c r="C1677" s="2">
        <v>1411.2</v>
      </c>
      <c r="D1677" s="6">
        <f>(Table2_1[[#This Row],[Constant Prices]]-C1676)/C1676</f>
        <v>-1.2738853503184392E-3</v>
      </c>
      <c r="E1677" s="6"/>
      <c r="F1677" s="2">
        <v>1327.2</v>
      </c>
      <c r="G1677" s="7">
        <f>(Table2_1[[#This Row],[Current Prices]]-F1676)/F1676</f>
        <v>2.6450116009280777E-2</v>
      </c>
      <c r="H1677" s="7"/>
      <c r="I1677" s="2"/>
    </row>
    <row r="1678" spans="1:9" x14ac:dyDescent="0.3">
      <c r="A1678" s="2" t="s">
        <v>98</v>
      </c>
      <c r="B1678" s="2" t="s">
        <v>12</v>
      </c>
      <c r="C1678" s="2">
        <v>1392.9</v>
      </c>
      <c r="D1678" s="6">
        <f>(Table2_1[[#This Row],[Constant Prices]]-C1677)/C1677</f>
        <v>-1.29676870748299E-2</v>
      </c>
      <c r="E1678" s="6"/>
      <c r="F1678" s="2">
        <v>1302.8</v>
      </c>
      <c r="G1678" s="7">
        <f>(Table2_1[[#This Row],[Current Prices]]-F1677)/F1677</f>
        <v>-1.8384569017480479E-2</v>
      </c>
      <c r="H1678" s="7"/>
      <c r="I1678" s="2"/>
    </row>
    <row r="1679" spans="1:9" x14ac:dyDescent="0.3">
      <c r="A1679" s="2" t="s">
        <v>98</v>
      </c>
      <c r="B1679" s="2" t="s">
        <v>13</v>
      </c>
      <c r="C1679" s="2">
        <v>1360.4</v>
      </c>
      <c r="D1679" s="6">
        <f>(Table2_1[[#This Row],[Constant Prices]]-C1678)/C1678</f>
        <v>-2.3332615406705434E-2</v>
      </c>
      <c r="E1679" s="6"/>
      <c r="F1679" s="2">
        <v>1191.3</v>
      </c>
      <c r="G1679" s="7">
        <f>(Table2_1[[#This Row],[Current Prices]]-F1678)/F1678</f>
        <v>-8.5584894074301504E-2</v>
      </c>
      <c r="H1679" s="7"/>
      <c r="I1679" s="2"/>
    </row>
    <row r="1680" spans="1:9" x14ac:dyDescent="0.3">
      <c r="A1680" s="2" t="s">
        <v>98</v>
      </c>
      <c r="B1680" s="2" t="s">
        <v>14</v>
      </c>
      <c r="C1680" s="2">
        <v>1317.2</v>
      </c>
      <c r="D1680" s="6">
        <f>(Table2_1[[#This Row],[Constant Prices]]-C1679)/C1679</f>
        <v>-3.1755366068803324E-2</v>
      </c>
      <c r="E1680" s="6">
        <f>(Table2_1[[#This Row],[Constant Prices]]-C1676)/C1676</f>
        <v>-6.7799009200283047E-2</v>
      </c>
      <c r="F1680" s="2">
        <v>974.2</v>
      </c>
      <c r="G1680" s="7">
        <f>(Table2_1[[#This Row],[Current Prices]]-F1679)/F1679</f>
        <v>-0.18223789137916555</v>
      </c>
      <c r="H1680" s="7">
        <f>(Table2_1[[#This Row],[Current Prices]]-F1676)/F1676</f>
        <v>-0.24655839133797366</v>
      </c>
      <c r="I1680" s="2"/>
    </row>
    <row r="1681" spans="1:9" x14ac:dyDescent="0.3">
      <c r="A1681" s="2" t="s">
        <v>98</v>
      </c>
      <c r="B1681" s="2" t="s">
        <v>15</v>
      </c>
      <c r="C1681" s="2">
        <v>1292.7</v>
      </c>
      <c r="D1681" s="6">
        <f>(Table2_1[[#This Row],[Constant Prices]]-C1680)/C1680</f>
        <v>-1.8600060734892194E-2</v>
      </c>
      <c r="E1681" s="6">
        <f>(Table2_1[[#This Row],[Constant Prices]]-C1677)/C1677</f>
        <v>-8.3971088435374153E-2</v>
      </c>
      <c r="F1681" s="2">
        <v>875.2</v>
      </c>
      <c r="G1681" s="7">
        <f>(Table2_1[[#This Row],[Current Prices]]-F1680)/F1680</f>
        <v>-0.1016218435639499</v>
      </c>
      <c r="H1681" s="7">
        <f>(Table2_1[[#This Row],[Current Prices]]-F1677)/F1677</f>
        <v>-0.34056660638939118</v>
      </c>
      <c r="I1681" s="2"/>
    </row>
    <row r="1682" spans="1:9" x14ac:dyDescent="0.3">
      <c r="A1682" s="2" t="s">
        <v>98</v>
      </c>
      <c r="B1682" s="2" t="s">
        <v>16</v>
      </c>
      <c r="C1682" s="2">
        <v>1286</v>
      </c>
      <c r="D1682" s="6">
        <f>(Table2_1[[#This Row],[Constant Prices]]-C1681)/C1681</f>
        <v>-5.1829504138624933E-3</v>
      </c>
      <c r="E1682" s="6">
        <f>(Table2_1[[#This Row],[Constant Prices]]-C1678)/C1678</f>
        <v>-7.6746356522363474E-2</v>
      </c>
      <c r="F1682" s="2">
        <v>791.4</v>
      </c>
      <c r="G1682" s="7">
        <f>(Table2_1[[#This Row],[Current Prices]]-F1681)/F1681</f>
        <v>-9.5749542961608855E-2</v>
      </c>
      <c r="H1682" s="7">
        <f>(Table2_1[[#This Row],[Current Prices]]-F1678)/F1678</f>
        <v>-0.39253914645379184</v>
      </c>
      <c r="I1682" s="2"/>
    </row>
    <row r="1683" spans="1:9" x14ac:dyDescent="0.3">
      <c r="A1683" s="2" t="s">
        <v>98</v>
      </c>
      <c r="B1683" s="2" t="s">
        <v>17</v>
      </c>
      <c r="C1683" s="2">
        <v>1333.3</v>
      </c>
      <c r="D1683" s="6">
        <f>(Table2_1[[#This Row],[Constant Prices]]-C1682)/C1682</f>
        <v>3.6780715396578505E-2</v>
      </c>
      <c r="E1683" s="6">
        <f>(Table2_1[[#This Row],[Constant Prices]]-C1679)/C1679</f>
        <v>-1.992061158482809E-2</v>
      </c>
      <c r="F1683" s="2">
        <v>774.3</v>
      </c>
      <c r="G1683" s="7">
        <f>(Table2_1[[#This Row],[Current Prices]]-F1682)/F1682</f>
        <v>-2.1607278241091765E-2</v>
      </c>
      <c r="H1683" s="7">
        <f>(Table2_1[[#This Row],[Current Prices]]-F1679)/F1679</f>
        <v>-0.35003777386048857</v>
      </c>
      <c r="I1683" s="2">
        <v>1</v>
      </c>
    </row>
    <row r="1684" spans="1:9" x14ac:dyDescent="0.3">
      <c r="A1684" s="2" t="s">
        <v>98</v>
      </c>
      <c r="B1684" s="2" t="s">
        <v>18</v>
      </c>
      <c r="C1684" s="2">
        <v>1327.6</v>
      </c>
      <c r="D1684" s="6">
        <f>(Table2_1[[#This Row],[Constant Prices]]-C1683)/C1683</f>
        <v>-4.2751068776719758E-3</v>
      </c>
      <c r="E1684" s="6">
        <f>(Table2_1[[#This Row],[Constant Prices]]-C1680)/C1680</f>
        <v>7.8955359854235227E-3</v>
      </c>
      <c r="F1684" s="2">
        <v>807.7</v>
      </c>
      <c r="G1684" s="7">
        <f>(Table2_1[[#This Row],[Current Prices]]-F1683)/F1683</f>
        <v>4.3135735503035122E-2</v>
      </c>
      <c r="H1684" s="7">
        <f>(Table2_1[[#This Row],[Current Prices]]-F1680)/F1680</f>
        <v>-0.17090946417573394</v>
      </c>
      <c r="I1684" s="2"/>
    </row>
    <row r="1685" spans="1:9" x14ac:dyDescent="0.3">
      <c r="A1685" s="2" t="s">
        <v>98</v>
      </c>
      <c r="B1685" s="2" t="s">
        <v>19</v>
      </c>
      <c r="C1685" s="2">
        <v>1352.9</v>
      </c>
      <c r="D1685" s="6">
        <f>(Table2_1[[#This Row],[Constant Prices]]-C1684)/C1684</f>
        <v>1.9056944862910652E-2</v>
      </c>
      <c r="E1685" s="6">
        <f>(Table2_1[[#This Row],[Constant Prices]]-C1681)/C1681</f>
        <v>4.6569196255898539E-2</v>
      </c>
      <c r="F1685" s="2">
        <v>809.7</v>
      </c>
      <c r="G1685" s="7">
        <f>(Table2_1[[#This Row],[Current Prices]]-F1684)/F1684</f>
        <v>2.4761668936486318E-3</v>
      </c>
      <c r="H1685" s="7">
        <f>(Table2_1[[#This Row],[Current Prices]]-F1681)/F1681</f>
        <v>-7.4840036563071297E-2</v>
      </c>
      <c r="I1685" s="2"/>
    </row>
    <row r="1686" spans="1:9" x14ac:dyDescent="0.3">
      <c r="A1686" s="2" t="s">
        <v>98</v>
      </c>
      <c r="B1686" s="2" t="s">
        <v>20</v>
      </c>
      <c r="C1686" s="2">
        <v>1376.9</v>
      </c>
      <c r="D1686" s="6">
        <f>(Table2_1[[#This Row],[Constant Prices]]-C1685)/C1685</f>
        <v>1.7739670337792886E-2</v>
      </c>
      <c r="E1686" s="6">
        <f>(Table2_1[[#This Row],[Constant Prices]]-C1682)/C1682</f>
        <v>7.0684292379471297E-2</v>
      </c>
      <c r="F1686" s="2">
        <v>841.8</v>
      </c>
      <c r="G1686" s="7">
        <f>(Table2_1[[#This Row],[Current Prices]]-F1685)/F1685</f>
        <v>3.9644312708410408E-2</v>
      </c>
      <c r="H1686" s="7">
        <f>(Table2_1[[#This Row],[Current Prices]]-F1682)/F1682</f>
        <v>6.368460955269141E-2</v>
      </c>
      <c r="I1686" s="2"/>
    </row>
    <row r="1687" spans="1:9" x14ac:dyDescent="0.3">
      <c r="A1687" s="2" t="s">
        <v>98</v>
      </c>
      <c r="B1687" s="2" t="s">
        <v>21</v>
      </c>
      <c r="C1687" s="2">
        <v>1399.7</v>
      </c>
      <c r="D1687" s="6">
        <f>(Table2_1[[#This Row],[Constant Prices]]-C1686)/C1686</f>
        <v>1.6558936741956534E-2</v>
      </c>
      <c r="E1687" s="6">
        <f>(Table2_1[[#This Row],[Constant Prices]]-C1683)/C1683</f>
        <v>4.9801245031125846E-2</v>
      </c>
      <c r="F1687" s="2">
        <v>853.9</v>
      </c>
      <c r="G1687" s="7">
        <f>(Table2_1[[#This Row],[Current Prices]]-F1686)/F1686</f>
        <v>1.4373960560703282E-2</v>
      </c>
      <c r="H1687" s="7">
        <f>(Table2_1[[#This Row],[Current Prices]]-F1683)/F1683</f>
        <v>0.10280253131861039</v>
      </c>
      <c r="I1687" s="2">
        <v>2</v>
      </c>
    </row>
    <row r="1688" spans="1:9" x14ac:dyDescent="0.3">
      <c r="A1688" s="2" t="s">
        <v>98</v>
      </c>
      <c r="B1688" s="2" t="s">
        <v>22</v>
      </c>
      <c r="C1688" s="2">
        <v>1417.2</v>
      </c>
      <c r="D1688" s="6">
        <f>(Table2_1[[#This Row],[Constant Prices]]-C1687)/C1687</f>
        <v>1.2502679145531185E-2</v>
      </c>
      <c r="E1688" s="6">
        <f>(Table2_1[[#This Row],[Constant Prices]]-C1684)/C1684</f>
        <v>6.7490207893944068E-2</v>
      </c>
      <c r="F1688" s="2">
        <v>858.3</v>
      </c>
      <c r="G1688" s="7">
        <f>(Table2_1[[#This Row],[Current Prices]]-F1687)/F1687</f>
        <v>5.1528282000233953E-3</v>
      </c>
      <c r="H1688" s="7">
        <f>(Table2_1[[#This Row],[Current Prices]]-F1684)/F1684</f>
        <v>6.2647022409310277E-2</v>
      </c>
      <c r="I1688" s="2"/>
    </row>
    <row r="1689" spans="1:9" x14ac:dyDescent="0.3">
      <c r="A1689" s="2" t="s">
        <v>98</v>
      </c>
      <c r="B1689" s="2" t="s">
        <v>23</v>
      </c>
      <c r="C1689" s="2">
        <v>1438.4</v>
      </c>
      <c r="D1689" s="6">
        <f>(Table2_1[[#This Row],[Constant Prices]]-C1688)/C1688</f>
        <v>1.495907423087782E-2</v>
      </c>
      <c r="E1689" s="6">
        <f>(Table2_1[[#This Row],[Constant Prices]]-C1685)/C1685</f>
        <v>6.3197575578387163E-2</v>
      </c>
      <c r="F1689" s="2">
        <v>905.4</v>
      </c>
      <c r="G1689" s="7">
        <f>(Table2_1[[#This Row],[Current Prices]]-F1688)/F1688</f>
        <v>5.4875917511359694E-2</v>
      </c>
      <c r="H1689" s="7">
        <f>(Table2_1[[#This Row],[Current Prices]]-F1685)/F1685</f>
        <v>0.11819192293442006</v>
      </c>
      <c r="I1689" s="2"/>
    </row>
    <row r="1690" spans="1:9" x14ac:dyDescent="0.3">
      <c r="A1690" s="2" t="s">
        <v>98</v>
      </c>
      <c r="B1690" s="2" t="s">
        <v>24</v>
      </c>
      <c r="C1690" s="2">
        <v>1457.6</v>
      </c>
      <c r="D1690" s="6">
        <f>(Table2_1[[#This Row],[Constant Prices]]-C1689)/C1689</f>
        <v>1.334816462736361E-2</v>
      </c>
      <c r="E1690" s="6">
        <f>(Table2_1[[#This Row],[Constant Prices]]-C1686)/C1686</f>
        <v>5.860992083666193E-2</v>
      </c>
      <c r="F1690" s="2">
        <v>974.4</v>
      </c>
      <c r="G1690" s="7">
        <f>(Table2_1[[#This Row],[Current Prices]]-F1689)/F1689</f>
        <v>7.6209410205434064E-2</v>
      </c>
      <c r="H1690" s="7">
        <f>(Table2_1[[#This Row],[Current Prices]]-F1686)/F1686</f>
        <v>0.15751960085531008</v>
      </c>
      <c r="I1690" s="2"/>
    </row>
    <row r="1691" spans="1:9" x14ac:dyDescent="0.3">
      <c r="A1691" s="2" t="s">
        <v>98</v>
      </c>
      <c r="B1691" s="2" t="s">
        <v>25</v>
      </c>
      <c r="C1691" s="2">
        <v>1469.3</v>
      </c>
      <c r="D1691" s="6">
        <f>(Table2_1[[#This Row],[Constant Prices]]-C1690)/C1690</f>
        <v>8.0268935236004705E-3</v>
      </c>
      <c r="E1691" s="6">
        <f>(Table2_1[[#This Row],[Constant Prices]]-C1687)/C1687</f>
        <v>4.9724941058798246E-2</v>
      </c>
      <c r="F1691" s="2">
        <v>1113.2</v>
      </c>
      <c r="G1691" s="7">
        <f>(Table2_1[[#This Row],[Current Prices]]-F1690)/F1690</f>
        <v>0.14244663382594425</v>
      </c>
      <c r="H1691" s="7">
        <f>(Table2_1[[#This Row],[Current Prices]]-F1687)/F1687</f>
        <v>0.30366553460592582</v>
      </c>
      <c r="I1691" s="2">
        <v>3</v>
      </c>
    </row>
    <row r="1692" spans="1:9" x14ac:dyDescent="0.3">
      <c r="A1692" s="2" t="s">
        <v>98</v>
      </c>
      <c r="B1692" s="2" t="s">
        <v>26</v>
      </c>
      <c r="C1692" s="2">
        <v>1517.5</v>
      </c>
      <c r="D1692" s="6">
        <f>(Table2_1[[#This Row],[Constant Prices]]-C1691)/C1691</f>
        <v>3.2804736949567856E-2</v>
      </c>
      <c r="E1692" s="6">
        <f>(Table2_1[[#This Row],[Constant Prices]]-C1688)/C1688</f>
        <v>7.0773355913067992E-2</v>
      </c>
      <c r="F1692" s="2">
        <v>1308.5999999999999</v>
      </c>
      <c r="G1692" s="7">
        <f>(Table2_1[[#This Row],[Current Prices]]-F1691)/F1691</f>
        <v>0.17553000359324458</v>
      </c>
      <c r="H1692" s="7">
        <f>(Table2_1[[#This Row],[Current Prices]]-F1688)/F1688</f>
        <v>0.52464173365955957</v>
      </c>
      <c r="I1692" s="2"/>
    </row>
    <row r="1693" spans="1:9" x14ac:dyDescent="0.3">
      <c r="A1693" s="2" t="s">
        <v>98</v>
      </c>
      <c r="B1693" s="2" t="s">
        <v>27</v>
      </c>
      <c r="C1693" s="2">
        <v>1534.8</v>
      </c>
      <c r="D1693" s="6">
        <f>(Table2_1[[#This Row],[Constant Prices]]-C1692)/C1692</f>
        <v>1.1400329489291568E-2</v>
      </c>
      <c r="E1693" s="6">
        <f>(Table2_1[[#This Row],[Constant Prices]]-C1689)/C1689</f>
        <v>6.7018909899888665E-2</v>
      </c>
      <c r="F1693" s="2">
        <v>1426.7</v>
      </c>
      <c r="G1693" s="7">
        <f>(Table2_1[[#This Row],[Current Prices]]-F1692)/F1692</f>
        <v>9.0249121198227228E-2</v>
      </c>
      <c r="H1693" s="7">
        <f>(Table2_1[[#This Row],[Current Prices]]-F1689)/F1689</f>
        <v>0.57576761652308384</v>
      </c>
      <c r="I1693" s="2"/>
    </row>
    <row r="1694" spans="1:9" x14ac:dyDescent="0.3">
      <c r="A1694" s="2" t="s">
        <v>98</v>
      </c>
      <c r="B1694" s="2" t="s">
        <v>28</v>
      </c>
      <c r="C1694" s="2">
        <v>1545.3</v>
      </c>
      <c r="D1694" s="6">
        <f>(Table2_1[[#This Row],[Constant Prices]]-C1693)/C1693</f>
        <v>6.841282251759187E-3</v>
      </c>
      <c r="E1694" s="6">
        <f>(Table2_1[[#This Row],[Constant Prices]]-C1690)/C1690</f>
        <v>6.0167398463227259E-2</v>
      </c>
      <c r="F1694" s="2">
        <v>1517</v>
      </c>
      <c r="G1694" s="7">
        <f>(Table2_1[[#This Row],[Current Prices]]-F1693)/F1693</f>
        <v>6.3292913716969199E-2</v>
      </c>
      <c r="H1694" s="7">
        <f>(Table2_1[[#This Row],[Current Prices]]-F1690)/F1690</f>
        <v>0.55685550082101809</v>
      </c>
      <c r="I1694" s="2"/>
    </row>
    <row r="1695" spans="1:9" x14ac:dyDescent="0.3">
      <c r="A1695" s="2" t="s">
        <v>98</v>
      </c>
      <c r="B1695" s="2" t="s">
        <v>29</v>
      </c>
      <c r="C1695" s="2">
        <v>1553.4</v>
      </c>
      <c r="D1695" s="6">
        <f>(Table2_1[[#This Row],[Constant Prices]]-C1694)/C1694</f>
        <v>5.241700640652389E-3</v>
      </c>
      <c r="E1695" s="6">
        <f>(Table2_1[[#This Row],[Constant Prices]]-C1691)/C1691</f>
        <v>5.7238140611175485E-2</v>
      </c>
      <c r="F1695" s="2">
        <v>1545.6</v>
      </c>
      <c r="G1695" s="7">
        <f>(Table2_1[[#This Row],[Current Prices]]-F1694)/F1694</f>
        <v>1.8852999340804158E-2</v>
      </c>
      <c r="H1695" s="7">
        <f>(Table2_1[[#This Row],[Current Prices]]-F1691)/F1691</f>
        <v>0.38842975206611557</v>
      </c>
      <c r="I1695" s="2">
        <v>4</v>
      </c>
    </row>
    <row r="1696" spans="1:9" x14ac:dyDescent="0.3">
      <c r="A1696" s="2" t="s">
        <v>98</v>
      </c>
      <c r="B1696" s="2" t="s">
        <v>30</v>
      </c>
      <c r="C1696" s="2">
        <v>1540.9</v>
      </c>
      <c r="D1696" s="6">
        <f>(Table2_1[[#This Row],[Constant Prices]]-C1695)/C1695</f>
        <v>-8.0468649414188222E-3</v>
      </c>
      <c r="E1696" s="6">
        <f>(Table2_1[[#This Row],[Constant Prices]]-C1692)/C1692</f>
        <v>1.542009884678754E-2</v>
      </c>
      <c r="F1696" s="2">
        <v>1523.5</v>
      </c>
      <c r="G1696" s="7">
        <f>(Table2_1[[#This Row],[Current Prices]]-F1695)/F1695</f>
        <v>-1.4298654244306361E-2</v>
      </c>
      <c r="H1696" s="7">
        <f>(Table2_1[[#This Row],[Current Prices]]-F1692)/F1692</f>
        <v>0.16422130521167669</v>
      </c>
      <c r="I1696" s="2"/>
    </row>
    <row r="1697" spans="1:9" x14ac:dyDescent="0.3">
      <c r="A1697" s="2" t="s">
        <v>98</v>
      </c>
      <c r="B1697" s="2" t="s">
        <v>31</v>
      </c>
      <c r="C1697" s="2">
        <v>1550.2</v>
      </c>
      <c r="D1697" s="6">
        <f>(Table2_1[[#This Row],[Constant Prices]]-C1696)/C1696</f>
        <v>6.0354338373677426E-3</v>
      </c>
      <c r="E1697" s="6">
        <f>(Table2_1[[#This Row],[Constant Prices]]-C1693)/C1693</f>
        <v>1.0033880635913534E-2</v>
      </c>
      <c r="F1697" s="2">
        <v>1519.1</v>
      </c>
      <c r="G1697" s="7">
        <f>(Table2_1[[#This Row],[Current Prices]]-F1696)/F1696</f>
        <v>-2.8880866425993377E-3</v>
      </c>
      <c r="H1697" s="7">
        <f>(Table2_1[[#This Row],[Current Prices]]-F1693)/F1693</f>
        <v>6.4764841942945156E-2</v>
      </c>
      <c r="I1697" s="2"/>
    </row>
    <row r="1698" spans="1:9" x14ac:dyDescent="0.3">
      <c r="A1698" s="2" t="s">
        <v>98</v>
      </c>
      <c r="B1698" s="2" t="s">
        <v>32</v>
      </c>
      <c r="C1698" s="2">
        <v>1561.7</v>
      </c>
      <c r="D1698" s="6">
        <f>(Table2_1[[#This Row],[Constant Prices]]-C1697)/C1697</f>
        <v>7.418397626112759E-3</v>
      </c>
      <c r="E1698" s="6">
        <f>(Table2_1[[#This Row],[Constant Prices]]-C1694)/C1694</f>
        <v>1.061282598848126E-2</v>
      </c>
      <c r="F1698" s="2">
        <v>1561.1</v>
      </c>
      <c r="G1698" s="7">
        <f>(Table2_1[[#This Row],[Current Prices]]-F1697)/F1697</f>
        <v>2.7647949443749591E-2</v>
      </c>
      <c r="H1698" s="7">
        <f>(Table2_1[[#This Row],[Current Prices]]-F1694)/F1694</f>
        <v>2.907053394858267E-2</v>
      </c>
      <c r="I1698" s="2"/>
    </row>
    <row r="1699" spans="1:9" x14ac:dyDescent="0.3">
      <c r="A1699" s="2" t="s">
        <v>98</v>
      </c>
      <c r="B1699" s="2" t="s">
        <v>33</v>
      </c>
      <c r="C1699" s="2">
        <v>1589.9</v>
      </c>
      <c r="D1699" s="6">
        <f>(Table2_1[[#This Row],[Constant Prices]]-C1698)/C1698</f>
        <v>1.8057245309598544E-2</v>
      </c>
      <c r="E1699" s="6">
        <f>(Table2_1[[#This Row],[Constant Prices]]-C1695)/C1695</f>
        <v>2.3496845628942963E-2</v>
      </c>
      <c r="F1699" s="2">
        <v>1639</v>
      </c>
      <c r="G1699" s="7">
        <f>(Table2_1[[#This Row],[Current Prices]]-F1698)/F1698</f>
        <v>4.990071103708929E-2</v>
      </c>
      <c r="H1699" s="7">
        <f>(Table2_1[[#This Row],[Current Prices]]-F1695)/F1695</f>
        <v>6.0429606625258862E-2</v>
      </c>
      <c r="I1699" s="2">
        <v>5</v>
      </c>
    </row>
    <row r="1700" spans="1:9" x14ac:dyDescent="0.3">
      <c r="A1700" s="2" t="s">
        <v>98</v>
      </c>
      <c r="B1700" s="2" t="s">
        <v>34</v>
      </c>
      <c r="C1700" s="2">
        <v>1629</v>
      </c>
      <c r="D1700" s="6">
        <f>(Table2_1[[#This Row],[Constant Prices]]-C1699)/C1699</f>
        <v>2.4592741681866724E-2</v>
      </c>
      <c r="E1700" s="6">
        <f>(Table2_1[[#This Row],[Constant Prices]]-C1696)/C1696</f>
        <v>5.7174378609903244E-2</v>
      </c>
      <c r="F1700" s="2">
        <v>1782.3</v>
      </c>
      <c r="G1700" s="7">
        <f>(Table2_1[[#This Row],[Current Prices]]-F1699)/F1699</f>
        <v>8.743136058572297E-2</v>
      </c>
      <c r="H1700" s="7">
        <f>(Table2_1[[#This Row],[Current Prices]]-F1696)/F1696</f>
        <v>0.1698720052510666</v>
      </c>
      <c r="I1700" s="2"/>
    </row>
    <row r="1701" spans="1:9" x14ac:dyDescent="0.3">
      <c r="A1701" s="2" t="s">
        <v>98</v>
      </c>
      <c r="B1701" s="2" t="s">
        <v>35</v>
      </c>
      <c r="C1701" s="2">
        <v>1651.2</v>
      </c>
      <c r="D1701" s="6">
        <f>(Table2_1[[#This Row],[Constant Prices]]-C1700)/C1700</f>
        <v>1.3627992633517523E-2</v>
      </c>
      <c r="E1701" s="6">
        <f>(Table2_1[[#This Row],[Constant Prices]]-C1697)/C1697</f>
        <v>6.5152883498903372E-2</v>
      </c>
      <c r="F1701" s="2">
        <v>1853.8</v>
      </c>
      <c r="G1701" s="7">
        <f>(Table2_1[[#This Row],[Current Prices]]-F1700)/F1700</f>
        <v>4.0116703136396793E-2</v>
      </c>
      <c r="H1701" s="7">
        <f>(Table2_1[[#This Row],[Current Prices]]-F1697)/F1697</f>
        <v>0.22032782568626164</v>
      </c>
      <c r="I1701" s="2"/>
    </row>
    <row r="1702" spans="1:9" x14ac:dyDescent="0.3">
      <c r="A1702" s="2" t="s">
        <v>98</v>
      </c>
      <c r="B1702" s="2" t="s">
        <v>36</v>
      </c>
      <c r="C1702" s="2">
        <v>1669.7</v>
      </c>
      <c r="D1702" s="6">
        <f>(Table2_1[[#This Row],[Constant Prices]]-C1701)/C1701</f>
        <v>1.1203972868217053E-2</v>
      </c>
      <c r="E1702" s="6">
        <f>(Table2_1[[#This Row],[Constant Prices]]-C1698)/C1698</f>
        <v>6.9155407568675165E-2</v>
      </c>
      <c r="F1702" s="2">
        <v>1888.7</v>
      </c>
      <c r="G1702" s="7">
        <f>(Table2_1[[#This Row],[Current Prices]]-F1701)/F1701</f>
        <v>1.8826194843025189E-2</v>
      </c>
      <c r="H1702" s="7">
        <f>(Table2_1[[#This Row],[Current Prices]]-F1698)/F1698</f>
        <v>0.20985202741656533</v>
      </c>
      <c r="I1702" s="2"/>
    </row>
    <row r="1703" spans="1:9" x14ac:dyDescent="0.3">
      <c r="A1703" s="2" t="s">
        <v>98</v>
      </c>
      <c r="B1703" s="2" t="s">
        <v>37</v>
      </c>
      <c r="C1703" s="2">
        <v>1676.9</v>
      </c>
      <c r="D1703" s="6">
        <f>(Table2_1[[#This Row],[Constant Prices]]-C1702)/C1702</f>
        <v>4.3121518835719259E-3</v>
      </c>
      <c r="E1703" s="6">
        <f>(Table2_1[[#This Row],[Constant Prices]]-C1699)/C1699</f>
        <v>5.4720422668092329E-2</v>
      </c>
      <c r="F1703" s="2">
        <v>1874.2</v>
      </c>
      <c r="G1703" s="7">
        <f>(Table2_1[[#This Row],[Current Prices]]-F1702)/F1702</f>
        <v>-7.6772383120665005E-3</v>
      </c>
      <c r="H1703" s="7">
        <f>(Table2_1[[#This Row],[Current Prices]]-F1699)/F1699</f>
        <v>0.1435021354484442</v>
      </c>
      <c r="I1703" s="2">
        <v>6</v>
      </c>
    </row>
    <row r="1704" spans="1:9" x14ac:dyDescent="0.3">
      <c r="A1704" s="2" t="s">
        <v>98</v>
      </c>
      <c r="B1704" s="2" t="s">
        <v>38</v>
      </c>
      <c r="C1704" s="2">
        <v>1690.1</v>
      </c>
      <c r="D1704" s="6">
        <f>(Table2_1[[#This Row],[Constant Prices]]-C1703)/C1703</f>
        <v>7.8716679587332687E-3</v>
      </c>
      <c r="E1704" s="6">
        <f>(Table2_1[[#This Row],[Constant Prices]]-C1700)/C1700</f>
        <v>3.7507673419275571E-2</v>
      </c>
      <c r="F1704" s="2">
        <v>1830.1</v>
      </c>
      <c r="G1704" s="7">
        <f>(Table2_1[[#This Row],[Current Prices]]-F1703)/F1703</f>
        <v>-2.3530039483513038E-2</v>
      </c>
      <c r="H1704" s="7">
        <f>(Table2_1[[#This Row],[Current Prices]]-F1700)/F1700</f>
        <v>2.681927846041629E-2</v>
      </c>
      <c r="I1704" s="2"/>
    </row>
    <row r="1705" spans="1:9" x14ac:dyDescent="0.3">
      <c r="A1705" s="2" t="s">
        <v>98</v>
      </c>
      <c r="B1705" s="2" t="s">
        <v>39</v>
      </c>
      <c r="C1705" s="2">
        <v>1694.6</v>
      </c>
      <c r="D1705" s="6">
        <f>(Table2_1[[#This Row],[Constant Prices]]-C1704)/C1704</f>
        <v>2.6625643453050117E-3</v>
      </c>
      <c r="E1705" s="6">
        <f>(Table2_1[[#This Row],[Constant Prices]]-C1701)/C1701</f>
        <v>2.6283914728682089E-2</v>
      </c>
      <c r="F1705" s="2">
        <v>1802.6</v>
      </c>
      <c r="G1705" s="7">
        <f>(Table2_1[[#This Row],[Current Prices]]-F1704)/F1704</f>
        <v>-1.5026501284082838E-2</v>
      </c>
      <c r="H1705" s="7">
        <f>(Table2_1[[#This Row],[Current Prices]]-F1701)/F1701</f>
        <v>-2.7618944869996789E-2</v>
      </c>
      <c r="I1705" s="2"/>
    </row>
    <row r="1706" spans="1:9" x14ac:dyDescent="0.3">
      <c r="A1706" s="2" t="s">
        <v>98</v>
      </c>
      <c r="B1706" s="2" t="s">
        <v>40</v>
      </c>
      <c r="C1706" s="2">
        <v>1710.3</v>
      </c>
      <c r="D1706" s="6">
        <f>(Table2_1[[#This Row],[Constant Prices]]-C1705)/C1705</f>
        <v>9.2647232385223918E-3</v>
      </c>
      <c r="E1706" s="6">
        <f>(Table2_1[[#This Row],[Constant Prices]]-C1702)/C1702</f>
        <v>2.4315745343474821E-2</v>
      </c>
      <c r="F1706" s="2">
        <v>1808.2</v>
      </c>
      <c r="G1706" s="7">
        <f>(Table2_1[[#This Row],[Current Prices]]-F1705)/F1705</f>
        <v>3.1066237656718833E-3</v>
      </c>
      <c r="H1706" s="7">
        <f>(Table2_1[[#This Row],[Current Prices]]-F1702)/F1702</f>
        <v>-4.2621909249748506E-2</v>
      </c>
      <c r="I1706" s="2"/>
    </row>
    <row r="1707" spans="1:9" x14ac:dyDescent="0.3">
      <c r="A1707" s="2" t="s">
        <v>98</v>
      </c>
      <c r="B1707" s="2" t="s">
        <v>41</v>
      </c>
      <c r="C1707" s="2">
        <v>1734</v>
      </c>
      <c r="D1707" s="6">
        <f>(Table2_1[[#This Row],[Constant Prices]]-C1706)/C1706</f>
        <v>1.3857218031924251E-2</v>
      </c>
      <c r="E1707" s="6">
        <f>(Table2_1[[#This Row],[Constant Prices]]-C1703)/C1703</f>
        <v>3.4050927306339025E-2</v>
      </c>
      <c r="F1707" s="2">
        <v>1824.5</v>
      </c>
      <c r="G1707" s="7">
        <f>(Table2_1[[#This Row],[Current Prices]]-F1706)/F1706</f>
        <v>9.0144895476163885E-3</v>
      </c>
      <c r="H1707" s="7">
        <f>(Table2_1[[#This Row],[Current Prices]]-F1703)/F1703</f>
        <v>-2.6517981005228921E-2</v>
      </c>
      <c r="I1707" s="2">
        <v>7</v>
      </c>
    </row>
    <row r="1708" spans="1:9" x14ac:dyDescent="0.3">
      <c r="A1708" s="2" t="s">
        <v>98</v>
      </c>
      <c r="B1708" s="2" t="s">
        <v>42</v>
      </c>
      <c r="C1708" s="2">
        <v>1756.1</v>
      </c>
      <c r="D1708" s="6">
        <f>(Table2_1[[#This Row],[Constant Prices]]-C1707)/C1707</f>
        <v>1.2745098039215634E-2</v>
      </c>
      <c r="E1708" s="6">
        <f>(Table2_1[[#This Row],[Constant Prices]]-C1704)/C1704</f>
        <v>3.9050943731140174E-2</v>
      </c>
      <c r="F1708" s="2">
        <v>1923</v>
      </c>
      <c r="G1708" s="7">
        <f>(Table2_1[[#This Row],[Current Prices]]-F1707)/F1707</f>
        <v>5.3987393806522337E-2</v>
      </c>
      <c r="H1708" s="7">
        <f>(Table2_1[[#This Row],[Current Prices]]-F1704)/F1704</f>
        <v>5.0762253428774433E-2</v>
      </c>
      <c r="I1708" s="2"/>
    </row>
    <row r="1709" spans="1:9" x14ac:dyDescent="0.3">
      <c r="A1709" s="2" t="s">
        <v>98</v>
      </c>
      <c r="B1709" s="2" t="s">
        <v>43</v>
      </c>
      <c r="C1709" s="2">
        <v>1771.9</v>
      </c>
      <c r="D1709" s="6">
        <f>(Table2_1[[#This Row],[Constant Prices]]-C1708)/C1708</f>
        <v>8.9972097260977071E-3</v>
      </c>
      <c r="E1709" s="6">
        <f>(Table2_1[[#This Row],[Constant Prices]]-C1705)/C1705</f>
        <v>4.5615484480113412E-2</v>
      </c>
      <c r="F1709" s="2">
        <v>1951.1</v>
      </c>
      <c r="G1709" s="7">
        <f>(Table2_1[[#This Row],[Current Prices]]-F1708)/F1708</f>
        <v>1.4612584503380087E-2</v>
      </c>
      <c r="H1709" s="7">
        <f>(Table2_1[[#This Row],[Current Prices]]-F1705)/F1705</f>
        <v>8.2381005214689898E-2</v>
      </c>
      <c r="I1709" s="2"/>
    </row>
    <row r="1710" spans="1:9" x14ac:dyDescent="0.3">
      <c r="A1710" s="2" t="s">
        <v>98</v>
      </c>
      <c r="B1710" s="2" t="s">
        <v>44</v>
      </c>
      <c r="C1710" s="2">
        <v>1776</v>
      </c>
      <c r="D1710" s="6">
        <f>(Table2_1[[#This Row],[Constant Prices]]-C1709)/C1709</f>
        <v>2.3139003329758503E-3</v>
      </c>
      <c r="E1710" s="6">
        <f>(Table2_1[[#This Row],[Constant Prices]]-C1706)/C1706</f>
        <v>3.841431327837224E-2</v>
      </c>
      <c r="F1710" s="2">
        <v>1990.9</v>
      </c>
      <c r="G1710" s="7">
        <f>(Table2_1[[#This Row],[Current Prices]]-F1709)/F1709</f>
        <v>2.0398749423402279E-2</v>
      </c>
      <c r="H1710" s="7">
        <f>(Table2_1[[#This Row],[Current Prices]]-F1706)/F1706</f>
        <v>0.10103970799690302</v>
      </c>
      <c r="I1710" s="2"/>
    </row>
    <row r="1711" spans="1:9" x14ac:dyDescent="0.3">
      <c r="A1711" s="2" t="s">
        <v>98</v>
      </c>
      <c r="B1711" s="2" t="s">
        <v>45</v>
      </c>
      <c r="C1711" s="2">
        <v>1782.2</v>
      </c>
      <c r="D1711" s="6">
        <f>(Table2_1[[#This Row],[Constant Prices]]-C1710)/C1710</f>
        <v>3.4909909909910165E-3</v>
      </c>
      <c r="E1711" s="6">
        <f>(Table2_1[[#This Row],[Constant Prices]]-C1707)/C1707</f>
        <v>2.7797001153402563E-2</v>
      </c>
      <c r="F1711" s="2">
        <v>2005.9</v>
      </c>
      <c r="G1711" s="7">
        <f>(Table2_1[[#This Row],[Current Prices]]-F1710)/F1710</f>
        <v>7.5342809784519557E-3</v>
      </c>
      <c r="H1711" s="7">
        <f>(Table2_1[[#This Row],[Current Prices]]-F1707)/F1707</f>
        <v>9.9424499862976204E-2</v>
      </c>
      <c r="I1711" s="2">
        <v>8</v>
      </c>
    </row>
    <row r="1712" spans="1:9" x14ac:dyDescent="0.3">
      <c r="A1712" s="2" t="s">
        <v>98</v>
      </c>
      <c r="B1712" s="2" t="s">
        <v>46</v>
      </c>
      <c r="C1712" s="2">
        <v>1794.1</v>
      </c>
      <c r="D1712" s="6">
        <f>(Table2_1[[#This Row],[Constant Prices]]-C1711)/C1711</f>
        <v>6.6771406127257675E-3</v>
      </c>
      <c r="E1712" s="6">
        <f>(Table2_1[[#This Row],[Constant Prices]]-C1708)/C1708</f>
        <v>2.1638858834918288E-2</v>
      </c>
      <c r="F1712" s="2">
        <v>2042</v>
      </c>
      <c r="G1712" s="7">
        <f>(Table2_1[[#This Row],[Current Prices]]-F1711)/F1711</f>
        <v>1.7996909118101555E-2</v>
      </c>
      <c r="H1712" s="7">
        <f>(Table2_1[[#This Row],[Current Prices]]-F1708)/F1708</f>
        <v>6.188247529901196E-2</v>
      </c>
      <c r="I1712" s="2"/>
    </row>
    <row r="1713" spans="1:9" x14ac:dyDescent="0.3">
      <c r="A1713" s="2" t="s">
        <v>98</v>
      </c>
      <c r="B1713" s="2" t="s">
        <v>47</v>
      </c>
      <c r="C1713" s="2">
        <v>1791.4</v>
      </c>
      <c r="D1713" s="6">
        <f>(Table2_1[[#This Row],[Constant Prices]]-C1712)/C1712</f>
        <v>-1.5049328354048372E-3</v>
      </c>
      <c r="E1713" s="6">
        <f>(Table2_1[[#This Row],[Constant Prices]]-C1709)/C1709</f>
        <v>1.1005135730007337E-2</v>
      </c>
      <c r="F1713" s="2">
        <v>2114.4</v>
      </c>
      <c r="G1713" s="7">
        <f>(Table2_1[[#This Row],[Current Prices]]-F1712)/F1712</f>
        <v>3.5455435847208665E-2</v>
      </c>
      <c r="H1713" s="7">
        <f>(Table2_1[[#This Row],[Current Prices]]-F1709)/F1709</f>
        <v>8.3696376403054787E-2</v>
      </c>
      <c r="I1713" s="2"/>
    </row>
    <row r="1714" spans="1:9" x14ac:dyDescent="0.3">
      <c r="A1714" s="2" t="s">
        <v>98</v>
      </c>
      <c r="B1714" s="2" t="s">
        <v>48</v>
      </c>
      <c r="C1714" s="2">
        <v>1800</v>
      </c>
      <c r="D1714" s="6">
        <f>(Table2_1[[#This Row],[Constant Prices]]-C1713)/C1713</f>
        <v>4.8007145249525001E-3</v>
      </c>
      <c r="E1714" s="6">
        <f>(Table2_1[[#This Row],[Constant Prices]]-C1710)/C1710</f>
        <v>1.3513513513513514E-2</v>
      </c>
      <c r="F1714" s="2">
        <v>2210.9</v>
      </c>
      <c r="G1714" s="7">
        <f>(Table2_1[[#This Row],[Current Prices]]-F1713)/F1713</f>
        <v>4.5639424895951568E-2</v>
      </c>
      <c r="H1714" s="7">
        <f>(Table2_1[[#This Row],[Current Prices]]-F1710)/F1710</f>
        <v>0.11050278768396202</v>
      </c>
      <c r="I1714" s="2"/>
    </row>
    <row r="1715" spans="1:9" x14ac:dyDescent="0.3">
      <c r="A1715" s="2" t="s">
        <v>98</v>
      </c>
      <c r="B1715" s="2" t="s">
        <v>49</v>
      </c>
      <c r="C1715" s="2">
        <v>1758</v>
      </c>
      <c r="D1715" s="6">
        <f>(Table2_1[[#This Row],[Constant Prices]]-C1714)/C1714</f>
        <v>-2.3333333333333334E-2</v>
      </c>
      <c r="E1715" s="6">
        <f>(Table2_1[[#This Row],[Constant Prices]]-C1711)/C1711</f>
        <v>-1.357872292671981E-2</v>
      </c>
      <c r="F1715" s="2">
        <v>2310.1999999999998</v>
      </c>
      <c r="G1715" s="7">
        <f>(Table2_1[[#This Row],[Current Prices]]-F1714)/F1714</f>
        <v>4.4913835994391298E-2</v>
      </c>
      <c r="H1715" s="7">
        <f>(Table2_1[[#This Row],[Current Prices]]-F1711)/F1711</f>
        <v>0.15170247769081197</v>
      </c>
      <c r="I1715" s="2">
        <v>9</v>
      </c>
    </row>
    <row r="1716" spans="1:9" x14ac:dyDescent="0.3">
      <c r="A1716" s="2" t="s">
        <v>98</v>
      </c>
      <c r="B1716" s="2" t="s">
        <v>50</v>
      </c>
      <c r="C1716" s="2">
        <v>1630.8</v>
      </c>
      <c r="D1716" s="6">
        <f>(Table2_1[[#This Row],[Constant Prices]]-C1715)/C1715</f>
        <v>-7.235494880546077E-2</v>
      </c>
      <c r="E1716" s="6">
        <f>(Table2_1[[#This Row],[Constant Prices]]-C1712)/C1712</f>
        <v>-9.1020567415417183E-2</v>
      </c>
      <c r="F1716" s="2">
        <v>2352.4</v>
      </c>
      <c r="G1716" s="7">
        <f>(Table2_1[[#This Row],[Current Prices]]-F1715)/F1715</f>
        <v>1.8266816725824725E-2</v>
      </c>
      <c r="H1716" s="7">
        <f>(Table2_1[[#This Row],[Current Prices]]-F1712)/F1712</f>
        <v>0.15200783545543589</v>
      </c>
      <c r="I1716" s="2"/>
    </row>
    <row r="1717" spans="1:9" x14ac:dyDescent="0.3">
      <c r="A1717" s="2" t="s">
        <v>98</v>
      </c>
      <c r="B1717" s="2" t="s">
        <v>51</v>
      </c>
      <c r="C1717" s="2">
        <v>1571.7</v>
      </c>
      <c r="D1717" s="6">
        <f>(Table2_1[[#This Row],[Constant Prices]]-C1716)/C1716</f>
        <v>-3.6239882266372279E-2</v>
      </c>
      <c r="E1717" s="6">
        <f>(Table2_1[[#This Row],[Constant Prices]]-C1713)/C1713</f>
        <v>-0.12264150943396228</v>
      </c>
      <c r="F1717" s="2">
        <v>2355.8000000000002</v>
      </c>
      <c r="G1717" s="7">
        <f>(Table2_1[[#This Row],[Current Prices]]-F1716)/F1716</f>
        <v>1.4453324264581239E-3</v>
      </c>
      <c r="H1717" s="7">
        <f>(Table2_1[[#This Row],[Current Prices]]-F1713)/F1713</f>
        <v>0.1141695043511162</v>
      </c>
      <c r="I1717" s="2"/>
    </row>
    <row r="1718" spans="1:9" x14ac:dyDescent="0.3">
      <c r="A1718" s="2" t="s">
        <v>98</v>
      </c>
      <c r="B1718" s="2" t="s">
        <v>52</v>
      </c>
      <c r="C1718" s="2">
        <v>1567.7</v>
      </c>
      <c r="D1718" s="6">
        <f>(Table2_1[[#This Row],[Constant Prices]]-C1717)/C1717</f>
        <v>-2.5450149519628427E-3</v>
      </c>
      <c r="E1718" s="6">
        <f>(Table2_1[[#This Row],[Constant Prices]]-C1714)/C1714</f>
        <v>-0.12905555555555553</v>
      </c>
      <c r="F1718" s="2">
        <v>2395</v>
      </c>
      <c r="G1718" s="7">
        <f>(Table2_1[[#This Row],[Current Prices]]-F1717)/F1717</f>
        <v>1.6639782664063085E-2</v>
      </c>
      <c r="H1718" s="7">
        <f>(Table2_1[[#This Row],[Current Prices]]-F1714)/F1714</f>
        <v>8.3269256863720609E-2</v>
      </c>
      <c r="I1718" s="2"/>
    </row>
    <row r="1719" spans="1:9" x14ac:dyDescent="0.3">
      <c r="A1719" s="2" t="s">
        <v>98</v>
      </c>
      <c r="B1719" s="2" t="s">
        <v>53</v>
      </c>
      <c r="C1719" s="2">
        <v>1602.6</v>
      </c>
      <c r="D1719" s="6">
        <f>(Table2_1[[#This Row],[Constant Prices]]-C1718)/C1718</f>
        <v>2.2261912355680209E-2</v>
      </c>
      <c r="E1719" s="6">
        <f>(Table2_1[[#This Row],[Constant Prices]]-C1715)/C1715</f>
        <v>-8.8395904436860115E-2</v>
      </c>
      <c r="F1719" s="2">
        <v>2345.1</v>
      </c>
      <c r="G1719" s="7">
        <f>(Table2_1[[#This Row],[Current Prices]]-F1718)/F1718</f>
        <v>-2.0835073068893567E-2</v>
      </c>
      <c r="H1719" s="7">
        <f>(Table2_1[[#This Row],[Current Prices]]-F1715)/F1715</f>
        <v>1.5106917150030342E-2</v>
      </c>
      <c r="I1719" s="2">
        <v>10</v>
      </c>
    </row>
    <row r="1720" spans="1:9" x14ac:dyDescent="0.3">
      <c r="A1720" s="2" t="s">
        <v>98</v>
      </c>
      <c r="B1720" s="2" t="s">
        <v>54</v>
      </c>
      <c r="C1720" s="2">
        <v>1641.1</v>
      </c>
      <c r="D1720" s="6">
        <f>(Table2_1[[#This Row],[Constant Prices]]-C1719)/C1719</f>
        <v>2.4023461874454012E-2</v>
      </c>
      <c r="E1720" s="6">
        <f>(Table2_1[[#This Row],[Constant Prices]]-C1716)/C1716</f>
        <v>6.3159185675741693E-3</v>
      </c>
      <c r="F1720" s="2">
        <v>2191</v>
      </c>
      <c r="G1720" s="7">
        <f>(Table2_1[[#This Row],[Current Prices]]-F1719)/F1719</f>
        <v>-6.5711483518826455E-2</v>
      </c>
      <c r="H1720" s="7">
        <f>(Table2_1[[#This Row],[Current Prices]]-F1716)/F1716</f>
        <v>-6.8610780479510317E-2</v>
      </c>
      <c r="I1720" s="2"/>
    </row>
    <row r="1721" spans="1:9" x14ac:dyDescent="0.3">
      <c r="A1721" s="2" t="s">
        <v>98</v>
      </c>
      <c r="B1721" s="2" t="s">
        <v>55</v>
      </c>
      <c r="C1721" s="2">
        <v>1646.5</v>
      </c>
      <c r="D1721" s="6">
        <f>(Table2_1[[#This Row],[Constant Prices]]-C1720)/C1720</f>
        <v>3.2904759003108226E-3</v>
      </c>
      <c r="E1721" s="6">
        <f>(Table2_1[[#This Row],[Constant Prices]]-C1717)/C1717</f>
        <v>4.7591779601705131E-2</v>
      </c>
      <c r="F1721" s="2">
        <v>2139.1999999999998</v>
      </c>
      <c r="G1721" s="7">
        <f>(Table2_1[[#This Row],[Current Prices]]-F1720)/F1720</f>
        <v>-2.3642172523961745E-2</v>
      </c>
      <c r="H1721" s="7">
        <f>(Table2_1[[#This Row],[Current Prices]]-F1717)/F1717</f>
        <v>-9.1943288903981804E-2</v>
      </c>
      <c r="I1721" s="2"/>
    </row>
    <row r="1722" spans="1:9" x14ac:dyDescent="0.3">
      <c r="A1722" s="2" t="s">
        <v>98</v>
      </c>
      <c r="B1722" s="2" t="s">
        <v>56</v>
      </c>
      <c r="C1722" s="2">
        <v>1674.2</v>
      </c>
      <c r="D1722" s="6">
        <f>(Table2_1[[#This Row],[Constant Prices]]-C1721)/C1721</f>
        <v>1.6823565138171907E-2</v>
      </c>
      <c r="E1722" s="6">
        <f>(Table2_1[[#This Row],[Constant Prices]]-C1718)/C1718</f>
        <v>6.7933915927792299E-2</v>
      </c>
      <c r="F1722" s="2">
        <v>2140.9</v>
      </c>
      <c r="G1722" s="7">
        <f>(Table2_1[[#This Row],[Current Prices]]-F1721)/F1721</f>
        <v>7.9468960359025472E-4</v>
      </c>
      <c r="H1722" s="7">
        <f>(Table2_1[[#This Row],[Current Prices]]-F1718)/F1718</f>
        <v>-0.10609603340292272</v>
      </c>
      <c r="I1722" s="2"/>
    </row>
    <row r="1723" spans="1:9" x14ac:dyDescent="0.3">
      <c r="A1723" s="2" t="s">
        <v>98</v>
      </c>
      <c r="B1723" s="2" t="s">
        <v>57</v>
      </c>
      <c r="C1723" s="2">
        <v>1683.8</v>
      </c>
      <c r="D1723" s="6">
        <f>(Table2_1[[#This Row],[Constant Prices]]-C1722)/C1722</f>
        <v>5.7340819495878088E-3</v>
      </c>
      <c r="E1723" s="6">
        <f>(Table2_1[[#This Row],[Constant Prices]]-C1719)/C1719</f>
        <v>5.0667665044303041E-2</v>
      </c>
      <c r="F1723" s="2">
        <v>2143.3000000000002</v>
      </c>
      <c r="G1723" s="7">
        <f>(Table2_1[[#This Row],[Current Prices]]-F1722)/F1722</f>
        <v>1.1210238684665752E-3</v>
      </c>
      <c r="H1723" s="7">
        <f>(Table2_1[[#This Row],[Current Prices]]-F1719)/F1719</f>
        <v>-8.6051767515244446E-2</v>
      </c>
      <c r="I1723" s="2">
        <v>11</v>
      </c>
    </row>
    <row r="1724" spans="1:9" x14ac:dyDescent="0.3">
      <c r="A1724" s="2" t="s">
        <v>98</v>
      </c>
      <c r="B1724" s="2" t="s">
        <v>58</v>
      </c>
      <c r="C1724" s="2">
        <v>1736.1</v>
      </c>
      <c r="D1724" s="6">
        <f>(Table2_1[[#This Row],[Constant Prices]]-C1723)/C1723</f>
        <v>3.1060696044660861E-2</v>
      </c>
      <c r="E1724" s="6">
        <f>(Table2_1[[#This Row],[Constant Prices]]-C1720)/C1720</f>
        <v>5.7888001949911651E-2</v>
      </c>
      <c r="F1724" s="2">
        <v>951.4</v>
      </c>
      <c r="G1724" s="7">
        <f>(Table2_1[[#This Row],[Current Prices]]-F1723)/F1723</f>
        <v>-0.55610507161853218</v>
      </c>
      <c r="H1724" s="7">
        <f>(Table2_1[[#This Row],[Current Prices]]-F1720)/F1720</f>
        <v>-0.56576905522592424</v>
      </c>
      <c r="I1724" s="2"/>
    </row>
    <row r="1725" spans="1:9" x14ac:dyDescent="0.3">
      <c r="A1725" s="2" t="s">
        <v>98</v>
      </c>
      <c r="B1725" s="2" t="s">
        <v>59</v>
      </c>
      <c r="C1725" s="2">
        <v>1741.9</v>
      </c>
      <c r="D1725" s="6">
        <f>(Table2_1[[#This Row],[Constant Prices]]-C1724)/C1724</f>
        <v>3.3408213812569452E-3</v>
      </c>
      <c r="E1725" s="6">
        <f>(Table2_1[[#This Row],[Constant Prices]]-C1721)/C1721</f>
        <v>5.7941087154570359E-2</v>
      </c>
      <c r="F1725" s="2">
        <v>954.1</v>
      </c>
      <c r="G1725" s="7">
        <f>(Table2_1[[#This Row],[Current Prices]]-F1724)/F1724</f>
        <v>2.837923060752623E-3</v>
      </c>
      <c r="H1725" s="7">
        <f>(Table2_1[[#This Row],[Current Prices]]-F1721)/F1721</f>
        <v>-0.55399214659685869</v>
      </c>
      <c r="I1725" s="2"/>
    </row>
    <row r="1726" spans="1:9" x14ac:dyDescent="0.3">
      <c r="A1726" s="2" t="s">
        <v>98</v>
      </c>
      <c r="B1726" s="2" t="s">
        <v>60</v>
      </c>
      <c r="C1726" s="2">
        <v>1727.7</v>
      </c>
      <c r="D1726" s="6">
        <f>(Table2_1[[#This Row],[Constant Prices]]-C1725)/C1725</f>
        <v>-8.1520179114759998E-3</v>
      </c>
      <c r="E1726" s="6">
        <f>(Table2_1[[#This Row],[Constant Prices]]-C1722)/C1722</f>
        <v>3.1955560864890695E-2</v>
      </c>
      <c r="F1726" s="2">
        <v>955.9</v>
      </c>
      <c r="G1726" s="7">
        <f>(Table2_1[[#This Row],[Current Prices]]-F1725)/F1725</f>
        <v>1.8865946965726387E-3</v>
      </c>
      <c r="H1726" s="7">
        <f>(Table2_1[[#This Row],[Current Prices]]-F1722)/F1722</f>
        <v>-0.55350553505535049</v>
      </c>
      <c r="I1726" s="2"/>
    </row>
    <row r="1727" spans="1:9" x14ac:dyDescent="0.3">
      <c r="A1727" s="2" t="s">
        <v>98</v>
      </c>
      <c r="B1727" s="2" t="s">
        <v>61</v>
      </c>
      <c r="C1727" s="2">
        <v>1695.7</v>
      </c>
      <c r="D1727" s="6">
        <f>(Table2_1[[#This Row],[Constant Prices]]-C1726)/C1726</f>
        <v>-1.8521734097354865E-2</v>
      </c>
      <c r="E1727" s="6">
        <f>(Table2_1[[#This Row],[Constant Prices]]-C1723)/C1723</f>
        <v>7.0673476659936403E-3</v>
      </c>
      <c r="F1727" s="2">
        <v>972.9</v>
      </c>
      <c r="G1727" s="7">
        <f>(Table2_1[[#This Row],[Current Prices]]-F1726)/F1726</f>
        <v>1.7784287059315829E-2</v>
      </c>
      <c r="H1727" s="7">
        <f>(Table2_1[[#This Row],[Current Prices]]-F1723)/F1723</f>
        <v>-0.54607381141230815</v>
      </c>
      <c r="I1727" s="2">
        <v>12</v>
      </c>
    </row>
    <row r="1728" spans="1:9" x14ac:dyDescent="0.3">
      <c r="A1728" s="2" t="s">
        <v>98</v>
      </c>
      <c r="B1728" s="2" t="s">
        <v>62</v>
      </c>
      <c r="C1728" s="2">
        <v>1775.2</v>
      </c>
      <c r="D1728" s="6">
        <f>(Table2_1[[#This Row],[Constant Prices]]-C1727)/C1727</f>
        <v>4.6883293035324645E-2</v>
      </c>
      <c r="E1728" s="6">
        <f>(Table2_1[[#This Row],[Constant Prices]]-C1724)/C1724</f>
        <v>2.252174413916257E-2</v>
      </c>
      <c r="F1728" s="2">
        <v>1671.6</v>
      </c>
      <c r="G1728" s="7">
        <f>(Table2_1[[#This Row],[Current Prices]]-F1727)/F1727</f>
        <v>0.71816219549799565</v>
      </c>
      <c r="H1728" s="7">
        <f>(Table2_1[[#This Row],[Current Prices]]-F1724)/F1724</f>
        <v>0.75698969939037208</v>
      </c>
      <c r="I1728" s="2"/>
    </row>
    <row r="1729" spans="1:9" x14ac:dyDescent="0.3">
      <c r="A1729" s="2" t="s">
        <v>98</v>
      </c>
      <c r="B1729" s="2" t="s">
        <v>63</v>
      </c>
      <c r="C1729" s="2">
        <v>1768.6</v>
      </c>
      <c r="D1729" s="6">
        <f>(Table2_1[[#This Row],[Constant Prices]]-C1728)/C1728</f>
        <v>-3.7178909418657822E-3</v>
      </c>
      <c r="E1729" s="6">
        <f>(Table2_1[[#This Row],[Constant Prices]]-C1725)/C1725</f>
        <v>1.5328090016648381E-2</v>
      </c>
      <c r="F1729" s="2">
        <v>1866</v>
      </c>
      <c r="G1729" s="7">
        <f>(Table2_1[[#This Row],[Current Prices]]-F1728)/F1728</f>
        <v>0.11629576453697063</v>
      </c>
      <c r="H1729" s="7">
        <f>(Table2_1[[#This Row],[Current Prices]]-F1725)/F1725</f>
        <v>0.9557698354470181</v>
      </c>
      <c r="I1729" s="2"/>
    </row>
    <row r="1730" spans="1:9" x14ac:dyDescent="0.3">
      <c r="A1730" s="2" t="s">
        <v>98</v>
      </c>
      <c r="B1730" s="2" t="s">
        <v>64</v>
      </c>
      <c r="C1730" s="2">
        <v>1773.9</v>
      </c>
      <c r="D1730" s="6">
        <f>(Table2_1[[#This Row],[Constant Prices]]-C1729)/C1729</f>
        <v>2.9967205699424301E-3</v>
      </c>
      <c r="E1730" s="6">
        <f>(Table2_1[[#This Row],[Constant Prices]]-C1726)/C1726</f>
        <v>2.6740753603056111E-2</v>
      </c>
      <c r="F1730" s="2">
        <v>1870.8</v>
      </c>
      <c r="G1730" s="7">
        <f>(Table2_1[[#This Row],[Current Prices]]-F1729)/F1729</f>
        <v>2.5723472668810047E-3</v>
      </c>
      <c r="H1730" s="7">
        <f>(Table2_1[[#This Row],[Current Prices]]-F1726)/F1726</f>
        <v>0.95710848415106187</v>
      </c>
      <c r="I1730" s="2"/>
    </row>
    <row r="1731" spans="1:9" x14ac:dyDescent="0.3">
      <c r="A1731" s="2" t="s">
        <v>98</v>
      </c>
      <c r="B1731" s="2" t="s">
        <v>65</v>
      </c>
      <c r="C1731" s="2">
        <v>1769.9</v>
      </c>
      <c r="D1731" s="6">
        <f>(Table2_1[[#This Row],[Constant Prices]]-C1730)/C1730</f>
        <v>-2.2549185410677039E-3</v>
      </c>
      <c r="E1731" s="6">
        <f>(Table2_1[[#This Row],[Constant Prices]]-C1727)/C1727</f>
        <v>4.375774016630303E-2</v>
      </c>
      <c r="F1731" s="2">
        <v>1909.4</v>
      </c>
      <c r="G1731" s="7">
        <f>(Table2_1[[#This Row],[Current Prices]]-F1730)/F1730</f>
        <v>2.0632884327560476E-2</v>
      </c>
      <c r="H1731" s="7">
        <f>(Table2_1[[#This Row],[Current Prices]]-F1727)/F1727</f>
        <v>0.96258608284510239</v>
      </c>
      <c r="I1731" s="2">
        <v>13</v>
      </c>
    </row>
    <row r="1732" spans="1:9" x14ac:dyDescent="0.3">
      <c r="A1732" s="2" t="s">
        <v>98</v>
      </c>
      <c r="B1732" s="2" t="s">
        <v>66</v>
      </c>
      <c r="C1732" s="2">
        <v>1787.5</v>
      </c>
      <c r="D1732" s="6">
        <f>(Table2_1[[#This Row],[Constant Prices]]-C1731)/C1731</f>
        <v>9.944064636420084E-3</v>
      </c>
      <c r="E1732" s="6">
        <f>(Table2_1[[#This Row],[Constant Prices]]-C1728)/C1728</f>
        <v>6.928796755295152E-3</v>
      </c>
      <c r="F1732" s="2">
        <v>2255.1</v>
      </c>
      <c r="G1732" s="7">
        <f>(Table2_1[[#This Row],[Current Prices]]-F1731)/F1731</f>
        <v>0.18105163925840567</v>
      </c>
      <c r="H1732" s="7">
        <f>(Table2_1[[#This Row],[Current Prices]]-F1728)/F1728</f>
        <v>0.34906676238334533</v>
      </c>
      <c r="I1732" s="2"/>
    </row>
    <row r="1733" spans="1:9" x14ac:dyDescent="0.3">
      <c r="A1733" s="2" t="s">
        <v>98</v>
      </c>
      <c r="B1733" s="2" t="s">
        <v>67</v>
      </c>
      <c r="C1733" s="2">
        <v>1807.6</v>
      </c>
      <c r="D1733" s="6">
        <f>(Table2_1[[#This Row],[Constant Prices]]-C1732)/C1732</f>
        <v>1.1244755244755194E-2</v>
      </c>
      <c r="E1733" s="6">
        <f>(Table2_1[[#This Row],[Constant Prices]]-C1729)/C1729</f>
        <v>2.2051340042971844E-2</v>
      </c>
      <c r="F1733" s="2">
        <v>2060</v>
      </c>
      <c r="G1733" s="7">
        <f>(Table2_1[[#This Row],[Current Prices]]-F1732)/F1732</f>
        <v>-8.6515010420823879E-2</v>
      </c>
      <c r="H1733" s="7">
        <f>(Table2_1[[#This Row],[Current Prices]]-F1729)/F1729</f>
        <v>0.10396570203644159</v>
      </c>
      <c r="I1733" s="2"/>
    </row>
    <row r="1734" spans="1:9" x14ac:dyDescent="0.3">
      <c r="A1734" s="2" t="s">
        <v>98</v>
      </c>
      <c r="B1734" s="2" t="s">
        <v>68</v>
      </c>
      <c r="C1734" s="2">
        <v>1807.5</v>
      </c>
      <c r="D1734" s="6">
        <f>(Table2_1[[#This Row],[Constant Prices]]-C1733)/C1733</f>
        <v>-5.5321973887978014E-5</v>
      </c>
      <c r="E1734" s="6">
        <f>(Table2_1[[#This Row],[Constant Prices]]-C1730)/C1730</f>
        <v>1.894131574496866E-2</v>
      </c>
      <c r="F1734" s="2">
        <v>2309.6</v>
      </c>
      <c r="G1734" s="7">
        <f>(Table2_1[[#This Row],[Current Prices]]-F1733)/F1733</f>
        <v>0.12116504854368927</v>
      </c>
      <c r="H1734" s="7">
        <f>(Table2_1[[#This Row],[Current Prices]]-F1730)/F1730</f>
        <v>0.23455206328843273</v>
      </c>
      <c r="I1734" s="2"/>
    </row>
    <row r="1735" spans="1:9" x14ac:dyDescent="0.3">
      <c r="A1735" s="2" t="s">
        <v>98</v>
      </c>
      <c r="B1735" s="2" t="s">
        <v>69</v>
      </c>
      <c r="C1735" s="2">
        <v>1832.5</v>
      </c>
      <c r="D1735" s="6">
        <f>(Table2_1[[#This Row],[Constant Prices]]-C1734)/C1734</f>
        <v>1.3831258644536652E-2</v>
      </c>
      <c r="E1735" s="6">
        <f>(Table2_1[[#This Row],[Constant Prices]]-C1731)/C1731</f>
        <v>3.5369229899994296E-2</v>
      </c>
      <c r="F1735" s="5">
        <f>Table2_1[[#This Row],[Constant Prices]]*AVERAGE(Inflation!$C$72:$C$74)*0.01</f>
        <v>3317.435833333333</v>
      </c>
      <c r="G1735" s="7">
        <f>(Table2_1[[#This Row],[Current Prices]]-F1734)/F1734</f>
        <v>0.43636813012354225</v>
      </c>
      <c r="H1735" s="7">
        <f>(Table2_1[[#This Row],[Current Prices]]-F1731)/F1731</f>
        <v>0.73742318703955845</v>
      </c>
      <c r="I1735" s="2">
        <v>14</v>
      </c>
    </row>
    <row r="1736" spans="1:9" x14ac:dyDescent="0.3">
      <c r="A1736" s="2" t="s">
        <v>98</v>
      </c>
      <c r="B1736" s="2" t="s">
        <v>70</v>
      </c>
      <c r="C1736" s="2">
        <v>1809.4</v>
      </c>
      <c r="D1736" s="6">
        <f>(Table2_1[[#This Row],[Constant Prices]]-C1735)/C1735</f>
        <v>-1.2605729877216866E-2</v>
      </c>
      <c r="E1736" s="6">
        <f>(Table2_1[[#This Row],[Constant Prices]]-C1732)/C1732</f>
        <v>1.2251748251748303E-2</v>
      </c>
      <c r="F1736" s="5">
        <f>Table2_1[[#This Row],[Constant Prices]]*AVERAGE(Inflation!$C$75:$C$77)*0.01</f>
        <v>3300.9487333333332</v>
      </c>
      <c r="G1736" s="7">
        <f>(Table2_1[[#This Row],[Current Prices]]-F1735)/F1735</f>
        <v>-4.9698323730450944E-3</v>
      </c>
      <c r="H1736" s="7">
        <f>(Table2_1[[#This Row],[Current Prices]]-F1732)/F1732</f>
        <v>0.46377044624776431</v>
      </c>
      <c r="I1736" s="2"/>
    </row>
    <row r="1737" spans="1:9" x14ac:dyDescent="0.3">
      <c r="A1737" s="2" t="s">
        <v>98</v>
      </c>
      <c r="B1737" s="2" t="s">
        <v>71</v>
      </c>
      <c r="C1737" s="2">
        <v>1833.3</v>
      </c>
      <c r="D1737" s="6">
        <f>(Table2_1[[#This Row],[Constant Prices]]-C1736)/C1736</f>
        <v>1.3208798496739175E-2</v>
      </c>
      <c r="E1737" s="6">
        <f>(Table2_1[[#This Row],[Constant Prices]]-C1733)/C1733</f>
        <v>1.4217747289223306E-2</v>
      </c>
      <c r="F1737" s="5">
        <f>Table2_1[[#This Row],[Constant Prices]]*AVERAGE(Inflation!$C$78:$C$80)*0.01</f>
        <v>3397.7160000000003</v>
      </c>
      <c r="G1737" s="7">
        <f>(Table2_1[[#This Row],[Current Prices]]-F1736)/F1736</f>
        <v>2.9314986230928392E-2</v>
      </c>
      <c r="H1737" s="7">
        <f>(Table2_1[[#This Row],[Current Prices]]-F1733)/F1733</f>
        <v>0.64937669902912643</v>
      </c>
      <c r="I1737" s="2"/>
    </row>
    <row r="1738" spans="1:9" x14ac:dyDescent="0.3">
      <c r="A1738" s="2" t="s">
        <v>99</v>
      </c>
      <c r="B1738" s="2" t="s">
        <v>10</v>
      </c>
      <c r="C1738" s="2">
        <v>20611.2</v>
      </c>
      <c r="D1738" s="6"/>
      <c r="E1738" s="6"/>
      <c r="F1738" s="2">
        <v>16258.4</v>
      </c>
      <c r="G1738" s="7"/>
      <c r="H1738" s="7"/>
      <c r="I1738" s="2"/>
    </row>
    <row r="1739" spans="1:9" x14ac:dyDescent="0.3">
      <c r="A1739" s="2" t="s">
        <v>99</v>
      </c>
      <c r="B1739" s="2" t="s">
        <v>11</v>
      </c>
      <c r="C1739" s="2">
        <v>20700.2</v>
      </c>
      <c r="D1739" s="6">
        <f>(Table2_1[[#This Row],[Constant Prices]]-C1738)/C1738</f>
        <v>4.3180406769135222E-3</v>
      </c>
      <c r="E1739" s="6"/>
      <c r="F1739" s="2">
        <v>16447.400000000001</v>
      </c>
      <c r="G1739" s="7">
        <f>(Table2_1[[#This Row],[Current Prices]]-F1738)/F1738</f>
        <v>1.1624760123997553E-2</v>
      </c>
      <c r="H1739" s="7"/>
      <c r="I1739" s="2"/>
    </row>
    <row r="1740" spans="1:9" x14ac:dyDescent="0.3">
      <c r="A1740" s="2" t="s">
        <v>99</v>
      </c>
      <c r="B1740" s="2" t="s">
        <v>12</v>
      </c>
      <c r="C1740" s="2">
        <v>20876.3</v>
      </c>
      <c r="D1740" s="6">
        <f>(Table2_1[[#This Row],[Constant Prices]]-C1739)/C1739</f>
        <v>8.5071641819885087E-3</v>
      </c>
      <c r="E1740" s="6"/>
      <c r="F1740" s="2">
        <v>16676.400000000001</v>
      </c>
      <c r="G1740" s="7">
        <f>(Table2_1[[#This Row],[Current Prices]]-F1739)/F1739</f>
        <v>1.3923173267507326E-2</v>
      </c>
      <c r="H1740" s="7"/>
      <c r="I1740" s="2"/>
    </row>
    <row r="1741" spans="1:9" x14ac:dyDescent="0.3">
      <c r="A1741" s="2" t="s">
        <v>99</v>
      </c>
      <c r="B1741" s="2" t="s">
        <v>13</v>
      </c>
      <c r="C1741" s="2">
        <v>20738</v>
      </c>
      <c r="D1741" s="6">
        <f>(Table2_1[[#This Row],[Constant Prices]]-C1740)/C1740</f>
        <v>-6.6247371421180607E-3</v>
      </c>
      <c r="E1741" s="6"/>
      <c r="F1741" s="2">
        <v>16757.5</v>
      </c>
      <c r="G1741" s="7">
        <f>(Table2_1[[#This Row],[Current Prices]]-F1740)/F1740</f>
        <v>4.86315991460978E-3</v>
      </c>
      <c r="H1741" s="7"/>
      <c r="I1741" s="2"/>
    </row>
    <row r="1742" spans="1:9" x14ac:dyDescent="0.3">
      <c r="A1742" s="2" t="s">
        <v>99</v>
      </c>
      <c r="B1742" s="2" t="s">
        <v>14</v>
      </c>
      <c r="C1742" s="2">
        <v>20045.900000000001</v>
      </c>
      <c r="D1742" s="6">
        <f>(Table2_1[[#This Row],[Constant Prices]]-C1741)/C1741</f>
        <v>-3.3373517214774738E-2</v>
      </c>
      <c r="E1742" s="6">
        <f>(Table2_1[[#This Row],[Constant Prices]]-C1738)/C1738</f>
        <v>-2.7426835895047318E-2</v>
      </c>
      <c r="F1742" s="2">
        <v>16546.2</v>
      </c>
      <c r="G1742" s="7">
        <f>(Table2_1[[#This Row],[Current Prices]]-F1741)/F1741</f>
        <v>-1.2609279427122141E-2</v>
      </c>
      <c r="H1742" s="7">
        <f>(Table2_1[[#This Row],[Current Prices]]-F1738)/F1738</f>
        <v>1.7701618855484002E-2</v>
      </c>
      <c r="I1742" s="2"/>
    </row>
    <row r="1743" spans="1:9" x14ac:dyDescent="0.3">
      <c r="A1743" s="2" t="s">
        <v>99</v>
      </c>
      <c r="B1743" s="2" t="s">
        <v>15</v>
      </c>
      <c r="C1743" s="2">
        <v>20284.400000000001</v>
      </c>
      <c r="D1743" s="6">
        <f>(Table2_1[[#This Row],[Constant Prices]]-C1742)/C1742</f>
        <v>1.1897694790455902E-2</v>
      </c>
      <c r="E1743" s="6">
        <f>(Table2_1[[#This Row],[Constant Prices]]-C1739)/C1739</f>
        <v>-2.0086762446739608E-2</v>
      </c>
      <c r="F1743" s="2">
        <v>16892</v>
      </c>
      <c r="G1743" s="7">
        <f>(Table2_1[[#This Row],[Current Prices]]-F1742)/F1742</f>
        <v>2.0899058394072311E-2</v>
      </c>
      <c r="H1743" s="7">
        <f>(Table2_1[[#This Row],[Current Prices]]-F1739)/F1739</f>
        <v>2.7031628099273959E-2</v>
      </c>
      <c r="I1743" s="2"/>
    </row>
    <row r="1744" spans="1:9" x14ac:dyDescent="0.3">
      <c r="A1744" s="2" t="s">
        <v>99</v>
      </c>
      <c r="B1744" s="2" t="s">
        <v>16</v>
      </c>
      <c r="C1744" s="2">
        <v>20353</v>
      </c>
      <c r="D1744" s="6">
        <f>(Table2_1[[#This Row],[Constant Prices]]-C1743)/C1743</f>
        <v>3.3819092504584086E-3</v>
      </c>
      <c r="E1744" s="6">
        <f>(Table2_1[[#This Row],[Constant Prices]]-C1740)/C1740</f>
        <v>-2.5066702432902349E-2</v>
      </c>
      <c r="F1744" s="2">
        <v>16965.8</v>
      </c>
      <c r="G1744" s="7">
        <f>(Table2_1[[#This Row],[Current Prices]]-F1743)/F1743</f>
        <v>4.3689320388349082E-3</v>
      </c>
      <c r="H1744" s="7">
        <f>(Table2_1[[#This Row],[Current Prices]]-F1740)/F1740</f>
        <v>1.7353865342639767E-2</v>
      </c>
      <c r="I1744" s="2"/>
    </row>
    <row r="1745" spans="1:9" x14ac:dyDescent="0.3">
      <c r="A1745" s="2" t="s">
        <v>99</v>
      </c>
      <c r="B1745" s="2" t="s">
        <v>17</v>
      </c>
      <c r="C1745" s="2">
        <v>20518.400000000001</v>
      </c>
      <c r="D1745" s="6">
        <f>(Table2_1[[#This Row],[Constant Prices]]-C1744)/C1744</f>
        <v>8.1265661081905104E-3</v>
      </c>
      <c r="E1745" s="6">
        <f>(Table2_1[[#This Row],[Constant Prices]]-C1741)/C1741</f>
        <v>-1.0589256437457737E-2</v>
      </c>
      <c r="F1745" s="2">
        <v>17343.3</v>
      </c>
      <c r="G1745" s="7">
        <f>(Table2_1[[#This Row],[Current Prices]]-F1744)/F1744</f>
        <v>2.2250645416072336E-2</v>
      </c>
      <c r="H1745" s="7">
        <f>(Table2_1[[#This Row],[Current Prices]]-F1741)/F1741</f>
        <v>3.4957481724600885E-2</v>
      </c>
      <c r="I1745" s="2">
        <v>1</v>
      </c>
    </row>
    <row r="1746" spans="1:9" x14ac:dyDescent="0.3">
      <c r="A1746" s="2" t="s">
        <v>99</v>
      </c>
      <c r="B1746" s="2" t="s">
        <v>18</v>
      </c>
      <c r="C1746" s="2">
        <v>20769</v>
      </c>
      <c r="D1746" s="6">
        <f>(Table2_1[[#This Row],[Constant Prices]]-C1745)/C1745</f>
        <v>1.2213427947598181E-2</v>
      </c>
      <c r="E1746" s="6">
        <f>(Table2_1[[#This Row],[Constant Prices]]-C1742)/C1742</f>
        <v>3.6072214268254278E-2</v>
      </c>
      <c r="F1746" s="2">
        <v>17884</v>
      </c>
      <c r="G1746" s="7">
        <f>(Table2_1[[#This Row],[Current Prices]]-F1745)/F1745</f>
        <v>3.1176304394204143E-2</v>
      </c>
      <c r="H1746" s="7">
        <f>(Table2_1[[#This Row],[Current Prices]]-F1742)/F1742</f>
        <v>8.0852401155552284E-2</v>
      </c>
      <c r="I1746" s="2"/>
    </row>
    <row r="1747" spans="1:9" x14ac:dyDescent="0.3">
      <c r="A1747" s="2" t="s">
        <v>99</v>
      </c>
      <c r="B1747" s="2" t="s">
        <v>19</v>
      </c>
      <c r="C1747" s="2">
        <v>20981.5</v>
      </c>
      <c r="D1747" s="6">
        <f>(Table2_1[[#This Row],[Constant Prices]]-C1746)/C1746</f>
        <v>1.0231595165872213E-2</v>
      </c>
      <c r="E1747" s="6">
        <f>(Table2_1[[#This Row],[Constant Prices]]-C1743)/C1743</f>
        <v>3.4366311056772618E-2</v>
      </c>
      <c r="F1747" s="2">
        <v>18191.900000000001</v>
      </c>
      <c r="G1747" s="7">
        <f>(Table2_1[[#This Row],[Current Prices]]-F1746)/F1746</f>
        <v>1.7216506374412965E-2</v>
      </c>
      <c r="H1747" s="7">
        <f>(Table2_1[[#This Row],[Current Prices]]-F1743)/F1743</f>
        <v>7.6953587497040107E-2</v>
      </c>
      <c r="I1747" s="2"/>
    </row>
    <row r="1748" spans="1:9" x14ac:dyDescent="0.3">
      <c r="A1748" s="2" t="s">
        <v>99</v>
      </c>
      <c r="B1748" s="2" t="s">
        <v>20</v>
      </c>
      <c r="C1748" s="2">
        <v>21308.1</v>
      </c>
      <c r="D1748" s="6">
        <f>(Table2_1[[#This Row],[Constant Prices]]-C1747)/C1747</f>
        <v>1.5566093939899366E-2</v>
      </c>
      <c r="E1748" s="6">
        <f>(Table2_1[[#This Row],[Constant Prices]]-C1744)/C1744</f>
        <v>4.6926742986291875E-2</v>
      </c>
      <c r="F1748" s="2">
        <v>18741.900000000001</v>
      </c>
      <c r="G1748" s="7">
        <f>(Table2_1[[#This Row],[Current Prices]]-F1747)/F1747</f>
        <v>3.0233235670820528E-2</v>
      </c>
      <c r="H1748" s="7">
        <f>(Table2_1[[#This Row],[Current Prices]]-F1744)/F1744</f>
        <v>0.10468707635360562</v>
      </c>
      <c r="I1748" s="2"/>
    </row>
    <row r="1749" spans="1:9" x14ac:dyDescent="0.3">
      <c r="A1749" s="2" t="s">
        <v>99</v>
      </c>
      <c r="B1749" s="2" t="s">
        <v>21</v>
      </c>
      <c r="C1749" s="2">
        <v>21520.6</v>
      </c>
      <c r="D1749" s="6">
        <f>(Table2_1[[#This Row],[Constant Prices]]-C1748)/C1748</f>
        <v>9.9727333736935719E-3</v>
      </c>
      <c r="E1749" s="6">
        <f>(Table2_1[[#This Row],[Constant Prices]]-C1745)/C1745</f>
        <v>4.8843964441671717E-2</v>
      </c>
      <c r="F1749" s="2">
        <v>19077.599999999999</v>
      </c>
      <c r="G1749" s="7">
        <f>(Table2_1[[#This Row],[Current Prices]]-F1748)/F1748</f>
        <v>1.7911737870760013E-2</v>
      </c>
      <c r="H1749" s="7">
        <f>(Table2_1[[#This Row],[Current Prices]]-F1745)/F1745</f>
        <v>9.9998270225389596E-2</v>
      </c>
      <c r="I1749" s="2">
        <v>2</v>
      </c>
    </row>
    <row r="1750" spans="1:9" x14ac:dyDescent="0.3">
      <c r="A1750" s="2" t="s">
        <v>99</v>
      </c>
      <c r="B1750" s="2" t="s">
        <v>22</v>
      </c>
      <c r="C1750" s="2">
        <v>21355.1</v>
      </c>
      <c r="D1750" s="6">
        <f>(Table2_1[[#This Row],[Constant Prices]]-C1749)/C1749</f>
        <v>-7.6903060323596931E-3</v>
      </c>
      <c r="E1750" s="6">
        <f>(Table2_1[[#This Row],[Constant Prices]]-C1746)/C1746</f>
        <v>2.8219943184553831E-2</v>
      </c>
      <c r="F1750" s="2">
        <v>19343</v>
      </c>
      <c r="G1750" s="7">
        <f>(Table2_1[[#This Row],[Current Prices]]-F1749)/F1749</f>
        <v>1.3911603136662971E-2</v>
      </c>
      <c r="H1750" s="7">
        <f>(Table2_1[[#This Row],[Current Prices]]-F1746)/F1746</f>
        <v>8.1581301722209801E-2</v>
      </c>
      <c r="I1750" s="2"/>
    </row>
    <row r="1751" spans="1:9" x14ac:dyDescent="0.3">
      <c r="A1751" s="2" t="s">
        <v>99</v>
      </c>
      <c r="B1751" s="2" t="s">
        <v>23</v>
      </c>
      <c r="C1751" s="2">
        <v>21562.400000000001</v>
      </c>
      <c r="D1751" s="6">
        <f>(Table2_1[[#This Row],[Constant Prices]]-C1750)/C1750</f>
        <v>9.7072830377756564E-3</v>
      </c>
      <c r="E1751" s="6">
        <f>(Table2_1[[#This Row],[Constant Prices]]-C1747)/C1747</f>
        <v>2.7686295069466026E-2</v>
      </c>
      <c r="F1751" s="2">
        <v>19687.7</v>
      </c>
      <c r="G1751" s="7">
        <f>(Table2_1[[#This Row],[Current Prices]]-F1750)/F1750</f>
        <v>1.7820400144755246E-2</v>
      </c>
      <c r="H1751" s="7">
        <f>(Table2_1[[#This Row],[Current Prices]]-F1747)/F1747</f>
        <v>8.222340712075149E-2</v>
      </c>
      <c r="I1751" s="2"/>
    </row>
    <row r="1752" spans="1:9" x14ac:dyDescent="0.3">
      <c r="A1752" s="2" t="s">
        <v>99</v>
      </c>
      <c r="B1752" s="2" t="s">
        <v>24</v>
      </c>
      <c r="C1752" s="2">
        <v>21690.9</v>
      </c>
      <c r="D1752" s="6">
        <f>(Table2_1[[#This Row],[Constant Prices]]-C1751)/C1751</f>
        <v>5.9594479278744479E-3</v>
      </c>
      <c r="E1752" s="6">
        <f>(Table2_1[[#This Row],[Constant Prices]]-C1748)/C1748</f>
        <v>1.7964999225646722E-2</v>
      </c>
      <c r="F1752" s="2">
        <v>19819.7</v>
      </c>
      <c r="G1752" s="7">
        <f>(Table2_1[[#This Row],[Current Prices]]-F1751)/F1751</f>
        <v>6.7046937935868588E-3</v>
      </c>
      <c r="H1752" s="7">
        <f>(Table2_1[[#This Row],[Current Prices]]-F1748)/F1748</f>
        <v>5.7507509910948156E-2</v>
      </c>
      <c r="I1752" s="2"/>
    </row>
    <row r="1753" spans="1:9" x14ac:dyDescent="0.3">
      <c r="A1753" s="2" t="s">
        <v>99</v>
      </c>
      <c r="B1753" s="2" t="s">
        <v>25</v>
      </c>
      <c r="C1753" s="2">
        <v>21893.7</v>
      </c>
      <c r="D1753" s="6">
        <f>(Table2_1[[#This Row],[Constant Prices]]-C1752)/C1752</f>
        <v>9.3495428958687409E-3</v>
      </c>
      <c r="E1753" s="6">
        <f>(Table2_1[[#This Row],[Constant Prices]]-C1749)/C1749</f>
        <v>1.7336877224612798E-2</v>
      </c>
      <c r="F1753" s="2">
        <v>20246.3</v>
      </c>
      <c r="G1753" s="7">
        <f>(Table2_1[[#This Row],[Current Prices]]-F1752)/F1752</f>
        <v>2.1524039213509715E-2</v>
      </c>
      <c r="H1753" s="7">
        <f>(Table2_1[[#This Row],[Current Prices]]-F1749)/F1749</f>
        <v>6.126032624648807E-2</v>
      </c>
      <c r="I1753" s="2">
        <v>3</v>
      </c>
    </row>
    <row r="1754" spans="1:9" x14ac:dyDescent="0.3">
      <c r="A1754" s="2" t="s">
        <v>99</v>
      </c>
      <c r="B1754" s="2" t="s">
        <v>26</v>
      </c>
      <c r="C1754" s="2">
        <v>22058.3</v>
      </c>
      <c r="D1754" s="6">
        <f>(Table2_1[[#This Row],[Constant Prices]]-C1753)/C1753</f>
        <v>7.5181444890538617E-3</v>
      </c>
      <c r="E1754" s="6">
        <f>(Table2_1[[#This Row],[Constant Prices]]-C1750)/C1750</f>
        <v>3.2928902229444057E-2</v>
      </c>
      <c r="F1754" s="2">
        <v>20733.400000000001</v>
      </c>
      <c r="G1754" s="7">
        <f>(Table2_1[[#This Row],[Current Prices]]-F1753)/F1753</f>
        <v>2.4058716901359863E-2</v>
      </c>
      <c r="H1754" s="7">
        <f>(Table2_1[[#This Row],[Current Prices]]-F1750)/F1750</f>
        <v>7.188130072894594E-2</v>
      </c>
      <c r="I1754" s="2"/>
    </row>
    <row r="1755" spans="1:9" x14ac:dyDescent="0.3">
      <c r="A1755" s="2" t="s">
        <v>99</v>
      </c>
      <c r="B1755" s="2" t="s">
        <v>27</v>
      </c>
      <c r="C1755" s="2">
        <v>22181</v>
      </c>
      <c r="D1755" s="6">
        <f>(Table2_1[[#This Row],[Constant Prices]]-C1754)/C1754</f>
        <v>5.5625320174265804E-3</v>
      </c>
      <c r="E1755" s="6">
        <f>(Table2_1[[#This Row],[Constant Prices]]-C1751)/C1751</f>
        <v>2.86888287018142E-2</v>
      </c>
      <c r="F1755" s="2">
        <v>21038.3</v>
      </c>
      <c r="G1755" s="7">
        <f>(Table2_1[[#This Row],[Current Prices]]-F1754)/F1754</f>
        <v>1.4705740496011161E-2</v>
      </c>
      <c r="H1755" s="7">
        <f>(Table2_1[[#This Row],[Current Prices]]-F1751)/F1751</f>
        <v>6.8601207860745458E-2</v>
      </c>
      <c r="I1755" s="2"/>
    </row>
    <row r="1756" spans="1:9" x14ac:dyDescent="0.3">
      <c r="A1756" s="2" t="s">
        <v>99</v>
      </c>
      <c r="B1756" s="2" t="s">
        <v>28</v>
      </c>
      <c r="C1756" s="2">
        <v>22326.3</v>
      </c>
      <c r="D1756" s="6">
        <f>(Table2_1[[#This Row],[Constant Prices]]-C1755)/C1755</f>
        <v>6.5506514584554023E-3</v>
      </c>
      <c r="E1756" s="6">
        <f>(Table2_1[[#This Row],[Constant Prices]]-C1752)/C1752</f>
        <v>2.9293390315754432E-2</v>
      </c>
      <c r="F1756" s="2">
        <v>21609.9</v>
      </c>
      <c r="G1756" s="7">
        <f>(Table2_1[[#This Row],[Current Prices]]-F1755)/F1755</f>
        <v>2.7169495634153055E-2</v>
      </c>
      <c r="H1756" s="7">
        <f>(Table2_1[[#This Row],[Current Prices]]-F1752)/F1752</f>
        <v>9.0324273324016033E-2</v>
      </c>
      <c r="I1756" s="2"/>
    </row>
    <row r="1757" spans="1:9" x14ac:dyDescent="0.3">
      <c r="A1757" s="2" t="s">
        <v>99</v>
      </c>
      <c r="B1757" s="2" t="s">
        <v>29</v>
      </c>
      <c r="C1757" s="2">
        <v>22443.4</v>
      </c>
      <c r="D1757" s="6">
        <f>(Table2_1[[#This Row],[Constant Prices]]-C1756)/C1756</f>
        <v>5.2449353453103377E-3</v>
      </c>
      <c r="E1757" s="6">
        <f>(Table2_1[[#This Row],[Constant Prices]]-C1753)/C1753</f>
        <v>2.5107679378085966E-2</v>
      </c>
      <c r="F1757" s="2">
        <v>21964</v>
      </c>
      <c r="G1757" s="7">
        <f>(Table2_1[[#This Row],[Current Prices]]-F1756)/F1756</f>
        <v>1.638600826473045E-2</v>
      </c>
      <c r="H1757" s="7">
        <f>(Table2_1[[#This Row],[Current Prices]]-F1753)/F1753</f>
        <v>8.4840193022922741E-2</v>
      </c>
      <c r="I1757" s="2">
        <v>4</v>
      </c>
    </row>
    <row r="1758" spans="1:9" x14ac:dyDescent="0.3">
      <c r="A1758" s="2" t="s">
        <v>99</v>
      </c>
      <c r="B1758" s="2" t="s">
        <v>30</v>
      </c>
      <c r="C1758" s="2">
        <v>22403.1</v>
      </c>
      <c r="D1758" s="6">
        <f>(Table2_1[[#This Row],[Constant Prices]]-C1757)/C1757</f>
        <v>-1.7956281133875843E-3</v>
      </c>
      <c r="E1758" s="6">
        <f>(Table2_1[[#This Row],[Constant Prices]]-C1754)/C1754</f>
        <v>1.5631304316289073E-2</v>
      </c>
      <c r="F1758" s="2">
        <v>22241.1</v>
      </c>
      <c r="G1758" s="7">
        <f>(Table2_1[[#This Row],[Current Prices]]-F1757)/F1757</f>
        <v>1.2616099071207363E-2</v>
      </c>
      <c r="H1758" s="7">
        <f>(Table2_1[[#This Row],[Current Prices]]-F1754)/F1754</f>
        <v>7.2718415696412408E-2</v>
      </c>
      <c r="I1758" s="2"/>
    </row>
    <row r="1759" spans="1:9" x14ac:dyDescent="0.3">
      <c r="A1759" s="2" t="s">
        <v>99</v>
      </c>
      <c r="B1759" s="2" t="s">
        <v>31</v>
      </c>
      <c r="C1759" s="2">
        <v>22406.3</v>
      </c>
      <c r="D1759" s="6">
        <f>(Table2_1[[#This Row],[Constant Prices]]-C1758)/C1758</f>
        <v>1.4283737518471675E-4</v>
      </c>
      <c r="E1759" s="6">
        <f>(Table2_1[[#This Row],[Constant Prices]]-C1755)/C1755</f>
        <v>1.0157341869167273E-2</v>
      </c>
      <c r="F1759" s="2">
        <v>22251.8</v>
      </c>
      <c r="G1759" s="7">
        <f>(Table2_1[[#This Row],[Current Prices]]-F1758)/F1758</f>
        <v>4.8109131292969898E-4</v>
      </c>
      <c r="H1759" s="7">
        <f>(Table2_1[[#This Row],[Current Prices]]-F1755)/F1755</f>
        <v>5.7680516011274677E-2</v>
      </c>
      <c r="I1759" s="2"/>
    </row>
    <row r="1760" spans="1:9" x14ac:dyDescent="0.3">
      <c r="A1760" s="2" t="s">
        <v>99</v>
      </c>
      <c r="B1760" s="2" t="s">
        <v>32</v>
      </c>
      <c r="C1760" s="2">
        <v>22422.2</v>
      </c>
      <c r="D1760" s="6">
        <f>(Table2_1[[#This Row],[Constant Prices]]-C1759)/C1759</f>
        <v>7.0962184742690471E-4</v>
      </c>
      <c r="E1760" s="6">
        <f>(Table2_1[[#This Row],[Constant Prices]]-C1756)/C1756</f>
        <v>4.2953825757067431E-3</v>
      </c>
      <c r="F1760" s="2">
        <v>22513</v>
      </c>
      <c r="G1760" s="7">
        <f>(Table2_1[[#This Row],[Current Prices]]-F1759)/F1759</f>
        <v>1.173837622124955E-2</v>
      </c>
      <c r="H1760" s="7">
        <f>(Table2_1[[#This Row],[Current Prices]]-F1756)/F1756</f>
        <v>4.1791030962660562E-2</v>
      </c>
      <c r="I1760" s="2"/>
    </row>
    <row r="1761" spans="1:9" x14ac:dyDescent="0.3">
      <c r="A1761" s="2" t="s">
        <v>99</v>
      </c>
      <c r="B1761" s="2" t="s">
        <v>33</v>
      </c>
      <c r="C1761" s="2">
        <v>22570.5</v>
      </c>
      <c r="D1761" s="6">
        <f>(Table2_1[[#This Row],[Constant Prices]]-C1760)/C1760</f>
        <v>6.6139807868986662E-3</v>
      </c>
      <c r="E1761" s="6">
        <f>(Table2_1[[#This Row],[Constant Prices]]-C1757)/C1757</f>
        <v>5.6631348191449838E-3</v>
      </c>
      <c r="F1761" s="2">
        <v>22796.3</v>
      </c>
      <c r="G1761" s="7">
        <f>(Table2_1[[#This Row],[Current Prices]]-F1760)/F1760</f>
        <v>1.2583840447741274E-2</v>
      </c>
      <c r="H1761" s="7">
        <f>(Table2_1[[#This Row],[Current Prices]]-F1757)/F1757</f>
        <v>3.7893826261154583E-2</v>
      </c>
      <c r="I1761" s="2">
        <v>5</v>
      </c>
    </row>
    <row r="1762" spans="1:9" x14ac:dyDescent="0.3">
      <c r="A1762" s="2" t="s">
        <v>99</v>
      </c>
      <c r="B1762" s="2" t="s">
        <v>34</v>
      </c>
      <c r="C1762" s="2">
        <v>22555.4</v>
      </c>
      <c r="D1762" s="6">
        <f>(Table2_1[[#This Row],[Constant Prices]]-C1761)/C1761</f>
        <v>-6.6901486453550189E-4</v>
      </c>
      <c r="E1762" s="6">
        <f>(Table2_1[[#This Row],[Constant Prices]]-C1758)/C1758</f>
        <v>6.7981663251961968E-3</v>
      </c>
      <c r="F1762" s="2">
        <v>23362.799999999999</v>
      </c>
      <c r="G1762" s="7">
        <f>(Table2_1[[#This Row],[Current Prices]]-F1761)/F1761</f>
        <v>2.4850523988542001E-2</v>
      </c>
      <c r="H1762" s="7">
        <f>(Table2_1[[#This Row],[Current Prices]]-F1758)/F1758</f>
        <v>5.0433656608710936E-2</v>
      </c>
      <c r="I1762" s="2"/>
    </row>
    <row r="1763" spans="1:9" x14ac:dyDescent="0.3">
      <c r="A1763" s="2" t="s">
        <v>99</v>
      </c>
      <c r="B1763" s="2" t="s">
        <v>35</v>
      </c>
      <c r="C1763" s="2">
        <v>22639.1</v>
      </c>
      <c r="D1763" s="6">
        <f>(Table2_1[[#This Row],[Constant Prices]]-C1762)/C1762</f>
        <v>3.7108630305823479E-3</v>
      </c>
      <c r="E1763" s="6">
        <f>(Table2_1[[#This Row],[Constant Prices]]-C1759)/C1759</f>
        <v>1.0389934973645773E-2</v>
      </c>
      <c r="F1763" s="2">
        <v>23645.4</v>
      </c>
      <c r="G1763" s="7">
        <f>(Table2_1[[#This Row],[Current Prices]]-F1762)/F1762</f>
        <v>1.2096152858390356E-2</v>
      </c>
      <c r="H1763" s="7">
        <f>(Table2_1[[#This Row],[Current Prices]]-F1759)/F1759</f>
        <v>6.2628641278458477E-2</v>
      </c>
      <c r="I1763" s="2"/>
    </row>
    <row r="1764" spans="1:9" x14ac:dyDescent="0.3">
      <c r="A1764" s="2" t="s">
        <v>99</v>
      </c>
      <c r="B1764" s="2" t="s">
        <v>36</v>
      </c>
      <c r="C1764" s="2">
        <v>22667.9</v>
      </c>
      <c r="D1764" s="6">
        <f>(Table2_1[[#This Row],[Constant Prices]]-C1763)/C1763</f>
        <v>1.2721353764064346E-3</v>
      </c>
      <c r="E1764" s="6">
        <f>(Table2_1[[#This Row],[Constant Prices]]-C1760)/C1760</f>
        <v>1.0957889948354787E-2</v>
      </c>
      <c r="F1764" s="2">
        <v>24003.200000000001</v>
      </c>
      <c r="G1764" s="7">
        <f>(Table2_1[[#This Row],[Current Prices]]-F1763)/F1763</f>
        <v>1.5131907263146288E-2</v>
      </c>
      <c r="H1764" s="7">
        <f>(Table2_1[[#This Row],[Current Prices]]-F1760)/F1760</f>
        <v>6.6192866343890225E-2</v>
      </c>
      <c r="I1764" s="2"/>
    </row>
    <row r="1765" spans="1:9" x14ac:dyDescent="0.3">
      <c r="A1765" s="2" t="s">
        <v>99</v>
      </c>
      <c r="B1765" s="2" t="s">
        <v>37</v>
      </c>
      <c r="C1765" s="2">
        <v>22943.200000000001</v>
      </c>
      <c r="D1765" s="6">
        <f>(Table2_1[[#This Row],[Constant Prices]]-C1764)/C1764</f>
        <v>1.2144927408361572E-2</v>
      </c>
      <c r="E1765" s="6">
        <f>(Table2_1[[#This Row],[Constant Prices]]-C1761)/C1761</f>
        <v>1.6512704636583182E-2</v>
      </c>
      <c r="F1765" s="2">
        <v>24275.599999999999</v>
      </c>
      <c r="G1765" s="7">
        <f>(Table2_1[[#This Row],[Current Prices]]-F1764)/F1764</f>
        <v>1.1348486868417454E-2</v>
      </c>
      <c r="H1765" s="7">
        <f>(Table2_1[[#This Row],[Current Prices]]-F1761)/F1761</f>
        <v>6.4892109684466306E-2</v>
      </c>
      <c r="I1765" s="2">
        <v>6</v>
      </c>
    </row>
    <row r="1766" spans="1:9" x14ac:dyDescent="0.3">
      <c r="A1766" s="2" t="s">
        <v>99</v>
      </c>
      <c r="B1766" s="2" t="s">
        <v>38</v>
      </c>
      <c r="C1766" s="2">
        <v>23082.7</v>
      </c>
      <c r="D1766" s="6">
        <f>(Table2_1[[#This Row],[Constant Prices]]-C1765)/C1765</f>
        <v>6.0802329230447366E-3</v>
      </c>
      <c r="E1766" s="6">
        <f>(Table2_1[[#This Row],[Constant Prices]]-C1762)/C1762</f>
        <v>2.3377993739858272E-2</v>
      </c>
      <c r="F1766" s="2">
        <v>24845.3</v>
      </c>
      <c r="G1766" s="7">
        <f>(Table2_1[[#This Row],[Current Prices]]-F1765)/F1765</f>
        <v>2.3468009029642967E-2</v>
      </c>
      <c r="H1766" s="7">
        <f>(Table2_1[[#This Row],[Current Prices]]-F1762)/F1762</f>
        <v>6.345557895457736E-2</v>
      </c>
      <c r="I1766" s="2"/>
    </row>
    <row r="1767" spans="1:9" x14ac:dyDescent="0.3">
      <c r="A1767" s="2" t="s">
        <v>99</v>
      </c>
      <c r="B1767" s="2" t="s">
        <v>39</v>
      </c>
      <c r="C1767" s="2">
        <v>23067.200000000001</v>
      </c>
      <c r="D1767" s="6">
        <f>(Table2_1[[#This Row],[Constant Prices]]-C1766)/C1766</f>
        <v>-6.714985681917626E-4</v>
      </c>
      <c r="E1767" s="6">
        <f>(Table2_1[[#This Row],[Constant Prices]]-C1763)/C1763</f>
        <v>1.8909762313873001E-2</v>
      </c>
      <c r="F1767" s="2">
        <v>25182.799999999999</v>
      </c>
      <c r="G1767" s="7">
        <f>(Table2_1[[#This Row],[Current Prices]]-F1766)/F1766</f>
        <v>1.3584058151843608E-2</v>
      </c>
      <c r="H1767" s="7">
        <f>(Table2_1[[#This Row],[Current Prices]]-F1763)/F1763</f>
        <v>6.5018988894245719E-2</v>
      </c>
      <c r="I1767" s="2"/>
    </row>
    <row r="1768" spans="1:9" x14ac:dyDescent="0.3">
      <c r="A1768" s="2" t="s">
        <v>99</v>
      </c>
      <c r="B1768" s="2" t="s">
        <v>40</v>
      </c>
      <c r="C1768" s="2">
        <v>23206.7</v>
      </c>
      <c r="D1768" s="6">
        <f>(Table2_1[[#This Row],[Constant Prices]]-C1767)/C1767</f>
        <v>6.0475480335714779E-3</v>
      </c>
      <c r="E1768" s="6">
        <f>(Table2_1[[#This Row],[Constant Prices]]-C1764)/C1764</f>
        <v>2.3769294906012435E-2</v>
      </c>
      <c r="F1768" s="2">
        <v>25716.6</v>
      </c>
      <c r="G1768" s="7">
        <f>(Table2_1[[#This Row],[Current Prices]]-F1767)/F1767</f>
        <v>2.1197007481296729E-2</v>
      </c>
      <c r="H1768" s="7">
        <f>(Table2_1[[#This Row],[Current Prices]]-F1764)/F1764</f>
        <v>7.1382149046793672E-2</v>
      </c>
      <c r="I1768" s="2"/>
    </row>
    <row r="1769" spans="1:9" x14ac:dyDescent="0.3">
      <c r="A1769" s="2" t="s">
        <v>99</v>
      </c>
      <c r="B1769" s="2" t="s">
        <v>41</v>
      </c>
      <c r="C1769" s="2">
        <v>23494.400000000001</v>
      </c>
      <c r="D1769" s="6">
        <f>(Table2_1[[#This Row],[Constant Prices]]-C1768)/C1768</f>
        <v>1.239728181947458E-2</v>
      </c>
      <c r="E1769" s="6">
        <f>(Table2_1[[#This Row],[Constant Prices]]-C1765)/C1765</f>
        <v>2.4024547578367479E-2</v>
      </c>
      <c r="F1769" s="2">
        <v>26266.799999999999</v>
      </c>
      <c r="G1769" s="7">
        <f>(Table2_1[[#This Row],[Current Prices]]-F1768)/F1768</f>
        <v>2.1394741139964098E-2</v>
      </c>
      <c r="H1769" s="7">
        <f>(Table2_1[[#This Row],[Current Prices]]-F1765)/F1765</f>
        <v>8.202474913081452E-2</v>
      </c>
      <c r="I1769" s="2">
        <v>7</v>
      </c>
    </row>
    <row r="1770" spans="1:9" x14ac:dyDescent="0.3">
      <c r="A1770" s="2" t="s">
        <v>99</v>
      </c>
      <c r="B1770" s="2" t="s">
        <v>42</v>
      </c>
      <c r="C1770" s="2">
        <v>23668</v>
      </c>
      <c r="D1770" s="6">
        <f>(Table2_1[[#This Row],[Constant Prices]]-C1769)/C1769</f>
        <v>7.3889948242984935E-3</v>
      </c>
      <c r="E1770" s="6">
        <f>(Table2_1[[#This Row],[Constant Prices]]-C1766)/C1766</f>
        <v>2.5356652384686335E-2</v>
      </c>
      <c r="F1770" s="2">
        <v>27464</v>
      </c>
      <c r="G1770" s="7">
        <f>(Table2_1[[#This Row],[Current Prices]]-F1769)/F1769</f>
        <v>4.5578448840361246E-2</v>
      </c>
      <c r="H1770" s="7">
        <f>(Table2_1[[#This Row],[Current Prices]]-F1766)/F1766</f>
        <v>0.10540021653994924</v>
      </c>
      <c r="I1770" s="2"/>
    </row>
    <row r="1771" spans="1:9" x14ac:dyDescent="0.3">
      <c r="A1771" s="2" t="s">
        <v>99</v>
      </c>
      <c r="B1771" s="2" t="s">
        <v>43</v>
      </c>
      <c r="C1771" s="2">
        <v>23763.8</v>
      </c>
      <c r="D1771" s="6">
        <f>(Table2_1[[#This Row],[Constant Prices]]-C1770)/C1770</f>
        <v>4.0476592868007128E-3</v>
      </c>
      <c r="E1771" s="6">
        <f>(Table2_1[[#This Row],[Constant Prices]]-C1767)/C1767</f>
        <v>3.0198723728931058E-2</v>
      </c>
      <c r="F1771" s="2">
        <v>27910.400000000001</v>
      </c>
      <c r="G1771" s="7">
        <f>(Table2_1[[#This Row],[Current Prices]]-F1770)/F1770</f>
        <v>1.6254005243227551E-2</v>
      </c>
      <c r="H1771" s="7">
        <f>(Table2_1[[#This Row],[Current Prices]]-F1767)/F1767</f>
        <v>0.10831202249154194</v>
      </c>
      <c r="I1771" s="2"/>
    </row>
    <row r="1772" spans="1:9" x14ac:dyDescent="0.3">
      <c r="A1772" s="2" t="s">
        <v>99</v>
      </c>
      <c r="B1772" s="2" t="s">
        <v>44</v>
      </c>
      <c r="C1772" s="2">
        <v>23861.599999999999</v>
      </c>
      <c r="D1772" s="6">
        <f>(Table2_1[[#This Row],[Constant Prices]]-C1771)/C1771</f>
        <v>4.115503412753822E-3</v>
      </c>
      <c r="E1772" s="6">
        <f>(Table2_1[[#This Row],[Constant Prices]]-C1768)/C1768</f>
        <v>2.8220298448292856E-2</v>
      </c>
      <c r="F1772" s="2">
        <v>28585.3</v>
      </c>
      <c r="G1772" s="7">
        <f>(Table2_1[[#This Row],[Current Prices]]-F1771)/F1771</f>
        <v>2.4180950470075593E-2</v>
      </c>
      <c r="H1772" s="7">
        <f>(Table2_1[[#This Row],[Current Prices]]-F1768)/F1768</f>
        <v>0.11155051600911477</v>
      </c>
      <c r="I1772" s="2"/>
    </row>
    <row r="1773" spans="1:9" x14ac:dyDescent="0.3">
      <c r="A1773" s="2" t="s">
        <v>99</v>
      </c>
      <c r="B1773" s="2" t="s">
        <v>45</v>
      </c>
      <c r="C1773" s="2">
        <v>23978.2</v>
      </c>
      <c r="D1773" s="6">
        <f>(Table2_1[[#This Row],[Constant Prices]]-C1772)/C1772</f>
        <v>4.886512220471477E-3</v>
      </c>
      <c r="E1773" s="6">
        <f>(Table2_1[[#This Row],[Constant Prices]]-C1769)/C1769</f>
        <v>2.0592141105965644E-2</v>
      </c>
      <c r="F1773" s="2">
        <v>29025.8</v>
      </c>
      <c r="G1773" s="7">
        <f>(Table2_1[[#This Row],[Current Prices]]-F1772)/F1772</f>
        <v>1.5410018436049298E-2</v>
      </c>
      <c r="H1773" s="7">
        <f>(Table2_1[[#This Row],[Current Prices]]-F1769)/F1769</f>
        <v>0.10503753788051838</v>
      </c>
      <c r="I1773" s="2">
        <v>8</v>
      </c>
    </row>
    <row r="1774" spans="1:9" x14ac:dyDescent="0.3">
      <c r="A1774" s="2" t="s">
        <v>99</v>
      </c>
      <c r="B1774" s="2" t="s">
        <v>46</v>
      </c>
      <c r="C1774" s="2">
        <v>24108.3</v>
      </c>
      <c r="D1774" s="6">
        <f>(Table2_1[[#This Row],[Constant Prices]]-C1773)/C1773</f>
        <v>5.4257617335746024E-3</v>
      </c>
      <c r="E1774" s="6">
        <f>(Table2_1[[#This Row],[Constant Prices]]-C1770)/C1770</f>
        <v>1.8603177285786685E-2</v>
      </c>
      <c r="F1774" s="2">
        <v>29723.200000000001</v>
      </c>
      <c r="G1774" s="7">
        <f>(Table2_1[[#This Row],[Current Prices]]-F1773)/F1773</f>
        <v>2.4026900206023657E-2</v>
      </c>
      <c r="H1774" s="7">
        <f>(Table2_1[[#This Row],[Current Prices]]-F1770)/F1770</f>
        <v>8.2260413632391519E-2</v>
      </c>
      <c r="I1774" s="2"/>
    </row>
    <row r="1775" spans="1:9" x14ac:dyDescent="0.3">
      <c r="A1775" s="2" t="s">
        <v>99</v>
      </c>
      <c r="B1775" s="2" t="s">
        <v>47</v>
      </c>
      <c r="C1775" s="2">
        <v>24199.1</v>
      </c>
      <c r="D1775" s="6">
        <f>(Table2_1[[#This Row],[Constant Prices]]-C1774)/C1774</f>
        <v>3.7663377343072416E-3</v>
      </c>
      <c r="E1775" s="6">
        <f>(Table2_1[[#This Row],[Constant Prices]]-C1771)/C1771</f>
        <v>1.8317777459833835E-2</v>
      </c>
      <c r="F1775" s="2">
        <v>30520.6</v>
      </c>
      <c r="G1775" s="7">
        <f>(Table2_1[[#This Row],[Current Prices]]-F1774)/F1774</f>
        <v>2.6827528664477504E-2</v>
      </c>
      <c r="H1775" s="7">
        <f>(Table2_1[[#This Row],[Current Prices]]-F1771)/F1771</f>
        <v>9.3520694794771736E-2</v>
      </c>
      <c r="I1775" s="2"/>
    </row>
    <row r="1776" spans="1:9" x14ac:dyDescent="0.3">
      <c r="A1776" s="2" t="s">
        <v>99</v>
      </c>
      <c r="B1776" s="2" t="s">
        <v>48</v>
      </c>
      <c r="C1776" s="2">
        <v>24225.4</v>
      </c>
      <c r="D1776" s="6">
        <f>(Table2_1[[#This Row],[Constant Prices]]-C1775)/C1775</f>
        <v>1.0868172783286532E-3</v>
      </c>
      <c r="E1776" s="6">
        <f>(Table2_1[[#This Row],[Constant Prices]]-C1772)/C1772</f>
        <v>1.5246253394575507E-2</v>
      </c>
      <c r="F1776" s="2">
        <v>31211.3</v>
      </c>
      <c r="G1776" s="7">
        <f>(Table2_1[[#This Row],[Current Prices]]-F1775)/F1775</f>
        <v>2.2630616698230074E-2</v>
      </c>
      <c r="H1776" s="7">
        <f>(Table2_1[[#This Row],[Current Prices]]-F1772)/F1772</f>
        <v>9.1865399348616247E-2</v>
      </c>
      <c r="I1776" s="2"/>
    </row>
    <row r="1777" spans="1:9" x14ac:dyDescent="0.3">
      <c r="A1777" s="2" t="s">
        <v>99</v>
      </c>
      <c r="B1777" s="2" t="s">
        <v>49</v>
      </c>
      <c r="C1777" s="2">
        <v>24215.8</v>
      </c>
      <c r="D1777" s="6">
        <f>(Table2_1[[#This Row],[Constant Prices]]-C1776)/C1776</f>
        <v>-3.9627828642673321E-4</v>
      </c>
      <c r="E1777" s="6">
        <f>(Table2_1[[#This Row],[Constant Prices]]-C1773)/C1773</f>
        <v>9.9090006756136217E-3</v>
      </c>
      <c r="F1777" s="2">
        <v>31514.2</v>
      </c>
      <c r="G1777" s="7">
        <f>(Table2_1[[#This Row],[Current Prices]]-F1776)/F1776</f>
        <v>9.7048184471650156E-3</v>
      </c>
      <c r="H1777" s="7">
        <f>(Table2_1[[#This Row],[Current Prices]]-F1773)/F1773</f>
        <v>8.5730625856996243E-2</v>
      </c>
      <c r="I1777" s="2">
        <v>9</v>
      </c>
    </row>
    <row r="1778" spans="1:9" x14ac:dyDescent="0.3">
      <c r="A1778" s="2" t="s">
        <v>99</v>
      </c>
      <c r="B1778" s="2" t="s">
        <v>50</v>
      </c>
      <c r="C1778" s="2">
        <v>23181</v>
      </c>
      <c r="D1778" s="6">
        <f>(Table2_1[[#This Row],[Constant Prices]]-C1777)/C1777</f>
        <v>-4.2732430892227363E-2</v>
      </c>
      <c r="E1778" s="6">
        <f>(Table2_1[[#This Row],[Constant Prices]]-C1774)/C1774</f>
        <v>-3.8463931509065311E-2</v>
      </c>
      <c r="F1778" s="2">
        <v>30840.3</v>
      </c>
      <c r="G1778" s="7">
        <f>(Table2_1[[#This Row],[Current Prices]]-F1777)/F1777</f>
        <v>-2.1384011017255761E-2</v>
      </c>
      <c r="H1778" s="7">
        <f>(Table2_1[[#This Row],[Current Prices]]-F1774)/F1774</f>
        <v>3.7583436507509234E-2</v>
      </c>
      <c r="I1778" s="2"/>
    </row>
    <row r="1779" spans="1:9" x14ac:dyDescent="0.3">
      <c r="A1779" s="2" t="s">
        <v>99</v>
      </c>
      <c r="B1779" s="2" t="s">
        <v>51</v>
      </c>
      <c r="C1779" s="2">
        <v>19723.900000000001</v>
      </c>
      <c r="D1779" s="6">
        <f>(Table2_1[[#This Row],[Constant Prices]]-C1778)/C1778</f>
        <v>-0.14913506751218664</v>
      </c>
      <c r="E1779" s="6">
        <f>(Table2_1[[#This Row],[Constant Prices]]-C1775)/C1775</f>
        <v>-0.18493249748957594</v>
      </c>
      <c r="F1779" s="2">
        <v>26388</v>
      </c>
      <c r="G1779" s="7">
        <f>(Table2_1[[#This Row],[Current Prices]]-F1778)/F1778</f>
        <v>-0.14436629993871652</v>
      </c>
      <c r="H1779" s="7">
        <f>(Table2_1[[#This Row],[Current Prices]]-F1775)/F1775</f>
        <v>-0.13540362902433106</v>
      </c>
      <c r="I1779" s="2"/>
    </row>
    <row r="1780" spans="1:9" x14ac:dyDescent="0.3">
      <c r="A1780" s="2" t="s">
        <v>99</v>
      </c>
      <c r="B1780" s="2" t="s">
        <v>52</v>
      </c>
      <c r="C1780" s="2">
        <v>22496.2</v>
      </c>
      <c r="D1780" s="6">
        <f>(Table2_1[[#This Row],[Constant Prices]]-C1779)/C1779</f>
        <v>0.14055536683921532</v>
      </c>
      <c r="E1780" s="6">
        <f>(Table2_1[[#This Row],[Constant Prices]]-C1776)/C1776</f>
        <v>-7.1379626342599117E-2</v>
      </c>
      <c r="F1780" s="2">
        <v>30920.2</v>
      </c>
      <c r="G1780" s="7">
        <f>(Table2_1[[#This Row],[Current Prices]]-F1779)/F1779</f>
        <v>0.17175231165681373</v>
      </c>
      <c r="H1780" s="7">
        <f>(Table2_1[[#This Row],[Current Prices]]-F1776)/F1776</f>
        <v>-9.3267502475064649E-3</v>
      </c>
      <c r="I1780" s="2"/>
    </row>
    <row r="1781" spans="1:9" x14ac:dyDescent="0.3">
      <c r="A1781" s="2" t="s">
        <v>99</v>
      </c>
      <c r="B1781" s="2" t="s">
        <v>53</v>
      </c>
      <c r="C1781" s="2">
        <v>22664</v>
      </c>
      <c r="D1781" s="6">
        <f>(Table2_1[[#This Row],[Constant Prices]]-C1780)/C1780</f>
        <v>7.4590375263377485E-3</v>
      </c>
      <c r="E1781" s="6">
        <f>(Table2_1[[#This Row],[Constant Prices]]-C1777)/C1777</f>
        <v>-6.4082128197292643E-2</v>
      </c>
      <c r="F1781" s="2">
        <v>31353.7</v>
      </c>
      <c r="G1781" s="7">
        <f>(Table2_1[[#This Row],[Current Prices]]-F1780)/F1780</f>
        <v>1.4019961061053939E-2</v>
      </c>
      <c r="H1781" s="7">
        <f>(Table2_1[[#This Row],[Current Prices]]-F1777)/F1777</f>
        <v>-5.0929422292173053E-3</v>
      </c>
      <c r="I1781" s="2">
        <v>10</v>
      </c>
    </row>
    <row r="1782" spans="1:9" x14ac:dyDescent="0.3">
      <c r="A1782" s="2" t="s">
        <v>99</v>
      </c>
      <c r="B1782" s="2" t="s">
        <v>54</v>
      </c>
      <c r="C1782" s="2">
        <v>22922.1</v>
      </c>
      <c r="D1782" s="6">
        <f>(Table2_1[[#This Row],[Constant Prices]]-C1781)/C1781</f>
        <v>1.1388104482880275E-2</v>
      </c>
      <c r="E1782" s="6">
        <f>(Table2_1[[#This Row],[Constant Prices]]-C1778)/C1778</f>
        <v>-1.116862948104057E-2</v>
      </c>
      <c r="F1782" s="2">
        <v>31832</v>
      </c>
      <c r="G1782" s="7">
        <f>(Table2_1[[#This Row],[Current Prices]]-F1781)/F1781</f>
        <v>1.5254977881398344E-2</v>
      </c>
      <c r="H1782" s="7">
        <f>(Table2_1[[#This Row],[Current Prices]]-F1778)/F1778</f>
        <v>3.2155977730437151E-2</v>
      </c>
      <c r="I1782" s="2"/>
    </row>
    <row r="1783" spans="1:9" x14ac:dyDescent="0.3">
      <c r="A1783" s="2" t="s">
        <v>99</v>
      </c>
      <c r="B1783" s="2" t="s">
        <v>55</v>
      </c>
      <c r="C1783" s="2">
        <v>22894.2</v>
      </c>
      <c r="D1783" s="6">
        <f>(Table2_1[[#This Row],[Constant Prices]]-C1782)/C1782</f>
        <v>-1.2171659664689455E-3</v>
      </c>
      <c r="E1783" s="6">
        <f>(Table2_1[[#This Row],[Constant Prices]]-C1779)/C1779</f>
        <v>0.16073393193029772</v>
      </c>
      <c r="F1783" s="2">
        <v>32504.7</v>
      </c>
      <c r="G1783" s="7">
        <f>(Table2_1[[#This Row],[Current Prices]]-F1782)/F1782</f>
        <v>2.113282231716514E-2</v>
      </c>
      <c r="H1783" s="7">
        <f>(Table2_1[[#This Row],[Current Prices]]-F1779)/F1779</f>
        <v>0.23179854479308779</v>
      </c>
      <c r="I1783" s="2"/>
    </row>
    <row r="1784" spans="1:9" x14ac:dyDescent="0.3">
      <c r="A1784" s="2" t="s">
        <v>99</v>
      </c>
      <c r="B1784" s="2" t="s">
        <v>56</v>
      </c>
      <c r="C1784" s="2">
        <v>22982.9</v>
      </c>
      <c r="D1784" s="6">
        <f>(Table2_1[[#This Row],[Constant Prices]]-C1783)/C1783</f>
        <v>3.8743437202435867E-3</v>
      </c>
      <c r="E1784" s="6">
        <f>(Table2_1[[#This Row],[Constant Prices]]-C1780)/C1780</f>
        <v>2.1634764982530415E-2</v>
      </c>
      <c r="F1784" s="2">
        <v>33058.6</v>
      </c>
      <c r="G1784" s="7">
        <f>(Table2_1[[#This Row],[Current Prices]]-F1783)/F1783</f>
        <v>1.7040612588333313E-2</v>
      </c>
      <c r="H1784" s="7">
        <f>(Table2_1[[#This Row],[Current Prices]]-F1780)/F1780</f>
        <v>6.9158672971067384E-2</v>
      </c>
      <c r="I1784" s="2"/>
    </row>
    <row r="1785" spans="1:9" x14ac:dyDescent="0.3">
      <c r="A1785" s="2" t="s">
        <v>99</v>
      </c>
      <c r="B1785" s="2" t="s">
        <v>57</v>
      </c>
      <c r="C1785" s="2">
        <v>23436.9</v>
      </c>
      <c r="D1785" s="6">
        <f>(Table2_1[[#This Row],[Constant Prices]]-C1784)/C1784</f>
        <v>1.9753816968267709E-2</v>
      </c>
      <c r="E1785" s="6">
        <f>(Table2_1[[#This Row],[Constant Prices]]-C1781)/C1781</f>
        <v>3.4102541475467769E-2</v>
      </c>
      <c r="F1785" s="2">
        <v>33420.1</v>
      </c>
      <c r="G1785" s="7">
        <f>(Table2_1[[#This Row],[Current Prices]]-F1784)/F1784</f>
        <v>1.0935127319366217E-2</v>
      </c>
      <c r="H1785" s="7">
        <f>(Table2_1[[#This Row],[Current Prices]]-F1781)/F1781</f>
        <v>6.5906097207028128E-2</v>
      </c>
      <c r="I1785" s="2">
        <v>11</v>
      </c>
    </row>
    <row r="1786" spans="1:9" x14ac:dyDescent="0.3">
      <c r="A1786" s="2" t="s">
        <v>99</v>
      </c>
      <c r="B1786" s="2" t="s">
        <v>58</v>
      </c>
      <c r="C1786" s="2">
        <v>23568.6</v>
      </c>
      <c r="D1786" s="6">
        <f>(Table2_1[[#This Row],[Constant Prices]]-C1785)/C1785</f>
        <v>5.6193438552025691E-3</v>
      </c>
      <c r="E1786" s="6">
        <f>(Table2_1[[#This Row],[Constant Prices]]-C1782)/C1782</f>
        <v>2.8204222126244981E-2</v>
      </c>
      <c r="F1786" s="2">
        <v>33761.599999999999</v>
      </c>
      <c r="G1786" s="7">
        <f>(Table2_1[[#This Row],[Current Prices]]-F1785)/F1785</f>
        <v>1.0218401500893176E-2</v>
      </c>
      <c r="H1786" s="7">
        <f>(Table2_1[[#This Row],[Current Prices]]-F1782)/F1782</f>
        <v>6.0618245790399553E-2</v>
      </c>
      <c r="I1786" s="2"/>
    </row>
    <row r="1787" spans="1:9" x14ac:dyDescent="0.3">
      <c r="A1787" s="2" t="s">
        <v>99</v>
      </c>
      <c r="B1787" s="2" t="s">
        <v>59</v>
      </c>
      <c r="C1787" s="2">
        <v>23593.200000000001</v>
      </c>
      <c r="D1787" s="6">
        <f>(Table2_1[[#This Row],[Constant Prices]]-C1786)/C1786</f>
        <v>1.0437616150302598E-3</v>
      </c>
      <c r="E1787" s="6">
        <f>(Table2_1[[#This Row],[Constant Prices]]-C1783)/C1783</f>
        <v>3.0531750399664544E-2</v>
      </c>
      <c r="F1787" s="2">
        <v>34171.1</v>
      </c>
      <c r="G1787" s="7">
        <f>(Table2_1[[#This Row],[Current Prices]]-F1786)/F1786</f>
        <v>1.2129164494573717E-2</v>
      </c>
      <c r="H1787" s="7">
        <f>(Table2_1[[#This Row],[Current Prices]]-F1783)/F1783</f>
        <v>5.1266432239029977E-2</v>
      </c>
      <c r="I1787" s="2"/>
    </row>
    <row r="1788" spans="1:9" x14ac:dyDescent="0.3">
      <c r="A1788" s="2" t="s">
        <v>99</v>
      </c>
      <c r="B1788" s="2" t="s">
        <v>60</v>
      </c>
      <c r="C1788" s="2">
        <v>23770.9</v>
      </c>
      <c r="D1788" s="6">
        <f>(Table2_1[[#This Row],[Constant Prices]]-C1787)/C1787</f>
        <v>7.5318312056016443E-3</v>
      </c>
      <c r="E1788" s="6">
        <f>(Table2_1[[#This Row],[Constant Prices]]-C1784)/C1784</f>
        <v>3.4286360729063783E-2</v>
      </c>
      <c r="F1788" s="2">
        <v>34968.5</v>
      </c>
      <c r="G1788" s="7">
        <f>(Table2_1[[#This Row],[Current Prices]]-F1787)/F1787</f>
        <v>2.3335508660827467E-2</v>
      </c>
      <c r="H1788" s="7">
        <f>(Table2_1[[#This Row],[Current Prices]]-F1784)/F1784</f>
        <v>5.777316643778023E-2</v>
      </c>
      <c r="I1788" s="2"/>
    </row>
    <row r="1789" spans="1:9" x14ac:dyDescent="0.3">
      <c r="A1789" s="2" t="s">
        <v>99</v>
      </c>
      <c r="B1789" s="2" t="s">
        <v>61</v>
      </c>
      <c r="C1789" s="2">
        <v>23842.1</v>
      </c>
      <c r="D1789" s="6">
        <f>(Table2_1[[#This Row],[Constant Prices]]-C1788)/C1788</f>
        <v>2.9952589090020609E-3</v>
      </c>
      <c r="E1789" s="6">
        <f>(Table2_1[[#This Row],[Constant Prices]]-C1785)/C1785</f>
        <v>1.7288975931117046E-2</v>
      </c>
      <c r="F1789" s="2">
        <v>35514.5</v>
      </c>
      <c r="G1789" s="7">
        <f>(Table2_1[[#This Row],[Current Prices]]-F1788)/F1788</f>
        <v>1.5614052647382644E-2</v>
      </c>
      <c r="H1789" s="7">
        <f>(Table2_1[[#This Row],[Current Prices]]-F1785)/F1785</f>
        <v>6.2668872923779442E-2</v>
      </c>
      <c r="I1789" s="2">
        <v>12</v>
      </c>
    </row>
    <row r="1790" spans="1:9" x14ac:dyDescent="0.3">
      <c r="A1790" s="2" t="s">
        <v>99</v>
      </c>
      <c r="B1790" s="2" t="s">
        <v>62</v>
      </c>
      <c r="C1790" s="2">
        <v>23804</v>
      </c>
      <c r="D1790" s="6">
        <f>(Table2_1[[#This Row],[Constant Prices]]-C1789)/C1789</f>
        <v>-1.5980135977954352E-3</v>
      </c>
      <c r="E1790" s="6">
        <f>(Table2_1[[#This Row],[Constant Prices]]-C1786)/C1786</f>
        <v>9.9878652104919887E-3</v>
      </c>
      <c r="F1790" s="2">
        <v>36913</v>
      </c>
      <c r="G1790" s="7">
        <f>(Table2_1[[#This Row],[Current Prices]]-F1789)/F1789</f>
        <v>3.9378282110124035E-2</v>
      </c>
      <c r="H1790" s="7">
        <f>(Table2_1[[#This Row],[Current Prices]]-F1786)/F1786</f>
        <v>9.3342732571916068E-2</v>
      </c>
      <c r="I1790" s="2"/>
    </row>
    <row r="1791" spans="1:9" x14ac:dyDescent="0.3">
      <c r="A1791" s="2" t="s">
        <v>99</v>
      </c>
      <c r="B1791" s="2" t="s">
        <v>63</v>
      </c>
      <c r="C1791" s="2">
        <v>23680.2</v>
      </c>
      <c r="D1791" s="6">
        <f>(Table2_1[[#This Row],[Constant Prices]]-C1790)/C1790</f>
        <v>-5.2008065871281834E-3</v>
      </c>
      <c r="E1791" s="6">
        <f>(Table2_1[[#This Row],[Constant Prices]]-C1787)/C1787</f>
        <v>3.6875031788820506E-3</v>
      </c>
      <c r="F1791" s="2">
        <v>37149.800000000003</v>
      </c>
      <c r="G1791" s="7">
        <f>(Table2_1[[#This Row],[Current Prices]]-F1790)/F1790</f>
        <v>6.4150841167069303E-3</v>
      </c>
      <c r="H1791" s="7">
        <f>(Table2_1[[#This Row],[Current Prices]]-F1787)/F1787</f>
        <v>8.7170152555814839E-2</v>
      </c>
      <c r="I1791" s="2"/>
    </row>
    <row r="1792" spans="1:9" x14ac:dyDescent="0.3">
      <c r="A1792" s="2" t="s">
        <v>99</v>
      </c>
      <c r="B1792" s="2" t="s">
        <v>64</v>
      </c>
      <c r="C1792" s="2">
        <v>23696.3</v>
      </c>
      <c r="D1792" s="6">
        <f>(Table2_1[[#This Row],[Constant Prices]]-C1791)/C1791</f>
        <v>6.7989290630985147E-4</v>
      </c>
      <c r="E1792" s="6">
        <f>(Table2_1[[#This Row],[Constant Prices]]-C1788)/C1788</f>
        <v>-3.1382909355557502E-3</v>
      </c>
      <c r="F1792" s="2">
        <v>37551.300000000003</v>
      </c>
      <c r="G1792" s="7">
        <f>(Table2_1[[#This Row],[Current Prices]]-F1791)/F1791</f>
        <v>1.080759519566727E-2</v>
      </c>
      <c r="H1792" s="7">
        <f>(Table2_1[[#This Row],[Current Prices]]-F1788)/F1788</f>
        <v>7.3860760398644573E-2</v>
      </c>
      <c r="I1792" s="2"/>
    </row>
    <row r="1793" spans="1:9" x14ac:dyDescent="0.3">
      <c r="A1793" s="2" t="s">
        <v>99</v>
      </c>
      <c r="B1793" s="2" t="s">
        <v>65</v>
      </c>
      <c r="C1793" s="2">
        <v>23768.400000000001</v>
      </c>
      <c r="D1793" s="6">
        <f>(Table2_1[[#This Row],[Constant Prices]]-C1792)/C1792</f>
        <v>3.0426691086795064E-3</v>
      </c>
      <c r="E1793" s="6">
        <f>(Table2_1[[#This Row],[Constant Prices]]-C1789)/C1789</f>
        <v>-3.0911706603024523E-3</v>
      </c>
      <c r="F1793" s="2">
        <v>38091.599999999999</v>
      </c>
      <c r="G1793" s="7">
        <f>(Table2_1[[#This Row],[Current Prices]]-F1792)/F1792</f>
        <v>1.438831678264123E-2</v>
      </c>
      <c r="H1793" s="7">
        <f>(Table2_1[[#This Row],[Current Prices]]-F1789)/F1789</f>
        <v>7.2564727083303956E-2</v>
      </c>
      <c r="I1793" s="2">
        <v>13</v>
      </c>
    </row>
    <row r="1794" spans="1:9" x14ac:dyDescent="0.3">
      <c r="A1794" s="2" t="s">
        <v>99</v>
      </c>
      <c r="B1794" s="2" t="s">
        <v>66</v>
      </c>
      <c r="C1794" s="2">
        <v>23926.6</v>
      </c>
      <c r="D1794" s="6">
        <f>(Table2_1[[#This Row],[Constant Prices]]-C1793)/C1793</f>
        <v>6.6558960636810671E-3</v>
      </c>
      <c r="E1794" s="6">
        <f>(Table2_1[[#This Row],[Constant Prices]]-C1790)/C1790</f>
        <v>5.1503948916147933E-3</v>
      </c>
      <c r="F1794" s="2">
        <v>39098</v>
      </c>
      <c r="G1794" s="7">
        <f>(Table2_1[[#This Row],[Current Prices]]-F1793)/F1793</f>
        <v>2.6420523159961816E-2</v>
      </c>
      <c r="H1794" s="7">
        <f>(Table2_1[[#This Row],[Current Prices]]-F1790)/F1790</f>
        <v>5.9193238154579685E-2</v>
      </c>
      <c r="I1794" s="2"/>
    </row>
    <row r="1795" spans="1:9" x14ac:dyDescent="0.3">
      <c r="A1795" s="2" t="s">
        <v>99</v>
      </c>
      <c r="B1795" s="2" t="s">
        <v>67</v>
      </c>
      <c r="C1795" s="2">
        <v>24008.799999999999</v>
      </c>
      <c r="D1795" s="6">
        <f>(Table2_1[[#This Row],[Constant Prices]]-C1794)/C1794</f>
        <v>3.435506925346716E-3</v>
      </c>
      <c r="E1795" s="6">
        <f>(Table2_1[[#This Row],[Constant Prices]]-C1791)/C1791</f>
        <v>1.3876571988412198E-2</v>
      </c>
      <c r="F1795" s="2">
        <v>39385.599999999999</v>
      </c>
      <c r="G1795" s="7">
        <f>(Table2_1[[#This Row],[Current Prices]]-F1794)/F1794</f>
        <v>7.3558749808173961E-3</v>
      </c>
      <c r="H1795" s="7">
        <f>(Table2_1[[#This Row],[Current Prices]]-F1791)/F1791</f>
        <v>6.0183365724714409E-2</v>
      </c>
      <c r="I1795" s="2"/>
    </row>
    <row r="1796" spans="1:9" x14ac:dyDescent="0.3">
      <c r="A1796" s="2" t="s">
        <v>99</v>
      </c>
      <c r="B1796" s="2" t="s">
        <v>68</v>
      </c>
      <c r="C1796" s="2">
        <v>24191.599999999999</v>
      </c>
      <c r="D1796" s="6">
        <f>(Table2_1[[#This Row],[Constant Prices]]-C1795)/C1795</f>
        <v>7.6138749125320418E-3</v>
      </c>
      <c r="E1796" s="6">
        <f>(Table2_1[[#This Row],[Constant Prices]]-C1792)/C1792</f>
        <v>2.0901997358237331E-2</v>
      </c>
      <c r="F1796" s="2">
        <v>40065</v>
      </c>
      <c r="G1796" s="7">
        <f>(Table2_1[[#This Row],[Current Prices]]-F1795)/F1795</f>
        <v>1.7249959376015638E-2</v>
      </c>
      <c r="H1796" s="7">
        <f>(Table2_1[[#This Row],[Current Prices]]-F1792)/F1792</f>
        <v>6.694042549791876E-2</v>
      </c>
      <c r="I1796" s="2"/>
    </row>
    <row r="1797" spans="1:9" x14ac:dyDescent="0.3">
      <c r="A1797" s="2" t="s">
        <v>99</v>
      </c>
      <c r="B1797" s="2" t="s">
        <v>69</v>
      </c>
      <c r="C1797" s="2">
        <v>24355</v>
      </c>
      <c r="D1797" s="6">
        <f>(Table2_1[[#This Row],[Constant Prices]]-C1796)/C1796</f>
        <v>6.7544106218688088E-3</v>
      </c>
      <c r="E1797" s="6">
        <f>(Table2_1[[#This Row],[Constant Prices]]-C1793)/C1793</f>
        <v>2.4679826997189482E-2</v>
      </c>
      <c r="F1797" s="5">
        <f>Table2_1[[#This Row],[Constant Prices]]*AVERAGE(Inflation!$C$72:$C$74)*0.01</f>
        <v>44090.668333333328</v>
      </c>
      <c r="G1797" s="7">
        <f>(Table2_1[[#This Row],[Current Prices]]-F1796)/F1796</f>
        <v>0.10047843088314808</v>
      </c>
      <c r="H1797" s="7">
        <f>(Table2_1[[#This Row],[Current Prices]]-F1793)/F1793</f>
        <v>0.15749058410078151</v>
      </c>
      <c r="I1797" s="2">
        <v>14</v>
      </c>
    </row>
    <row r="1798" spans="1:9" x14ac:dyDescent="0.3">
      <c r="A1798" s="2" t="s">
        <v>99</v>
      </c>
      <c r="B1798" s="2" t="s">
        <v>70</v>
      </c>
      <c r="C1798" s="2">
        <v>24320.3</v>
      </c>
      <c r="D1798" s="6">
        <f>(Table2_1[[#This Row],[Constant Prices]]-C1797)/C1797</f>
        <v>-1.424758776431974E-3</v>
      </c>
      <c r="E1798" s="6">
        <f>(Table2_1[[#This Row],[Constant Prices]]-C1794)/C1794</f>
        <v>1.6454489981861223E-2</v>
      </c>
      <c r="F1798" s="5">
        <f>Table2_1[[#This Row],[Constant Prices]]*AVERAGE(Inflation!$C$75:$C$77)*0.01</f>
        <v>44368.333966666658</v>
      </c>
      <c r="G1798" s="7">
        <f>(Table2_1[[#This Row],[Current Prices]]-F1797)/F1797</f>
        <v>6.2976054532475796E-3</v>
      </c>
      <c r="H1798" s="7">
        <f>(Table2_1[[#This Row],[Current Prices]]-F1794)/F1794</f>
        <v>0.13479804508329474</v>
      </c>
      <c r="I1798" s="2"/>
    </row>
    <row r="1799" spans="1:9" x14ac:dyDescent="0.3">
      <c r="A1799" s="2" t="s">
        <v>99</v>
      </c>
      <c r="B1799" s="2" t="s">
        <v>71</v>
      </c>
      <c r="C1799" s="2">
        <v>24766.5</v>
      </c>
      <c r="D1799" s="6">
        <f>(Table2_1[[#This Row],[Constant Prices]]-C1798)/C1798</f>
        <v>1.8346813156087743E-2</v>
      </c>
      <c r="E1799" s="6">
        <f>(Table2_1[[#This Row],[Constant Prices]]-C1795)/C1795</f>
        <v>3.1559261604078535E-2</v>
      </c>
      <c r="F1799" s="5">
        <f>Table2_1[[#This Row],[Constant Prices]]*AVERAGE(Inflation!$C$78:$C$80)*0.01</f>
        <v>45900.58</v>
      </c>
      <c r="G1799" s="7">
        <f>(Table2_1[[#This Row],[Current Prices]]-F1798)/F1798</f>
        <v>3.4534675890343321E-2</v>
      </c>
      <c r="H1799" s="7">
        <f>(Table2_1[[#This Row],[Current Prices]]-F1795)/F1795</f>
        <v>0.16541527868053307</v>
      </c>
      <c r="I1799" s="2"/>
    </row>
  </sheetData>
  <phoneticPr fontId="10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2B975-F22B-43B1-9573-61D1EA67E8CC}">
  <dimension ref="A1:K101"/>
  <sheetViews>
    <sheetView workbookViewId="0">
      <selection activeCell="H12" sqref="H12"/>
    </sheetView>
  </sheetViews>
  <sheetFormatPr defaultColWidth="8.77734375" defaultRowHeight="14.4" x14ac:dyDescent="0.3"/>
  <cols>
    <col min="1" max="1" width="44" style="2" bestFit="1" customWidth="1"/>
    <col min="2" max="3" width="8.77734375" style="2"/>
    <col min="4" max="4" width="8.77734375" style="7"/>
    <col min="5" max="5" width="13.33203125" style="2" bestFit="1" customWidth="1"/>
    <col min="6" max="6" width="13.33203125" style="2" customWidth="1"/>
    <col min="7" max="7" width="8.77734375" style="2"/>
    <col min="8" max="8" width="30.109375" style="2" bestFit="1" customWidth="1"/>
    <col min="9" max="9" width="12.77734375" style="6" bestFit="1" customWidth="1"/>
    <col min="10" max="10" width="12.77734375" style="7" bestFit="1" customWidth="1"/>
    <col min="11" max="11" width="13.33203125" style="7" bestFit="1" customWidth="1"/>
    <col min="12" max="16384" width="8.77734375" style="2"/>
  </cols>
  <sheetData>
    <row r="1" spans="1:11" x14ac:dyDescent="0.3">
      <c r="A1" s="2" t="s">
        <v>100</v>
      </c>
      <c r="B1" s="2" t="s">
        <v>1</v>
      </c>
      <c r="C1" s="2" t="s">
        <v>101</v>
      </c>
      <c r="D1" s="4" t="s">
        <v>102</v>
      </c>
      <c r="E1" s="1" t="s">
        <v>103</v>
      </c>
      <c r="F1" s="1"/>
      <c r="H1" s="8" t="s">
        <v>104</v>
      </c>
      <c r="I1" s="54" t="s">
        <v>105</v>
      </c>
      <c r="J1" s="54"/>
      <c r="K1" s="54"/>
    </row>
    <row r="2" spans="1:11" x14ac:dyDescent="0.3">
      <c r="A2" s="1" t="s">
        <v>106</v>
      </c>
      <c r="B2" s="2" t="s">
        <v>107</v>
      </c>
      <c r="C2" s="2">
        <v>89802.2</v>
      </c>
      <c r="E2" s="6"/>
      <c r="F2" s="6"/>
      <c r="G2" s="9" t="s">
        <v>108</v>
      </c>
      <c r="H2" s="9" t="s">
        <v>109</v>
      </c>
      <c r="I2" s="10" t="s">
        <v>110</v>
      </c>
      <c r="J2" s="11" t="s">
        <v>111</v>
      </c>
      <c r="K2" s="11" t="s">
        <v>112</v>
      </c>
    </row>
    <row r="3" spans="1:11" x14ac:dyDescent="0.3">
      <c r="A3" s="1" t="s">
        <v>106</v>
      </c>
      <c r="B3" s="2" t="s">
        <v>113</v>
      </c>
      <c r="C3" s="2">
        <v>95286.9</v>
      </c>
      <c r="E3" s="6">
        <f>(Table1_1[[#This Row],[Value]]-C2)/C2</f>
        <v>6.1075341138635775E-2</v>
      </c>
      <c r="F3" s="6"/>
      <c r="G3" s="12">
        <v>2015</v>
      </c>
      <c r="H3" s="13">
        <f>(C62+C72)/C2</f>
        <v>0.21738999712701915</v>
      </c>
      <c r="I3" s="13">
        <f>(C92-C12)/C2</f>
        <v>-0.10448853146136727</v>
      </c>
      <c r="J3" s="14">
        <f>(C92+C12)/C2</f>
        <v>0.87248530659605228</v>
      </c>
      <c r="K3" s="14">
        <f>C92/C12</f>
        <v>0.78609758543969077</v>
      </c>
    </row>
    <row r="4" spans="1:11" x14ac:dyDescent="0.3">
      <c r="A4" s="1" t="s">
        <v>106</v>
      </c>
      <c r="B4" s="2" t="s">
        <v>114</v>
      </c>
      <c r="C4" s="2">
        <v>102011.5</v>
      </c>
      <c r="E4" s="6">
        <f>(Table1_1[[#This Row],[Value]]-C3)/C3</f>
        <v>7.0572135309260833E-2</v>
      </c>
      <c r="F4" s="6"/>
      <c r="G4" s="12">
        <v>2016</v>
      </c>
      <c r="H4" s="13">
        <f t="shared" ref="H4:H12" si="0">(C63+C73)/C3</f>
        <v>0.20475007582364418</v>
      </c>
      <c r="I4" s="13">
        <f t="shared" ref="I4:I12" si="1">(C93-C13)/C3</f>
        <v>-0.10502073212582211</v>
      </c>
      <c r="J4" s="14">
        <f t="shared" ref="J4:J12" si="2">(C93+C13)/C3</f>
        <v>0.87092664364146588</v>
      </c>
      <c r="K4" s="14">
        <f t="shared" ref="K4:K12" si="3">C93/C13</f>
        <v>0.78478197752567347</v>
      </c>
    </row>
    <row r="5" spans="1:11" x14ac:dyDescent="0.3">
      <c r="A5" s="1" t="s">
        <v>106</v>
      </c>
      <c r="B5" s="2" t="s">
        <v>115</v>
      </c>
      <c r="C5" s="2">
        <v>112985.5</v>
      </c>
      <c r="E5" s="6">
        <f>(Table1_1[[#This Row],[Value]]-C4)/C4</f>
        <v>0.10757610661543061</v>
      </c>
      <c r="F5" s="6"/>
      <c r="G5" s="12">
        <v>2017</v>
      </c>
      <c r="H5" s="13">
        <f t="shared" si="0"/>
        <v>0.21294559927067047</v>
      </c>
      <c r="I5" s="13">
        <f t="shared" si="1"/>
        <v>-0.12367625218725341</v>
      </c>
      <c r="J5" s="14">
        <f t="shared" si="2"/>
        <v>0.95809197982580385</v>
      </c>
      <c r="K5" s="14">
        <f t="shared" si="3"/>
        <v>0.77134427037646525</v>
      </c>
    </row>
    <row r="6" spans="1:11" x14ac:dyDescent="0.3">
      <c r="A6" s="1" t="s">
        <v>106</v>
      </c>
      <c r="B6" s="2" t="s">
        <v>116</v>
      </c>
      <c r="C6" s="2">
        <v>122969.3</v>
      </c>
      <c r="E6" s="6">
        <f>(Table1_1[[#This Row],[Value]]-C5)/C5</f>
        <v>8.8363551075137992E-2</v>
      </c>
      <c r="F6" s="6"/>
      <c r="G6" s="12">
        <v>2018</v>
      </c>
      <c r="H6" s="13">
        <f t="shared" si="0"/>
        <v>0.22963566121316453</v>
      </c>
      <c r="I6" s="13">
        <f t="shared" si="1"/>
        <v>-0.12900327918184193</v>
      </c>
      <c r="J6" s="14">
        <f t="shared" si="2"/>
        <v>1.0387182426063521</v>
      </c>
      <c r="K6" s="14">
        <f t="shared" si="3"/>
        <v>0.77905129472257684</v>
      </c>
    </row>
    <row r="7" spans="1:11" x14ac:dyDescent="0.3">
      <c r="A7" s="1" t="s">
        <v>106</v>
      </c>
      <c r="B7" s="2" t="s">
        <v>117</v>
      </c>
      <c r="C7" s="2">
        <v>119502.1</v>
      </c>
      <c r="E7" s="6">
        <f>(Table1_1[[#This Row],[Value]]-C6)/C6</f>
        <v>-2.8195655338364916E-2</v>
      </c>
      <c r="F7" s="6"/>
      <c r="G7" s="12">
        <v>2019</v>
      </c>
      <c r="H7" s="13">
        <f t="shared" si="0"/>
        <v>0.19803398083912002</v>
      </c>
      <c r="I7" s="13">
        <f t="shared" si="1"/>
        <v>-0.10431953341199789</v>
      </c>
      <c r="J7" s="14">
        <f t="shared" si="2"/>
        <v>1.0233261472578927</v>
      </c>
      <c r="K7" s="14">
        <f t="shared" si="3"/>
        <v>0.8149781705366429</v>
      </c>
    </row>
    <row r="8" spans="1:11" x14ac:dyDescent="0.3">
      <c r="A8" s="1" t="s">
        <v>106</v>
      </c>
      <c r="B8" s="2" t="s">
        <v>118</v>
      </c>
      <c r="C8" s="2">
        <v>131544.6</v>
      </c>
      <c r="E8" s="6">
        <f>(Table1_1[[#This Row],[Value]]-C7)/C7</f>
        <v>0.10077228768364739</v>
      </c>
      <c r="F8" s="6"/>
      <c r="G8" s="12">
        <v>2020</v>
      </c>
      <c r="H8" s="13">
        <f t="shared" si="0"/>
        <v>0.12688228909784846</v>
      </c>
      <c r="I8" s="13">
        <f t="shared" si="1"/>
        <v>-8.349727745370164E-2</v>
      </c>
      <c r="J8" s="14">
        <f t="shared" si="2"/>
        <v>0.84333329707176696</v>
      </c>
      <c r="K8" s="14">
        <f t="shared" si="3"/>
        <v>0.81982191837714957</v>
      </c>
    </row>
    <row r="9" spans="1:11" x14ac:dyDescent="0.3">
      <c r="A9" s="1" t="s">
        <v>106</v>
      </c>
      <c r="B9" s="2" t="s">
        <v>119</v>
      </c>
      <c r="C9" s="2">
        <v>139444.5</v>
      </c>
      <c r="E9" s="6">
        <f>(Table1_1[[#This Row],[Value]]-C8)/C8</f>
        <v>6.0054916735464578E-2</v>
      </c>
      <c r="F9" s="6"/>
      <c r="G9" s="12">
        <v>2021</v>
      </c>
      <c r="H9" s="13">
        <f t="shared" si="0"/>
        <v>0.15845880408621865</v>
      </c>
      <c r="I9" s="13">
        <f t="shared" si="1"/>
        <v>-0.10073009458389023</v>
      </c>
      <c r="J9" s="14">
        <f t="shared" si="2"/>
        <v>0.93633414066407905</v>
      </c>
      <c r="K9" s="14">
        <f t="shared" si="3"/>
        <v>0.80573991241766241</v>
      </c>
    </row>
    <row r="10" spans="1:11" x14ac:dyDescent="0.3">
      <c r="A10" s="1" t="s">
        <v>106</v>
      </c>
      <c r="B10" s="2" t="s">
        <v>120</v>
      </c>
      <c r="C10" s="2">
        <v>149733.79999999999</v>
      </c>
      <c r="E10" s="6">
        <f>(Table1_1[[#This Row],[Value]]-C9)/C9</f>
        <v>7.3787779367418496E-2</v>
      </c>
      <c r="F10" s="6"/>
      <c r="G10" s="12">
        <v>2022</v>
      </c>
      <c r="H10" s="13">
        <f t="shared" si="0"/>
        <v>0.16673802121991185</v>
      </c>
      <c r="I10" s="13">
        <f t="shared" si="1"/>
        <v>-0.13443914962583683</v>
      </c>
      <c r="J10" s="14">
        <f t="shared" si="2"/>
        <v>1.1609579438414568</v>
      </c>
      <c r="K10" s="14">
        <f t="shared" si="3"/>
        <v>0.79243561637768767</v>
      </c>
    </row>
    <row r="11" spans="1:11" x14ac:dyDescent="0.3">
      <c r="A11" s="1" t="s">
        <v>106</v>
      </c>
      <c r="B11" s="2" t="s">
        <v>121</v>
      </c>
      <c r="C11" s="2">
        <v>159760.6</v>
      </c>
      <c r="E11" s="6">
        <f>(Table1_1[[#This Row],[Value]]-C10)/C10</f>
        <v>6.6964172417984566E-2</v>
      </c>
      <c r="F11" s="6"/>
      <c r="G11" s="12">
        <v>2023</v>
      </c>
      <c r="H11" s="13">
        <f t="shared" si="0"/>
        <v>8.2079664043789732E-2</v>
      </c>
      <c r="I11" s="13">
        <f t="shared" si="1"/>
        <v>-6.0500701912327079E-2</v>
      </c>
      <c r="J11" s="14">
        <f t="shared" si="2"/>
        <v>1.1212885801335437</v>
      </c>
      <c r="K11" s="14">
        <f>C100/C20</f>
        <v>0.89761169299557286</v>
      </c>
    </row>
    <row r="12" spans="1:11" x14ac:dyDescent="0.3">
      <c r="A12" s="2" t="s">
        <v>122</v>
      </c>
      <c r="B12" s="2" t="s">
        <v>107</v>
      </c>
      <c r="C12" s="2">
        <v>43867.199999999997</v>
      </c>
      <c r="D12" s="7">
        <f>Table1_1[[#This Row],[Value]]/C2</f>
        <v>0.48848691902870972</v>
      </c>
      <c r="E12" s="6"/>
      <c r="F12" s="6"/>
      <c r="G12" s="12">
        <v>2024</v>
      </c>
      <c r="H12" s="13">
        <f t="shared" si="0"/>
        <v>7.8581953247546646E-2</v>
      </c>
      <c r="I12" s="13">
        <f t="shared" si="1"/>
        <v>-6.2951691468359508E-2</v>
      </c>
      <c r="J12" s="14">
        <f t="shared" si="2"/>
        <v>1.0629854920424686</v>
      </c>
      <c r="K12" s="14">
        <f t="shared" si="3"/>
        <v>0.88817903451404379</v>
      </c>
    </row>
    <row r="13" spans="1:11" x14ac:dyDescent="0.3">
      <c r="A13" s="2" t="s">
        <v>122</v>
      </c>
      <c r="B13" s="2" t="s">
        <v>113</v>
      </c>
      <c r="C13" s="2">
        <v>46497.5</v>
      </c>
      <c r="D13" s="7">
        <f>Table1_1[[#This Row],[Value]]/C3</f>
        <v>0.48797368788364404</v>
      </c>
      <c r="E13" s="6">
        <f>(Table1_1[[#This Row],[Value]]-C12)/C12</f>
        <v>5.996051719735937E-2</v>
      </c>
      <c r="F13" s="6"/>
    </row>
    <row r="14" spans="1:11" x14ac:dyDescent="0.3">
      <c r="A14" s="2" t="s">
        <v>122</v>
      </c>
      <c r="B14" s="2" t="s">
        <v>114</v>
      </c>
      <c r="C14" s="2">
        <v>55176.4</v>
      </c>
      <c r="D14" s="7">
        <f>Table1_1[[#This Row],[Value]]/C4</f>
        <v>0.54088411600652864</v>
      </c>
      <c r="E14" s="6">
        <f>(Table1_1[[#This Row],[Value]]-C13)/C13</f>
        <v>0.18665304586268083</v>
      </c>
      <c r="F14" s="6"/>
    </row>
    <row r="15" spans="1:11" x14ac:dyDescent="0.3">
      <c r="A15" s="2" t="s">
        <v>122</v>
      </c>
      <c r="B15" s="2" t="s">
        <v>115</v>
      </c>
      <c r="C15" s="2">
        <v>65967.8</v>
      </c>
      <c r="D15" s="7">
        <f>Table1_1[[#This Row],[Value]]/C5</f>
        <v>0.58386076089409711</v>
      </c>
      <c r="E15" s="6">
        <f>(Table1_1[[#This Row],[Value]]-C14)/C14</f>
        <v>0.19557999434540857</v>
      </c>
      <c r="F15" s="6"/>
    </row>
    <row r="16" spans="1:11" x14ac:dyDescent="0.3">
      <c r="A16" s="2" t="s">
        <v>122</v>
      </c>
      <c r="B16" s="2" t="s">
        <v>116</v>
      </c>
      <c r="C16" s="2">
        <v>69332.899999999994</v>
      </c>
      <c r="D16" s="7">
        <f>Table1_1[[#This Row],[Value]]/C6</f>
        <v>0.56382284033494534</v>
      </c>
      <c r="E16" s="6">
        <f>(Table1_1[[#This Row],[Value]]-C15)/C15</f>
        <v>5.1011250943642068E-2</v>
      </c>
      <c r="F16" s="6"/>
    </row>
    <row r="17" spans="1:6" x14ac:dyDescent="0.3">
      <c r="A17" s="2" t="s">
        <v>122</v>
      </c>
      <c r="B17" s="2" t="s">
        <v>117</v>
      </c>
      <c r="C17" s="2">
        <v>55379.1</v>
      </c>
      <c r="D17" s="7">
        <f>Table1_1[[#This Row],[Value]]/C7</f>
        <v>0.46341528726273429</v>
      </c>
      <c r="E17" s="6">
        <f>(Table1_1[[#This Row],[Value]]-C16)/C16</f>
        <v>-0.20125798863165967</v>
      </c>
      <c r="F17" s="6"/>
    </row>
    <row r="18" spans="1:6" x14ac:dyDescent="0.3">
      <c r="A18" s="2" t="s">
        <v>122</v>
      </c>
      <c r="B18" s="2" t="s">
        <v>118</v>
      </c>
      <c r="C18" s="2">
        <v>68210.100000000006</v>
      </c>
      <c r="D18" s="7">
        <f>Table1_1[[#This Row],[Value]]/C8</f>
        <v>0.51853211762398455</v>
      </c>
      <c r="E18" s="6">
        <f>(Table1_1[[#This Row],[Value]]-C17)/C17</f>
        <v>0.23169390618482438</v>
      </c>
      <c r="F18" s="6"/>
    </row>
    <row r="19" spans="1:6" x14ac:dyDescent="0.3">
      <c r="A19" s="2" t="s">
        <v>122</v>
      </c>
      <c r="B19" s="2" t="s">
        <v>119</v>
      </c>
      <c r="C19" s="2">
        <v>90318</v>
      </c>
      <c r="D19" s="7">
        <f>Table1_1[[#This Row],[Value]]/C9</f>
        <v>0.64769854673364669</v>
      </c>
      <c r="E19" s="6">
        <f>(Table1_1[[#This Row],[Value]]-C18)/C18</f>
        <v>0.32411475719871385</v>
      </c>
      <c r="F19" s="6"/>
    </row>
    <row r="20" spans="1:6" x14ac:dyDescent="0.3">
      <c r="A20" s="2" t="s">
        <v>122</v>
      </c>
      <c r="B20" s="2" t="s">
        <v>120</v>
      </c>
      <c r="C20" s="2">
        <v>88476.9</v>
      </c>
      <c r="D20" s="7">
        <f>Table1_1[[#This Row],[Value]]/C10</f>
        <v>0.59089464102293543</v>
      </c>
      <c r="E20" s="6">
        <f>(Table1_1[[#This Row],[Value]]-C19)/C19</f>
        <v>-2.0384640935361787E-2</v>
      </c>
      <c r="F20" s="6"/>
    </row>
    <row r="21" spans="1:6" x14ac:dyDescent="0.3">
      <c r="A21" s="2" t="s">
        <v>122</v>
      </c>
      <c r="B21" s="2" t="s">
        <v>121</v>
      </c>
      <c r="C21" s="2">
        <v>89940.2</v>
      </c>
      <c r="D21" s="7">
        <f>Table1_1[[#This Row],[Value]]/C11</f>
        <v>0.56296859175541403</v>
      </c>
      <c r="E21" s="6">
        <f>(Table1_1[[#This Row],[Value]]-C20)/C20</f>
        <v>1.6538780178781163E-2</v>
      </c>
      <c r="F21" s="6"/>
    </row>
    <row r="22" spans="1:6" x14ac:dyDescent="0.3">
      <c r="A22" s="1" t="s">
        <v>123</v>
      </c>
      <c r="B22" s="2" t="s">
        <v>107</v>
      </c>
      <c r="C22" s="2">
        <v>133669.4</v>
      </c>
      <c r="D22" s="7">
        <f>Table1_1[[#This Row],[Value]]/C2</f>
        <v>1.4884869190287098</v>
      </c>
      <c r="E22" s="6"/>
      <c r="F22" s="6"/>
    </row>
    <row r="23" spans="1:6" x14ac:dyDescent="0.3">
      <c r="A23" s="1" t="s">
        <v>123</v>
      </c>
      <c r="B23" s="2" t="s">
        <v>113</v>
      </c>
      <c r="C23" s="2">
        <v>141784.5</v>
      </c>
      <c r="D23" s="7">
        <f>Table1_1[[#This Row],[Value]]/C3</f>
        <v>1.4879747373458472</v>
      </c>
      <c r="E23" s="6"/>
      <c r="F23" s="6"/>
    </row>
    <row r="24" spans="1:6" x14ac:dyDescent="0.3">
      <c r="A24" s="1" t="s">
        <v>123</v>
      </c>
      <c r="B24" s="2" t="s">
        <v>114</v>
      </c>
      <c r="C24" s="2">
        <v>157187.9</v>
      </c>
      <c r="D24" s="7">
        <f>Table1_1[[#This Row],[Value]]/C4</f>
        <v>1.5408841160065285</v>
      </c>
      <c r="E24" s="6"/>
      <c r="F24" s="6"/>
    </row>
    <row r="25" spans="1:6" x14ac:dyDescent="0.3">
      <c r="A25" s="1" t="s">
        <v>123</v>
      </c>
      <c r="B25" s="2" t="s">
        <v>115</v>
      </c>
      <c r="C25" s="2">
        <v>178953.3</v>
      </c>
      <c r="D25" s="7">
        <f>Table1_1[[#This Row],[Value]]/C5</f>
        <v>1.5838607608940969</v>
      </c>
      <c r="E25" s="6"/>
      <c r="F25" s="6"/>
    </row>
    <row r="26" spans="1:6" x14ac:dyDescent="0.3">
      <c r="A26" s="1" t="s">
        <v>123</v>
      </c>
      <c r="B26" s="2" t="s">
        <v>116</v>
      </c>
      <c r="C26" s="2">
        <v>192302.1</v>
      </c>
      <c r="D26" s="7">
        <f>Table1_1[[#This Row],[Value]]/C6</f>
        <v>1.5638220271238432</v>
      </c>
      <c r="E26" s="6"/>
      <c r="F26" s="6"/>
    </row>
    <row r="27" spans="1:6" x14ac:dyDescent="0.3">
      <c r="A27" s="1" t="s">
        <v>123</v>
      </c>
      <c r="B27" s="2" t="s">
        <v>117</v>
      </c>
      <c r="C27" s="2">
        <v>174881.2</v>
      </c>
      <c r="D27" s="7">
        <f>Table1_1[[#This Row],[Value]]/C7</f>
        <v>1.4634152872627344</v>
      </c>
      <c r="E27" s="6"/>
      <c r="F27" s="6"/>
    </row>
    <row r="28" spans="1:6" x14ac:dyDescent="0.3">
      <c r="A28" s="1" t="s">
        <v>123</v>
      </c>
      <c r="B28" s="2" t="s">
        <v>118</v>
      </c>
      <c r="C28" s="2">
        <v>199754.7</v>
      </c>
      <c r="D28" s="7">
        <f>Table1_1[[#This Row],[Value]]/C8</f>
        <v>1.5185321176239845</v>
      </c>
      <c r="E28" s="6"/>
      <c r="F28" s="6"/>
    </row>
    <row r="29" spans="1:6" x14ac:dyDescent="0.3">
      <c r="A29" s="1" t="s">
        <v>123</v>
      </c>
      <c r="B29" s="2" t="s">
        <v>119</v>
      </c>
      <c r="C29" s="2">
        <v>229762.5</v>
      </c>
      <c r="D29" s="7">
        <f>Table1_1[[#This Row],[Value]]/C9</f>
        <v>1.6476985467336467</v>
      </c>
      <c r="E29" s="6"/>
      <c r="F29" s="6"/>
    </row>
    <row r="30" spans="1:6" x14ac:dyDescent="0.3">
      <c r="A30" s="1" t="s">
        <v>123</v>
      </c>
      <c r="B30" s="2" t="s">
        <v>120</v>
      </c>
      <c r="C30" s="2">
        <v>238210.7</v>
      </c>
      <c r="D30" s="7">
        <f>Table1_1[[#This Row],[Value]]/C10</f>
        <v>1.5908946410229357</v>
      </c>
      <c r="E30" s="6"/>
      <c r="F30" s="6"/>
    </row>
    <row r="31" spans="1:6" x14ac:dyDescent="0.3">
      <c r="A31" s="1" t="s">
        <v>123</v>
      </c>
      <c r="B31" s="2" t="s">
        <v>121</v>
      </c>
      <c r="C31" s="2">
        <v>249700.9</v>
      </c>
      <c r="D31" s="7">
        <f>Table1_1[[#This Row],[Value]]/C11</f>
        <v>1.5629692176919716</v>
      </c>
      <c r="E31" s="6"/>
      <c r="F31" s="6"/>
    </row>
    <row r="32" spans="1:6" x14ac:dyDescent="0.3">
      <c r="A32" s="1" t="s">
        <v>124</v>
      </c>
      <c r="B32" s="2" t="s">
        <v>107</v>
      </c>
      <c r="C32" s="2">
        <v>79663.399999999994</v>
      </c>
      <c r="D32" s="7">
        <f>Table1_1[[#This Row],[Value]]/C2</f>
        <v>0.88709853433434815</v>
      </c>
      <c r="E32" s="6"/>
      <c r="F32" s="6"/>
    </row>
    <row r="33" spans="1:6" x14ac:dyDescent="0.3">
      <c r="A33" s="1" t="s">
        <v>124</v>
      </c>
      <c r="B33" s="2" t="s">
        <v>113</v>
      </c>
      <c r="C33" s="2">
        <v>85784</v>
      </c>
      <c r="D33" s="7">
        <f>Table1_1[[#This Row],[Value]]/C3</f>
        <v>0.90027065630217795</v>
      </c>
      <c r="E33" s="6">
        <f>(Table1_1[[#This Row],[Value]]-C32)/C32</f>
        <v>7.6830765445612487E-2</v>
      </c>
      <c r="F33" s="6"/>
    </row>
    <row r="34" spans="1:6" x14ac:dyDescent="0.3">
      <c r="A34" s="1" t="s">
        <v>124</v>
      </c>
      <c r="B34" s="2" t="s">
        <v>114</v>
      </c>
      <c r="C34" s="2">
        <v>92905</v>
      </c>
      <c r="D34" s="7">
        <f>Table1_1[[#This Row],[Value]]/C4</f>
        <v>0.91073065291658295</v>
      </c>
      <c r="E34" s="6">
        <f>(Table1_1[[#This Row],[Value]]-C33)/C33</f>
        <v>8.3010817868133913E-2</v>
      </c>
      <c r="F34" s="6"/>
    </row>
    <row r="35" spans="1:6" x14ac:dyDescent="0.3">
      <c r="A35" s="1" t="s">
        <v>124</v>
      </c>
      <c r="B35" s="2" t="s">
        <v>115</v>
      </c>
      <c r="C35" s="2">
        <v>101615.5</v>
      </c>
      <c r="D35" s="7">
        <f>Table1_1[[#This Row],[Value]]/C5</f>
        <v>0.89936761796867737</v>
      </c>
      <c r="E35" s="6">
        <f>(Table1_1[[#This Row],[Value]]-C34)/C34</f>
        <v>9.3757063667186905E-2</v>
      </c>
      <c r="F35" s="6"/>
    </row>
    <row r="36" spans="1:6" x14ac:dyDescent="0.3">
      <c r="A36" s="1" t="s">
        <v>124</v>
      </c>
      <c r="B36" s="2" t="s">
        <v>116</v>
      </c>
      <c r="C36" s="2">
        <v>111445.2</v>
      </c>
      <c r="D36" s="7">
        <f>Table1_1[[#This Row],[Value]]/C6</f>
        <v>0.90628473936177567</v>
      </c>
      <c r="E36" s="6">
        <f>(Table1_1[[#This Row],[Value]]-C35)/C35</f>
        <v>9.673425806102412E-2</v>
      </c>
      <c r="F36" s="6"/>
    </row>
    <row r="37" spans="1:6" x14ac:dyDescent="0.3">
      <c r="A37" s="1" t="s">
        <v>124</v>
      </c>
      <c r="B37" s="2" t="s">
        <v>117</v>
      </c>
      <c r="C37" s="2">
        <v>114317.6</v>
      </c>
      <c r="D37" s="7">
        <f>Table1_1[[#This Row],[Value]]/C7</f>
        <v>0.95661582516123145</v>
      </c>
      <c r="E37" s="6">
        <f>(Table1_1[[#This Row],[Value]]-C36)/C36</f>
        <v>2.577410242881711E-2</v>
      </c>
      <c r="F37" s="6"/>
    </row>
    <row r="38" spans="1:6" x14ac:dyDescent="0.3">
      <c r="A38" s="1" t="s">
        <v>124</v>
      </c>
      <c r="B38" s="2" t="s">
        <v>118</v>
      </c>
      <c r="C38" s="2">
        <v>123950.6</v>
      </c>
      <c r="D38" s="7">
        <f>Table1_1[[#This Row],[Value]]/C8</f>
        <v>0.94227053029922936</v>
      </c>
      <c r="E38" s="6">
        <f>(Table1_1[[#This Row],[Value]]-C37)/C37</f>
        <v>8.4265239998040545E-2</v>
      </c>
      <c r="F38" s="6"/>
    </row>
    <row r="39" spans="1:6" x14ac:dyDescent="0.3">
      <c r="A39" s="1" t="s">
        <v>124</v>
      </c>
      <c r="B39" s="2" t="s">
        <v>119</v>
      </c>
      <c r="C39" s="2">
        <v>134940.5</v>
      </c>
      <c r="D39" s="7">
        <f>Table1_1[[#This Row],[Value]]/C9</f>
        <v>0.96770041127473649</v>
      </c>
      <c r="E39" s="6">
        <f>(Table1_1[[#This Row],[Value]]-C38)/C38</f>
        <v>8.8663548220016639E-2</v>
      </c>
      <c r="F39" s="6"/>
    </row>
    <row r="40" spans="1:6" x14ac:dyDescent="0.3">
      <c r="A40" s="1" t="s">
        <v>124</v>
      </c>
      <c r="B40" s="2" t="s">
        <v>120</v>
      </c>
      <c r="C40" s="2">
        <v>146502.70000000001</v>
      </c>
      <c r="D40" s="7">
        <f>Table1_1[[#This Row],[Value]]/C10</f>
        <v>0.97842103786853751</v>
      </c>
      <c r="E40" s="6">
        <f>(Table1_1[[#This Row],[Value]]-C39)/C39</f>
        <v>8.5683690219022543E-2</v>
      </c>
      <c r="F40" s="6"/>
    </row>
    <row r="41" spans="1:6" x14ac:dyDescent="0.3">
      <c r="A41" s="1" t="s">
        <v>124</v>
      </c>
      <c r="B41" s="2" t="s">
        <v>121</v>
      </c>
      <c r="C41" s="2">
        <v>157263.5</v>
      </c>
      <c r="D41" s="7">
        <f>Table1_1[[#This Row],[Value]]/C11</f>
        <v>0.98436973822081286</v>
      </c>
      <c r="E41" s="6">
        <f>(Table1_1[[#This Row],[Value]]-C40)/C40</f>
        <v>7.3451206018728579E-2</v>
      </c>
      <c r="F41" s="6"/>
    </row>
    <row r="42" spans="1:6" x14ac:dyDescent="0.3">
      <c r="A42" s="1" t="s">
        <v>125</v>
      </c>
      <c r="B42" s="2" t="s">
        <v>107</v>
      </c>
      <c r="C42" s="2">
        <v>16079.6</v>
      </c>
      <c r="D42" s="7">
        <f>Table1_1[[#This Row],[Value]]/C2</f>
        <v>0.17905574696388285</v>
      </c>
      <c r="E42" s="6"/>
      <c r="F42" s="6"/>
    </row>
    <row r="43" spans="1:6" x14ac:dyDescent="0.3">
      <c r="A43" s="1" t="s">
        <v>125</v>
      </c>
      <c r="B43" s="2" t="s">
        <v>113</v>
      </c>
      <c r="C43" s="2">
        <v>17837</v>
      </c>
      <c r="D43" s="7">
        <f>Table1_1[[#This Row],[Value]]/C3</f>
        <v>0.18719257316588114</v>
      </c>
      <c r="E43" s="6">
        <f>(Table1_1[[#This Row],[Value]]-C42)/C42</f>
        <v>0.10929376352645585</v>
      </c>
      <c r="F43" s="6"/>
    </row>
    <row r="44" spans="1:6" x14ac:dyDescent="0.3">
      <c r="A44" s="1" t="s">
        <v>125</v>
      </c>
      <c r="B44" s="2" t="s">
        <v>114</v>
      </c>
      <c r="C44" s="2">
        <v>19509.2</v>
      </c>
      <c r="D44" s="7">
        <f>Table1_1[[#This Row],[Value]]/C4</f>
        <v>0.19124510471858566</v>
      </c>
      <c r="E44" s="6">
        <f>(Table1_1[[#This Row],[Value]]-C43)/C43</f>
        <v>9.3748948814262531E-2</v>
      </c>
      <c r="F44" s="6"/>
    </row>
    <row r="45" spans="1:6" x14ac:dyDescent="0.3">
      <c r="A45" s="1" t="s">
        <v>125</v>
      </c>
      <c r="B45" s="2" t="s">
        <v>115</v>
      </c>
      <c r="C45" s="2">
        <v>20775.8</v>
      </c>
      <c r="D45" s="7">
        <f>Table1_1[[#This Row],[Value]]/C5</f>
        <v>0.18388023241920423</v>
      </c>
      <c r="E45" s="6">
        <f>(Table1_1[[#This Row],[Value]]-C44)/C44</f>
        <v>6.4923215713611968E-2</v>
      </c>
      <c r="F45" s="6"/>
    </row>
    <row r="46" spans="1:6" x14ac:dyDescent="0.3">
      <c r="A46" s="1" t="s">
        <v>125</v>
      </c>
      <c r="B46" s="2" t="s">
        <v>116</v>
      </c>
      <c r="C46" s="2">
        <v>23138.5</v>
      </c>
      <c r="D46" s="7">
        <f>Table1_1[[#This Row],[Value]]/C6</f>
        <v>0.18816485090181045</v>
      </c>
      <c r="E46" s="6">
        <f>(Table1_1[[#This Row],[Value]]-C45)/C45</f>
        <v>0.1137236592574053</v>
      </c>
      <c r="F46" s="6"/>
    </row>
    <row r="47" spans="1:6" x14ac:dyDescent="0.3">
      <c r="A47" s="1" t="s">
        <v>125</v>
      </c>
      <c r="B47" s="2" t="s">
        <v>117</v>
      </c>
      <c r="C47" s="2">
        <v>25854.7</v>
      </c>
      <c r="D47" s="7">
        <f>Table1_1[[#This Row],[Value]]/C7</f>
        <v>0.21635352014734469</v>
      </c>
      <c r="E47" s="6">
        <f>(Table1_1[[#This Row],[Value]]-C46)/C46</f>
        <v>0.1173887676383517</v>
      </c>
      <c r="F47" s="6"/>
    </row>
    <row r="48" spans="1:6" x14ac:dyDescent="0.3">
      <c r="A48" s="1" t="s">
        <v>125</v>
      </c>
      <c r="B48" s="2" t="s">
        <v>118</v>
      </c>
      <c r="C48" s="2">
        <v>27369.599999999999</v>
      </c>
      <c r="D48" s="7">
        <f>Table1_1[[#This Row],[Value]]/C8</f>
        <v>0.20806327283674128</v>
      </c>
      <c r="E48" s="6">
        <f>(Table1_1[[#This Row],[Value]]-C47)/C47</f>
        <v>5.8592828383233909E-2</v>
      </c>
      <c r="F48" s="6"/>
    </row>
    <row r="49" spans="1:6" x14ac:dyDescent="0.3">
      <c r="A49" s="1" t="s">
        <v>125</v>
      </c>
      <c r="B49" s="2" t="s">
        <v>119</v>
      </c>
      <c r="C49" s="2">
        <v>28403.8</v>
      </c>
      <c r="D49" s="7">
        <f>Table1_1[[#This Row],[Value]]/C9</f>
        <v>0.20369250848904044</v>
      </c>
      <c r="E49" s="6">
        <f>(Table1_1[[#This Row],[Value]]-C48)/C48</f>
        <v>3.7786449199111449E-2</v>
      </c>
      <c r="F49" s="6"/>
    </row>
    <row r="50" spans="1:6" x14ac:dyDescent="0.3">
      <c r="A50" s="1" t="s">
        <v>125</v>
      </c>
      <c r="B50" s="2" t="s">
        <v>120</v>
      </c>
      <c r="C50" s="2">
        <v>29076.5</v>
      </c>
      <c r="D50" s="7">
        <f>Table1_1[[#This Row],[Value]]/C10</f>
        <v>0.19418795221920504</v>
      </c>
      <c r="E50" s="6">
        <f>(Table1_1[[#This Row],[Value]]-C49)/C49</f>
        <v>2.3683450805878112E-2</v>
      </c>
      <c r="F50" s="6"/>
    </row>
    <row r="51" spans="1:6" x14ac:dyDescent="0.3">
      <c r="A51" s="1" t="s">
        <v>125</v>
      </c>
      <c r="B51" s="2" t="s">
        <v>121</v>
      </c>
      <c r="C51" s="2">
        <v>30254.3</v>
      </c>
      <c r="D51" s="7">
        <f>Table1_1[[#This Row],[Value]]/C11</f>
        <v>0.18937272393819252</v>
      </c>
      <c r="E51" s="6">
        <f>(Table1_1[[#This Row],[Value]]-C50)/C50</f>
        <v>4.0506938593021832E-2</v>
      </c>
      <c r="F51" s="6"/>
    </row>
    <row r="52" spans="1:6" x14ac:dyDescent="0.3">
      <c r="A52" s="1" t="s">
        <v>126</v>
      </c>
      <c r="B52" s="2" t="s">
        <v>107</v>
      </c>
      <c r="C52" s="2">
        <v>63583.8</v>
      </c>
      <c r="D52" s="7">
        <f>Table1_1[[#This Row],[Value]]/C2</f>
        <v>0.70804278737046533</v>
      </c>
      <c r="E52" s="6"/>
      <c r="F52" s="6"/>
    </row>
    <row r="53" spans="1:6" x14ac:dyDescent="0.3">
      <c r="A53" s="1" t="s">
        <v>126</v>
      </c>
      <c r="B53" s="2" t="s">
        <v>113</v>
      </c>
      <c r="C53" s="2">
        <v>67947</v>
      </c>
      <c r="D53" s="7">
        <f>Table1_1[[#This Row],[Value]]/C3</f>
        <v>0.71307808313629684</v>
      </c>
      <c r="E53" s="6">
        <f>(Table1_1[[#This Row],[Value]]-C52)/C52</f>
        <v>6.8621252583205103E-2</v>
      </c>
      <c r="F53" s="6"/>
    </row>
    <row r="54" spans="1:6" x14ac:dyDescent="0.3">
      <c r="A54" s="1" t="s">
        <v>126</v>
      </c>
      <c r="B54" s="2" t="s">
        <v>114</v>
      </c>
      <c r="C54" s="2">
        <v>73395.8</v>
      </c>
      <c r="D54" s="7">
        <f>Table1_1[[#This Row],[Value]]/C4</f>
        <v>0.71948554819799726</v>
      </c>
      <c r="E54" s="6">
        <f>(Table1_1[[#This Row],[Value]]-C53)/C53</f>
        <v>8.0191914286134827E-2</v>
      </c>
      <c r="F54" s="6"/>
    </row>
    <row r="55" spans="1:6" x14ac:dyDescent="0.3">
      <c r="A55" s="1" t="s">
        <v>126</v>
      </c>
      <c r="B55" s="2" t="s">
        <v>115</v>
      </c>
      <c r="C55" s="2">
        <v>80839.7</v>
      </c>
      <c r="D55" s="7">
        <f>Table1_1[[#This Row],[Value]]/C5</f>
        <v>0.71548738554947311</v>
      </c>
      <c r="E55" s="6">
        <f>(Table1_1[[#This Row],[Value]]-C54)/C54</f>
        <v>0.10142133473577498</v>
      </c>
      <c r="F55" s="6"/>
    </row>
    <row r="56" spans="1:6" x14ac:dyDescent="0.3">
      <c r="A56" s="1" t="s">
        <v>126</v>
      </c>
      <c r="B56" s="2" t="s">
        <v>116</v>
      </c>
      <c r="C56" s="2">
        <v>88306.7</v>
      </c>
      <c r="D56" s="7">
        <f>Table1_1[[#This Row],[Value]]/C6</f>
        <v>0.71811988845996522</v>
      </c>
      <c r="E56" s="6">
        <f>(Table1_1[[#This Row],[Value]]-C55)/C55</f>
        <v>9.236798256302288E-2</v>
      </c>
      <c r="F56" s="6"/>
    </row>
    <row r="57" spans="1:6" x14ac:dyDescent="0.3">
      <c r="A57" s="1" t="s">
        <v>126</v>
      </c>
      <c r="B57" s="2" t="s">
        <v>117</v>
      </c>
      <c r="C57" s="2">
        <v>88462.9</v>
      </c>
      <c r="D57" s="7">
        <f>Table1_1[[#This Row],[Value]]/C7</f>
        <v>0.74026230501388668</v>
      </c>
      <c r="E57" s="6">
        <f>(Table1_1[[#This Row],[Value]]-C56)/C56</f>
        <v>1.7688352072945438E-3</v>
      </c>
      <c r="F57" s="6"/>
    </row>
    <row r="58" spans="1:6" x14ac:dyDescent="0.3">
      <c r="A58" s="1" t="s">
        <v>126</v>
      </c>
      <c r="B58" s="2" t="s">
        <v>118</v>
      </c>
      <c r="C58" s="2">
        <v>96581</v>
      </c>
      <c r="D58" s="7">
        <f>Table1_1[[#This Row],[Value]]/C8</f>
        <v>0.73420725746248794</v>
      </c>
      <c r="E58" s="6">
        <f>(Table1_1[[#This Row],[Value]]-C57)/C57</f>
        <v>9.1768413651372574E-2</v>
      </c>
      <c r="F58" s="6"/>
    </row>
    <row r="59" spans="1:6" x14ac:dyDescent="0.3">
      <c r="A59" s="1" t="s">
        <v>126</v>
      </c>
      <c r="B59" s="2" t="s">
        <v>119</v>
      </c>
      <c r="C59" s="2">
        <v>106536.7</v>
      </c>
      <c r="D59" s="7">
        <f>Table1_1[[#This Row],[Value]]/C9</f>
        <v>0.76400790278569608</v>
      </c>
      <c r="E59" s="6">
        <f>(Table1_1[[#This Row],[Value]]-C58)/C58</f>
        <v>0.10308135140452053</v>
      </c>
      <c r="F59" s="6"/>
    </row>
    <row r="60" spans="1:6" x14ac:dyDescent="0.3">
      <c r="A60" s="1" t="s">
        <v>126</v>
      </c>
      <c r="B60" s="2" t="s">
        <v>120</v>
      </c>
      <c r="C60" s="2">
        <v>117426.2</v>
      </c>
      <c r="D60" s="7">
        <f>Table1_1[[#This Row],[Value]]/C10</f>
        <v>0.78423308564933236</v>
      </c>
      <c r="E60" s="6">
        <f>(Table1_1[[#This Row],[Value]]-C59)/C59</f>
        <v>0.10221360338737731</v>
      </c>
      <c r="F60" s="6"/>
    </row>
    <row r="61" spans="1:6" x14ac:dyDescent="0.3">
      <c r="A61" s="1" t="s">
        <v>126</v>
      </c>
      <c r="B61" s="2" t="s">
        <v>121</v>
      </c>
      <c r="C61" s="2">
        <v>127009.3</v>
      </c>
      <c r="D61" s="7">
        <f>Table1_1[[#This Row],[Value]]/C11</f>
        <v>0.79499764021917796</v>
      </c>
      <c r="E61" s="6">
        <f>(Table1_1[[#This Row],[Value]]-C60)/C60</f>
        <v>8.1609555618763152E-2</v>
      </c>
      <c r="F61" s="6"/>
    </row>
    <row r="62" spans="1:6" x14ac:dyDescent="0.3">
      <c r="A62" s="1" t="s">
        <v>127</v>
      </c>
      <c r="B62" s="2" t="s">
        <v>107</v>
      </c>
      <c r="C62" s="2">
        <v>18841.8</v>
      </c>
      <c r="D62" s="7">
        <f>Table1_1[[#This Row],[Value]]/C2</f>
        <v>0.20981445888853503</v>
      </c>
      <c r="E62" s="6"/>
      <c r="F62" s="6"/>
    </row>
    <row r="63" spans="1:6" x14ac:dyDescent="0.3">
      <c r="A63" s="1" t="s">
        <v>127</v>
      </c>
      <c r="B63" s="2" t="s">
        <v>113</v>
      </c>
      <c r="C63" s="2">
        <v>19531.5</v>
      </c>
      <c r="D63" s="7">
        <f>Table1_1[[#This Row],[Value]]/C3</f>
        <v>0.2049757101973094</v>
      </c>
      <c r="E63" s="6">
        <f>(Table1_1[[#This Row],[Value]]-C62)/C62</f>
        <v>3.6604782982517632E-2</v>
      </c>
      <c r="F63" s="6"/>
    </row>
    <row r="64" spans="1:6" x14ac:dyDescent="0.3">
      <c r="A64" s="1" t="s">
        <v>127</v>
      </c>
      <c r="B64" s="2" t="s">
        <v>114</v>
      </c>
      <c r="C64" s="2">
        <v>20449.5</v>
      </c>
      <c r="D64" s="7">
        <f>Table1_1[[#This Row],[Value]]/C4</f>
        <v>0.20046269293167926</v>
      </c>
      <c r="E64" s="6">
        <f>(Table1_1[[#This Row],[Value]]-C63)/C63</f>
        <v>4.7000998387220647E-2</v>
      </c>
      <c r="F64" s="6"/>
    </row>
    <row r="65" spans="1:8" x14ac:dyDescent="0.3">
      <c r="A65" s="1" t="s">
        <v>127</v>
      </c>
      <c r="B65" s="2" t="s">
        <v>115</v>
      </c>
      <c r="C65" s="2">
        <v>22146.1</v>
      </c>
      <c r="D65" s="7">
        <f>Table1_1[[#This Row],[Value]]/C5</f>
        <v>0.19600833735302317</v>
      </c>
      <c r="E65" s="6">
        <f>(Table1_1[[#This Row],[Value]]-C64)/C64</f>
        <v>8.2965353676128936E-2</v>
      </c>
      <c r="F65" s="6"/>
    </row>
    <row r="66" spans="1:8" x14ac:dyDescent="0.3">
      <c r="A66" s="1" t="s">
        <v>127</v>
      </c>
      <c r="B66" s="2" t="s">
        <v>116</v>
      </c>
      <c r="C66" s="2">
        <v>23898.7</v>
      </c>
      <c r="D66" s="7">
        <f>Table1_1[[#This Row],[Value]]/C6</f>
        <v>0.19434688170136774</v>
      </c>
      <c r="E66" s="6">
        <f>(Table1_1[[#This Row],[Value]]-C65)/C65</f>
        <v>7.9138087518795738E-2</v>
      </c>
      <c r="F66" s="6"/>
    </row>
    <row r="67" spans="1:8" x14ac:dyDescent="0.3">
      <c r="A67" s="1" t="s">
        <v>127</v>
      </c>
      <c r="B67" s="2" t="s">
        <v>117</v>
      </c>
      <c r="C67" s="2">
        <v>18935.8</v>
      </c>
      <c r="D67" s="7">
        <f>Table1_1[[#This Row],[Value]]/C7</f>
        <v>0.15845579282707165</v>
      </c>
      <c r="E67" s="6">
        <f>(Table1_1[[#This Row],[Value]]-C66)/C66</f>
        <v>-0.20766401519747943</v>
      </c>
      <c r="F67" s="6"/>
    </row>
    <row r="68" spans="1:8" x14ac:dyDescent="0.3">
      <c r="A68" s="1" t="s">
        <v>127</v>
      </c>
      <c r="B68" s="2" t="s">
        <v>118</v>
      </c>
      <c r="C68" s="2">
        <v>20857.599999999999</v>
      </c>
      <c r="D68" s="7">
        <f>Table1_1[[#This Row],[Value]]/C8</f>
        <v>0.15855915028058923</v>
      </c>
      <c r="E68" s="6">
        <f>(Table1_1[[#This Row],[Value]]-C67)/C67</f>
        <v>0.10149029879910008</v>
      </c>
      <c r="F68" s="6"/>
    </row>
    <row r="69" spans="1:8" x14ac:dyDescent="0.3">
      <c r="A69" s="1" t="s">
        <v>127</v>
      </c>
      <c r="B69" s="2" t="s">
        <v>119</v>
      </c>
      <c r="C69" s="2">
        <v>22750.1</v>
      </c>
      <c r="D69" s="7">
        <f>Table1_1[[#This Row],[Value]]/C9</f>
        <v>0.16314806249081173</v>
      </c>
      <c r="E69" s="6">
        <f>(Table1_1[[#This Row],[Value]]-C68)/C68</f>
        <v>9.073431267259896E-2</v>
      </c>
      <c r="F69" s="6"/>
    </row>
    <row r="70" spans="1:8" x14ac:dyDescent="0.3">
      <c r="A70" s="1" t="s">
        <v>127</v>
      </c>
      <c r="B70" s="2" t="s">
        <v>120</v>
      </c>
      <c r="C70" s="2">
        <v>23563.4</v>
      </c>
      <c r="D70" s="7">
        <f>Table1_1[[#This Row],[Value]]/C10</f>
        <v>0.15736861016016426</v>
      </c>
      <c r="E70" s="6">
        <f>(Table1_1[[#This Row],[Value]]-C69)/C69</f>
        <v>3.5749293409699429E-2</v>
      </c>
      <c r="F70" s="6"/>
    </row>
    <row r="71" spans="1:8" x14ac:dyDescent="0.3">
      <c r="A71" s="1" t="s">
        <v>127</v>
      </c>
      <c r="B71" s="2" t="s">
        <v>121</v>
      </c>
      <c r="C71" s="2">
        <v>24302.2</v>
      </c>
      <c r="D71" s="7">
        <f>Table1_1[[#This Row],[Value]]/C11</f>
        <v>0.15211635409481436</v>
      </c>
      <c r="E71" s="6">
        <f>(Table1_1[[#This Row],[Value]]-C70)/C70</f>
        <v>3.1353709566531114E-2</v>
      </c>
      <c r="F71" s="6"/>
    </row>
    <row r="72" spans="1:8" x14ac:dyDescent="0.3">
      <c r="A72" s="1" t="s">
        <v>128</v>
      </c>
      <c r="B72" s="2" t="s">
        <v>107</v>
      </c>
      <c r="C72" s="2">
        <v>680.3</v>
      </c>
      <c r="D72" s="7">
        <f>Table1_1[[#This Row],[Value]]/C2</f>
        <v>7.5755382384841349E-3</v>
      </c>
      <c r="E72" s="6"/>
      <c r="F72" s="6"/>
      <c r="H72" s="6"/>
    </row>
    <row r="73" spans="1:8" x14ac:dyDescent="0.3">
      <c r="A73" s="1" t="s">
        <v>128</v>
      </c>
      <c r="B73" s="2" t="s">
        <v>113</v>
      </c>
      <c r="C73" s="2">
        <v>-21.5</v>
      </c>
      <c r="D73" s="7">
        <f>Table1_1[[#This Row],[Value]]/C3</f>
        <v>-2.2563437366521528E-4</v>
      </c>
      <c r="E73" s="6"/>
      <c r="F73" s="6"/>
    </row>
    <row r="74" spans="1:8" x14ac:dyDescent="0.3">
      <c r="A74" s="1" t="s">
        <v>128</v>
      </c>
      <c r="B74" s="2" t="s">
        <v>114</v>
      </c>
      <c r="C74" s="2">
        <v>1273.4000000000001</v>
      </c>
      <c r="D74" s="7">
        <f>Table1_1[[#This Row],[Value]]/C4</f>
        <v>1.2482906338991193E-2</v>
      </c>
      <c r="E74" s="6"/>
      <c r="F74" s="6"/>
    </row>
    <row r="75" spans="1:8" x14ac:dyDescent="0.3">
      <c r="A75" s="1" t="s">
        <v>128</v>
      </c>
      <c r="B75" s="2" t="s">
        <v>115</v>
      </c>
      <c r="C75" s="2">
        <v>3799.4</v>
      </c>
      <c r="D75" s="7">
        <f>Table1_1[[#This Row],[Value]]/C5</f>
        <v>3.3627323860141348E-2</v>
      </c>
      <c r="E75" s="6"/>
      <c r="F75" s="6"/>
    </row>
    <row r="76" spans="1:8" x14ac:dyDescent="0.3">
      <c r="A76" s="1" t="s">
        <v>128</v>
      </c>
      <c r="B76" s="2" t="s">
        <v>116</v>
      </c>
      <c r="C76" s="2">
        <v>453.4</v>
      </c>
      <c r="D76" s="7">
        <f>Table1_1[[#This Row],[Value]]/C6</f>
        <v>3.687099137752268E-3</v>
      </c>
      <c r="E76" s="6"/>
      <c r="F76" s="6"/>
    </row>
    <row r="77" spans="1:8" x14ac:dyDescent="0.3">
      <c r="A77" s="1" t="s">
        <v>128</v>
      </c>
      <c r="B77" s="2" t="s">
        <v>117</v>
      </c>
      <c r="C77" s="2">
        <v>-3773.1</v>
      </c>
      <c r="D77" s="7">
        <f>Table1_1[[#This Row],[Value]]/C7</f>
        <v>-3.1573503729223164E-2</v>
      </c>
      <c r="E77" s="6"/>
      <c r="F77" s="6"/>
    </row>
    <row r="78" spans="1:8" x14ac:dyDescent="0.3">
      <c r="A78" s="1" t="s">
        <v>128</v>
      </c>
      <c r="B78" s="2" t="s">
        <v>118</v>
      </c>
      <c r="C78" s="2">
        <v>-13.2</v>
      </c>
      <c r="D78" s="7">
        <f>Table1_1[[#This Row],[Value]]/C8</f>
        <v>-1.0034619437057849E-4</v>
      </c>
      <c r="E78" s="6"/>
      <c r="F78" s="6"/>
    </row>
    <row r="79" spans="1:8" x14ac:dyDescent="0.3">
      <c r="A79" s="1" t="s">
        <v>128</v>
      </c>
      <c r="B79" s="2" t="s">
        <v>119</v>
      </c>
      <c r="C79" s="2">
        <v>500.6</v>
      </c>
      <c r="D79" s="7">
        <f>Table1_1[[#This Row],[Value]]/C9</f>
        <v>3.5899587291001083E-3</v>
      </c>
      <c r="E79" s="6"/>
      <c r="F79" s="6"/>
    </row>
    <row r="80" spans="1:8" x14ac:dyDescent="0.3">
      <c r="A80" s="1" t="s">
        <v>128</v>
      </c>
      <c r="B80" s="2" t="s">
        <v>120</v>
      </c>
      <c r="C80" s="2">
        <v>-11273.3</v>
      </c>
      <c r="D80" s="7">
        <f>Table1_1[[#This Row],[Value]]/C10</f>
        <v>-7.528894611637453E-2</v>
      </c>
      <c r="E80" s="6"/>
      <c r="F80" s="6"/>
    </row>
    <row r="81" spans="1:6" x14ac:dyDescent="0.3">
      <c r="A81" s="1" t="s">
        <v>128</v>
      </c>
      <c r="B81" s="2" t="s">
        <v>121</v>
      </c>
      <c r="C81" s="2">
        <v>-11747.9</v>
      </c>
      <c r="D81" s="7">
        <f>Table1_1[[#This Row],[Value]]/C11</f>
        <v>-7.3534400847267714E-2</v>
      </c>
      <c r="E81" s="6"/>
      <c r="F81" s="6"/>
    </row>
    <row r="82" spans="1:6" x14ac:dyDescent="0.3">
      <c r="A82" s="1" t="s">
        <v>129</v>
      </c>
      <c r="B82" s="2" t="s">
        <v>107</v>
      </c>
      <c r="C82" s="2">
        <v>99185.5</v>
      </c>
      <c r="D82" s="7">
        <f>Table1_1[[#This Row],[Value]]/C2</f>
        <v>1.1044885314613673</v>
      </c>
      <c r="E82" s="6"/>
      <c r="F82" s="6"/>
    </row>
    <row r="83" spans="1:6" x14ac:dyDescent="0.3">
      <c r="A83" s="1" t="s">
        <v>129</v>
      </c>
      <c r="B83" s="2" t="s">
        <v>113</v>
      </c>
      <c r="C83" s="2">
        <v>105294.1</v>
      </c>
      <c r="D83" s="7">
        <f>Table1_1[[#This Row],[Value]]/C3</f>
        <v>1.1050217815880254</v>
      </c>
      <c r="E83" s="6"/>
      <c r="F83" s="6"/>
    </row>
    <row r="84" spans="1:6" x14ac:dyDescent="0.3">
      <c r="A84" s="1" t="s">
        <v>129</v>
      </c>
      <c r="B84" s="2" t="s">
        <v>114</v>
      </c>
      <c r="C84" s="2">
        <v>114627.9</v>
      </c>
      <c r="D84" s="7">
        <f>Table1_1[[#This Row],[Value]]/C4</f>
        <v>1.1236762521872534</v>
      </c>
      <c r="E84" s="6"/>
      <c r="F84" s="6"/>
    </row>
    <row r="85" spans="1:6" x14ac:dyDescent="0.3">
      <c r="A85" s="1" t="s">
        <v>129</v>
      </c>
      <c r="B85" s="2" t="s">
        <v>115</v>
      </c>
      <c r="C85" s="2">
        <v>127561</v>
      </c>
      <c r="D85" s="7">
        <f>Table1_1[[#This Row],[Value]]/C5</f>
        <v>1.1290032791818418</v>
      </c>
      <c r="E85" s="6"/>
      <c r="F85" s="6"/>
    </row>
    <row r="86" spans="1:6" x14ac:dyDescent="0.3">
      <c r="A86" s="1" t="s">
        <v>129</v>
      </c>
      <c r="B86" s="2" t="s">
        <v>116</v>
      </c>
      <c r="C86" s="2">
        <v>135797.29999999999</v>
      </c>
      <c r="D86" s="7">
        <f>Table1_1[[#This Row],[Value]]/C6</f>
        <v>1.1043187202008955</v>
      </c>
      <c r="E86" s="6"/>
      <c r="F86" s="6"/>
    </row>
    <row r="87" spans="1:6" x14ac:dyDescent="0.3">
      <c r="A87" s="1" t="s">
        <v>129</v>
      </c>
      <c r="B87" s="2" t="s">
        <v>117</v>
      </c>
      <c r="C87" s="2">
        <v>129480.2</v>
      </c>
      <c r="D87" s="7">
        <f>Table1_1[[#This Row],[Value]]/C7</f>
        <v>1.0834972774537015</v>
      </c>
      <c r="E87" s="6"/>
      <c r="F87" s="6"/>
    </row>
    <row r="88" spans="1:6" x14ac:dyDescent="0.3">
      <c r="A88" s="1" t="s">
        <v>129</v>
      </c>
      <c r="B88" s="2" t="s">
        <v>118</v>
      </c>
      <c r="C88" s="2">
        <v>144795</v>
      </c>
      <c r="D88" s="7">
        <f>Table1_1[[#This Row],[Value]]/C8</f>
        <v>1.1007293343854478</v>
      </c>
      <c r="E88" s="6"/>
      <c r="F88" s="6"/>
    </row>
    <row r="89" spans="1:6" x14ac:dyDescent="0.3">
      <c r="A89" s="1" t="s">
        <v>129</v>
      </c>
      <c r="B89" s="2" t="s">
        <v>119</v>
      </c>
      <c r="C89" s="2">
        <v>158191.20000000001</v>
      </c>
      <c r="D89" s="7">
        <f>Table1_1[[#This Row],[Value]]/C9</f>
        <v>1.1344384324946486</v>
      </c>
      <c r="E89" s="6"/>
      <c r="F89" s="6"/>
    </row>
    <row r="90" spans="1:6" x14ac:dyDescent="0.3">
      <c r="A90" s="1" t="s">
        <v>129</v>
      </c>
      <c r="B90" s="2" t="s">
        <v>120</v>
      </c>
      <c r="C90" s="2">
        <v>158792.79999999999</v>
      </c>
      <c r="D90" s="7">
        <f>Table1_1[[#This Row],[Value]]/C10</f>
        <v>1.0605007019123271</v>
      </c>
      <c r="E90" s="6"/>
      <c r="F90" s="6"/>
    </row>
    <row r="91" spans="1:6" x14ac:dyDescent="0.3">
      <c r="A91" s="1" t="s">
        <v>129</v>
      </c>
      <c r="B91" s="2" t="s">
        <v>121</v>
      </c>
      <c r="C91" s="2">
        <v>169817.9</v>
      </c>
      <c r="D91" s="7">
        <f>Table1_1[[#This Row],[Value]]/C11</f>
        <v>1.0629523174049171</v>
      </c>
      <c r="E91" s="6"/>
      <c r="F91" s="6"/>
    </row>
    <row r="92" spans="1:6" x14ac:dyDescent="0.3">
      <c r="A92" s="2" t="s">
        <v>130</v>
      </c>
      <c r="B92" s="2" t="s">
        <v>107</v>
      </c>
      <c r="C92" s="2">
        <v>34483.9</v>
      </c>
      <c r="D92" s="7">
        <f>Table1_1[[#This Row],[Value]]/C2</f>
        <v>0.3839983875673425</v>
      </c>
      <c r="E92" s="6"/>
      <c r="F92" s="6"/>
    </row>
    <row r="93" spans="1:6" x14ac:dyDescent="0.3">
      <c r="A93" s="2" t="s">
        <v>130</v>
      </c>
      <c r="B93" s="2" t="s">
        <v>113</v>
      </c>
      <c r="C93" s="2">
        <v>36490.400000000001</v>
      </c>
      <c r="D93" s="7">
        <f>Table1_1[[#This Row],[Value]]/C3</f>
        <v>0.38295295575782196</v>
      </c>
      <c r="E93" s="6">
        <f>(Table1_1[[#This Row],[Ratio]]-D92)/D92</f>
        <v>-2.7224901024804639E-3</v>
      </c>
      <c r="F93" s="6"/>
    </row>
    <row r="94" spans="1:6" x14ac:dyDescent="0.3">
      <c r="A94" s="2" t="s">
        <v>130</v>
      </c>
      <c r="B94" s="2" t="s">
        <v>114</v>
      </c>
      <c r="C94" s="2">
        <v>42560</v>
      </c>
      <c r="D94" s="7">
        <f>Table1_1[[#This Row],[Value]]/C4</f>
        <v>0.41720786381927527</v>
      </c>
      <c r="E94" s="6">
        <f>(Table1_1[[#This Row],[Ratio]]-D93)/D93</f>
        <v>8.9449389399976306E-2</v>
      </c>
      <c r="F94" s="6"/>
    </row>
    <row r="95" spans="1:6" x14ac:dyDescent="0.3">
      <c r="A95" s="2" t="s">
        <v>130</v>
      </c>
      <c r="B95" s="2" t="s">
        <v>115</v>
      </c>
      <c r="C95" s="2">
        <v>51392.3</v>
      </c>
      <c r="D95" s="7">
        <f>Table1_1[[#This Row],[Value]]/C5</f>
        <v>0.45485748171225515</v>
      </c>
      <c r="E95" s="6">
        <f>(Table1_1[[#This Row],[Ratio]]-D94)/D94</f>
        <v>9.0241870199476437E-2</v>
      </c>
      <c r="F95" s="6"/>
    </row>
    <row r="96" spans="1:6" x14ac:dyDescent="0.3">
      <c r="A96" s="2" t="s">
        <v>130</v>
      </c>
      <c r="B96" s="2" t="s">
        <v>116</v>
      </c>
      <c r="C96" s="2">
        <v>56504.800000000003</v>
      </c>
      <c r="D96" s="7">
        <f>Table1_1[[#This Row],[Value]]/C6</f>
        <v>0.45950330692294744</v>
      </c>
      <c r="E96" s="6">
        <f>(Table1_1[[#This Row],[Ratio]]-D95)/D95</f>
        <v>1.0213804097942175E-2</v>
      </c>
      <c r="F96" s="6"/>
    </row>
    <row r="97" spans="1:6" x14ac:dyDescent="0.3">
      <c r="A97" s="2" t="s">
        <v>130</v>
      </c>
      <c r="B97" s="2" t="s">
        <v>117</v>
      </c>
      <c r="C97" s="2">
        <v>45401</v>
      </c>
      <c r="D97" s="7">
        <f>Table1_1[[#This Row],[Value]]/C7</f>
        <v>0.37991800980903262</v>
      </c>
      <c r="E97" s="6">
        <f>(Table1_1[[#This Row],[Ratio]]-D96)/D96</f>
        <v>-0.1731985296185479</v>
      </c>
      <c r="F97" s="6"/>
    </row>
    <row r="98" spans="1:6" x14ac:dyDescent="0.3">
      <c r="A98" s="2" t="s">
        <v>130</v>
      </c>
      <c r="B98" s="2" t="s">
        <v>118</v>
      </c>
      <c r="C98" s="2">
        <v>54959.6</v>
      </c>
      <c r="D98" s="7">
        <f>Table1_1[[#This Row],[Value]]/C8</f>
        <v>0.41780202304009434</v>
      </c>
      <c r="E98" s="6">
        <f>(Table1_1[[#This Row],[Ratio]]-D97)/D97</f>
        <v>9.9716286811736762E-2</v>
      </c>
      <c r="F98" s="6"/>
    </row>
    <row r="99" spans="1:6" x14ac:dyDescent="0.3">
      <c r="A99" s="2" t="s">
        <v>130</v>
      </c>
      <c r="B99" s="2" t="s">
        <v>119</v>
      </c>
      <c r="C99" s="2">
        <v>71571.199999999997</v>
      </c>
      <c r="D99" s="7">
        <f>Table1_1[[#This Row],[Value]]/C9</f>
        <v>0.51325939710780988</v>
      </c>
      <c r="E99" s="6">
        <f>(Table1_1[[#This Row],[Ratio]]-D98)/D98</f>
        <v>0.22847513607791933</v>
      </c>
      <c r="F99" s="6"/>
    </row>
    <row r="100" spans="1:6" x14ac:dyDescent="0.3">
      <c r="A100" s="2" t="s">
        <v>130</v>
      </c>
      <c r="B100" s="2" t="s">
        <v>120</v>
      </c>
      <c r="C100" s="2">
        <v>79417.899999999994</v>
      </c>
      <c r="D100" s="7">
        <f>Table1_1[[#This Row],[Value]]/C10</f>
        <v>0.53039393911060828</v>
      </c>
      <c r="E100" s="6">
        <f>(Table1_1[[#This Row],[Ratio]]-D99)/D99</f>
        <v>3.3383786247949201E-2</v>
      </c>
      <c r="F100" s="6"/>
    </row>
    <row r="101" spans="1:6" x14ac:dyDescent="0.3">
      <c r="A101" s="2" t="s">
        <v>130</v>
      </c>
      <c r="B101" s="2" t="s">
        <v>121</v>
      </c>
      <c r="C101" s="2">
        <v>79883</v>
      </c>
      <c r="D101" s="7">
        <f>Table1_1[[#This Row],[Value]]/C11</f>
        <v>0.50001690028705448</v>
      </c>
      <c r="E101" s="6">
        <f>(Table1_1[[#This Row],[Ratio]]-D100)/D100</f>
        <v>-5.7272597938226026E-2</v>
      </c>
      <c r="F101" s="6"/>
    </row>
  </sheetData>
  <mergeCells count="1">
    <mergeCell ref="I1:K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96FE-FDE9-4683-BEA4-DCBE188F8DCB}">
  <dimension ref="A1:C166"/>
  <sheetViews>
    <sheetView workbookViewId="0">
      <selection activeCell="A112" sqref="A112:A166"/>
    </sheetView>
  </sheetViews>
  <sheetFormatPr defaultRowHeight="14.4" x14ac:dyDescent="0.3"/>
  <cols>
    <col min="1" max="1" width="37.44140625" bestFit="1" customWidth="1"/>
  </cols>
  <sheetData>
    <row r="1" spans="1:3" x14ac:dyDescent="0.3">
      <c r="A1" s="2" t="s">
        <v>131</v>
      </c>
      <c r="B1" s="2" t="s">
        <v>1</v>
      </c>
      <c r="C1" s="2" t="s">
        <v>101</v>
      </c>
    </row>
    <row r="2" spans="1:3" x14ac:dyDescent="0.3">
      <c r="A2" s="2" t="s">
        <v>295</v>
      </c>
      <c r="B2" s="2" t="s">
        <v>132</v>
      </c>
      <c r="C2" s="2"/>
    </row>
    <row r="3" spans="1:3" x14ac:dyDescent="0.3">
      <c r="A3" s="2" t="s">
        <v>295</v>
      </c>
      <c r="B3" s="2" t="s">
        <v>16</v>
      </c>
      <c r="C3" s="2">
        <v>3844.6</v>
      </c>
    </row>
    <row r="4" spans="1:3" x14ac:dyDescent="0.3">
      <c r="A4" s="2" t="s">
        <v>295</v>
      </c>
      <c r="B4" s="2" t="s">
        <v>17</v>
      </c>
      <c r="C4" s="2">
        <v>3909.1</v>
      </c>
    </row>
    <row r="5" spans="1:3" x14ac:dyDescent="0.3">
      <c r="A5" s="2" t="s">
        <v>295</v>
      </c>
      <c r="B5" s="2" t="s">
        <v>18</v>
      </c>
      <c r="C5" s="2">
        <v>3916.9</v>
      </c>
    </row>
    <row r="6" spans="1:3" x14ac:dyDescent="0.3">
      <c r="A6" s="2" t="s">
        <v>295</v>
      </c>
      <c r="B6" s="2" t="s">
        <v>19</v>
      </c>
      <c r="C6" s="2">
        <v>3923.2</v>
      </c>
    </row>
    <row r="7" spans="1:3" x14ac:dyDescent="0.3">
      <c r="A7" s="2" t="s">
        <v>295</v>
      </c>
      <c r="B7" s="2" t="s">
        <v>20</v>
      </c>
      <c r="C7" s="2">
        <v>3907.9</v>
      </c>
    </row>
    <row r="8" spans="1:3" x14ac:dyDescent="0.3">
      <c r="A8" s="2" t="s">
        <v>295</v>
      </c>
      <c r="B8" s="2" t="s">
        <v>21</v>
      </c>
      <c r="C8" s="2">
        <v>3909.6</v>
      </c>
    </row>
    <row r="9" spans="1:3" x14ac:dyDescent="0.3">
      <c r="A9" s="2" t="s">
        <v>295</v>
      </c>
      <c r="B9" s="2" t="s">
        <v>22</v>
      </c>
      <c r="C9" s="2">
        <v>3927.3</v>
      </c>
    </row>
    <row r="10" spans="1:3" x14ac:dyDescent="0.3">
      <c r="A10" s="2" t="s">
        <v>295</v>
      </c>
      <c r="B10" s="2" t="s">
        <v>23</v>
      </c>
      <c r="C10" s="2">
        <v>3943.7</v>
      </c>
    </row>
    <row r="11" spans="1:3" x14ac:dyDescent="0.3">
      <c r="A11" s="2" t="s">
        <v>295</v>
      </c>
      <c r="B11" s="2" t="s">
        <v>24</v>
      </c>
      <c r="C11" s="2">
        <v>3961.8</v>
      </c>
    </row>
    <row r="12" spans="1:3" x14ac:dyDescent="0.3">
      <c r="A12" s="2" t="s">
        <v>295</v>
      </c>
      <c r="B12" s="2" t="s">
        <v>25</v>
      </c>
      <c r="C12" s="2">
        <v>3978.6</v>
      </c>
    </row>
    <row r="13" spans="1:3" x14ac:dyDescent="0.3">
      <c r="A13" s="2" t="s">
        <v>295</v>
      </c>
      <c r="B13" s="2" t="s">
        <v>26</v>
      </c>
      <c r="C13" s="2">
        <v>3998.3</v>
      </c>
    </row>
    <row r="14" spans="1:3" x14ac:dyDescent="0.3">
      <c r="A14" s="2" t="s">
        <v>295</v>
      </c>
      <c r="B14" s="2" t="s">
        <v>27</v>
      </c>
      <c r="C14" s="2">
        <v>3866.5</v>
      </c>
    </row>
    <row r="15" spans="1:3" x14ac:dyDescent="0.3">
      <c r="A15" s="2" t="s">
        <v>295</v>
      </c>
      <c r="B15" s="2" t="s">
        <v>28</v>
      </c>
      <c r="C15" s="2">
        <v>4002</v>
      </c>
    </row>
    <row r="16" spans="1:3" x14ac:dyDescent="0.3">
      <c r="A16" s="2" t="s">
        <v>295</v>
      </c>
      <c r="B16" s="2" t="s">
        <v>29</v>
      </c>
      <c r="C16" s="2">
        <v>4014.2</v>
      </c>
    </row>
    <row r="17" spans="1:3" x14ac:dyDescent="0.3">
      <c r="A17" s="2" t="s">
        <v>295</v>
      </c>
      <c r="B17" s="2" t="s">
        <v>30</v>
      </c>
      <c r="C17" s="2">
        <v>4000</v>
      </c>
    </row>
    <row r="18" spans="1:3" x14ac:dyDescent="0.3">
      <c r="A18" s="2" t="s">
        <v>295</v>
      </c>
      <c r="B18" s="2" t="s">
        <v>31</v>
      </c>
      <c r="C18" s="2">
        <v>3991.4</v>
      </c>
    </row>
    <row r="19" spans="1:3" x14ac:dyDescent="0.3">
      <c r="A19" s="2" t="s">
        <v>295</v>
      </c>
      <c r="B19" s="2" t="s">
        <v>32</v>
      </c>
      <c r="C19" s="2">
        <v>4004.2</v>
      </c>
    </row>
    <row r="20" spans="1:3" x14ac:dyDescent="0.3">
      <c r="A20" s="2" t="s">
        <v>295</v>
      </c>
      <c r="B20" s="2" t="s">
        <v>33</v>
      </c>
      <c r="C20" s="2">
        <v>4020.8</v>
      </c>
    </row>
    <row r="21" spans="1:3" x14ac:dyDescent="0.3">
      <c r="A21" s="2" t="s">
        <v>295</v>
      </c>
      <c r="B21" s="2" t="s">
        <v>34</v>
      </c>
      <c r="C21" s="2">
        <v>4037.4</v>
      </c>
    </row>
    <row r="22" spans="1:3" x14ac:dyDescent="0.3">
      <c r="A22" s="2" t="s">
        <v>295</v>
      </c>
      <c r="B22" s="2" t="s">
        <v>35</v>
      </c>
      <c r="C22" s="2">
        <v>4047.1</v>
      </c>
    </row>
    <row r="23" spans="1:3" x14ac:dyDescent="0.3">
      <c r="A23" s="2" t="s">
        <v>295</v>
      </c>
      <c r="B23" s="2" t="s">
        <v>36</v>
      </c>
      <c r="C23" s="2">
        <v>4055.9</v>
      </c>
    </row>
    <row r="24" spans="1:3" x14ac:dyDescent="0.3">
      <c r="A24" s="2" t="s">
        <v>295</v>
      </c>
      <c r="B24" s="2" t="s">
        <v>37</v>
      </c>
      <c r="C24" s="2">
        <v>4069.2</v>
      </c>
    </row>
    <row r="25" spans="1:3" x14ac:dyDescent="0.3">
      <c r="A25" s="2" t="s">
        <v>295</v>
      </c>
      <c r="B25" s="2" t="s">
        <v>38</v>
      </c>
      <c r="C25" s="2">
        <v>4077.1</v>
      </c>
    </row>
    <row r="26" spans="1:3" x14ac:dyDescent="0.3">
      <c r="A26" s="2" t="s">
        <v>295</v>
      </c>
      <c r="B26" s="2" t="s">
        <v>39</v>
      </c>
      <c r="C26" s="2">
        <v>4084.2</v>
      </c>
    </row>
    <row r="27" spans="1:3" x14ac:dyDescent="0.3">
      <c r="A27" s="2" t="s">
        <v>295</v>
      </c>
      <c r="B27" s="2" t="s">
        <v>40</v>
      </c>
      <c r="C27" s="2">
        <v>4100.8</v>
      </c>
    </row>
    <row r="28" spans="1:3" x14ac:dyDescent="0.3">
      <c r="A28" s="2" t="s">
        <v>295</v>
      </c>
      <c r="B28" s="2" t="s">
        <v>41</v>
      </c>
      <c r="C28" s="2">
        <v>4119</v>
      </c>
    </row>
    <row r="29" spans="1:3" x14ac:dyDescent="0.3">
      <c r="A29" s="2" t="s">
        <v>295</v>
      </c>
      <c r="B29" s="2" t="s">
        <v>42</v>
      </c>
      <c r="C29" s="2">
        <v>4126.1000000000004</v>
      </c>
    </row>
    <row r="30" spans="1:3" x14ac:dyDescent="0.3">
      <c r="A30" s="2" t="s">
        <v>295</v>
      </c>
      <c r="B30" s="2" t="s">
        <v>43</v>
      </c>
      <c r="C30" s="2">
        <v>4135.7</v>
      </c>
    </row>
    <row r="31" spans="1:3" x14ac:dyDescent="0.3">
      <c r="A31" s="2" t="s">
        <v>295</v>
      </c>
      <c r="B31" s="2" t="s">
        <v>44</v>
      </c>
      <c r="C31" s="2">
        <v>4145.5</v>
      </c>
    </row>
    <row r="32" spans="1:3" x14ac:dyDescent="0.3">
      <c r="A32" s="2" t="s">
        <v>295</v>
      </c>
      <c r="B32" s="2" t="s">
        <v>45</v>
      </c>
      <c r="C32" s="2">
        <v>4152.5</v>
      </c>
    </row>
    <row r="33" spans="1:3" x14ac:dyDescent="0.3">
      <c r="A33" s="2" t="s">
        <v>295</v>
      </c>
      <c r="B33" s="2" t="s">
        <v>46</v>
      </c>
      <c r="C33" s="2">
        <v>4158.1000000000004</v>
      </c>
    </row>
    <row r="34" spans="1:3" x14ac:dyDescent="0.3">
      <c r="A34" s="2" t="s">
        <v>295</v>
      </c>
      <c r="B34" s="2" t="s">
        <v>47</v>
      </c>
      <c r="C34" s="2">
        <v>4162.8</v>
      </c>
    </row>
    <row r="35" spans="1:3" x14ac:dyDescent="0.3">
      <c r="A35" s="2" t="s">
        <v>295</v>
      </c>
      <c r="B35" s="2" t="s">
        <v>48</v>
      </c>
      <c r="C35" s="2">
        <v>4171.8999999999996</v>
      </c>
    </row>
    <row r="36" spans="1:3" x14ac:dyDescent="0.3">
      <c r="A36" s="2" t="s">
        <v>295</v>
      </c>
      <c r="B36" s="2" t="s">
        <v>49</v>
      </c>
      <c r="C36" s="2">
        <v>4190.3</v>
      </c>
    </row>
    <row r="37" spans="1:3" x14ac:dyDescent="0.3">
      <c r="A37" s="2" t="s">
        <v>295</v>
      </c>
      <c r="B37" s="2" t="s">
        <v>50</v>
      </c>
      <c r="C37" s="2">
        <v>4200.3</v>
      </c>
    </row>
    <row r="38" spans="1:3" x14ac:dyDescent="0.3">
      <c r="A38" s="2" t="s">
        <v>295</v>
      </c>
      <c r="B38" s="2" t="s">
        <v>51</v>
      </c>
      <c r="C38" s="2">
        <v>4151</v>
      </c>
    </row>
    <row r="39" spans="1:3" x14ac:dyDescent="0.3">
      <c r="A39" s="2" t="s">
        <v>295</v>
      </c>
      <c r="B39" s="2" t="s">
        <v>52</v>
      </c>
      <c r="C39" s="2">
        <v>4188.2</v>
      </c>
    </row>
    <row r="40" spans="1:3" x14ac:dyDescent="0.3">
      <c r="A40" s="2" t="s">
        <v>295</v>
      </c>
      <c r="B40" s="2" t="s">
        <v>53</v>
      </c>
      <c r="C40" s="2">
        <v>4159</v>
      </c>
    </row>
    <row r="41" spans="1:3" x14ac:dyDescent="0.3">
      <c r="A41" s="2" t="s">
        <v>295</v>
      </c>
      <c r="B41" s="2" t="s">
        <v>54</v>
      </c>
      <c r="C41" s="2">
        <v>4172</v>
      </c>
    </row>
    <row r="42" spans="1:3" x14ac:dyDescent="0.3">
      <c r="A42" s="2" t="s">
        <v>295</v>
      </c>
      <c r="B42" s="2" t="s">
        <v>55</v>
      </c>
      <c r="C42" s="2">
        <v>4153</v>
      </c>
    </row>
    <row r="43" spans="1:3" x14ac:dyDescent="0.3">
      <c r="A43" s="2" t="s">
        <v>295</v>
      </c>
      <c r="B43" s="2" t="s">
        <v>56</v>
      </c>
      <c r="C43" s="2">
        <v>4142</v>
      </c>
    </row>
    <row r="44" spans="1:3" x14ac:dyDescent="0.3">
      <c r="A44" s="2" t="s">
        <v>295</v>
      </c>
      <c r="B44" s="2" t="s">
        <v>57</v>
      </c>
      <c r="C44" s="2">
        <v>4160</v>
      </c>
    </row>
    <row r="45" spans="1:3" x14ac:dyDescent="0.3">
      <c r="A45" s="2" t="s">
        <v>295</v>
      </c>
      <c r="B45" s="2" t="s">
        <v>58</v>
      </c>
      <c r="C45" s="2">
        <v>4046</v>
      </c>
    </row>
    <row r="46" spans="1:3" x14ac:dyDescent="0.3">
      <c r="A46" s="2" t="s">
        <v>295</v>
      </c>
      <c r="B46" s="2" t="s">
        <v>59</v>
      </c>
      <c r="C46" s="2">
        <v>4081</v>
      </c>
    </row>
    <row r="47" spans="1:3" x14ac:dyDescent="0.3">
      <c r="A47" s="2" t="s">
        <v>295</v>
      </c>
      <c r="B47" s="2" t="s">
        <v>60</v>
      </c>
      <c r="C47" s="2">
        <v>4012</v>
      </c>
    </row>
    <row r="48" spans="1:3" x14ac:dyDescent="0.3">
      <c r="A48" s="2" t="s">
        <v>295</v>
      </c>
      <c r="B48" s="2" t="s">
        <v>61</v>
      </c>
      <c r="C48" s="2">
        <v>4124</v>
      </c>
    </row>
    <row r="49" spans="1:3" x14ac:dyDescent="0.3">
      <c r="A49" s="2" t="s">
        <v>295</v>
      </c>
      <c r="B49" s="2" t="s">
        <v>62</v>
      </c>
      <c r="C49" s="2">
        <v>4078</v>
      </c>
    </row>
    <row r="50" spans="1:3" x14ac:dyDescent="0.3">
      <c r="A50" s="2" t="s">
        <v>295</v>
      </c>
      <c r="B50" s="2" t="s">
        <v>63</v>
      </c>
      <c r="C50" s="2">
        <v>4096</v>
      </c>
    </row>
    <row r="51" spans="1:3" x14ac:dyDescent="0.3">
      <c r="A51" s="2" t="s">
        <v>295</v>
      </c>
      <c r="B51" s="2" t="s">
        <v>64</v>
      </c>
      <c r="C51" s="2">
        <v>4032</v>
      </c>
    </row>
    <row r="52" spans="1:3" x14ac:dyDescent="0.3">
      <c r="A52" s="2" t="s">
        <v>295</v>
      </c>
      <c r="B52" s="2" t="s">
        <v>65</v>
      </c>
      <c r="C52" s="2">
        <v>4084</v>
      </c>
    </row>
    <row r="53" spans="1:3" x14ac:dyDescent="0.3">
      <c r="A53" s="2" t="s">
        <v>295</v>
      </c>
      <c r="B53" s="2" t="s">
        <v>66</v>
      </c>
      <c r="C53" s="2">
        <v>4145</v>
      </c>
    </row>
    <row r="54" spans="1:3" x14ac:dyDescent="0.3">
      <c r="A54" s="2" t="s">
        <v>295</v>
      </c>
      <c r="B54" s="2" t="s">
        <v>67</v>
      </c>
      <c r="C54" s="2">
        <v>4146</v>
      </c>
    </row>
    <row r="55" spans="1:3" x14ac:dyDescent="0.3">
      <c r="A55" s="2" t="s">
        <v>295</v>
      </c>
      <c r="B55" s="2" t="s">
        <v>68</v>
      </c>
      <c r="C55" s="2">
        <v>4179</v>
      </c>
    </row>
    <row r="56" spans="1:3" x14ac:dyDescent="0.3">
      <c r="A56" s="2" t="s">
        <v>295</v>
      </c>
      <c r="B56" s="2" t="s">
        <v>70</v>
      </c>
      <c r="C56" s="2">
        <v>4233.3999999999996</v>
      </c>
    </row>
    <row r="57" spans="1:3" x14ac:dyDescent="0.3">
      <c r="A57" s="2" t="s">
        <v>295</v>
      </c>
      <c r="B57" s="2" t="s">
        <v>132</v>
      </c>
      <c r="C57" s="2"/>
    </row>
    <row r="58" spans="1:3" x14ac:dyDescent="0.3">
      <c r="A58" s="2" t="s">
        <v>296</v>
      </c>
      <c r="B58" s="2" t="s">
        <v>16</v>
      </c>
      <c r="C58" s="2">
        <v>2817.9</v>
      </c>
    </row>
    <row r="59" spans="1:3" x14ac:dyDescent="0.3">
      <c r="A59" s="2" t="s">
        <v>296</v>
      </c>
      <c r="B59" s="2" t="s">
        <v>17</v>
      </c>
      <c r="C59" s="2">
        <v>2842.1</v>
      </c>
    </row>
    <row r="60" spans="1:3" x14ac:dyDescent="0.3">
      <c r="A60" s="2" t="s">
        <v>296</v>
      </c>
      <c r="B60" s="2" t="s">
        <v>18</v>
      </c>
      <c r="C60" s="2">
        <v>2849.7</v>
      </c>
    </row>
    <row r="61" spans="1:3" x14ac:dyDescent="0.3">
      <c r="A61" s="2" t="s">
        <v>296</v>
      </c>
      <c r="B61" s="2" t="s">
        <v>19</v>
      </c>
      <c r="C61" s="2">
        <v>2852.3</v>
      </c>
    </row>
    <row r="62" spans="1:3" x14ac:dyDescent="0.3">
      <c r="A62" s="2" t="s">
        <v>296</v>
      </c>
      <c r="B62" s="2" t="s">
        <v>20</v>
      </c>
      <c r="C62" s="2">
        <v>2844.4</v>
      </c>
    </row>
    <row r="63" spans="1:3" x14ac:dyDescent="0.3">
      <c r="A63" s="2" t="s">
        <v>296</v>
      </c>
      <c r="B63" s="2" t="s">
        <v>21</v>
      </c>
      <c r="C63" s="2">
        <v>2847.4</v>
      </c>
    </row>
    <row r="64" spans="1:3" x14ac:dyDescent="0.3">
      <c r="A64" s="2" t="s">
        <v>296</v>
      </c>
      <c r="B64" s="2" t="s">
        <v>22</v>
      </c>
      <c r="C64" s="2">
        <v>2864.4</v>
      </c>
    </row>
    <row r="65" spans="1:3" x14ac:dyDescent="0.3">
      <c r="A65" s="2" t="s">
        <v>296</v>
      </c>
      <c r="B65" s="2" t="s">
        <v>23</v>
      </c>
      <c r="C65" s="2">
        <v>2862</v>
      </c>
    </row>
    <row r="66" spans="1:3" x14ac:dyDescent="0.3">
      <c r="A66" s="2" t="s">
        <v>296</v>
      </c>
      <c r="B66" s="2" t="s">
        <v>24</v>
      </c>
      <c r="C66" s="2">
        <v>2870.8</v>
      </c>
    </row>
    <row r="67" spans="1:3" x14ac:dyDescent="0.3">
      <c r="A67" s="2" t="s">
        <v>296</v>
      </c>
      <c r="B67" s="2" t="s">
        <v>25</v>
      </c>
      <c r="C67" s="2">
        <v>2872.8</v>
      </c>
    </row>
    <row r="68" spans="1:3" x14ac:dyDescent="0.3">
      <c r="A68" s="2" t="s">
        <v>296</v>
      </c>
      <c r="B68" s="2" t="s">
        <v>26</v>
      </c>
      <c r="C68" s="2">
        <v>2879.9</v>
      </c>
    </row>
    <row r="69" spans="1:3" x14ac:dyDescent="0.3">
      <c r="A69" s="2" t="s">
        <v>296</v>
      </c>
      <c r="B69" s="2" t="s">
        <v>27</v>
      </c>
      <c r="C69" s="2">
        <v>2654.5</v>
      </c>
    </row>
    <row r="70" spans="1:3" x14ac:dyDescent="0.3">
      <c r="A70" s="2" t="s">
        <v>296</v>
      </c>
      <c r="B70" s="2" t="s">
        <v>28</v>
      </c>
      <c r="C70" s="2">
        <v>2881.9</v>
      </c>
    </row>
    <row r="71" spans="1:3" x14ac:dyDescent="0.3">
      <c r="A71" s="2" t="s">
        <v>296</v>
      </c>
      <c r="B71" s="2" t="s">
        <v>29</v>
      </c>
      <c r="C71" s="2">
        <v>2885</v>
      </c>
    </row>
    <row r="72" spans="1:3" x14ac:dyDescent="0.3">
      <c r="A72" s="2" t="s">
        <v>296</v>
      </c>
      <c r="B72" s="2" t="s">
        <v>30</v>
      </c>
      <c r="C72" s="2">
        <v>2880.1</v>
      </c>
    </row>
    <row r="73" spans="1:3" x14ac:dyDescent="0.3">
      <c r="A73" s="2" t="s">
        <v>296</v>
      </c>
      <c r="B73" s="2" t="s">
        <v>31</v>
      </c>
      <c r="C73" s="2">
        <v>2869.7</v>
      </c>
    </row>
    <row r="74" spans="1:3" x14ac:dyDescent="0.3">
      <c r="A74" s="2" t="s">
        <v>296</v>
      </c>
      <c r="B74" s="2" t="s">
        <v>32</v>
      </c>
      <c r="C74" s="2">
        <v>2873.5</v>
      </c>
    </row>
    <row r="75" spans="1:3" x14ac:dyDescent="0.3">
      <c r="A75" s="2" t="s">
        <v>296</v>
      </c>
      <c r="B75" s="2" t="s">
        <v>33</v>
      </c>
      <c r="C75" s="2">
        <v>2883</v>
      </c>
    </row>
    <row r="76" spans="1:3" x14ac:dyDescent="0.3">
      <c r="A76" s="2" t="s">
        <v>296</v>
      </c>
      <c r="B76" s="2" t="s">
        <v>34</v>
      </c>
      <c r="C76" s="2">
        <v>2885.4</v>
      </c>
    </row>
    <row r="77" spans="1:3" x14ac:dyDescent="0.3">
      <c r="A77" s="2" t="s">
        <v>296</v>
      </c>
      <c r="B77" s="2" t="s">
        <v>35</v>
      </c>
      <c r="C77" s="2">
        <v>2884.9</v>
      </c>
    </row>
    <row r="78" spans="1:3" x14ac:dyDescent="0.3">
      <c r="A78" s="2" t="s">
        <v>296</v>
      </c>
      <c r="B78" s="2" t="s">
        <v>36</v>
      </c>
      <c r="C78" s="2">
        <v>2889.5</v>
      </c>
    </row>
    <row r="79" spans="1:3" x14ac:dyDescent="0.3">
      <c r="A79" s="2" t="s">
        <v>296</v>
      </c>
      <c r="B79" s="2" t="s">
        <v>37</v>
      </c>
      <c r="C79" s="2">
        <v>2899.6</v>
      </c>
    </row>
    <row r="80" spans="1:3" x14ac:dyDescent="0.3">
      <c r="A80" s="2" t="s">
        <v>296</v>
      </c>
      <c r="B80" s="2" t="s">
        <v>38</v>
      </c>
      <c r="C80" s="2">
        <v>2905.5</v>
      </c>
    </row>
    <row r="81" spans="1:3" x14ac:dyDescent="0.3">
      <c r="A81" s="2" t="s">
        <v>296</v>
      </c>
      <c r="B81" s="2" t="s">
        <v>39</v>
      </c>
      <c r="C81" s="2">
        <v>2910.6</v>
      </c>
    </row>
    <row r="82" spans="1:3" x14ac:dyDescent="0.3">
      <c r="A82" s="2" t="s">
        <v>296</v>
      </c>
      <c r="B82" s="2" t="s">
        <v>40</v>
      </c>
      <c r="C82" s="2">
        <v>2919.4</v>
      </c>
    </row>
    <row r="83" spans="1:3" x14ac:dyDescent="0.3">
      <c r="A83" s="2" t="s">
        <v>296</v>
      </c>
      <c r="B83" s="2" t="s">
        <v>41</v>
      </c>
      <c r="C83" s="2">
        <v>2934</v>
      </c>
    </row>
    <row r="84" spans="1:3" x14ac:dyDescent="0.3">
      <c r="A84" s="2" t="s">
        <v>296</v>
      </c>
      <c r="B84" s="2" t="s">
        <v>42</v>
      </c>
      <c r="C84" s="2">
        <v>2939.2</v>
      </c>
    </row>
    <row r="85" spans="1:3" x14ac:dyDescent="0.3">
      <c r="A85" s="2" t="s">
        <v>296</v>
      </c>
      <c r="B85" s="2" t="s">
        <v>43</v>
      </c>
      <c r="C85" s="2">
        <v>2945.4</v>
      </c>
    </row>
    <row r="86" spans="1:3" x14ac:dyDescent="0.3">
      <c r="A86" s="2" t="s">
        <v>296</v>
      </c>
      <c r="B86" s="2" t="s">
        <v>44</v>
      </c>
      <c r="C86" s="2">
        <v>2949.2</v>
      </c>
    </row>
    <row r="87" spans="1:3" x14ac:dyDescent="0.3">
      <c r="A87" s="2" t="s">
        <v>296</v>
      </c>
      <c r="B87" s="2" t="s">
        <v>45</v>
      </c>
      <c r="C87" s="2">
        <v>2952.9</v>
      </c>
    </row>
    <row r="88" spans="1:3" x14ac:dyDescent="0.3">
      <c r="A88" s="2" t="s">
        <v>296</v>
      </c>
      <c r="B88" s="2" t="s">
        <v>46</v>
      </c>
      <c r="C88" s="2">
        <v>2956.8</v>
      </c>
    </row>
    <row r="89" spans="1:3" x14ac:dyDescent="0.3">
      <c r="A89" s="2" t="s">
        <v>296</v>
      </c>
      <c r="B89" s="2" t="s">
        <v>47</v>
      </c>
      <c r="C89" s="2">
        <v>2959.9</v>
      </c>
    </row>
    <row r="90" spans="1:3" x14ac:dyDescent="0.3">
      <c r="A90" s="2" t="s">
        <v>296</v>
      </c>
      <c r="B90" s="2" t="s">
        <v>48</v>
      </c>
      <c r="C90" s="2">
        <v>2965.7</v>
      </c>
    </row>
    <row r="91" spans="1:3" x14ac:dyDescent="0.3">
      <c r="A91" s="2" t="s">
        <v>296</v>
      </c>
      <c r="B91" s="2" t="s">
        <v>49</v>
      </c>
      <c r="C91" s="2">
        <v>2973.9</v>
      </c>
    </row>
    <row r="92" spans="1:3" x14ac:dyDescent="0.3">
      <c r="A92" s="2" t="s">
        <v>296</v>
      </c>
      <c r="B92" s="2" t="s">
        <v>50</v>
      </c>
      <c r="C92" s="2">
        <v>2981.2</v>
      </c>
    </row>
    <row r="93" spans="1:3" x14ac:dyDescent="0.3">
      <c r="A93" s="2" t="s">
        <v>296</v>
      </c>
      <c r="B93" s="2" t="s">
        <v>51</v>
      </c>
      <c r="C93" s="2">
        <v>2961.9</v>
      </c>
    </row>
    <row r="94" spans="1:3" x14ac:dyDescent="0.3">
      <c r="A94" s="2" t="s">
        <v>296</v>
      </c>
      <c r="B94" s="2" t="s">
        <v>52</v>
      </c>
      <c r="C94" s="2">
        <v>2984</v>
      </c>
    </row>
    <row r="95" spans="1:3" x14ac:dyDescent="0.3">
      <c r="A95" s="2" t="s">
        <v>296</v>
      </c>
      <c r="B95" s="2" t="s">
        <v>53</v>
      </c>
      <c r="C95" s="2">
        <v>2949</v>
      </c>
    </row>
    <row r="96" spans="1:3" x14ac:dyDescent="0.3">
      <c r="A96" s="2" t="s">
        <v>296</v>
      </c>
      <c r="B96" s="2" t="s">
        <v>54</v>
      </c>
      <c r="C96" s="2">
        <v>2845</v>
      </c>
    </row>
    <row r="97" spans="1:3" x14ac:dyDescent="0.3">
      <c r="A97" s="2" t="s">
        <v>296</v>
      </c>
      <c r="B97" s="2" t="s">
        <v>55</v>
      </c>
      <c r="C97" s="2">
        <v>2857</v>
      </c>
    </row>
    <row r="98" spans="1:3" x14ac:dyDescent="0.3">
      <c r="A98" s="2" t="s">
        <v>296</v>
      </c>
      <c r="B98" s="2" t="s">
        <v>56</v>
      </c>
      <c r="C98" s="2">
        <v>2855</v>
      </c>
    </row>
    <row r="99" spans="1:3" x14ac:dyDescent="0.3">
      <c r="A99" s="2" t="s">
        <v>296</v>
      </c>
      <c r="B99" s="2" t="s">
        <v>57</v>
      </c>
      <c r="C99" s="2">
        <v>2869</v>
      </c>
    </row>
    <row r="100" spans="1:3" x14ac:dyDescent="0.3">
      <c r="A100" s="2" t="s">
        <v>296</v>
      </c>
      <c r="B100" s="2" t="s">
        <v>58</v>
      </c>
      <c r="C100" s="2">
        <v>2814</v>
      </c>
    </row>
    <row r="101" spans="1:3" x14ac:dyDescent="0.3">
      <c r="A101" s="2" t="s">
        <v>296</v>
      </c>
      <c r="B101" s="2" t="s">
        <v>59</v>
      </c>
      <c r="C101" s="2">
        <v>2836</v>
      </c>
    </row>
    <row r="102" spans="1:3" x14ac:dyDescent="0.3">
      <c r="A102" s="2" t="s">
        <v>296</v>
      </c>
      <c r="B102" s="2" t="s">
        <v>60</v>
      </c>
      <c r="C102" s="2">
        <v>2838</v>
      </c>
    </row>
    <row r="103" spans="1:3" x14ac:dyDescent="0.3">
      <c r="A103" s="2" t="s">
        <v>296</v>
      </c>
      <c r="B103" s="2" t="s">
        <v>61</v>
      </c>
      <c r="C103" s="2">
        <v>2849</v>
      </c>
    </row>
    <row r="104" spans="1:3" x14ac:dyDescent="0.3">
      <c r="A104" s="2" t="s">
        <v>296</v>
      </c>
      <c r="B104" s="2" t="s">
        <v>62</v>
      </c>
      <c r="C104" s="2">
        <v>2856</v>
      </c>
    </row>
    <row r="105" spans="1:3" x14ac:dyDescent="0.3">
      <c r="A105" s="2" t="s">
        <v>296</v>
      </c>
      <c r="B105" s="2" t="s">
        <v>63</v>
      </c>
      <c r="C105" s="2">
        <v>2861</v>
      </c>
    </row>
    <row r="106" spans="1:3" x14ac:dyDescent="0.3">
      <c r="A106" s="2" t="s">
        <v>296</v>
      </c>
      <c r="B106" s="2" t="s">
        <v>64</v>
      </c>
      <c r="C106" s="2">
        <v>2849</v>
      </c>
    </row>
    <row r="107" spans="1:3" x14ac:dyDescent="0.3">
      <c r="A107" s="2" t="s">
        <v>296</v>
      </c>
      <c r="B107" s="2" t="s">
        <v>65</v>
      </c>
      <c r="C107" s="2">
        <v>2836</v>
      </c>
    </row>
    <row r="108" spans="1:3" x14ac:dyDescent="0.3">
      <c r="A108" s="2" t="s">
        <v>296</v>
      </c>
      <c r="B108" s="2" t="s">
        <v>66</v>
      </c>
      <c r="C108" s="2">
        <v>2887</v>
      </c>
    </row>
    <row r="109" spans="1:3" x14ac:dyDescent="0.3">
      <c r="A109" s="2" t="s">
        <v>296</v>
      </c>
      <c r="B109" s="2" t="s">
        <v>67</v>
      </c>
      <c r="C109" s="2">
        <v>2858</v>
      </c>
    </row>
    <row r="110" spans="1:3" x14ac:dyDescent="0.3">
      <c r="A110" s="2" t="s">
        <v>296</v>
      </c>
      <c r="B110" s="2" t="s">
        <v>68</v>
      </c>
      <c r="C110" s="2">
        <v>2895</v>
      </c>
    </row>
    <row r="111" spans="1:3" x14ac:dyDescent="0.3">
      <c r="A111" s="2" t="s">
        <v>296</v>
      </c>
      <c r="B111" s="2" t="s">
        <v>70</v>
      </c>
      <c r="C111" s="2">
        <v>2899.7</v>
      </c>
    </row>
    <row r="112" spans="1:3" x14ac:dyDescent="0.3">
      <c r="A112" s="2" t="s">
        <v>297</v>
      </c>
      <c r="B112" s="2" t="s">
        <v>132</v>
      </c>
      <c r="C112" s="2"/>
    </row>
    <row r="113" spans="1:3" x14ac:dyDescent="0.3">
      <c r="A113" s="2" t="s">
        <v>297</v>
      </c>
      <c r="B113" s="2" t="s">
        <v>16</v>
      </c>
      <c r="C113" s="2">
        <v>1026.7</v>
      </c>
    </row>
    <row r="114" spans="1:3" x14ac:dyDescent="0.3">
      <c r="A114" s="2" t="s">
        <v>297</v>
      </c>
      <c r="B114" s="2" t="s">
        <v>17</v>
      </c>
      <c r="C114" s="2">
        <v>1067</v>
      </c>
    </row>
    <row r="115" spans="1:3" x14ac:dyDescent="0.3">
      <c r="A115" s="2" t="s">
        <v>297</v>
      </c>
      <c r="B115" s="2" t="s">
        <v>18</v>
      </c>
      <c r="C115" s="2">
        <v>1067.2</v>
      </c>
    </row>
    <row r="116" spans="1:3" x14ac:dyDescent="0.3">
      <c r="A116" s="2" t="s">
        <v>297</v>
      </c>
      <c r="B116" s="2" t="s">
        <v>19</v>
      </c>
      <c r="C116" s="2">
        <v>1070.9000000000001</v>
      </c>
    </row>
    <row r="117" spans="1:3" x14ac:dyDescent="0.3">
      <c r="A117" s="2" t="s">
        <v>297</v>
      </c>
      <c r="B117" s="2" t="s">
        <v>20</v>
      </c>
      <c r="C117" s="2">
        <v>1063.5</v>
      </c>
    </row>
    <row r="118" spans="1:3" x14ac:dyDescent="0.3">
      <c r="A118" s="2" t="s">
        <v>297</v>
      </c>
      <c r="B118" s="2" t="s">
        <v>21</v>
      </c>
      <c r="C118" s="2">
        <v>1062.2</v>
      </c>
    </row>
    <row r="119" spans="1:3" x14ac:dyDescent="0.3">
      <c r="A119" s="2" t="s">
        <v>297</v>
      </c>
      <c r="B119" s="2" t="s">
        <v>22</v>
      </c>
      <c r="C119" s="2">
        <v>1062.9000000000001</v>
      </c>
    </row>
    <row r="120" spans="1:3" x14ac:dyDescent="0.3">
      <c r="A120" s="2" t="s">
        <v>297</v>
      </c>
      <c r="B120" s="2" t="s">
        <v>23</v>
      </c>
      <c r="C120" s="2">
        <v>1081.7</v>
      </c>
    </row>
    <row r="121" spans="1:3" x14ac:dyDescent="0.3">
      <c r="A121" s="2" t="s">
        <v>297</v>
      </c>
      <c r="B121" s="2" t="s">
        <v>24</v>
      </c>
      <c r="C121" s="2">
        <v>1091</v>
      </c>
    </row>
    <row r="122" spans="1:3" x14ac:dyDescent="0.3">
      <c r="A122" s="2" t="s">
        <v>297</v>
      </c>
      <c r="B122" s="2" t="s">
        <v>25</v>
      </c>
      <c r="C122" s="2">
        <v>1105.8</v>
      </c>
    </row>
    <row r="123" spans="1:3" x14ac:dyDescent="0.3">
      <c r="A123" s="2" t="s">
        <v>297</v>
      </c>
      <c r="B123" s="2" t="s">
        <v>26</v>
      </c>
      <c r="C123" s="2">
        <v>1118.4000000000001</v>
      </c>
    </row>
    <row r="124" spans="1:3" x14ac:dyDescent="0.3">
      <c r="A124" s="2" t="s">
        <v>297</v>
      </c>
      <c r="B124" s="2" t="s">
        <v>27</v>
      </c>
      <c r="C124" s="2">
        <v>1212</v>
      </c>
    </row>
    <row r="125" spans="1:3" x14ac:dyDescent="0.3">
      <c r="A125" s="2" t="s">
        <v>297</v>
      </c>
      <c r="B125" s="2" t="s">
        <v>28</v>
      </c>
      <c r="C125" s="2">
        <v>1120.0999999999999</v>
      </c>
    </row>
    <row r="126" spans="1:3" x14ac:dyDescent="0.3">
      <c r="A126" s="2" t="s">
        <v>297</v>
      </c>
      <c r="B126" s="2" t="s">
        <v>29</v>
      </c>
      <c r="C126" s="2">
        <v>1129.2</v>
      </c>
    </row>
    <row r="127" spans="1:3" x14ac:dyDescent="0.3">
      <c r="A127" s="2" t="s">
        <v>297</v>
      </c>
      <c r="B127" s="2" t="s">
        <v>30</v>
      </c>
      <c r="C127" s="2">
        <v>1119.9000000000001</v>
      </c>
    </row>
    <row r="128" spans="1:3" x14ac:dyDescent="0.3">
      <c r="A128" s="2" t="s">
        <v>297</v>
      </c>
      <c r="B128" s="2" t="s">
        <v>31</v>
      </c>
      <c r="C128" s="2">
        <v>1121.7</v>
      </c>
    </row>
    <row r="129" spans="1:3" x14ac:dyDescent="0.3">
      <c r="A129" s="2" t="s">
        <v>297</v>
      </c>
      <c r="B129" s="2" t="s">
        <v>32</v>
      </c>
      <c r="C129" s="2">
        <v>1130.7</v>
      </c>
    </row>
    <row r="130" spans="1:3" x14ac:dyDescent="0.3">
      <c r="A130" s="2" t="s">
        <v>297</v>
      </c>
      <c r="B130" s="2" t="s">
        <v>33</v>
      </c>
      <c r="C130" s="2">
        <v>1137.8</v>
      </c>
    </row>
    <row r="131" spans="1:3" x14ac:dyDescent="0.3">
      <c r="A131" s="2" t="s">
        <v>297</v>
      </c>
      <c r="B131" s="2" t="s">
        <v>34</v>
      </c>
      <c r="C131" s="2">
        <v>1152</v>
      </c>
    </row>
    <row r="132" spans="1:3" x14ac:dyDescent="0.3">
      <c r="A132" s="2" t="s">
        <v>297</v>
      </c>
      <c r="B132" s="2" t="s">
        <v>35</v>
      </c>
      <c r="C132" s="2">
        <v>1162.3</v>
      </c>
    </row>
    <row r="133" spans="1:3" x14ac:dyDescent="0.3">
      <c r="A133" s="2" t="s">
        <v>297</v>
      </c>
      <c r="B133" s="2" t="s">
        <v>36</v>
      </c>
      <c r="C133" s="2">
        <v>1166.4000000000001</v>
      </c>
    </row>
    <row r="134" spans="1:3" x14ac:dyDescent="0.3">
      <c r="A134" s="2" t="s">
        <v>297</v>
      </c>
      <c r="B134" s="2" t="s">
        <v>37</v>
      </c>
      <c r="C134" s="2">
        <v>1169.5999999999999</v>
      </c>
    </row>
    <row r="135" spans="1:3" x14ac:dyDescent="0.3">
      <c r="A135" s="2" t="s">
        <v>297</v>
      </c>
      <c r="B135" s="2" t="s">
        <v>38</v>
      </c>
      <c r="C135" s="2">
        <v>1171.5999999999999</v>
      </c>
    </row>
    <row r="136" spans="1:3" x14ac:dyDescent="0.3">
      <c r="A136" s="2" t="s">
        <v>297</v>
      </c>
      <c r="B136" s="2" t="s">
        <v>39</v>
      </c>
      <c r="C136" s="2">
        <v>1173.5999999999999</v>
      </c>
    </row>
    <row r="137" spans="1:3" x14ac:dyDescent="0.3">
      <c r="A137" s="2" t="s">
        <v>297</v>
      </c>
      <c r="B137" s="2" t="s">
        <v>40</v>
      </c>
      <c r="C137" s="2">
        <v>1181.4000000000001</v>
      </c>
    </row>
    <row r="138" spans="1:3" x14ac:dyDescent="0.3">
      <c r="A138" s="2" t="s">
        <v>297</v>
      </c>
      <c r="B138" s="2" t="s">
        <v>41</v>
      </c>
      <c r="C138" s="2">
        <v>1185</v>
      </c>
    </row>
    <row r="139" spans="1:3" x14ac:dyDescent="0.3">
      <c r="A139" s="2" t="s">
        <v>297</v>
      </c>
      <c r="B139" s="2" t="s">
        <v>42</v>
      </c>
      <c r="C139" s="2">
        <v>1186.9000000000001</v>
      </c>
    </row>
    <row r="140" spans="1:3" x14ac:dyDescent="0.3">
      <c r="A140" s="2" t="s">
        <v>297</v>
      </c>
      <c r="B140" s="2" t="s">
        <v>43</v>
      </c>
      <c r="C140" s="2">
        <v>1190.3</v>
      </c>
    </row>
    <row r="141" spans="1:3" x14ac:dyDescent="0.3">
      <c r="A141" s="2" t="s">
        <v>297</v>
      </c>
      <c r="B141" s="2" t="s">
        <v>44</v>
      </c>
      <c r="C141" s="2">
        <v>1196.3</v>
      </c>
    </row>
    <row r="142" spans="1:3" x14ac:dyDescent="0.3">
      <c r="A142" s="2" t="s">
        <v>297</v>
      </c>
      <c r="B142" s="2" t="s">
        <v>45</v>
      </c>
      <c r="C142" s="2">
        <v>1199.5999999999999</v>
      </c>
    </row>
    <row r="143" spans="1:3" x14ac:dyDescent="0.3">
      <c r="A143" s="2" t="s">
        <v>297</v>
      </c>
      <c r="B143" s="2" t="s">
        <v>46</v>
      </c>
      <c r="C143" s="2">
        <v>1201.3</v>
      </c>
    </row>
    <row r="144" spans="1:3" x14ac:dyDescent="0.3">
      <c r="A144" s="2" t="s">
        <v>297</v>
      </c>
      <c r="B144" s="2" t="s">
        <v>47</v>
      </c>
      <c r="C144" s="2">
        <v>1202.9000000000001</v>
      </c>
    </row>
    <row r="145" spans="1:3" x14ac:dyDescent="0.3">
      <c r="A145" s="2" t="s">
        <v>297</v>
      </c>
      <c r="B145" s="2" t="s">
        <v>48</v>
      </c>
      <c r="C145" s="2">
        <v>1206.2</v>
      </c>
    </row>
    <row r="146" spans="1:3" x14ac:dyDescent="0.3">
      <c r="A146" s="2" t="s">
        <v>297</v>
      </c>
      <c r="B146" s="2" t="s">
        <v>49</v>
      </c>
      <c r="C146" s="2">
        <v>1216.4000000000001</v>
      </c>
    </row>
    <row r="147" spans="1:3" x14ac:dyDescent="0.3">
      <c r="A147" s="2" t="s">
        <v>297</v>
      </c>
      <c r="B147" s="2" t="s">
        <v>50</v>
      </c>
      <c r="C147" s="2">
        <v>1219.0999999999999</v>
      </c>
    </row>
    <row r="148" spans="1:3" x14ac:dyDescent="0.3">
      <c r="A148" s="2" t="s">
        <v>297</v>
      </c>
      <c r="B148" s="2" t="s">
        <v>51</v>
      </c>
      <c r="C148" s="2">
        <v>1189.0999999999999</v>
      </c>
    </row>
    <row r="149" spans="1:3" x14ac:dyDescent="0.3">
      <c r="A149" s="2" t="s">
        <v>297</v>
      </c>
      <c r="B149" s="2" t="s">
        <v>52</v>
      </c>
      <c r="C149" s="2">
        <v>1204.2</v>
      </c>
    </row>
    <row r="150" spans="1:3" x14ac:dyDescent="0.3">
      <c r="A150" s="2" t="s">
        <v>297</v>
      </c>
      <c r="B150" s="2" t="s">
        <v>53</v>
      </c>
      <c r="C150" s="2">
        <v>1209</v>
      </c>
    </row>
    <row r="151" spans="1:3" x14ac:dyDescent="0.3">
      <c r="A151" s="2" t="s">
        <v>297</v>
      </c>
      <c r="B151" s="2" t="s">
        <v>54</v>
      </c>
      <c r="C151" s="2">
        <v>1327</v>
      </c>
    </row>
    <row r="152" spans="1:3" x14ac:dyDescent="0.3">
      <c r="A152" s="2" t="s">
        <v>297</v>
      </c>
      <c r="B152" s="2" t="s">
        <v>55</v>
      </c>
      <c r="C152" s="2">
        <v>1297</v>
      </c>
    </row>
    <row r="153" spans="1:3" x14ac:dyDescent="0.3">
      <c r="A153" s="2" t="s">
        <v>297</v>
      </c>
      <c r="B153" s="2" t="s">
        <v>56</v>
      </c>
      <c r="C153" s="2">
        <v>1287</v>
      </c>
    </row>
    <row r="154" spans="1:3" x14ac:dyDescent="0.3">
      <c r="A154" s="2" t="s">
        <v>297</v>
      </c>
      <c r="B154" s="2" t="s">
        <v>57</v>
      </c>
      <c r="C154" s="2">
        <v>1292</v>
      </c>
    </row>
    <row r="155" spans="1:3" x14ac:dyDescent="0.3">
      <c r="A155" s="2" t="s">
        <v>297</v>
      </c>
      <c r="B155" s="2" t="s">
        <v>58</v>
      </c>
      <c r="C155" s="2">
        <v>1232</v>
      </c>
    </row>
    <row r="156" spans="1:3" x14ac:dyDescent="0.3">
      <c r="A156" s="2" t="s">
        <v>297</v>
      </c>
      <c r="B156" s="2" t="s">
        <v>59</v>
      </c>
      <c r="C156" s="2">
        <v>1245</v>
      </c>
    </row>
    <row r="157" spans="1:3" x14ac:dyDescent="0.3">
      <c r="A157" s="2" t="s">
        <v>297</v>
      </c>
      <c r="B157" s="2" t="s">
        <v>60</v>
      </c>
      <c r="C157" s="2">
        <v>1174</v>
      </c>
    </row>
    <row r="158" spans="1:3" x14ac:dyDescent="0.3">
      <c r="A158" s="2" t="s">
        <v>297</v>
      </c>
      <c r="B158" s="2" t="s">
        <v>61</v>
      </c>
      <c r="C158" s="2">
        <v>1275</v>
      </c>
    </row>
    <row r="159" spans="1:3" x14ac:dyDescent="0.3">
      <c r="A159" s="2" t="s">
        <v>297</v>
      </c>
      <c r="B159" s="2" t="s">
        <v>62</v>
      </c>
      <c r="C159" s="2">
        <v>1222</v>
      </c>
    </row>
    <row r="160" spans="1:3" x14ac:dyDescent="0.3">
      <c r="A160" s="2" t="s">
        <v>297</v>
      </c>
      <c r="B160" s="2" t="s">
        <v>63</v>
      </c>
      <c r="C160" s="2">
        <v>1235</v>
      </c>
    </row>
    <row r="161" spans="1:3" x14ac:dyDescent="0.3">
      <c r="A161" s="2" t="s">
        <v>297</v>
      </c>
      <c r="B161" s="2" t="s">
        <v>64</v>
      </c>
      <c r="C161" s="2">
        <v>1183</v>
      </c>
    </row>
    <row r="162" spans="1:3" x14ac:dyDescent="0.3">
      <c r="A162" s="2" t="s">
        <v>297</v>
      </c>
      <c r="B162" s="2" t="s">
        <v>65</v>
      </c>
      <c r="C162" s="2">
        <v>1248</v>
      </c>
    </row>
    <row r="163" spans="1:3" x14ac:dyDescent="0.3">
      <c r="A163" s="2" t="s">
        <v>297</v>
      </c>
      <c r="B163" s="2" t="s">
        <v>66</v>
      </c>
      <c r="C163" s="2">
        <v>1258</v>
      </c>
    </row>
    <row r="164" spans="1:3" x14ac:dyDescent="0.3">
      <c r="A164" s="2" t="s">
        <v>297</v>
      </c>
      <c r="B164" s="2" t="s">
        <v>67</v>
      </c>
      <c r="C164" s="2">
        <v>1288</v>
      </c>
    </row>
    <row r="165" spans="1:3" x14ac:dyDescent="0.3">
      <c r="A165" s="2" t="s">
        <v>297</v>
      </c>
      <c r="B165" s="2" t="s">
        <v>68</v>
      </c>
      <c r="C165" s="2">
        <v>1284</v>
      </c>
    </row>
    <row r="166" spans="1:3" x14ac:dyDescent="0.3">
      <c r="A166" s="2" t="s">
        <v>297</v>
      </c>
      <c r="B166" s="2" t="s">
        <v>70</v>
      </c>
      <c r="C166" s="2">
        <v>1333.7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58DE4-79E1-4F2B-B727-600814E22E37}">
  <dimension ref="A1:F145"/>
  <sheetViews>
    <sheetView workbookViewId="0">
      <selection activeCell="J104" sqref="J104"/>
    </sheetView>
  </sheetViews>
  <sheetFormatPr defaultRowHeight="14.4" x14ac:dyDescent="0.3"/>
  <cols>
    <col min="1" max="1" width="39.109375" bestFit="1" customWidth="1"/>
    <col min="2" max="2" width="10.77734375" bestFit="1" customWidth="1"/>
    <col min="3" max="3" width="7.77734375" bestFit="1" customWidth="1"/>
    <col min="4" max="4" width="20" bestFit="1" customWidth="1"/>
    <col min="5" max="5" width="17.77734375" bestFit="1" customWidth="1"/>
    <col min="6" max="6" width="39.21875" bestFit="1" customWidth="1"/>
  </cols>
  <sheetData>
    <row r="1" spans="1:6" x14ac:dyDescent="0.3">
      <c r="A1" s="2" t="s">
        <v>133</v>
      </c>
      <c r="B1" s="2" t="s">
        <v>1</v>
      </c>
      <c r="C1" s="2" t="s">
        <v>101</v>
      </c>
      <c r="D1" s="1" t="s">
        <v>134</v>
      </c>
      <c r="E1" s="1" t="s">
        <v>135</v>
      </c>
      <c r="F1" s="1" t="s">
        <v>136</v>
      </c>
    </row>
    <row r="2" spans="1:6" x14ac:dyDescent="0.3">
      <c r="A2" s="2" t="s">
        <v>298</v>
      </c>
      <c r="B2" s="2" t="s">
        <v>132</v>
      </c>
      <c r="C2" s="2"/>
      <c r="D2" s="15"/>
      <c r="E2" s="15"/>
      <c r="F2" s="16" t="s">
        <v>137</v>
      </c>
    </row>
    <row r="3" spans="1:6" x14ac:dyDescent="0.3">
      <c r="A3" s="2" t="s">
        <v>298</v>
      </c>
      <c r="B3" s="2" t="s">
        <v>15</v>
      </c>
      <c r="C3" s="2">
        <v>704.9</v>
      </c>
      <c r="D3" s="15">
        <f>Table3_1[[#This Row],[Value]]/Table7_1[[#This Row],[Value]]</f>
        <v>0.18334807262133901</v>
      </c>
      <c r="E3" s="15">
        <f>1-Table3_1[[#This Row],[Unemployment rate]]</f>
        <v>0.81665192737866099</v>
      </c>
      <c r="F3" s="15">
        <f>D51-D99</f>
        <v>-0.123394127289327</v>
      </c>
    </row>
    <row r="4" spans="1:6" x14ac:dyDescent="0.3">
      <c r="A4" s="2" t="s">
        <v>298</v>
      </c>
      <c r="B4" s="2" t="s">
        <v>17</v>
      </c>
      <c r="C4" s="2">
        <v>738.4</v>
      </c>
      <c r="D4" s="15">
        <f>Table3_1[[#This Row],[Value]]/Table7_1[[#This Row],[Value]]</f>
        <v>0.18889258397073494</v>
      </c>
      <c r="E4" s="15">
        <f>1-Table3_1[[#This Row],[Unemployment rate]]</f>
        <v>0.81110741602926506</v>
      </c>
      <c r="F4" s="15">
        <f t="shared" ref="F4:F49" si="0">D52-D100</f>
        <v>-0.12858577684234765</v>
      </c>
    </row>
    <row r="5" spans="1:6" x14ac:dyDescent="0.3">
      <c r="A5" s="2" t="s">
        <v>298</v>
      </c>
      <c r="B5" s="2" t="s">
        <v>18</v>
      </c>
      <c r="C5" s="2">
        <v>709.7</v>
      </c>
      <c r="D5" s="15">
        <f>Table3_1[[#This Row],[Value]]/Table7_1[[#This Row],[Value]]</f>
        <v>0.18118920574944472</v>
      </c>
      <c r="E5" s="15">
        <f>1-Table3_1[[#This Row],[Unemployment rate]]</f>
        <v>0.81881079425055525</v>
      </c>
      <c r="F5" s="15">
        <f t="shared" si="0"/>
        <v>-0.11673279582968804</v>
      </c>
    </row>
    <row r="6" spans="1:6" x14ac:dyDescent="0.3">
      <c r="A6" s="2" t="s">
        <v>298</v>
      </c>
      <c r="B6" s="2" t="s">
        <v>19</v>
      </c>
      <c r="C6" s="2">
        <v>691.6</v>
      </c>
      <c r="D6" s="15">
        <f>Table3_1[[#This Row],[Value]]/Table7_1[[#This Row],[Value]]</f>
        <v>0.17628466557911909</v>
      </c>
      <c r="E6" s="15">
        <f>1-Table3_1[[#This Row],[Unemployment rate]]</f>
        <v>0.82371533442088096</v>
      </c>
      <c r="F6" s="15">
        <f t="shared" si="0"/>
        <v>-0.10970827319979412</v>
      </c>
    </row>
    <row r="7" spans="1:6" x14ac:dyDescent="0.3">
      <c r="A7" s="2" t="s">
        <v>298</v>
      </c>
      <c r="B7" s="2" t="s">
        <v>20</v>
      </c>
      <c r="C7" s="2">
        <v>665</v>
      </c>
      <c r="D7" s="15">
        <f>Table3_1[[#This Row],[Value]]/Table7_1[[#This Row],[Value]]</f>
        <v>0.17016812098569564</v>
      </c>
      <c r="E7" s="15">
        <f>1-Table3_1[[#This Row],[Unemployment rate]]</f>
        <v>0.82983187901430433</v>
      </c>
      <c r="F7" s="15">
        <f t="shared" si="0"/>
        <v>-0.10842086169761422</v>
      </c>
    </row>
    <row r="8" spans="1:6" x14ac:dyDescent="0.3">
      <c r="A8" s="2" t="s">
        <v>298</v>
      </c>
      <c r="B8" s="2" t="s">
        <v>21</v>
      </c>
      <c r="C8" s="2">
        <v>653.79999999999995</v>
      </c>
      <c r="D8" s="15">
        <f>Table3_1[[#This Row],[Value]]/Table7_1[[#This Row],[Value]]</f>
        <v>0.16722938408021279</v>
      </c>
      <c r="E8" s="15">
        <f>1-Table3_1[[#This Row],[Unemployment rate]]</f>
        <v>0.83277061591978718</v>
      </c>
      <c r="F8" s="15">
        <f t="shared" si="0"/>
        <v>-0.10311252313714941</v>
      </c>
    </row>
    <row r="9" spans="1:6" x14ac:dyDescent="0.3">
      <c r="A9" s="2" t="s">
        <v>298</v>
      </c>
      <c r="B9" s="2" t="s">
        <v>22</v>
      </c>
      <c r="C9" s="2">
        <v>646.1</v>
      </c>
      <c r="D9" s="15">
        <f>Table3_1[[#This Row],[Value]]/Table7_1[[#This Row],[Value]]</f>
        <v>0.16451506123800066</v>
      </c>
      <c r="E9" s="15">
        <f>1-Table3_1[[#This Row],[Unemployment rate]]</f>
        <v>0.83548493876199936</v>
      </c>
      <c r="F9" s="15">
        <f t="shared" si="0"/>
        <v>-9.3954958695064122E-2</v>
      </c>
    </row>
    <row r="10" spans="1:6" x14ac:dyDescent="0.3">
      <c r="A10" s="2" t="s">
        <v>298</v>
      </c>
      <c r="B10" s="2" t="s">
        <v>23</v>
      </c>
      <c r="C10" s="2">
        <v>628.4</v>
      </c>
      <c r="D10" s="15">
        <f>Table3_1[[#This Row],[Value]]/Table7_1[[#This Row],[Value]]</f>
        <v>0.15934274919491848</v>
      </c>
      <c r="E10" s="15">
        <f>1-Table3_1[[#This Row],[Unemployment rate]]</f>
        <v>0.84065725080508158</v>
      </c>
      <c r="F10" s="15">
        <f t="shared" si="0"/>
        <v>-9.7373798922897908E-2</v>
      </c>
    </row>
    <row r="11" spans="1:6" x14ac:dyDescent="0.3">
      <c r="A11" s="2" t="s">
        <v>298</v>
      </c>
      <c r="B11" s="2" t="s">
        <v>24</v>
      </c>
      <c r="C11" s="2">
        <v>620.6</v>
      </c>
      <c r="D11" s="15">
        <f>Table3_1[[#This Row],[Value]]/Table7_1[[#This Row],[Value]]</f>
        <v>0.15664596900398808</v>
      </c>
      <c r="E11" s="15">
        <f>1-Table3_1[[#This Row],[Unemployment rate]]</f>
        <v>0.84335403099601192</v>
      </c>
      <c r="F11" s="15">
        <f t="shared" si="0"/>
        <v>-9.3856501577820078E-2</v>
      </c>
    </row>
    <row r="12" spans="1:6" x14ac:dyDescent="0.3">
      <c r="A12" s="2" t="s">
        <v>298</v>
      </c>
      <c r="B12" s="2" t="s">
        <v>25</v>
      </c>
      <c r="C12" s="2">
        <v>609.9</v>
      </c>
      <c r="D12" s="15">
        <f>Table3_1[[#This Row],[Value]]/Table7_1[[#This Row],[Value]]</f>
        <v>0.15329512893982808</v>
      </c>
      <c r="E12" s="15">
        <f>1-Table3_1[[#This Row],[Unemployment rate]]</f>
        <v>0.84670487106017189</v>
      </c>
      <c r="F12" s="15">
        <f t="shared" si="0"/>
        <v>-9.1659561274319817E-2</v>
      </c>
    </row>
    <row r="13" spans="1:6" x14ac:dyDescent="0.3">
      <c r="A13" s="2" t="s">
        <v>298</v>
      </c>
      <c r="B13" s="2" t="s">
        <v>26</v>
      </c>
      <c r="C13" s="2">
        <v>605.79999999999995</v>
      </c>
      <c r="D13" s="15">
        <f>Table3_1[[#This Row],[Value]]/Table7_1[[#This Row],[Value]]</f>
        <v>0.15151439361728733</v>
      </c>
      <c r="E13" s="15">
        <f>1-Table3_1[[#This Row],[Unemployment rate]]</f>
        <v>0.84848560638271264</v>
      </c>
      <c r="F13" s="15">
        <f t="shared" si="0"/>
        <v>-8.8691207312724091E-2</v>
      </c>
    </row>
    <row r="14" spans="1:6" x14ac:dyDescent="0.3">
      <c r="A14" s="2" t="s">
        <v>298</v>
      </c>
      <c r="B14" s="2" t="s">
        <v>28</v>
      </c>
      <c r="C14" s="2">
        <v>602.79999999999995</v>
      </c>
      <c r="D14" s="15">
        <f>Table3_1[[#This Row],[Value]]/Table7_1[[#This Row],[Value]]</f>
        <v>0.15590327169274537</v>
      </c>
      <c r="E14" s="15">
        <f>1-Table3_1[[#This Row],[Unemployment rate]]</f>
        <v>0.84409672830725468</v>
      </c>
      <c r="F14" s="15">
        <f t="shared" si="0"/>
        <v>-6.1226048673806932E-2</v>
      </c>
    </row>
    <row r="15" spans="1:6" x14ac:dyDescent="0.3">
      <c r="A15" s="2" t="s">
        <v>298</v>
      </c>
      <c r="B15" s="2" t="s">
        <v>29</v>
      </c>
      <c r="C15" s="2">
        <v>600.5</v>
      </c>
      <c r="D15" s="15">
        <f>Table3_1[[#This Row],[Value]]/Table7_1[[#This Row],[Value]]</f>
        <v>0.15004997501249376</v>
      </c>
      <c r="E15" s="15">
        <f>1-Table3_1[[#This Row],[Unemployment rate]]</f>
        <v>0.84995002498750627</v>
      </c>
      <c r="F15" s="15">
        <f t="shared" si="0"/>
        <v>-8.768777271838904E-2</v>
      </c>
    </row>
    <row r="16" spans="1:6" x14ac:dyDescent="0.3">
      <c r="A16" s="2" t="s">
        <v>298</v>
      </c>
      <c r="B16" s="2" t="s">
        <v>30</v>
      </c>
      <c r="C16" s="2">
        <v>601.4</v>
      </c>
      <c r="D16" s="15">
        <f>Table3_1[[#This Row],[Value]]/Table7_1[[#This Row],[Value]]</f>
        <v>0.14981814558317971</v>
      </c>
      <c r="E16" s="15">
        <f>1-Table3_1[[#This Row],[Unemployment rate]]</f>
        <v>0.85018185441682026</v>
      </c>
      <c r="F16" s="15">
        <f t="shared" si="0"/>
        <v>-8.9735626700948076E-2</v>
      </c>
    </row>
    <row r="17" spans="1:6" x14ac:dyDescent="0.3">
      <c r="A17" s="2" t="s">
        <v>298</v>
      </c>
      <c r="B17" s="2" t="s">
        <v>31</v>
      </c>
      <c r="C17" s="2">
        <v>605.1</v>
      </c>
      <c r="D17" s="15">
        <f>Table3_1[[#This Row],[Value]]/Table7_1[[#This Row],[Value]]</f>
        <v>0.15127499999999999</v>
      </c>
      <c r="E17" s="15">
        <f>1-Table3_1[[#This Row],[Unemployment rate]]</f>
        <v>0.84872499999999995</v>
      </c>
      <c r="F17" s="15">
        <f t="shared" si="0"/>
        <v>-9.8947769654308279E-2</v>
      </c>
    </row>
    <row r="18" spans="1:6" x14ac:dyDescent="0.3">
      <c r="A18" s="2" t="s">
        <v>298</v>
      </c>
      <c r="B18" s="2" t="s">
        <v>32</v>
      </c>
      <c r="C18" s="2">
        <v>612.1</v>
      </c>
      <c r="D18" s="15">
        <f>Table3_1[[#This Row],[Value]]/Table7_1[[#This Row],[Value]]</f>
        <v>0.15335471263215913</v>
      </c>
      <c r="E18" s="15">
        <f>1-Table3_1[[#This Row],[Unemployment rate]]</f>
        <v>0.84664528736784084</v>
      </c>
      <c r="F18" s="15">
        <f t="shared" si="0"/>
        <v>-0.10215143359084988</v>
      </c>
    </row>
    <row r="19" spans="1:6" x14ac:dyDescent="0.3">
      <c r="A19" s="2" t="s">
        <v>298</v>
      </c>
      <c r="B19" s="2" t="s">
        <v>33</v>
      </c>
      <c r="C19" s="2">
        <v>618.79999999999995</v>
      </c>
      <c r="D19" s="15">
        <f>Table3_1[[#This Row],[Value]]/Table7_1[[#This Row],[Value]]</f>
        <v>0.15453773537785326</v>
      </c>
      <c r="E19" s="15">
        <f>1-Table3_1[[#This Row],[Unemployment rate]]</f>
        <v>0.8454622646221468</v>
      </c>
      <c r="F19" s="15">
        <f t="shared" si="0"/>
        <v>-0.10150689900478954</v>
      </c>
    </row>
    <row r="20" spans="1:6" x14ac:dyDescent="0.3">
      <c r="A20" s="2" t="s">
        <v>298</v>
      </c>
      <c r="B20" s="2" t="s">
        <v>34</v>
      </c>
      <c r="C20" s="2">
        <v>622.70000000000005</v>
      </c>
      <c r="D20" s="15">
        <f>Table3_1[[#This Row],[Value]]/Table7_1[[#This Row],[Value]]</f>
        <v>0.15486967767608437</v>
      </c>
      <c r="E20" s="15">
        <f>1-Table3_1[[#This Row],[Unemployment rate]]</f>
        <v>0.84513032232391561</v>
      </c>
      <c r="F20" s="15">
        <f t="shared" si="0"/>
        <v>-0.10589166026019631</v>
      </c>
    </row>
    <row r="21" spans="1:6" x14ac:dyDescent="0.3">
      <c r="A21" s="2" t="s">
        <v>298</v>
      </c>
      <c r="B21" s="2" t="s">
        <v>35</v>
      </c>
      <c r="C21" s="2">
        <v>629.6</v>
      </c>
      <c r="D21" s="15">
        <f>Table3_1[[#This Row],[Value]]/Table7_1[[#This Row],[Value]]</f>
        <v>0.15594194283449744</v>
      </c>
      <c r="E21" s="15">
        <f>1-Table3_1[[#This Row],[Unemployment rate]]</f>
        <v>0.84405805716550253</v>
      </c>
      <c r="F21" s="15">
        <f t="shared" si="0"/>
        <v>-0.11290559801067446</v>
      </c>
    </row>
    <row r="22" spans="1:6" x14ac:dyDescent="0.3">
      <c r="A22" s="2" t="s">
        <v>298</v>
      </c>
      <c r="B22" s="2" t="s">
        <v>36</v>
      </c>
      <c r="C22" s="2">
        <v>630</v>
      </c>
      <c r="D22" s="15">
        <f>Table3_1[[#This Row],[Value]]/Table7_1[[#This Row],[Value]]</f>
        <v>0.15566702082972994</v>
      </c>
      <c r="E22" s="15">
        <f>1-Table3_1[[#This Row],[Unemployment rate]]</f>
        <v>0.84433297917027006</v>
      </c>
      <c r="F22" s="15">
        <f t="shared" si="0"/>
        <v>-0.10763104170762174</v>
      </c>
    </row>
    <row r="23" spans="1:6" x14ac:dyDescent="0.3">
      <c r="A23" s="2" t="s">
        <v>298</v>
      </c>
      <c r="B23" s="2" t="s">
        <v>37</v>
      </c>
      <c r="C23" s="2">
        <v>632.5</v>
      </c>
      <c r="D23" s="15">
        <f>Table3_1[[#This Row],[Value]]/Table7_1[[#This Row],[Value]]</f>
        <v>0.15594565940974875</v>
      </c>
      <c r="E23" s="15">
        <f>1-Table3_1[[#This Row],[Unemployment rate]]</f>
        <v>0.8440543405902512</v>
      </c>
      <c r="F23" s="15">
        <f t="shared" si="0"/>
        <v>-0.10602725064569671</v>
      </c>
    </row>
    <row r="24" spans="1:6" x14ac:dyDescent="0.3">
      <c r="A24" s="2" t="s">
        <v>298</v>
      </c>
      <c r="B24" s="2" t="s">
        <v>38</v>
      </c>
      <c r="C24" s="2">
        <v>625.6</v>
      </c>
      <c r="D24" s="15">
        <f>Table3_1[[#This Row],[Value]]/Table7_1[[#This Row],[Value]]</f>
        <v>0.1537402929322717</v>
      </c>
      <c r="E24" s="15">
        <f>1-Table3_1[[#This Row],[Unemployment rate]]</f>
        <v>0.84625970706772824</v>
      </c>
      <c r="F24" s="15">
        <f t="shared" si="0"/>
        <v>-0.10377103526143237</v>
      </c>
    </row>
    <row r="25" spans="1:6" x14ac:dyDescent="0.3">
      <c r="A25" s="2" t="s">
        <v>298</v>
      </c>
      <c r="B25" s="2" t="s">
        <v>39</v>
      </c>
      <c r="C25" s="2">
        <v>626.1</v>
      </c>
      <c r="D25" s="15">
        <f>Table3_1[[#This Row],[Value]]/Table7_1[[#This Row],[Value]]</f>
        <v>0.15356503397022395</v>
      </c>
      <c r="E25" s="15">
        <f>1-Table3_1[[#This Row],[Unemployment rate]]</f>
        <v>0.84643496602977608</v>
      </c>
      <c r="F25" s="15">
        <f t="shared" si="0"/>
        <v>-0.10262350180685921</v>
      </c>
    </row>
    <row r="26" spans="1:6" x14ac:dyDescent="0.3">
      <c r="A26" s="2" t="s">
        <v>298</v>
      </c>
      <c r="B26" s="2" t="s">
        <v>40</v>
      </c>
      <c r="C26" s="2">
        <v>628.6</v>
      </c>
      <c r="D26" s="15">
        <f>Table3_1[[#This Row],[Value]]/Table7_1[[#This Row],[Value]]</f>
        <v>0.15391019049018168</v>
      </c>
      <c r="E26" s="15">
        <f>1-Table3_1[[#This Row],[Unemployment rate]]</f>
        <v>0.84608980950981838</v>
      </c>
      <c r="F26" s="15">
        <f t="shared" si="0"/>
        <v>-0.10613912169565104</v>
      </c>
    </row>
    <row r="27" spans="1:6" x14ac:dyDescent="0.3">
      <c r="A27" s="2" t="s">
        <v>298</v>
      </c>
      <c r="B27" s="2" t="s">
        <v>41</v>
      </c>
      <c r="C27" s="2">
        <v>639</v>
      </c>
      <c r="D27" s="15">
        <f>Table3_1[[#This Row],[Value]]/Table7_1[[#This Row],[Value]]</f>
        <v>0.15582325399921965</v>
      </c>
      <c r="E27" s="15">
        <f>1-Table3_1[[#This Row],[Unemployment rate]]</f>
        <v>0.8441767460007803</v>
      </c>
      <c r="F27" s="15">
        <f t="shared" si="0"/>
        <v>-0.10428675364915801</v>
      </c>
    </row>
    <row r="28" spans="1:6" x14ac:dyDescent="0.3">
      <c r="A28" s="2" t="s">
        <v>298</v>
      </c>
      <c r="B28" s="2" t="s">
        <v>42</v>
      </c>
      <c r="C28" s="2">
        <v>634.20000000000005</v>
      </c>
      <c r="D28" s="15">
        <f>Table3_1[[#This Row],[Value]]/Table7_1[[#This Row],[Value]]</f>
        <v>0.15396941005098325</v>
      </c>
      <c r="E28" s="15">
        <f>1-Table3_1[[#This Row],[Unemployment rate]]</f>
        <v>0.84603058994901681</v>
      </c>
      <c r="F28" s="15">
        <f t="shared" si="0"/>
        <v>-0.10241403708593268</v>
      </c>
    </row>
    <row r="29" spans="1:6" x14ac:dyDescent="0.3">
      <c r="A29" s="2" t="s">
        <v>298</v>
      </c>
      <c r="B29" s="2" t="s">
        <v>43</v>
      </c>
      <c r="C29" s="2">
        <v>638</v>
      </c>
      <c r="D29" s="15">
        <f>Table3_1[[#This Row],[Value]]/Table7_1[[#This Row],[Value]]</f>
        <v>0.15462543321780858</v>
      </c>
      <c r="E29" s="15">
        <f>1-Table3_1[[#This Row],[Unemployment rate]]</f>
        <v>0.84537456678219147</v>
      </c>
      <c r="F29" s="15">
        <f t="shared" si="0"/>
        <v>-0.10239749879296089</v>
      </c>
    </row>
    <row r="30" spans="1:6" x14ac:dyDescent="0.3">
      <c r="A30" s="2" t="s">
        <v>298</v>
      </c>
      <c r="B30" s="2" t="s">
        <v>44</v>
      </c>
      <c r="C30" s="2">
        <v>642.79999999999995</v>
      </c>
      <c r="D30" s="15">
        <f>Table3_1[[#This Row],[Value]]/Table7_1[[#This Row],[Value]]</f>
        <v>0.15542713446333148</v>
      </c>
      <c r="E30" s="15">
        <f>1-Table3_1[[#This Row],[Unemployment rate]]</f>
        <v>0.84457286553666855</v>
      </c>
      <c r="F30" s="15">
        <f t="shared" si="0"/>
        <v>-0.10368427295624352</v>
      </c>
    </row>
    <row r="31" spans="1:6" x14ac:dyDescent="0.3">
      <c r="A31" s="2" t="s">
        <v>298</v>
      </c>
      <c r="B31" s="2" t="s">
        <v>45</v>
      </c>
      <c r="C31" s="2">
        <v>644.9</v>
      </c>
      <c r="D31" s="15">
        <f>Table3_1[[#This Row],[Value]]/Table7_1[[#This Row],[Value]]</f>
        <v>0.15556627668556267</v>
      </c>
      <c r="E31" s="15">
        <f>1-Table3_1[[#This Row],[Unemployment rate]]</f>
        <v>0.84443372331443733</v>
      </c>
      <c r="F31" s="15">
        <f t="shared" si="0"/>
        <v>-0.10386411268371346</v>
      </c>
    </row>
    <row r="32" spans="1:6" x14ac:dyDescent="0.3">
      <c r="A32" s="2" t="s">
        <v>298</v>
      </c>
      <c r="B32" s="2" t="s">
        <v>46</v>
      </c>
      <c r="C32" s="2">
        <v>637.70000000000005</v>
      </c>
      <c r="D32" s="15">
        <f>Table3_1[[#This Row],[Value]]/Table7_1[[#This Row],[Value]]</f>
        <v>0.15357013847080073</v>
      </c>
      <c r="E32" s="15">
        <f>1-Table3_1[[#This Row],[Unemployment rate]]</f>
        <v>0.8464298615291993</v>
      </c>
      <c r="F32" s="15">
        <f t="shared" si="0"/>
        <v>-0.10242898648268765</v>
      </c>
    </row>
    <row r="33" spans="1:6" x14ac:dyDescent="0.3">
      <c r="A33" s="2" t="s">
        <v>298</v>
      </c>
      <c r="B33" s="2" t="s">
        <v>47</v>
      </c>
      <c r="C33" s="2">
        <v>634.9</v>
      </c>
      <c r="D33" s="15">
        <f>Table3_1[[#This Row],[Value]]/Table7_1[[#This Row],[Value]]</f>
        <v>0.15268993049710203</v>
      </c>
      <c r="E33" s="15">
        <f>1-Table3_1[[#This Row],[Unemployment rate]]</f>
        <v>0.847310069502898</v>
      </c>
      <c r="F33" s="15">
        <f t="shared" si="0"/>
        <v>-0.10076075255594322</v>
      </c>
    </row>
    <row r="34" spans="1:6" x14ac:dyDescent="0.3">
      <c r="A34" s="2" t="s">
        <v>298</v>
      </c>
      <c r="B34" s="2" t="s">
        <v>48</v>
      </c>
      <c r="C34" s="2">
        <v>628.29999999999995</v>
      </c>
      <c r="D34" s="15">
        <f>Table3_1[[#This Row],[Value]]/Table7_1[[#This Row],[Value]]</f>
        <v>0.15093206495627942</v>
      </c>
      <c r="E34" s="15">
        <f>1-Table3_1[[#This Row],[Unemployment rate]]</f>
        <v>0.84906793504372058</v>
      </c>
      <c r="F34" s="15">
        <f t="shared" si="0"/>
        <v>-9.8495645107979493E-2</v>
      </c>
    </row>
    <row r="35" spans="1:6" x14ac:dyDescent="0.3">
      <c r="A35" s="2" t="s">
        <v>298</v>
      </c>
      <c r="B35" s="2" t="s">
        <v>49</v>
      </c>
      <c r="C35" s="2">
        <v>623.9</v>
      </c>
      <c r="D35" s="15">
        <f>Table3_1[[#This Row],[Value]]/Table7_1[[#This Row],[Value]]</f>
        <v>0.14954816750161798</v>
      </c>
      <c r="E35" s="15">
        <f>1-Table3_1[[#This Row],[Unemployment rate]]</f>
        <v>0.85045183249838208</v>
      </c>
      <c r="F35" s="15">
        <f t="shared" si="0"/>
        <v>-9.7165155290353994E-2</v>
      </c>
    </row>
    <row r="36" spans="1:6" x14ac:dyDescent="0.3">
      <c r="A36" s="2" t="s">
        <v>298</v>
      </c>
      <c r="B36" s="2" t="s">
        <v>50</v>
      </c>
      <c r="C36" s="2">
        <v>634.79999999999995</v>
      </c>
      <c r="D36" s="15">
        <f>Table3_1[[#This Row],[Value]]/Table7_1[[#This Row],[Value]]</f>
        <v>0.15149273321719206</v>
      </c>
      <c r="E36" s="15">
        <f>1-Table3_1[[#This Row],[Unemployment rate]]</f>
        <v>0.84850726678280797</v>
      </c>
      <c r="F36" s="15">
        <f t="shared" si="0"/>
        <v>-9.7827015787101124E-2</v>
      </c>
    </row>
    <row r="37" spans="1:6" x14ac:dyDescent="0.3">
      <c r="A37" s="2" t="s">
        <v>298</v>
      </c>
      <c r="B37" s="2" t="s">
        <v>51</v>
      </c>
      <c r="C37" s="2">
        <v>746.4</v>
      </c>
      <c r="D37" s="15">
        <f>Table3_1[[#This Row],[Value]]/Table7_1[[#This Row],[Value]]</f>
        <v>0.17770159274337546</v>
      </c>
      <c r="E37" s="15">
        <f>1-Table3_1[[#This Row],[Unemployment rate]]</f>
        <v>0.82229840725662451</v>
      </c>
      <c r="F37" s="15">
        <f t="shared" si="0"/>
        <v>-9.2993249040059373E-2</v>
      </c>
    </row>
    <row r="38" spans="1:6" x14ac:dyDescent="0.3">
      <c r="A38" s="2" t="s">
        <v>298</v>
      </c>
      <c r="B38" s="2" t="s">
        <v>52</v>
      </c>
      <c r="C38" s="2">
        <v>676.6</v>
      </c>
      <c r="D38" s="15">
        <f>Table3_1[[#This Row],[Value]]/Table7_1[[#This Row],[Value]]</f>
        <v>0.16299686822452422</v>
      </c>
      <c r="E38" s="15">
        <f>1-Table3_1[[#This Row],[Unemployment rate]]</f>
        <v>0.83700313177547581</v>
      </c>
      <c r="F38" s="15">
        <f t="shared" si="0"/>
        <v>-9.5089405982709319E-2</v>
      </c>
    </row>
    <row r="39" spans="1:6" x14ac:dyDescent="0.3">
      <c r="A39" s="2" t="s">
        <v>298</v>
      </c>
      <c r="B39" s="2" t="s">
        <v>53</v>
      </c>
      <c r="C39" s="2">
        <v>725.1</v>
      </c>
      <c r="D39" s="15">
        <f>Table3_1[[#This Row],[Value]]/Table7_1[[#This Row],[Value]]</f>
        <v>0.17312926794326919</v>
      </c>
      <c r="E39" s="15">
        <f>1-Table3_1[[#This Row],[Unemployment rate]]</f>
        <v>0.82687073205673078</v>
      </c>
      <c r="F39" s="15">
        <f t="shared" si="0"/>
        <v>-0.10745063746948236</v>
      </c>
    </row>
    <row r="40" spans="1:6" x14ac:dyDescent="0.3">
      <c r="A40" s="2" t="s">
        <v>298</v>
      </c>
      <c r="B40" s="2" t="s">
        <v>54</v>
      </c>
      <c r="C40" s="2">
        <v>742.8</v>
      </c>
      <c r="D40" s="15">
        <f>Table3_1[[#This Row],[Value]]/Table7_1[[#This Row],[Value]]</f>
        <v>0.1786006251502765</v>
      </c>
      <c r="E40" s="15">
        <f>1-Table3_1[[#This Row],[Unemployment rate]]</f>
        <v>0.82139937484972347</v>
      </c>
      <c r="F40" s="15">
        <f t="shared" si="0"/>
        <v>-0.11629614109842509</v>
      </c>
    </row>
    <row r="41" spans="1:6" x14ac:dyDescent="0.3">
      <c r="A41" s="2" t="s">
        <v>298</v>
      </c>
      <c r="B41" s="2" t="s">
        <v>55</v>
      </c>
      <c r="C41" s="2">
        <v>746.4</v>
      </c>
      <c r="D41" s="15">
        <f>Table3_1[[#This Row],[Value]]/Table7_1[[#This Row],[Value]]</f>
        <v>0.17890699904122723</v>
      </c>
      <c r="E41" s="15">
        <f>1-Table3_1[[#This Row],[Unemployment rate]]</f>
        <v>0.8210930009587728</v>
      </c>
      <c r="F41" s="15">
        <f t="shared" si="0"/>
        <v>-7.5686929435027278E-2</v>
      </c>
    </row>
    <row r="42" spans="1:6" x14ac:dyDescent="0.3">
      <c r="A42" s="2" t="s">
        <v>298</v>
      </c>
      <c r="B42" s="2" t="s">
        <v>56</v>
      </c>
      <c r="C42" s="2">
        <v>762.7</v>
      </c>
      <c r="D42" s="15">
        <f>Table3_1[[#This Row],[Value]]/Table7_1[[#This Row],[Value]]</f>
        <v>0.1836503732241753</v>
      </c>
      <c r="E42" s="15">
        <f>1-Table3_1[[#This Row],[Unemployment rate]]</f>
        <v>0.81634962677582468</v>
      </c>
      <c r="F42" s="15">
        <f t="shared" si="0"/>
        <v>-8.0560184524260892E-2</v>
      </c>
    </row>
    <row r="43" spans="1:6" x14ac:dyDescent="0.3">
      <c r="A43" s="2" t="s">
        <v>298</v>
      </c>
      <c r="B43" s="2" t="s">
        <v>57</v>
      </c>
      <c r="C43" s="2">
        <v>673.5</v>
      </c>
      <c r="D43" s="15">
        <f>Table3_1[[#This Row],[Value]]/Table7_1[[#This Row],[Value]]</f>
        <v>0.16260260743602126</v>
      </c>
      <c r="E43" s="15">
        <f>1-Table3_1[[#This Row],[Unemployment rate]]</f>
        <v>0.83739739256397872</v>
      </c>
      <c r="F43" s="15">
        <f t="shared" si="0"/>
        <v>-8.367726844084114E-2</v>
      </c>
    </row>
    <row r="44" spans="1:6" x14ac:dyDescent="0.3">
      <c r="A44" s="2" t="s">
        <v>298</v>
      </c>
      <c r="B44" s="2" t="s">
        <v>58</v>
      </c>
      <c r="C44" s="2">
        <v>653.20000000000005</v>
      </c>
      <c r="D44" s="15">
        <f>Table3_1[[#This Row],[Value]]/Table7_1[[#This Row],[Value]]</f>
        <v>0.15701923076923077</v>
      </c>
      <c r="E44" s="15">
        <f>1-Table3_1[[#This Row],[Unemployment rate]]</f>
        <v>0.84298076923076926</v>
      </c>
      <c r="F44" s="15">
        <f t="shared" si="0"/>
        <v>-6.1156274988210718E-2</v>
      </c>
    </row>
    <row r="45" spans="1:6" x14ac:dyDescent="0.3">
      <c r="A45" s="2" t="s">
        <v>298</v>
      </c>
      <c r="B45" s="2" t="s">
        <v>59</v>
      </c>
      <c r="C45" s="2">
        <v>626.1</v>
      </c>
      <c r="D45" s="15">
        <f>Table3_1[[#This Row],[Value]]/Table7_1[[#This Row],[Value]]</f>
        <v>0.15474542758279783</v>
      </c>
      <c r="E45" s="15">
        <f>1-Table3_1[[#This Row],[Unemployment rate]]</f>
        <v>0.84525457241720214</v>
      </c>
      <c r="F45" s="15">
        <f t="shared" si="0"/>
        <v>-7.52208922917878E-2</v>
      </c>
    </row>
    <row r="46" spans="1:6" x14ac:dyDescent="0.3">
      <c r="A46" s="2" t="s">
        <v>298</v>
      </c>
      <c r="B46" s="2" t="s">
        <v>60</v>
      </c>
      <c r="C46" s="2">
        <v>613.6</v>
      </c>
      <c r="D46" s="15">
        <f>Table3_1[[#This Row],[Value]]/Table7_1[[#This Row],[Value]]</f>
        <v>0.1503553050722862</v>
      </c>
      <c r="E46" s="15">
        <f>1-Table3_1[[#This Row],[Unemployment rate]]</f>
        <v>0.84964469492771377</v>
      </c>
      <c r="F46" s="15">
        <f t="shared" si="0"/>
        <v>-6.0920664321602341E-2</v>
      </c>
    </row>
    <row r="47" spans="1:6" x14ac:dyDescent="0.3">
      <c r="A47" s="2" t="s">
        <v>298</v>
      </c>
      <c r="B47" s="2" t="s">
        <v>61</v>
      </c>
      <c r="C47" s="2">
        <v>624.6</v>
      </c>
      <c r="D47" s="15">
        <f>Table3_1[[#This Row],[Value]]/Table7_1[[#This Row],[Value]]</f>
        <v>0.15568295114656033</v>
      </c>
      <c r="E47" s="15">
        <f>1-Table3_1[[#This Row],[Unemployment rate]]</f>
        <v>0.84431704885343972</v>
      </c>
      <c r="F47" s="15">
        <f t="shared" si="0"/>
        <v>-8.8900214057695964E-2</v>
      </c>
    </row>
    <row r="48" spans="1:6" x14ac:dyDescent="0.3">
      <c r="A48" s="2" t="s">
        <v>298</v>
      </c>
      <c r="B48" s="2" t="s">
        <v>62</v>
      </c>
      <c r="C48" s="2">
        <v>655.8</v>
      </c>
      <c r="D48" s="15">
        <f>Table3_1[[#This Row],[Value]]/Table7_1[[#This Row],[Value]]</f>
        <v>0.15902036857419979</v>
      </c>
      <c r="E48" s="15">
        <f>1-Table3_1[[#This Row],[Unemployment rate]]</f>
        <v>0.84097963142580023</v>
      </c>
      <c r="F48" s="15">
        <f t="shared" si="0"/>
        <v>-6.3406189994425322E-2</v>
      </c>
    </row>
    <row r="49" spans="1:6" x14ac:dyDescent="0.3">
      <c r="A49" s="2" t="s">
        <v>298</v>
      </c>
      <c r="B49" s="2" t="s">
        <v>63</v>
      </c>
      <c r="C49" s="2">
        <v>638.1</v>
      </c>
      <c r="D49" s="15">
        <f>Table3_1[[#This Row],[Value]]/Table7_1[[#This Row],[Value]]</f>
        <v>0.15647376164786661</v>
      </c>
      <c r="E49" s="15">
        <f>1-Table3_1[[#This Row],[Unemployment rate]]</f>
        <v>0.84352623835213336</v>
      </c>
      <c r="F49" s="15">
        <f t="shared" si="0"/>
        <v>-8.1079084661687922E-2</v>
      </c>
    </row>
    <row r="50" spans="1:6" x14ac:dyDescent="0.3">
      <c r="A50" s="2" t="s">
        <v>299</v>
      </c>
      <c r="B50" s="2"/>
      <c r="C50" s="2"/>
      <c r="D50" s="2"/>
      <c r="E50" s="2"/>
      <c r="F50" s="2"/>
    </row>
    <row r="51" spans="1:6" x14ac:dyDescent="0.3">
      <c r="A51" s="2" t="s">
        <v>299</v>
      </c>
      <c r="B51" s="2" t="s">
        <v>15</v>
      </c>
      <c r="C51" s="2">
        <v>423.8</v>
      </c>
      <c r="D51" s="15">
        <f>Table3_1[[#This Row],[Value]]/'[1]Active population 1'!C58</f>
        <v>0.15039568472976331</v>
      </c>
      <c r="E51" s="17">
        <f>1-Table3_1[[#This Row],[Unemployment rate]]</f>
        <v>0.84960431527023672</v>
      </c>
      <c r="F51" s="2"/>
    </row>
    <row r="52" spans="1:6" x14ac:dyDescent="0.3">
      <c r="A52" s="2" t="s">
        <v>299</v>
      </c>
      <c r="B52" s="2" t="s">
        <v>17</v>
      </c>
      <c r="C52" s="2">
        <v>437.1</v>
      </c>
      <c r="D52" s="15">
        <f>Table3_1[[#This Row],[Value]]/'[1]Active population 1'!C59</f>
        <v>0.15379472924949864</v>
      </c>
      <c r="E52" s="17">
        <f>1-Table3_1[[#This Row],[Unemployment rate]]</f>
        <v>0.84620527075050134</v>
      </c>
      <c r="F52" s="2"/>
    </row>
    <row r="53" spans="1:6" x14ac:dyDescent="0.3">
      <c r="A53" s="2" t="s">
        <v>299</v>
      </c>
      <c r="B53" s="2" t="s">
        <v>18</v>
      </c>
      <c r="C53" s="2">
        <v>425.7</v>
      </c>
      <c r="D53" s="15">
        <f>Table3_1[[#This Row],[Value]]/'[1]Active population 1'!C60</f>
        <v>0.14938414569954733</v>
      </c>
      <c r="E53" s="17">
        <f>1-Table3_1[[#This Row],[Unemployment rate]]</f>
        <v>0.85061585430045272</v>
      </c>
      <c r="F53" s="2"/>
    </row>
    <row r="54" spans="1:6" x14ac:dyDescent="0.3">
      <c r="A54" s="2" t="s">
        <v>299</v>
      </c>
      <c r="B54" s="2" t="s">
        <v>19</v>
      </c>
      <c r="C54" s="2">
        <v>417.4</v>
      </c>
      <c r="D54" s="15">
        <f>Table3_1[[#This Row],[Value]]/'[1]Active population 1'!C61</f>
        <v>0.14633804298285594</v>
      </c>
      <c r="E54" s="17">
        <f>1-Table3_1[[#This Row],[Unemployment rate]]</f>
        <v>0.85366195701714409</v>
      </c>
      <c r="F54" s="2"/>
    </row>
    <row r="55" spans="1:6" x14ac:dyDescent="0.3">
      <c r="A55" s="2" t="s">
        <v>299</v>
      </c>
      <c r="B55" s="2" t="s">
        <v>20</v>
      </c>
      <c r="C55" s="2">
        <v>400.1</v>
      </c>
      <c r="D55" s="15">
        <f>Table3_1[[#This Row],[Value]]/'[1]Active population 1'!C62</f>
        <v>0.14066235409928279</v>
      </c>
      <c r="E55" s="17">
        <f>1-Table3_1[[#This Row],[Unemployment rate]]</f>
        <v>0.85933764590071715</v>
      </c>
      <c r="F55" s="2"/>
    </row>
    <row r="56" spans="1:6" x14ac:dyDescent="0.3">
      <c r="A56" s="2" t="s">
        <v>299</v>
      </c>
      <c r="B56" s="2" t="s">
        <v>21</v>
      </c>
      <c r="C56" s="2">
        <v>396.4</v>
      </c>
      <c r="D56" s="15">
        <f>Table3_1[[#This Row],[Value]]/'[1]Active population 1'!C63</f>
        <v>0.13921472220271122</v>
      </c>
      <c r="E56" s="17">
        <f>1-Table3_1[[#This Row],[Unemployment rate]]</f>
        <v>0.86078527779728875</v>
      </c>
      <c r="F56" s="2"/>
    </row>
    <row r="57" spans="1:6" x14ac:dyDescent="0.3">
      <c r="A57" s="2" t="s">
        <v>299</v>
      </c>
      <c r="B57" s="2" t="s">
        <v>22</v>
      </c>
      <c r="C57" s="2">
        <v>398.4</v>
      </c>
      <c r="D57" s="15">
        <f>Table3_1[[#This Row],[Value]]/'[1]Active population 1'!C64</f>
        <v>0.139086719731881</v>
      </c>
      <c r="E57" s="17">
        <f>1-Table3_1[[#This Row],[Unemployment rate]]</f>
        <v>0.86091328026811897</v>
      </c>
      <c r="F57" s="2"/>
    </row>
    <row r="58" spans="1:6" x14ac:dyDescent="0.3">
      <c r="A58" s="2" t="s">
        <v>299</v>
      </c>
      <c r="B58" s="2" t="s">
        <v>23</v>
      </c>
      <c r="C58" s="2">
        <v>379.6</v>
      </c>
      <c r="D58" s="15">
        <f>Table3_1[[#This Row],[Value]]/'[1]Active population 1'!C65</f>
        <v>0.1326345213137666</v>
      </c>
      <c r="E58" s="17">
        <f>1-Table3_1[[#This Row],[Unemployment rate]]</f>
        <v>0.86736547868623337</v>
      </c>
      <c r="F58" s="2"/>
    </row>
    <row r="59" spans="1:6" x14ac:dyDescent="0.3">
      <c r="A59" s="2" t="s">
        <v>299</v>
      </c>
      <c r="B59" s="2" t="s">
        <v>24</v>
      </c>
      <c r="C59" s="2">
        <v>375.5</v>
      </c>
      <c r="D59" s="15">
        <f>Table3_1[[#This Row],[Value]]/'[1]Active population 1'!C66</f>
        <v>0.13079977706562629</v>
      </c>
      <c r="E59" s="17">
        <f>1-Table3_1[[#This Row],[Unemployment rate]]</f>
        <v>0.86920022293437371</v>
      </c>
      <c r="F59" s="2"/>
    </row>
    <row r="60" spans="1:6" x14ac:dyDescent="0.3">
      <c r="A60" s="2" t="s">
        <v>299</v>
      </c>
      <c r="B60" s="2" t="s">
        <v>25</v>
      </c>
      <c r="C60" s="2">
        <v>367.2</v>
      </c>
      <c r="D60" s="15">
        <f>Table3_1[[#This Row],[Value]]/'[1]Active population 1'!C67</f>
        <v>0.12781954887218044</v>
      </c>
      <c r="E60" s="17">
        <f>1-Table3_1[[#This Row],[Unemployment rate]]</f>
        <v>0.8721804511278195</v>
      </c>
      <c r="F60" s="2"/>
    </row>
    <row r="61" spans="1:6" x14ac:dyDescent="0.3">
      <c r="A61" s="2" t="s">
        <v>299</v>
      </c>
      <c r="B61" s="2" t="s">
        <v>26</v>
      </c>
      <c r="C61" s="2">
        <v>364.9</v>
      </c>
      <c r="D61" s="15">
        <f>Table3_1[[#This Row],[Value]]/'[1]Active population 1'!C68</f>
        <v>0.1267057883954304</v>
      </c>
      <c r="E61" s="17">
        <f>1-Table3_1[[#This Row],[Unemployment rate]]</f>
        <v>0.87329421160456966</v>
      </c>
      <c r="F61" s="2"/>
    </row>
    <row r="62" spans="1:6" x14ac:dyDescent="0.3">
      <c r="A62" s="2" t="s">
        <v>299</v>
      </c>
      <c r="B62" s="2" t="s">
        <v>28</v>
      </c>
      <c r="C62" s="2">
        <v>362.9</v>
      </c>
      <c r="D62" s="15">
        <f>Table3_1[[#This Row],[Value]]/'[1]Active population 1'!C69</f>
        <v>0.13671124505556601</v>
      </c>
      <c r="E62" s="17">
        <f>1-Table3_1[[#This Row],[Unemployment rate]]</f>
        <v>0.86328875494443402</v>
      </c>
      <c r="F62" s="2"/>
    </row>
    <row r="63" spans="1:6" x14ac:dyDescent="0.3">
      <c r="A63" s="2" t="s">
        <v>299</v>
      </c>
      <c r="B63" s="2" t="s">
        <v>29</v>
      </c>
      <c r="C63" s="2">
        <v>361.7</v>
      </c>
      <c r="D63" s="15">
        <f>Table3_1[[#This Row],[Value]]/'[1]Active population 1'!C70</f>
        <v>0.12550747770568027</v>
      </c>
      <c r="E63" s="17">
        <f>1-Table3_1[[#This Row],[Unemployment rate]]</f>
        <v>0.87449252229431973</v>
      </c>
      <c r="F63" s="2"/>
    </row>
    <row r="64" spans="1:6" x14ac:dyDescent="0.3">
      <c r="A64" s="2" t="s">
        <v>299</v>
      </c>
      <c r="B64" s="2" t="s">
        <v>30</v>
      </c>
      <c r="C64" s="2">
        <v>359.4</v>
      </c>
      <c r="D64" s="15">
        <f>Table3_1[[#This Row],[Value]]/'[1]Active population 1'!C71</f>
        <v>0.12457538994800692</v>
      </c>
      <c r="E64" s="17">
        <f>1-Table3_1[[#This Row],[Unemployment rate]]</f>
        <v>0.87542461005199312</v>
      </c>
      <c r="F64" s="2"/>
    </row>
    <row r="65" spans="1:6" x14ac:dyDescent="0.3">
      <c r="A65" s="2" t="s">
        <v>299</v>
      </c>
      <c r="B65" s="2" t="s">
        <v>31</v>
      </c>
      <c r="C65" s="2">
        <v>355.9</v>
      </c>
      <c r="D65" s="15">
        <f>Table3_1[[#This Row],[Value]]/'[1]Active population 1'!C72</f>
        <v>0.12357209819103503</v>
      </c>
      <c r="E65" s="17">
        <f>1-Table3_1[[#This Row],[Unemployment rate]]</f>
        <v>0.87642790180896502</v>
      </c>
      <c r="F65" s="2"/>
    </row>
    <row r="66" spans="1:6" x14ac:dyDescent="0.3">
      <c r="A66" s="2" t="s">
        <v>299</v>
      </c>
      <c r="B66" s="2" t="s">
        <v>32</v>
      </c>
      <c r="C66" s="2">
        <v>357.7</v>
      </c>
      <c r="D66" s="15">
        <f>Table3_1[[#This Row],[Value]]/'[1]Active population 1'!C73</f>
        <v>0.1246471756629613</v>
      </c>
      <c r="E66" s="17">
        <f>1-Table3_1[[#This Row],[Unemployment rate]]</f>
        <v>0.87535282433703876</v>
      </c>
      <c r="F66" s="2"/>
    </row>
    <row r="67" spans="1:6" x14ac:dyDescent="0.3">
      <c r="A67" s="2" t="s">
        <v>299</v>
      </c>
      <c r="B67" s="2" t="s">
        <v>33</v>
      </c>
      <c r="C67" s="2">
        <v>361.7</v>
      </c>
      <c r="D67" s="15">
        <f>Table3_1[[#This Row],[Value]]/'[1]Active population 1'!C74</f>
        <v>0.12587436923612319</v>
      </c>
      <c r="E67" s="17">
        <f>1-Table3_1[[#This Row],[Unemployment rate]]</f>
        <v>0.87412563076387684</v>
      </c>
      <c r="F67" s="2"/>
    </row>
    <row r="68" spans="1:6" x14ac:dyDescent="0.3">
      <c r="A68" s="2" t="s">
        <v>299</v>
      </c>
      <c r="B68" s="2" t="s">
        <v>34</v>
      </c>
      <c r="C68" s="2">
        <v>360.1</v>
      </c>
      <c r="D68" s="15">
        <f>Table3_1[[#This Row],[Value]]/'[1]Active population 1'!C75</f>
        <v>0.12490461325008673</v>
      </c>
      <c r="E68" s="17">
        <f>1-Table3_1[[#This Row],[Unemployment rate]]</f>
        <v>0.87509538674991327</v>
      </c>
      <c r="F68" s="2"/>
    </row>
    <row r="69" spans="1:6" x14ac:dyDescent="0.3">
      <c r="A69" s="2" t="s">
        <v>299</v>
      </c>
      <c r="B69" s="2" t="s">
        <v>35</v>
      </c>
      <c r="C69" s="2">
        <v>357</v>
      </c>
      <c r="D69" s="15">
        <f>Table3_1[[#This Row],[Value]]/'[1]Active population 1'!C76</f>
        <v>0.12372634643377001</v>
      </c>
      <c r="E69" s="17">
        <f>1-Table3_1[[#This Row],[Unemployment rate]]</f>
        <v>0.87627365356622999</v>
      </c>
      <c r="F69" s="2"/>
    </row>
    <row r="70" spans="1:6" x14ac:dyDescent="0.3">
      <c r="A70" s="2" t="s">
        <v>299</v>
      </c>
      <c r="B70" s="2" t="s">
        <v>36</v>
      </c>
      <c r="C70" s="2">
        <v>359.9</v>
      </c>
      <c r="D70" s="15">
        <f>Table3_1[[#This Row],[Value]]/'[1]Active population 1'!C77</f>
        <v>0.12475302436826231</v>
      </c>
      <c r="E70" s="17">
        <f>1-Table3_1[[#This Row],[Unemployment rate]]</f>
        <v>0.8752469756317377</v>
      </c>
      <c r="F70" s="2"/>
    </row>
    <row r="71" spans="1:6" x14ac:dyDescent="0.3">
      <c r="A71" s="2" t="s">
        <v>299</v>
      </c>
      <c r="B71" s="2" t="s">
        <v>37</v>
      </c>
      <c r="C71" s="2">
        <v>362.5</v>
      </c>
      <c r="D71" s="15">
        <f>Table3_1[[#This Row],[Value]]/'[1]Active population 1'!C78</f>
        <v>0.12545423083578475</v>
      </c>
      <c r="E71" s="17">
        <f>1-Table3_1[[#This Row],[Unemployment rate]]</f>
        <v>0.87454576916421523</v>
      </c>
      <c r="F71" s="2"/>
    </row>
    <row r="72" spans="1:6" x14ac:dyDescent="0.3">
      <c r="A72" s="2" t="s">
        <v>299</v>
      </c>
      <c r="B72" s="2" t="s">
        <v>38</v>
      </c>
      <c r="C72" s="2">
        <v>359.3</v>
      </c>
      <c r="D72" s="15">
        <f>Table3_1[[#This Row],[Value]]/'[1]Active population 1'!C79</f>
        <v>0.12391364326113948</v>
      </c>
      <c r="E72" s="17">
        <f>1-Table3_1[[#This Row],[Unemployment rate]]</f>
        <v>0.87608635673886048</v>
      </c>
      <c r="F72" s="2"/>
    </row>
    <row r="73" spans="1:6" x14ac:dyDescent="0.3">
      <c r="A73" s="2" t="s">
        <v>299</v>
      </c>
      <c r="B73" s="2" t="s">
        <v>39</v>
      </c>
      <c r="C73" s="2">
        <v>360.5</v>
      </c>
      <c r="D73" s="15">
        <f>Table3_1[[#This Row],[Value]]/'[1]Active population 1'!C80</f>
        <v>0.12407503011529857</v>
      </c>
      <c r="E73" s="17">
        <f>1-Table3_1[[#This Row],[Unemployment rate]]</f>
        <v>0.87592496988470148</v>
      </c>
      <c r="F73" s="2"/>
    </row>
    <row r="74" spans="1:6" x14ac:dyDescent="0.3">
      <c r="A74" s="2" t="s">
        <v>299</v>
      </c>
      <c r="B74" s="2" t="s">
        <v>40</v>
      </c>
      <c r="C74" s="2">
        <v>359.2</v>
      </c>
      <c r="D74" s="15">
        <f>Table3_1[[#This Row],[Value]]/'[1]Active population 1'!C81</f>
        <v>0.1234109805538377</v>
      </c>
      <c r="E74" s="17">
        <f>1-Table3_1[[#This Row],[Unemployment rate]]</f>
        <v>0.8765890194461623</v>
      </c>
      <c r="F74" s="2"/>
    </row>
    <row r="75" spans="1:6" x14ac:dyDescent="0.3">
      <c r="A75" s="2" t="s">
        <v>299</v>
      </c>
      <c r="B75" s="2" t="s">
        <v>41</v>
      </c>
      <c r="C75" s="2">
        <v>367.2</v>
      </c>
      <c r="D75" s="15">
        <f>Table3_1[[#This Row],[Value]]/'[1]Active population 1'!C82</f>
        <v>0.12577926971295472</v>
      </c>
      <c r="E75" s="17">
        <f>1-Table3_1[[#This Row],[Unemployment rate]]</f>
        <v>0.87422073028704528</v>
      </c>
      <c r="F75" s="2"/>
    </row>
    <row r="76" spans="1:6" x14ac:dyDescent="0.3">
      <c r="A76" s="2" t="s">
        <v>299</v>
      </c>
      <c r="B76" s="2" t="s">
        <v>42</v>
      </c>
      <c r="C76" s="2">
        <v>365.3</v>
      </c>
      <c r="D76" s="15">
        <f>Table3_1[[#This Row],[Value]]/'[1]Active population 1'!C83</f>
        <v>0.12450579413769598</v>
      </c>
      <c r="E76" s="17">
        <f>1-Table3_1[[#This Row],[Unemployment rate]]</f>
        <v>0.87549420586230398</v>
      </c>
      <c r="F76" s="2"/>
    </row>
    <row r="77" spans="1:6" x14ac:dyDescent="0.3">
      <c r="A77" s="2" t="s">
        <v>299</v>
      </c>
      <c r="B77" s="2" t="s">
        <v>43</v>
      </c>
      <c r="C77" s="2">
        <v>367.9</v>
      </c>
      <c r="D77" s="15">
        <f>Table3_1[[#This Row],[Value]]/'[1]Active population 1'!C84</f>
        <v>0.1251701143168209</v>
      </c>
      <c r="E77" s="17">
        <f>1-Table3_1[[#This Row],[Unemployment rate]]</f>
        <v>0.8748298856831791</v>
      </c>
      <c r="F77" s="2"/>
    </row>
    <row r="78" spans="1:6" x14ac:dyDescent="0.3">
      <c r="A78" s="2" t="s">
        <v>299</v>
      </c>
      <c r="B78" s="2" t="s">
        <v>44</v>
      </c>
      <c r="C78" s="2">
        <v>369.9</v>
      </c>
      <c r="D78" s="15">
        <f>Table3_1[[#This Row],[Value]]/'[1]Active population 1'!C85</f>
        <v>0.12558565899368507</v>
      </c>
      <c r="E78" s="17">
        <f>1-Table3_1[[#This Row],[Unemployment rate]]</f>
        <v>0.87441434100631499</v>
      </c>
      <c r="F78" s="2"/>
    </row>
    <row r="79" spans="1:6" x14ac:dyDescent="0.3">
      <c r="A79" s="2" t="s">
        <v>299</v>
      </c>
      <c r="B79" s="2" t="s">
        <v>45</v>
      </c>
      <c r="C79" s="2">
        <v>370.4</v>
      </c>
      <c r="D79" s="15">
        <f>Table3_1[[#This Row],[Value]]/'[1]Active population 1'!C86</f>
        <v>0.12559338125593381</v>
      </c>
      <c r="E79" s="17">
        <f>1-Table3_1[[#This Row],[Unemployment rate]]</f>
        <v>0.87440661874406622</v>
      </c>
      <c r="F79" s="2"/>
    </row>
    <row r="80" spans="1:6" x14ac:dyDescent="0.3">
      <c r="A80" s="2" t="s">
        <v>299</v>
      </c>
      <c r="B80" s="2" t="s">
        <v>46</v>
      </c>
      <c r="C80" s="2">
        <v>366.1</v>
      </c>
      <c r="D80" s="15">
        <f>Table3_1[[#This Row],[Value]]/'[1]Active population 1'!C87</f>
        <v>0.12397981645162383</v>
      </c>
      <c r="E80" s="17">
        <f>1-Table3_1[[#This Row],[Unemployment rate]]</f>
        <v>0.87602018354837619</v>
      </c>
      <c r="F80" s="2"/>
    </row>
    <row r="81" spans="1:6" x14ac:dyDescent="0.3">
      <c r="A81" s="2" t="s">
        <v>299</v>
      </c>
      <c r="B81" s="2" t="s">
        <v>47</v>
      </c>
      <c r="C81" s="2">
        <v>365.4</v>
      </c>
      <c r="D81" s="15">
        <f>Table3_1[[#This Row],[Value]]/'[1]Active population 1'!C88</f>
        <v>0.12357954545454544</v>
      </c>
      <c r="E81" s="17">
        <f>1-Table3_1[[#This Row],[Unemployment rate]]</f>
        <v>0.87642045454545459</v>
      </c>
      <c r="F81" s="2"/>
    </row>
    <row r="82" spans="1:6" x14ac:dyDescent="0.3">
      <c r="A82" s="2" t="s">
        <v>299</v>
      </c>
      <c r="B82" s="2" t="s">
        <v>48</v>
      </c>
      <c r="C82" s="2">
        <v>362.5</v>
      </c>
      <c r="D82" s="15">
        <f>Table3_1[[#This Row],[Value]]/'[1]Active population 1'!C89</f>
        <v>0.12247035372816649</v>
      </c>
      <c r="E82" s="17">
        <f>1-Table3_1[[#This Row],[Unemployment rate]]</f>
        <v>0.8775296462718335</v>
      </c>
      <c r="F82" s="2"/>
    </row>
    <row r="83" spans="1:6" x14ac:dyDescent="0.3">
      <c r="A83" s="2" t="s">
        <v>299</v>
      </c>
      <c r="B83" s="2" t="s">
        <v>49</v>
      </c>
      <c r="C83" s="2">
        <v>360.2</v>
      </c>
      <c r="D83" s="15">
        <f>Table3_1[[#This Row],[Value]]/'[1]Active population 1'!C90</f>
        <v>0.12145530566139529</v>
      </c>
      <c r="E83" s="17">
        <f>1-Table3_1[[#This Row],[Unemployment rate]]</f>
        <v>0.87854469433860471</v>
      </c>
      <c r="F83" s="2"/>
    </row>
    <row r="84" spans="1:6" x14ac:dyDescent="0.3">
      <c r="A84" s="2" t="s">
        <v>299</v>
      </c>
      <c r="B84" s="2" t="s">
        <v>50</v>
      </c>
      <c r="C84" s="2">
        <v>366</v>
      </c>
      <c r="D84" s="15">
        <f>Table3_1[[#This Row],[Value]]/'[1]Active population 1'!C91</f>
        <v>0.12307071522243518</v>
      </c>
      <c r="E84" s="17">
        <f>1-Table3_1[[#This Row],[Unemployment rate]]</f>
        <v>0.87692928477756482</v>
      </c>
      <c r="F84" s="2"/>
    </row>
    <row r="85" spans="1:6" x14ac:dyDescent="0.3">
      <c r="A85" s="2" t="s">
        <v>299</v>
      </c>
      <c r="B85" s="2" t="s">
        <v>51</v>
      </c>
      <c r="C85" s="2">
        <v>449.3</v>
      </c>
      <c r="D85" s="15">
        <f>Table3_1[[#This Row],[Value]]/'[1]Active population 1'!C92</f>
        <v>0.15071112303770295</v>
      </c>
      <c r="E85" s="17">
        <f>1-Table3_1[[#This Row],[Unemployment rate]]</f>
        <v>0.84928887696229705</v>
      </c>
      <c r="F85" s="2"/>
    </row>
    <row r="86" spans="1:6" x14ac:dyDescent="0.3">
      <c r="A86" s="2" t="s">
        <v>299</v>
      </c>
      <c r="B86" s="2" t="s">
        <v>52</v>
      </c>
      <c r="C86" s="2">
        <v>402.1</v>
      </c>
      <c r="D86" s="15">
        <f>Table3_1[[#This Row],[Value]]/'[1]Active population 1'!C93</f>
        <v>0.13575745298625883</v>
      </c>
      <c r="E86" s="17">
        <f>1-Table3_1[[#This Row],[Unemployment rate]]</f>
        <v>0.86424254701374115</v>
      </c>
      <c r="F86" s="2"/>
    </row>
    <row r="87" spans="1:6" x14ac:dyDescent="0.3">
      <c r="A87" s="2" t="s">
        <v>299</v>
      </c>
      <c r="B87" s="2" t="s">
        <v>53</v>
      </c>
      <c r="C87" s="2">
        <v>424.5</v>
      </c>
      <c r="D87" s="15">
        <f>Table3_1[[#This Row],[Value]]/'[1]Active population 1'!C94</f>
        <v>0.14225871313672922</v>
      </c>
      <c r="E87" s="17">
        <f>1-Table3_1[[#This Row],[Unemployment rate]]</f>
        <v>0.85774128686327078</v>
      </c>
      <c r="F87" s="2"/>
    </row>
    <row r="88" spans="1:6" x14ac:dyDescent="0.3">
      <c r="A88" s="2" t="s">
        <v>299</v>
      </c>
      <c r="B88" s="2" t="s">
        <v>54</v>
      </c>
      <c r="C88" s="2">
        <v>427.1</v>
      </c>
      <c r="D88" s="15">
        <f>Table3_1[[#This Row],[Value]]/'[1]Active population 1'!C95</f>
        <v>0.14482875551034249</v>
      </c>
      <c r="E88" s="17">
        <f>1-Table3_1[[#This Row],[Unemployment rate]]</f>
        <v>0.85517124448965753</v>
      </c>
      <c r="F88" s="2"/>
    </row>
    <row r="89" spans="1:6" x14ac:dyDescent="0.3">
      <c r="A89" s="2" t="s">
        <v>299</v>
      </c>
      <c r="B89" s="2" t="s">
        <v>55</v>
      </c>
      <c r="C89" s="2">
        <v>440.5</v>
      </c>
      <c r="D89" s="15">
        <f>Table3_1[[#This Row],[Value]]/'[1]Active population 1'!C96</f>
        <v>0.15483304042179261</v>
      </c>
      <c r="E89" s="17">
        <f>1-Table3_1[[#This Row],[Unemployment rate]]</f>
        <v>0.84516695957820742</v>
      </c>
      <c r="F89" s="2"/>
    </row>
    <row r="90" spans="1:6" x14ac:dyDescent="0.3">
      <c r="A90" s="2" t="s">
        <v>299</v>
      </c>
      <c r="B90" s="2" t="s">
        <v>56</v>
      </c>
      <c r="C90" s="2">
        <v>452.7</v>
      </c>
      <c r="D90" s="15">
        <f>Table3_1[[#This Row],[Value]]/'[1]Active population 1'!C97</f>
        <v>0.15845292264613231</v>
      </c>
      <c r="E90" s="17">
        <f>1-Table3_1[[#This Row],[Unemployment rate]]</f>
        <v>0.84154707735386769</v>
      </c>
      <c r="F90" s="2"/>
    </row>
    <row r="91" spans="1:6" x14ac:dyDescent="0.3">
      <c r="A91" s="2" t="s">
        <v>299</v>
      </c>
      <c r="B91" s="2" t="s">
        <v>57</v>
      </c>
      <c r="C91" s="2">
        <v>390</v>
      </c>
      <c r="D91" s="15">
        <f>Table3_1[[#This Row],[Value]]/'[1]Active population 1'!C98</f>
        <v>0.13660245183887915</v>
      </c>
      <c r="E91" s="17">
        <f>1-Table3_1[[#This Row],[Unemployment rate]]</f>
        <v>0.86339754816112091</v>
      </c>
      <c r="F91" s="2"/>
    </row>
    <row r="92" spans="1:6" x14ac:dyDescent="0.3">
      <c r="A92" s="2" t="s">
        <v>299</v>
      </c>
      <c r="B92" s="2" t="s">
        <v>58</v>
      </c>
      <c r="C92" s="2">
        <v>395.9</v>
      </c>
      <c r="D92" s="15">
        <f>Table3_1[[#This Row],[Value]]/'[1]Active population 1'!C99</f>
        <v>0.1379923318229348</v>
      </c>
      <c r="E92" s="17">
        <f>1-Table3_1[[#This Row],[Unemployment rate]]</f>
        <v>0.8620076681770652</v>
      </c>
      <c r="F92" s="2"/>
    </row>
    <row r="93" spans="1:6" x14ac:dyDescent="0.3">
      <c r="A93" s="2" t="s">
        <v>299</v>
      </c>
      <c r="B93" s="2" t="s">
        <v>59</v>
      </c>
      <c r="C93" s="2">
        <v>371</v>
      </c>
      <c r="D93" s="15">
        <f>Table3_1[[#This Row],[Value]]/'[1]Active population 1'!C100</f>
        <v>0.13184079601990051</v>
      </c>
      <c r="E93" s="17">
        <f>1-Table3_1[[#This Row],[Unemployment rate]]</f>
        <v>0.86815920398009949</v>
      </c>
      <c r="F93" s="2"/>
    </row>
    <row r="94" spans="1:6" x14ac:dyDescent="0.3">
      <c r="A94" s="2" t="s">
        <v>299</v>
      </c>
      <c r="B94" s="2" t="s">
        <v>60</v>
      </c>
      <c r="C94" s="2">
        <v>373.7</v>
      </c>
      <c r="D94" s="15">
        <f>Table3_1[[#This Row],[Value]]/'[1]Active population 1'!C101</f>
        <v>0.13177009873060649</v>
      </c>
      <c r="E94" s="17">
        <f>1-Table3_1[[#This Row],[Unemployment rate]]</f>
        <v>0.86822990126939348</v>
      </c>
      <c r="F94" s="2"/>
    </row>
    <row r="95" spans="1:6" x14ac:dyDescent="0.3">
      <c r="A95" s="2" t="s">
        <v>299</v>
      </c>
      <c r="B95" s="2" t="s">
        <v>61</v>
      </c>
      <c r="C95" s="2">
        <v>368</v>
      </c>
      <c r="D95" s="15">
        <f>Table3_1[[#This Row],[Value]]/'[1]Active population 1'!C102</f>
        <v>0.12966878083157152</v>
      </c>
      <c r="E95" s="17">
        <f>1-Table3_1[[#This Row],[Unemployment rate]]</f>
        <v>0.87033121916842848</v>
      </c>
      <c r="F95" s="2"/>
    </row>
    <row r="96" spans="1:6" x14ac:dyDescent="0.3">
      <c r="A96" s="2" t="s">
        <v>299</v>
      </c>
      <c r="B96" s="2" t="s">
        <v>62</v>
      </c>
      <c r="C96" s="2">
        <v>397.2</v>
      </c>
      <c r="D96" s="15">
        <f>Table3_1[[#This Row],[Value]]/'[1]Active population 1'!C103</f>
        <v>0.13941733941733941</v>
      </c>
      <c r="E96" s="17">
        <f>1-Table3_1[[#This Row],[Unemployment rate]]</f>
        <v>0.86058266058266053</v>
      </c>
      <c r="F96" s="2"/>
    </row>
    <row r="97" spans="1:6" x14ac:dyDescent="0.3">
      <c r="A97" s="2" t="s">
        <v>299</v>
      </c>
      <c r="B97" s="2" t="s">
        <v>63</v>
      </c>
      <c r="C97" s="2">
        <v>377.5</v>
      </c>
      <c r="D97" s="15">
        <f>Table3_1[[#This Row],[Value]]/'[1]Active population 1'!C104</f>
        <v>0.13217787114845939</v>
      </c>
      <c r="E97" s="17">
        <f>1-Table3_1[[#This Row],[Unemployment rate]]</f>
        <v>0.86782212885154064</v>
      </c>
      <c r="F97" s="2"/>
    </row>
    <row r="98" spans="1:6" x14ac:dyDescent="0.3">
      <c r="A98" s="2" t="s">
        <v>300</v>
      </c>
      <c r="B98" s="2"/>
      <c r="C98" s="2"/>
      <c r="D98" s="15"/>
      <c r="E98" s="15"/>
      <c r="F98" s="2"/>
    </row>
    <row r="99" spans="1:6" x14ac:dyDescent="0.3">
      <c r="A99" s="2" t="s">
        <v>300</v>
      </c>
      <c r="B99" s="2" t="s">
        <v>15</v>
      </c>
      <c r="C99" s="2">
        <v>281.10000000000002</v>
      </c>
      <c r="D99" s="15">
        <f>Table3_1[[#This Row],[Value]]/'[1]Active population 1'!C113</f>
        <v>0.27378981201909031</v>
      </c>
      <c r="E99" s="15">
        <f>1-Table3_1[[#This Row],[Unemployment rate]]</f>
        <v>0.72621018798090975</v>
      </c>
      <c r="F99" s="2"/>
    </row>
    <row r="100" spans="1:6" x14ac:dyDescent="0.3">
      <c r="A100" s="2" t="s">
        <v>300</v>
      </c>
      <c r="B100" s="2" t="s">
        <v>17</v>
      </c>
      <c r="C100" s="2">
        <v>301.3</v>
      </c>
      <c r="D100" s="15">
        <f>Table3_1[[#This Row],[Value]]/'[1]Active population 1'!C114</f>
        <v>0.28238050609184628</v>
      </c>
      <c r="E100" s="15">
        <f>1-Table3_1[[#This Row],[Unemployment rate]]</f>
        <v>0.71761949390815372</v>
      </c>
      <c r="F100" s="2"/>
    </row>
    <row r="101" spans="1:6" x14ac:dyDescent="0.3">
      <c r="A101" s="2" t="s">
        <v>300</v>
      </c>
      <c r="B101" s="2" t="s">
        <v>18</v>
      </c>
      <c r="C101" s="2">
        <v>284</v>
      </c>
      <c r="D101" s="15">
        <f>Table3_1[[#This Row],[Value]]/'[1]Active population 1'!C115</f>
        <v>0.26611694152923537</v>
      </c>
      <c r="E101" s="15">
        <f>1-Table3_1[[#This Row],[Unemployment rate]]</f>
        <v>0.73388305847076463</v>
      </c>
      <c r="F101" s="2"/>
    </row>
    <row r="102" spans="1:6" x14ac:dyDescent="0.3">
      <c r="A102" s="2" t="s">
        <v>300</v>
      </c>
      <c r="B102" s="2" t="s">
        <v>19</v>
      </c>
      <c r="C102" s="2">
        <v>274.2</v>
      </c>
      <c r="D102" s="15">
        <f>Table3_1[[#This Row],[Value]]/'[1]Active population 1'!C116</f>
        <v>0.25604631618265006</v>
      </c>
      <c r="E102" s="15">
        <f>1-Table3_1[[#This Row],[Unemployment rate]]</f>
        <v>0.74395368381734994</v>
      </c>
      <c r="F102" s="2"/>
    </row>
    <row r="103" spans="1:6" x14ac:dyDescent="0.3">
      <c r="A103" s="2" t="s">
        <v>300</v>
      </c>
      <c r="B103" s="2" t="s">
        <v>20</v>
      </c>
      <c r="C103" s="2">
        <v>264.89999999999998</v>
      </c>
      <c r="D103" s="15">
        <f>Table3_1[[#This Row],[Value]]/'[1]Active population 1'!C117</f>
        <v>0.24908321579689702</v>
      </c>
      <c r="E103" s="15">
        <f>1-Table3_1[[#This Row],[Unemployment rate]]</f>
        <v>0.75091678420310304</v>
      </c>
      <c r="F103" s="2"/>
    </row>
    <row r="104" spans="1:6" x14ac:dyDescent="0.3">
      <c r="A104" s="2" t="s">
        <v>300</v>
      </c>
      <c r="B104" s="2" t="s">
        <v>21</v>
      </c>
      <c r="C104" s="2">
        <v>257.39999999999998</v>
      </c>
      <c r="D104" s="15">
        <f>Table3_1[[#This Row],[Value]]/'[1]Active population 1'!C118</f>
        <v>0.24232724533986064</v>
      </c>
      <c r="E104" s="15">
        <f>1-Table3_1[[#This Row],[Unemployment rate]]</f>
        <v>0.75767275466013939</v>
      </c>
      <c r="F104" s="2"/>
    </row>
    <row r="105" spans="1:6" x14ac:dyDescent="0.3">
      <c r="A105" s="2" t="s">
        <v>300</v>
      </c>
      <c r="B105" s="2" t="s">
        <v>22</v>
      </c>
      <c r="C105" s="2">
        <v>247.7</v>
      </c>
      <c r="D105" s="15">
        <f>Table3_1[[#This Row],[Value]]/'[1]Active population 1'!C119</f>
        <v>0.23304167842694512</v>
      </c>
      <c r="E105" s="15">
        <f>1-Table3_1[[#This Row],[Unemployment rate]]</f>
        <v>0.76695832157305488</v>
      </c>
      <c r="F105" s="2"/>
    </row>
    <row r="106" spans="1:6" x14ac:dyDescent="0.3">
      <c r="A106" s="2" t="s">
        <v>300</v>
      </c>
      <c r="B106" s="2" t="s">
        <v>23</v>
      </c>
      <c r="C106" s="2">
        <v>248.8</v>
      </c>
      <c r="D106" s="15">
        <f>Table3_1[[#This Row],[Value]]/'[1]Active population 1'!C120</f>
        <v>0.23000832023666451</v>
      </c>
      <c r="E106" s="15">
        <f>1-Table3_1[[#This Row],[Unemployment rate]]</f>
        <v>0.76999167976333549</v>
      </c>
      <c r="F106" s="2"/>
    </row>
    <row r="107" spans="1:6" x14ac:dyDescent="0.3">
      <c r="A107" s="2" t="s">
        <v>300</v>
      </c>
      <c r="B107" s="2" t="s">
        <v>24</v>
      </c>
      <c r="C107" s="2">
        <v>245.1</v>
      </c>
      <c r="D107" s="15">
        <f>Table3_1[[#This Row],[Value]]/'[1]Active population 1'!C121</f>
        <v>0.22465627864344637</v>
      </c>
      <c r="E107" s="15">
        <f>1-Table3_1[[#This Row],[Unemployment rate]]</f>
        <v>0.77534372135655361</v>
      </c>
      <c r="F107" s="2"/>
    </row>
    <row r="108" spans="1:6" x14ac:dyDescent="0.3">
      <c r="A108" s="2" t="s">
        <v>300</v>
      </c>
      <c r="B108" s="2" t="s">
        <v>25</v>
      </c>
      <c r="C108" s="2">
        <v>242.7</v>
      </c>
      <c r="D108" s="15">
        <f>Table3_1[[#This Row],[Value]]/'[1]Active population 1'!C122</f>
        <v>0.21947911014650026</v>
      </c>
      <c r="E108" s="15">
        <f>1-Table3_1[[#This Row],[Unemployment rate]]</f>
        <v>0.78052088985349977</v>
      </c>
      <c r="F108" s="2"/>
    </row>
    <row r="109" spans="1:6" x14ac:dyDescent="0.3">
      <c r="A109" s="2" t="s">
        <v>300</v>
      </c>
      <c r="B109" s="2" t="s">
        <v>26</v>
      </c>
      <c r="C109" s="2">
        <v>240.9</v>
      </c>
      <c r="D109" s="15">
        <f>Table3_1[[#This Row],[Value]]/'[1]Active population 1'!C123</f>
        <v>0.21539699570815449</v>
      </c>
      <c r="E109" s="15">
        <f>1-Table3_1[[#This Row],[Unemployment rate]]</f>
        <v>0.78460300429184548</v>
      </c>
      <c r="F109" s="2"/>
    </row>
    <row r="110" spans="1:6" x14ac:dyDescent="0.3">
      <c r="A110" s="2" t="s">
        <v>300</v>
      </c>
      <c r="B110" s="2" t="s">
        <v>28</v>
      </c>
      <c r="C110" s="2">
        <v>239.9</v>
      </c>
      <c r="D110" s="15">
        <f>Table3_1[[#This Row],[Value]]/'[1]Active population 1'!C124</f>
        <v>0.19793729372937294</v>
      </c>
      <c r="E110" s="15">
        <f>1-Table3_1[[#This Row],[Unemployment rate]]</f>
        <v>0.80206270627062703</v>
      </c>
      <c r="F110" s="2"/>
    </row>
    <row r="111" spans="1:6" x14ac:dyDescent="0.3">
      <c r="A111" s="2" t="s">
        <v>300</v>
      </c>
      <c r="B111" s="2" t="s">
        <v>29</v>
      </c>
      <c r="C111" s="2">
        <v>238.8</v>
      </c>
      <c r="D111" s="15">
        <f>Table3_1[[#This Row],[Value]]/'[1]Active population 1'!C125</f>
        <v>0.21319525042406931</v>
      </c>
      <c r="E111" s="15">
        <f>1-Table3_1[[#This Row],[Unemployment rate]]</f>
        <v>0.78680474957593072</v>
      </c>
      <c r="F111" s="2"/>
    </row>
    <row r="112" spans="1:6" x14ac:dyDescent="0.3">
      <c r="A112" s="2" t="s">
        <v>300</v>
      </c>
      <c r="B112" s="2" t="s">
        <v>30</v>
      </c>
      <c r="C112" s="2">
        <v>242</v>
      </c>
      <c r="D112" s="15">
        <f>Table3_1[[#This Row],[Value]]/'[1]Active population 1'!C126</f>
        <v>0.21431101664895499</v>
      </c>
      <c r="E112" s="15">
        <f>1-Table3_1[[#This Row],[Unemployment rate]]</f>
        <v>0.78568898335104498</v>
      </c>
      <c r="F112" s="2"/>
    </row>
    <row r="113" spans="1:6" x14ac:dyDescent="0.3">
      <c r="A113" s="2" t="s">
        <v>300</v>
      </c>
      <c r="B113" s="2" t="s">
        <v>31</v>
      </c>
      <c r="C113" s="2">
        <v>249.2</v>
      </c>
      <c r="D113" s="15">
        <f>Table3_1[[#This Row],[Value]]/'[1]Active population 1'!C127</f>
        <v>0.22251986784534331</v>
      </c>
      <c r="E113" s="15">
        <f>1-Table3_1[[#This Row],[Unemployment rate]]</f>
        <v>0.77748013215465672</v>
      </c>
      <c r="F113" s="2"/>
    </row>
    <row r="114" spans="1:6" x14ac:dyDescent="0.3">
      <c r="A114" s="2" t="s">
        <v>300</v>
      </c>
      <c r="B114" s="2" t="s">
        <v>32</v>
      </c>
      <c r="C114" s="2">
        <v>254.4</v>
      </c>
      <c r="D114" s="15">
        <f>Table3_1[[#This Row],[Value]]/'[1]Active population 1'!C128</f>
        <v>0.22679860925381118</v>
      </c>
      <c r="E114" s="15">
        <f>1-Table3_1[[#This Row],[Unemployment rate]]</f>
        <v>0.77320139074618877</v>
      </c>
      <c r="F114" s="2"/>
    </row>
    <row r="115" spans="1:6" x14ac:dyDescent="0.3">
      <c r="A115" s="2" t="s">
        <v>300</v>
      </c>
      <c r="B115" s="2" t="s">
        <v>33</v>
      </c>
      <c r="C115" s="2">
        <v>257.10000000000002</v>
      </c>
      <c r="D115" s="15">
        <f>Table3_1[[#This Row],[Value]]/'[1]Active population 1'!C129</f>
        <v>0.22738126824091273</v>
      </c>
      <c r="E115" s="15">
        <f>1-Table3_1[[#This Row],[Unemployment rate]]</f>
        <v>0.77261873175908724</v>
      </c>
      <c r="F115" s="2"/>
    </row>
    <row r="116" spans="1:6" x14ac:dyDescent="0.3">
      <c r="A116" s="2" t="s">
        <v>300</v>
      </c>
      <c r="B116" s="2" t="s">
        <v>34</v>
      </c>
      <c r="C116" s="2">
        <v>262.60000000000002</v>
      </c>
      <c r="D116" s="15">
        <f>Table3_1[[#This Row],[Value]]/'[1]Active population 1'!C130</f>
        <v>0.23079627351028303</v>
      </c>
      <c r="E116" s="15">
        <f>1-Table3_1[[#This Row],[Unemployment rate]]</f>
        <v>0.76920372648971691</v>
      </c>
      <c r="F116" s="2"/>
    </row>
    <row r="117" spans="1:6" x14ac:dyDescent="0.3">
      <c r="A117" s="2" t="s">
        <v>300</v>
      </c>
      <c r="B117" s="2" t="s">
        <v>35</v>
      </c>
      <c r="C117" s="2">
        <v>272.60000000000002</v>
      </c>
      <c r="D117" s="15">
        <f>Table3_1[[#This Row],[Value]]/'[1]Active population 1'!C131</f>
        <v>0.23663194444444446</v>
      </c>
      <c r="E117" s="15">
        <f>1-Table3_1[[#This Row],[Unemployment rate]]</f>
        <v>0.76336805555555554</v>
      </c>
      <c r="F117" s="2"/>
    </row>
    <row r="118" spans="1:6" x14ac:dyDescent="0.3">
      <c r="A118" s="2" t="s">
        <v>300</v>
      </c>
      <c r="B118" s="2" t="s">
        <v>36</v>
      </c>
      <c r="C118" s="2">
        <v>270.10000000000002</v>
      </c>
      <c r="D118" s="15">
        <f>Table3_1[[#This Row],[Value]]/'[1]Active population 1'!C132</f>
        <v>0.23238406607588405</v>
      </c>
      <c r="E118" s="15">
        <f>1-Table3_1[[#This Row],[Unemployment rate]]</f>
        <v>0.76761593392411598</v>
      </c>
      <c r="F118" s="2"/>
    </row>
    <row r="119" spans="1:6" x14ac:dyDescent="0.3">
      <c r="A119" s="2" t="s">
        <v>300</v>
      </c>
      <c r="B119" s="2" t="s">
        <v>37</v>
      </c>
      <c r="C119" s="2">
        <v>270</v>
      </c>
      <c r="D119" s="15">
        <f>Table3_1[[#This Row],[Value]]/'[1]Active population 1'!C133</f>
        <v>0.23148148148148145</v>
      </c>
      <c r="E119" s="15">
        <f>1-Table3_1[[#This Row],[Unemployment rate]]</f>
        <v>0.7685185185185186</v>
      </c>
      <c r="F119" s="2"/>
    </row>
    <row r="120" spans="1:6" x14ac:dyDescent="0.3">
      <c r="A120" s="2" t="s">
        <v>300</v>
      </c>
      <c r="B120" s="2" t="s">
        <v>38</v>
      </c>
      <c r="C120" s="2">
        <v>266.3</v>
      </c>
      <c r="D120" s="15">
        <f>Table3_1[[#This Row],[Value]]/'[1]Active population 1'!C134</f>
        <v>0.22768467852257185</v>
      </c>
      <c r="E120" s="15">
        <f>1-Table3_1[[#This Row],[Unemployment rate]]</f>
        <v>0.7723153214774281</v>
      </c>
      <c r="F120" s="2"/>
    </row>
    <row r="121" spans="1:6" x14ac:dyDescent="0.3">
      <c r="A121" s="2" t="s">
        <v>300</v>
      </c>
      <c r="B121" s="2" t="s">
        <v>39</v>
      </c>
      <c r="C121" s="2">
        <v>265.60000000000002</v>
      </c>
      <c r="D121" s="15">
        <f>Table3_1[[#This Row],[Value]]/'[1]Active population 1'!C135</f>
        <v>0.22669853192215778</v>
      </c>
      <c r="E121" s="15">
        <f>1-Table3_1[[#This Row],[Unemployment rate]]</f>
        <v>0.77330146807784228</v>
      </c>
      <c r="F121" s="2"/>
    </row>
    <row r="122" spans="1:6" x14ac:dyDescent="0.3">
      <c r="A122" s="2" t="s">
        <v>300</v>
      </c>
      <c r="B122" s="2" t="s">
        <v>40</v>
      </c>
      <c r="C122" s="2">
        <v>269.39999999999998</v>
      </c>
      <c r="D122" s="15">
        <f>Table3_1[[#This Row],[Value]]/'[1]Active population 1'!C136</f>
        <v>0.22955010224948874</v>
      </c>
      <c r="E122" s="15">
        <f>1-Table3_1[[#This Row],[Unemployment rate]]</f>
        <v>0.7704498977505112</v>
      </c>
      <c r="F122" s="2"/>
    </row>
    <row r="123" spans="1:6" x14ac:dyDescent="0.3">
      <c r="A123" s="2" t="s">
        <v>300</v>
      </c>
      <c r="B123" s="2" t="s">
        <v>41</v>
      </c>
      <c r="C123" s="2">
        <v>271.8</v>
      </c>
      <c r="D123" s="15">
        <f>Table3_1[[#This Row],[Value]]/'[1]Active population 1'!C137</f>
        <v>0.23006602336211274</v>
      </c>
      <c r="E123" s="15">
        <f>1-Table3_1[[#This Row],[Unemployment rate]]</f>
        <v>0.76993397663788721</v>
      </c>
      <c r="F123" s="2"/>
    </row>
    <row r="124" spans="1:6" x14ac:dyDescent="0.3">
      <c r="A124" s="2" t="s">
        <v>300</v>
      </c>
      <c r="B124" s="2" t="s">
        <v>42</v>
      </c>
      <c r="C124" s="2">
        <v>268.89999999999998</v>
      </c>
      <c r="D124" s="15">
        <f>Table3_1[[#This Row],[Value]]/'[1]Active population 1'!C138</f>
        <v>0.22691983122362866</v>
      </c>
      <c r="E124" s="15">
        <f>1-Table3_1[[#This Row],[Unemployment rate]]</f>
        <v>0.77308016877637131</v>
      </c>
      <c r="F124" s="2"/>
    </row>
    <row r="125" spans="1:6" x14ac:dyDescent="0.3">
      <c r="A125" s="2" t="s">
        <v>300</v>
      </c>
      <c r="B125" s="2" t="s">
        <v>43</v>
      </c>
      <c r="C125" s="2">
        <v>270.10000000000002</v>
      </c>
      <c r="D125" s="15">
        <f>Table3_1[[#This Row],[Value]]/'[1]Active population 1'!C139</f>
        <v>0.2275676131097818</v>
      </c>
      <c r="E125" s="15">
        <f>1-Table3_1[[#This Row],[Unemployment rate]]</f>
        <v>0.7724323868902182</v>
      </c>
      <c r="F125" s="2"/>
    </row>
    <row r="126" spans="1:6" x14ac:dyDescent="0.3">
      <c r="A126" s="2" t="s">
        <v>300</v>
      </c>
      <c r="B126" s="2" t="s">
        <v>44</v>
      </c>
      <c r="C126" s="2">
        <v>272.89999999999998</v>
      </c>
      <c r="D126" s="15">
        <f>Table3_1[[#This Row],[Value]]/'[1]Active population 1'!C140</f>
        <v>0.22926993194992859</v>
      </c>
      <c r="E126" s="15">
        <f>1-Table3_1[[#This Row],[Unemployment rate]]</f>
        <v>0.77073006805007138</v>
      </c>
      <c r="F126" s="2"/>
    </row>
    <row r="127" spans="1:6" x14ac:dyDescent="0.3">
      <c r="A127" s="2" t="s">
        <v>300</v>
      </c>
      <c r="B127" s="2" t="s">
        <v>45</v>
      </c>
      <c r="C127" s="2">
        <v>274.5</v>
      </c>
      <c r="D127" s="15">
        <f>Table3_1[[#This Row],[Value]]/'[1]Active population 1'!C141</f>
        <v>0.22945749393964726</v>
      </c>
      <c r="E127" s="15">
        <f>1-Table3_1[[#This Row],[Unemployment rate]]</f>
        <v>0.77054250606035279</v>
      </c>
      <c r="F127" s="2"/>
    </row>
    <row r="128" spans="1:6" x14ac:dyDescent="0.3">
      <c r="A128" s="2" t="s">
        <v>300</v>
      </c>
      <c r="B128" s="2" t="s">
        <v>46</v>
      </c>
      <c r="C128" s="2">
        <v>271.60000000000002</v>
      </c>
      <c r="D128" s="15">
        <f>Table3_1[[#This Row],[Value]]/'[1]Active population 1'!C142</f>
        <v>0.22640880293431148</v>
      </c>
      <c r="E128" s="15">
        <f>1-Table3_1[[#This Row],[Unemployment rate]]</f>
        <v>0.77359119706568857</v>
      </c>
      <c r="F128" s="2"/>
    </row>
    <row r="129" spans="1:6" x14ac:dyDescent="0.3">
      <c r="A129" s="2" t="s">
        <v>300</v>
      </c>
      <c r="B129" s="2" t="s">
        <v>47</v>
      </c>
      <c r="C129" s="2">
        <v>269.5</v>
      </c>
      <c r="D129" s="15">
        <f>Table3_1[[#This Row],[Value]]/'[1]Active population 1'!C143</f>
        <v>0.22434029801048866</v>
      </c>
      <c r="E129" s="15">
        <f>1-Table3_1[[#This Row],[Unemployment rate]]</f>
        <v>0.77565970198951129</v>
      </c>
      <c r="F129" s="2"/>
    </row>
    <row r="130" spans="1:6" x14ac:dyDescent="0.3">
      <c r="A130" s="2" t="s">
        <v>300</v>
      </c>
      <c r="B130" s="2" t="s">
        <v>48</v>
      </c>
      <c r="C130" s="2">
        <v>265.8</v>
      </c>
      <c r="D130" s="15">
        <f>Table3_1[[#This Row],[Value]]/'[1]Active population 1'!C144</f>
        <v>0.22096599883614598</v>
      </c>
      <c r="E130" s="15">
        <f>1-Table3_1[[#This Row],[Unemployment rate]]</f>
        <v>0.77903400116385402</v>
      </c>
      <c r="F130" s="2"/>
    </row>
    <row r="131" spans="1:6" x14ac:dyDescent="0.3">
      <c r="A131" s="2" t="s">
        <v>300</v>
      </c>
      <c r="B131" s="2" t="s">
        <v>49</v>
      </c>
      <c r="C131" s="2">
        <v>263.7</v>
      </c>
      <c r="D131" s="15">
        <f>Table3_1[[#This Row],[Value]]/'[1]Active population 1'!C145</f>
        <v>0.21862046095174928</v>
      </c>
      <c r="E131" s="15">
        <f>1-Table3_1[[#This Row],[Unemployment rate]]</f>
        <v>0.78137953904825075</v>
      </c>
      <c r="F131" s="2"/>
    </row>
    <row r="132" spans="1:6" x14ac:dyDescent="0.3">
      <c r="A132" s="2" t="s">
        <v>300</v>
      </c>
      <c r="B132" s="2" t="s">
        <v>50</v>
      </c>
      <c r="C132" s="2">
        <v>268.7</v>
      </c>
      <c r="D132" s="15">
        <f>Table3_1[[#This Row],[Value]]/'[1]Active population 1'!C146</f>
        <v>0.2208977310095363</v>
      </c>
      <c r="E132" s="15">
        <f>1-Table3_1[[#This Row],[Unemployment rate]]</f>
        <v>0.77910226899046364</v>
      </c>
      <c r="F132" s="2"/>
    </row>
    <row r="133" spans="1:6" x14ac:dyDescent="0.3">
      <c r="A133" s="2" t="s">
        <v>300</v>
      </c>
      <c r="B133" s="2" t="s">
        <v>51</v>
      </c>
      <c r="C133" s="2">
        <v>297.10000000000002</v>
      </c>
      <c r="D133" s="15">
        <f>Table3_1[[#This Row],[Value]]/'[1]Active population 1'!C147</f>
        <v>0.24370437207776233</v>
      </c>
      <c r="E133" s="15">
        <f>1-Table3_1[[#This Row],[Unemployment rate]]</f>
        <v>0.7562956279222377</v>
      </c>
      <c r="F133" s="2"/>
    </row>
    <row r="134" spans="1:6" x14ac:dyDescent="0.3">
      <c r="A134" s="2" t="s">
        <v>300</v>
      </c>
      <c r="B134" s="2" t="s">
        <v>52</v>
      </c>
      <c r="C134" s="2">
        <v>274.5</v>
      </c>
      <c r="D134" s="15">
        <f>Table3_1[[#This Row],[Value]]/'[1]Active population 1'!C148</f>
        <v>0.23084685896896814</v>
      </c>
      <c r="E134" s="15">
        <f>1-Table3_1[[#This Row],[Unemployment rate]]</f>
        <v>0.76915314103103183</v>
      </c>
      <c r="F134" s="2"/>
    </row>
    <row r="135" spans="1:6" x14ac:dyDescent="0.3">
      <c r="A135" s="2" t="s">
        <v>300</v>
      </c>
      <c r="B135" s="2" t="s">
        <v>53</v>
      </c>
      <c r="C135" s="2">
        <v>300.7</v>
      </c>
      <c r="D135" s="15">
        <f>Table3_1[[#This Row],[Value]]/'[1]Active population 1'!C149</f>
        <v>0.24970935060621158</v>
      </c>
      <c r="E135" s="15">
        <f>1-Table3_1[[#This Row],[Unemployment rate]]</f>
        <v>0.75029064939378842</v>
      </c>
      <c r="F135" s="2"/>
    </row>
    <row r="136" spans="1:6" x14ac:dyDescent="0.3">
      <c r="A136" s="2" t="s">
        <v>300</v>
      </c>
      <c r="B136" s="2" t="s">
        <v>54</v>
      </c>
      <c r="C136" s="2">
        <v>315.7</v>
      </c>
      <c r="D136" s="15">
        <f>Table3_1[[#This Row],[Value]]/'[1]Active population 1'!C150</f>
        <v>0.26112489660876759</v>
      </c>
      <c r="E136" s="15">
        <f>1-Table3_1[[#This Row],[Unemployment rate]]</f>
        <v>0.73887510339123241</v>
      </c>
      <c r="F136" s="2"/>
    </row>
    <row r="137" spans="1:6" x14ac:dyDescent="0.3">
      <c r="A137" s="2" t="s">
        <v>300</v>
      </c>
      <c r="B137" s="2" t="s">
        <v>55</v>
      </c>
      <c r="C137" s="2">
        <v>305.89999999999998</v>
      </c>
      <c r="D137" s="15">
        <f>Table3_1[[#This Row],[Value]]/'[1]Active population 1'!C151</f>
        <v>0.23051996985681988</v>
      </c>
      <c r="E137" s="15">
        <f>1-Table3_1[[#This Row],[Unemployment rate]]</f>
        <v>0.76948003014318012</v>
      </c>
      <c r="F137" s="2"/>
    </row>
    <row r="138" spans="1:6" x14ac:dyDescent="0.3">
      <c r="A138" s="2" t="s">
        <v>300</v>
      </c>
      <c r="B138" s="2" t="s">
        <v>56</v>
      </c>
      <c r="C138" s="2">
        <v>310</v>
      </c>
      <c r="D138" s="15">
        <f>Table3_1[[#This Row],[Value]]/'[1]Active population 1'!C152</f>
        <v>0.2390131071703932</v>
      </c>
      <c r="E138" s="15">
        <f>1-Table3_1[[#This Row],[Unemployment rate]]</f>
        <v>0.76098689282960685</v>
      </c>
      <c r="F138" s="2"/>
    </row>
    <row r="139" spans="1:6" x14ac:dyDescent="0.3">
      <c r="A139" s="2" t="s">
        <v>300</v>
      </c>
      <c r="B139" s="2" t="s">
        <v>57</v>
      </c>
      <c r="C139" s="2">
        <v>283.5</v>
      </c>
      <c r="D139" s="15">
        <f>Table3_1[[#This Row],[Value]]/'[1]Active population 1'!C153</f>
        <v>0.22027972027972029</v>
      </c>
      <c r="E139" s="15">
        <f>1-Table3_1[[#This Row],[Unemployment rate]]</f>
        <v>0.77972027972027969</v>
      </c>
      <c r="F139" s="2"/>
    </row>
    <row r="140" spans="1:6" x14ac:dyDescent="0.3">
      <c r="A140" s="2" t="s">
        <v>300</v>
      </c>
      <c r="B140" s="2" t="s">
        <v>58</v>
      </c>
      <c r="C140" s="2">
        <v>257.3</v>
      </c>
      <c r="D140" s="15">
        <f>Table3_1[[#This Row],[Value]]/'[1]Active population 1'!C154</f>
        <v>0.19914860681114552</v>
      </c>
      <c r="E140" s="15">
        <f>1-Table3_1[[#This Row],[Unemployment rate]]</f>
        <v>0.80085139318885445</v>
      </c>
      <c r="F140" s="2"/>
    </row>
    <row r="141" spans="1:6" x14ac:dyDescent="0.3">
      <c r="A141" s="2" t="s">
        <v>300</v>
      </c>
      <c r="B141" s="2" t="s">
        <v>59</v>
      </c>
      <c r="C141" s="2">
        <v>255.1</v>
      </c>
      <c r="D141" s="15">
        <f>Table3_1[[#This Row],[Value]]/'[1]Active population 1'!C155</f>
        <v>0.20706168831168831</v>
      </c>
      <c r="E141" s="15">
        <f>1-Table3_1[[#This Row],[Unemployment rate]]</f>
        <v>0.79293831168831175</v>
      </c>
      <c r="F141" s="2"/>
    </row>
    <row r="142" spans="1:6" x14ac:dyDescent="0.3">
      <c r="A142" s="2" t="s">
        <v>300</v>
      </c>
      <c r="B142" s="2" t="s">
        <v>60</v>
      </c>
      <c r="C142" s="2">
        <v>239.9</v>
      </c>
      <c r="D142" s="15">
        <f>Table3_1[[#This Row],[Value]]/'[1]Active population 1'!C156</f>
        <v>0.19269076305220884</v>
      </c>
      <c r="E142" s="15">
        <f>1-Table3_1[[#This Row],[Unemployment rate]]</f>
        <v>0.80730923694779122</v>
      </c>
      <c r="F142" s="2"/>
    </row>
    <row r="143" spans="1:6" x14ac:dyDescent="0.3">
      <c r="A143" s="2" t="s">
        <v>300</v>
      </c>
      <c r="B143" s="2" t="s">
        <v>61</v>
      </c>
      <c r="C143" s="2">
        <v>256.60000000000002</v>
      </c>
      <c r="D143" s="15">
        <f>Table3_1[[#This Row],[Value]]/'[1]Active population 1'!C157</f>
        <v>0.21856899488926748</v>
      </c>
      <c r="E143" s="15">
        <f>1-Table3_1[[#This Row],[Unemployment rate]]</f>
        <v>0.78143100511073249</v>
      </c>
      <c r="F143" s="2"/>
    </row>
    <row r="144" spans="1:6" x14ac:dyDescent="0.3">
      <c r="A144" s="2" t="s">
        <v>300</v>
      </c>
      <c r="B144" s="2" t="s">
        <v>62</v>
      </c>
      <c r="C144" s="2">
        <v>258.60000000000002</v>
      </c>
      <c r="D144" s="15">
        <f>Table3_1[[#This Row],[Value]]/'[1]Active population 1'!C158</f>
        <v>0.20282352941176474</v>
      </c>
      <c r="E144" s="15">
        <f>1-Table3_1[[#This Row],[Unemployment rate]]</f>
        <v>0.79717647058823526</v>
      </c>
      <c r="F144" s="2"/>
    </row>
    <row r="145" spans="1:6" x14ac:dyDescent="0.3">
      <c r="A145" s="2" t="s">
        <v>300</v>
      </c>
      <c r="B145" s="2" t="s">
        <v>63</v>
      </c>
      <c r="C145" s="2">
        <v>260.60000000000002</v>
      </c>
      <c r="D145" s="15">
        <f>Table3_1[[#This Row],[Value]]/'[1]Active population 1'!C159</f>
        <v>0.21325695581014731</v>
      </c>
      <c r="E145" s="15">
        <f>1-Table3_1[[#This Row],[Unemployment rate]]</f>
        <v>0.78674304418985264</v>
      </c>
      <c r="F145" s="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2B69-BEFE-42BA-A3FE-0A10747DCF29}">
  <dimension ref="A1:C121"/>
  <sheetViews>
    <sheetView workbookViewId="0">
      <selection activeCell="C81" sqref="C81:C91"/>
    </sheetView>
  </sheetViews>
  <sheetFormatPr defaultRowHeight="14.4" x14ac:dyDescent="0.3"/>
  <cols>
    <col min="1" max="1" width="55.5546875" bestFit="1" customWidth="1"/>
    <col min="2" max="2" width="10.77734375" bestFit="1" customWidth="1"/>
    <col min="3" max="3" width="7.77734375" bestFit="1" customWidth="1"/>
  </cols>
  <sheetData>
    <row r="1" spans="1:3" x14ac:dyDescent="0.3">
      <c r="A1" s="2" t="s">
        <v>138</v>
      </c>
      <c r="B1" s="2" t="s">
        <v>1</v>
      </c>
      <c r="C1" s="2" t="s">
        <v>101</v>
      </c>
    </row>
    <row r="2" spans="1:3" x14ac:dyDescent="0.3">
      <c r="A2" s="1" t="s">
        <v>139</v>
      </c>
      <c r="B2" s="2" t="s">
        <v>132</v>
      </c>
      <c r="C2" s="2"/>
    </row>
    <row r="3" spans="1:3" x14ac:dyDescent="0.3">
      <c r="A3" s="1" t="s">
        <v>139</v>
      </c>
      <c r="B3" s="2" t="s">
        <v>140</v>
      </c>
      <c r="C3" s="2">
        <v>8.8099999999999987</v>
      </c>
    </row>
    <row r="4" spans="1:3" x14ac:dyDescent="0.3">
      <c r="A4" s="1" t="s">
        <v>139</v>
      </c>
      <c r="B4" s="2" t="s">
        <v>141</v>
      </c>
      <c r="C4" s="2">
        <v>8.8099999999999987</v>
      </c>
    </row>
    <row r="5" spans="1:3" x14ac:dyDescent="0.3">
      <c r="A5" s="1" t="s">
        <v>139</v>
      </c>
      <c r="B5" s="2" t="s">
        <v>142</v>
      </c>
      <c r="C5" s="2">
        <v>7.81</v>
      </c>
    </row>
    <row r="6" spans="1:3" x14ac:dyDescent="0.3">
      <c r="A6" s="1" t="s">
        <v>139</v>
      </c>
      <c r="B6" s="2" t="s">
        <v>143</v>
      </c>
      <c r="C6" s="2">
        <v>6.88</v>
      </c>
    </row>
    <row r="7" spans="1:3" x14ac:dyDescent="0.3">
      <c r="A7" s="1" t="s">
        <v>139</v>
      </c>
      <c r="B7" s="2" t="s">
        <v>144</v>
      </c>
      <c r="C7" s="2">
        <v>6.88</v>
      </c>
    </row>
    <row r="8" spans="1:3" x14ac:dyDescent="0.3">
      <c r="A8" s="1" t="s">
        <v>139</v>
      </c>
      <c r="B8" s="2" t="s">
        <v>145</v>
      </c>
      <c r="C8" s="2">
        <v>5.88</v>
      </c>
    </row>
    <row r="9" spans="1:3" x14ac:dyDescent="0.3">
      <c r="A9" s="1" t="s">
        <v>139</v>
      </c>
      <c r="B9" s="2" t="s">
        <v>146</v>
      </c>
      <c r="C9" s="2">
        <v>5.88</v>
      </c>
    </row>
    <row r="10" spans="1:3" x14ac:dyDescent="0.3">
      <c r="A10" s="1" t="s">
        <v>139</v>
      </c>
      <c r="B10" s="2" t="s">
        <v>147</v>
      </c>
      <c r="C10" s="2">
        <v>5.9399999999999995</v>
      </c>
    </row>
    <row r="11" spans="1:3" x14ac:dyDescent="0.3">
      <c r="A11" s="1" t="s">
        <v>139</v>
      </c>
      <c r="B11" s="2" t="s">
        <v>148</v>
      </c>
      <c r="C11" s="2">
        <v>5.91</v>
      </c>
    </row>
    <row r="12" spans="1:3" x14ac:dyDescent="0.3">
      <c r="A12" s="1" t="s">
        <v>139</v>
      </c>
      <c r="B12" s="2" t="s">
        <v>149</v>
      </c>
      <c r="C12" s="2">
        <v>5</v>
      </c>
    </row>
    <row r="13" spans="1:3" x14ac:dyDescent="0.3">
      <c r="A13" s="1" t="s">
        <v>139</v>
      </c>
      <c r="B13" s="2" t="s">
        <v>150</v>
      </c>
      <c r="C13" s="2">
        <v>5</v>
      </c>
    </row>
    <row r="14" spans="1:3" x14ac:dyDescent="0.3">
      <c r="A14" s="1" t="s">
        <v>139</v>
      </c>
      <c r="B14" s="2" t="s">
        <v>151</v>
      </c>
      <c r="C14" s="2">
        <v>5</v>
      </c>
    </row>
    <row r="15" spans="1:3" x14ac:dyDescent="0.3">
      <c r="A15" s="1" t="s">
        <v>139</v>
      </c>
      <c r="B15" s="2" t="s">
        <v>152</v>
      </c>
      <c r="C15" s="2">
        <v>5.3</v>
      </c>
    </row>
    <row r="16" spans="1:3" x14ac:dyDescent="0.3">
      <c r="A16" s="1" t="s">
        <v>139</v>
      </c>
      <c r="B16" s="2" t="s">
        <v>153</v>
      </c>
      <c r="C16" s="2">
        <v>5.3</v>
      </c>
    </row>
    <row r="17" spans="1:3" x14ac:dyDescent="0.3">
      <c r="A17" s="1" t="s">
        <v>139</v>
      </c>
      <c r="B17" s="2" t="s">
        <v>154</v>
      </c>
      <c r="C17" s="2">
        <v>5.2</v>
      </c>
    </row>
    <row r="18" spans="1:3" x14ac:dyDescent="0.3">
      <c r="A18" s="1" t="s">
        <v>139</v>
      </c>
      <c r="B18" s="2" t="s">
        <v>155</v>
      </c>
      <c r="C18" s="2">
        <v>4.2</v>
      </c>
    </row>
    <row r="19" spans="1:3" x14ac:dyDescent="0.3">
      <c r="A19" s="1" t="s">
        <v>139</v>
      </c>
      <c r="B19" s="2" t="s">
        <v>156</v>
      </c>
      <c r="C19" s="2">
        <v>4.87</v>
      </c>
    </row>
    <row r="20" spans="1:3" x14ac:dyDescent="0.3">
      <c r="A20" s="1" t="s">
        <v>139</v>
      </c>
      <c r="B20" s="2" t="s">
        <v>157</v>
      </c>
      <c r="C20" s="2">
        <v>3.2299999999999995</v>
      </c>
    </row>
    <row r="21" spans="1:3" x14ac:dyDescent="0.3">
      <c r="A21" s="1" t="s">
        <v>139</v>
      </c>
      <c r="B21" s="2" t="s">
        <v>158</v>
      </c>
      <c r="C21" s="2">
        <v>3.9799999999999995</v>
      </c>
    </row>
    <row r="22" spans="1:3" x14ac:dyDescent="0.3">
      <c r="A22" s="1" t="s">
        <v>139</v>
      </c>
      <c r="B22" s="2" t="s">
        <v>159</v>
      </c>
      <c r="C22" s="2">
        <v>4.74</v>
      </c>
    </row>
    <row r="23" spans="1:3" x14ac:dyDescent="0.3">
      <c r="A23" s="1" t="s">
        <v>139</v>
      </c>
      <c r="B23" s="2" t="s">
        <v>160</v>
      </c>
      <c r="C23" s="2">
        <v>4.88</v>
      </c>
    </row>
    <row r="24" spans="1:3" x14ac:dyDescent="0.3">
      <c r="A24" s="1" t="s">
        <v>139</v>
      </c>
      <c r="B24" s="2" t="s">
        <v>107</v>
      </c>
      <c r="C24" s="2">
        <v>4.2799999999999994</v>
      </c>
    </row>
    <row r="25" spans="1:3" x14ac:dyDescent="0.3">
      <c r="A25" s="1" t="s">
        <v>139</v>
      </c>
      <c r="B25" s="2" t="s">
        <v>113</v>
      </c>
      <c r="C25" s="2">
        <v>4.26</v>
      </c>
    </row>
    <row r="26" spans="1:3" x14ac:dyDescent="0.3">
      <c r="A26" s="1" t="s">
        <v>139</v>
      </c>
      <c r="B26" s="2" t="s">
        <v>114</v>
      </c>
      <c r="C26" s="2">
        <v>5.2299999999999995</v>
      </c>
    </row>
    <row r="27" spans="1:3" x14ac:dyDescent="0.3">
      <c r="A27" s="1" t="s">
        <v>139</v>
      </c>
      <c r="B27" s="2" t="s">
        <v>115</v>
      </c>
      <c r="C27" s="2">
        <v>7.24</v>
      </c>
    </row>
    <row r="28" spans="1:3" x14ac:dyDescent="0.3">
      <c r="A28" s="1" t="s">
        <v>139</v>
      </c>
      <c r="B28" s="2" t="s">
        <v>116</v>
      </c>
      <c r="C28" s="2">
        <v>7.81</v>
      </c>
    </row>
    <row r="29" spans="1:3" x14ac:dyDescent="0.3">
      <c r="A29" s="1" t="s">
        <v>139</v>
      </c>
      <c r="B29" s="2" t="s">
        <v>117</v>
      </c>
      <c r="C29" s="2">
        <v>6.1</v>
      </c>
    </row>
    <row r="30" spans="1:3" x14ac:dyDescent="0.3">
      <c r="A30" s="1" t="s">
        <v>139</v>
      </c>
      <c r="B30" s="2" t="s">
        <v>118</v>
      </c>
      <c r="C30" s="2">
        <v>6.25</v>
      </c>
    </row>
    <row r="31" spans="1:3" x14ac:dyDescent="0.3">
      <c r="A31" s="1" t="s">
        <v>139</v>
      </c>
      <c r="B31" s="2" t="s">
        <v>119</v>
      </c>
      <c r="C31" s="2">
        <v>7.26</v>
      </c>
    </row>
    <row r="32" spans="1:3" x14ac:dyDescent="0.3">
      <c r="A32" s="1" t="s">
        <v>161</v>
      </c>
      <c r="B32" s="2" t="s">
        <v>132</v>
      </c>
      <c r="C32" s="2"/>
    </row>
    <row r="33" spans="1:3" x14ac:dyDescent="0.3">
      <c r="A33" s="1" t="s">
        <v>161</v>
      </c>
      <c r="B33" s="2" t="s">
        <v>140</v>
      </c>
      <c r="C33" s="2">
        <v>6.88</v>
      </c>
    </row>
    <row r="34" spans="1:3" x14ac:dyDescent="0.3">
      <c r="A34" s="1" t="s">
        <v>161</v>
      </c>
      <c r="B34" s="2" t="s">
        <v>141</v>
      </c>
      <c r="C34" s="2">
        <v>6.88</v>
      </c>
    </row>
    <row r="35" spans="1:3" x14ac:dyDescent="0.3">
      <c r="A35" s="1" t="s">
        <v>161</v>
      </c>
      <c r="B35" s="2" t="s">
        <v>142</v>
      </c>
      <c r="C35" s="2">
        <v>6.13</v>
      </c>
    </row>
    <row r="36" spans="1:3" x14ac:dyDescent="0.3">
      <c r="A36" s="1" t="s">
        <v>161</v>
      </c>
      <c r="B36" s="2" t="s">
        <v>143</v>
      </c>
      <c r="C36" s="2">
        <v>5</v>
      </c>
    </row>
    <row r="37" spans="1:3" x14ac:dyDescent="0.3">
      <c r="A37" s="1" t="s">
        <v>161</v>
      </c>
      <c r="B37" s="2" t="s">
        <v>144</v>
      </c>
      <c r="C37" s="2">
        <v>5</v>
      </c>
    </row>
    <row r="38" spans="1:3" x14ac:dyDescent="0.3">
      <c r="A38" s="1" t="s">
        <v>161</v>
      </c>
      <c r="B38" s="2" t="s">
        <v>145</v>
      </c>
      <c r="C38" s="2">
        <v>3.88</v>
      </c>
    </row>
    <row r="39" spans="1:3" x14ac:dyDescent="0.3">
      <c r="A39" s="1" t="s">
        <v>161</v>
      </c>
      <c r="B39" s="2" t="s">
        <v>146</v>
      </c>
      <c r="C39" s="2">
        <v>3.88</v>
      </c>
    </row>
    <row r="40" spans="1:3" x14ac:dyDescent="0.3">
      <c r="A40" s="1" t="s">
        <v>161</v>
      </c>
      <c r="B40" s="2" t="s">
        <v>147</v>
      </c>
      <c r="C40" s="2">
        <v>4</v>
      </c>
    </row>
    <row r="41" spans="1:3" x14ac:dyDescent="0.3">
      <c r="A41" s="1" t="s">
        <v>161</v>
      </c>
      <c r="B41" s="2" t="s">
        <v>148</v>
      </c>
      <c r="C41" s="2">
        <v>4</v>
      </c>
    </row>
    <row r="42" spans="1:3" x14ac:dyDescent="0.3">
      <c r="A42" s="1" t="s">
        <v>161</v>
      </c>
      <c r="B42" s="2" t="s">
        <v>149</v>
      </c>
      <c r="C42" s="2">
        <v>3</v>
      </c>
    </row>
    <row r="43" spans="1:3" x14ac:dyDescent="0.3">
      <c r="A43" s="1" t="s">
        <v>161</v>
      </c>
      <c r="B43" s="2" t="s">
        <v>150</v>
      </c>
      <c r="C43" s="2">
        <v>3</v>
      </c>
    </row>
    <row r="44" spans="1:3" x14ac:dyDescent="0.3">
      <c r="A44" s="1" t="s">
        <v>161</v>
      </c>
      <c r="B44" s="2" t="s">
        <v>151</v>
      </c>
      <c r="C44" s="2">
        <v>3</v>
      </c>
    </row>
    <row r="45" spans="1:3" x14ac:dyDescent="0.3">
      <c r="A45" s="1" t="s">
        <v>161</v>
      </c>
      <c r="B45" s="2" t="s">
        <v>152</v>
      </c>
      <c r="C45" s="2">
        <v>3.3</v>
      </c>
    </row>
    <row r="46" spans="1:3" x14ac:dyDescent="0.3">
      <c r="A46" s="1" t="s">
        <v>161</v>
      </c>
      <c r="B46" s="2" t="s">
        <v>153</v>
      </c>
      <c r="C46" s="2">
        <v>3.3</v>
      </c>
    </row>
    <row r="47" spans="1:3" x14ac:dyDescent="0.3">
      <c r="A47" s="1" t="s">
        <v>161</v>
      </c>
      <c r="B47" s="2" t="s">
        <v>154</v>
      </c>
      <c r="C47" s="2">
        <v>3.3</v>
      </c>
    </row>
    <row r="48" spans="1:3" x14ac:dyDescent="0.3">
      <c r="A48" s="1" t="s">
        <v>161</v>
      </c>
      <c r="B48" s="2" t="s">
        <v>155</v>
      </c>
      <c r="C48" s="2">
        <v>2.2999999999999998</v>
      </c>
    </row>
    <row r="49" spans="1:3" x14ac:dyDescent="0.3">
      <c r="A49" s="1" t="s">
        <v>161</v>
      </c>
      <c r="B49" s="2" t="s">
        <v>156</v>
      </c>
      <c r="C49" s="2">
        <v>2.8</v>
      </c>
    </row>
    <row r="50" spans="1:3" x14ac:dyDescent="0.3">
      <c r="A50" s="1" t="s">
        <v>161</v>
      </c>
      <c r="B50" s="2" t="s">
        <v>157</v>
      </c>
      <c r="C50" s="2">
        <v>2</v>
      </c>
    </row>
    <row r="51" spans="1:3" x14ac:dyDescent="0.3">
      <c r="A51" s="1" t="s">
        <v>161</v>
      </c>
      <c r="B51" s="2" t="s">
        <v>158</v>
      </c>
      <c r="C51" s="2">
        <v>2</v>
      </c>
    </row>
    <row r="52" spans="1:3" x14ac:dyDescent="0.3">
      <c r="A52" s="1" t="s">
        <v>161</v>
      </c>
      <c r="B52" s="2" t="s">
        <v>159</v>
      </c>
      <c r="C52" s="2">
        <v>2.75</v>
      </c>
    </row>
    <row r="53" spans="1:3" x14ac:dyDescent="0.3">
      <c r="A53" s="1" t="s">
        <v>161</v>
      </c>
      <c r="B53" s="2" t="s">
        <v>160</v>
      </c>
      <c r="C53" s="2">
        <v>3.5</v>
      </c>
    </row>
    <row r="54" spans="1:3" x14ac:dyDescent="0.3">
      <c r="A54" s="1" t="s">
        <v>161</v>
      </c>
      <c r="B54" s="2" t="s">
        <v>107</v>
      </c>
      <c r="C54" s="2">
        <v>3.5</v>
      </c>
    </row>
    <row r="55" spans="1:3" x14ac:dyDescent="0.3">
      <c r="A55" s="1" t="s">
        <v>161</v>
      </c>
      <c r="B55" s="2" t="s">
        <v>113</v>
      </c>
      <c r="C55" s="2">
        <v>3.5</v>
      </c>
    </row>
    <row r="56" spans="1:3" x14ac:dyDescent="0.3">
      <c r="A56" s="1" t="s">
        <v>161</v>
      </c>
      <c r="B56" s="2" t="s">
        <v>114</v>
      </c>
      <c r="C56" s="2">
        <v>4</v>
      </c>
    </row>
    <row r="57" spans="1:3" x14ac:dyDescent="0.3">
      <c r="A57" s="1" t="s">
        <v>161</v>
      </c>
      <c r="B57" s="2" t="s">
        <v>115</v>
      </c>
      <c r="C57" s="2">
        <v>5</v>
      </c>
    </row>
    <row r="58" spans="1:3" x14ac:dyDescent="0.3">
      <c r="A58" s="1" t="s">
        <v>161</v>
      </c>
      <c r="B58" s="2" t="s">
        <v>116</v>
      </c>
      <c r="C58" s="2">
        <v>5</v>
      </c>
    </row>
    <row r="59" spans="1:3" x14ac:dyDescent="0.3">
      <c r="A59" s="1" t="s">
        <v>161</v>
      </c>
      <c r="B59" s="2" t="s">
        <v>117</v>
      </c>
      <c r="C59" s="2">
        <v>5</v>
      </c>
    </row>
    <row r="60" spans="1:3" x14ac:dyDescent="0.3">
      <c r="A60" s="1" t="s">
        <v>161</v>
      </c>
      <c r="B60" s="2" t="s">
        <v>118</v>
      </c>
      <c r="C60" s="2">
        <v>5</v>
      </c>
    </row>
    <row r="61" spans="1:3" x14ac:dyDescent="0.3">
      <c r="A61" s="1" t="s">
        <v>161</v>
      </c>
      <c r="B61" s="2" t="s">
        <v>119</v>
      </c>
      <c r="C61" s="2">
        <v>6.25</v>
      </c>
    </row>
    <row r="62" spans="1:3" x14ac:dyDescent="0.3">
      <c r="A62" s="1" t="s">
        <v>162</v>
      </c>
      <c r="B62" s="2" t="s">
        <v>132</v>
      </c>
      <c r="C62" s="2"/>
    </row>
    <row r="63" spans="1:3" x14ac:dyDescent="0.3">
      <c r="A63" s="1" t="s">
        <v>162</v>
      </c>
      <c r="B63" s="2" t="s">
        <v>140</v>
      </c>
      <c r="C63" s="2">
        <v>10.059999999999999</v>
      </c>
    </row>
    <row r="64" spans="1:3" x14ac:dyDescent="0.3">
      <c r="A64" s="1" t="s">
        <v>162</v>
      </c>
      <c r="B64" s="2" t="s">
        <v>141</v>
      </c>
      <c r="C64" s="2">
        <v>10.129999999999999</v>
      </c>
    </row>
    <row r="65" spans="1:3" x14ac:dyDescent="0.3">
      <c r="A65" s="1" t="s">
        <v>162</v>
      </c>
      <c r="B65" s="2" t="s">
        <v>142</v>
      </c>
      <c r="C65" s="2">
        <v>9.629999999999999</v>
      </c>
    </row>
    <row r="66" spans="1:3" x14ac:dyDescent="0.3">
      <c r="A66" s="1" t="s">
        <v>162</v>
      </c>
      <c r="B66" s="2" t="s">
        <v>143</v>
      </c>
      <c r="C66" s="2">
        <v>9.0599999999999987</v>
      </c>
    </row>
    <row r="67" spans="1:3" x14ac:dyDescent="0.3">
      <c r="A67" s="1" t="s">
        <v>162</v>
      </c>
      <c r="B67" s="2" t="s">
        <v>144</v>
      </c>
      <c r="C67" s="2">
        <v>7.88</v>
      </c>
    </row>
    <row r="68" spans="1:3" x14ac:dyDescent="0.3">
      <c r="A68" s="1" t="s">
        <v>162</v>
      </c>
      <c r="B68" s="2" t="s">
        <v>145</v>
      </c>
      <c r="C68" s="2">
        <v>7.63</v>
      </c>
    </row>
    <row r="69" spans="1:3" x14ac:dyDescent="0.3">
      <c r="A69" s="1" t="s">
        <v>162</v>
      </c>
      <c r="B69" s="2" t="s">
        <v>146</v>
      </c>
      <c r="C69" s="2">
        <v>7.1400000000000006</v>
      </c>
    </row>
    <row r="70" spans="1:3" x14ac:dyDescent="0.3">
      <c r="A70" s="1" t="s">
        <v>162</v>
      </c>
      <c r="B70" s="2" t="s">
        <v>147</v>
      </c>
      <c r="C70" s="2">
        <v>6.85</v>
      </c>
    </row>
    <row r="71" spans="1:3" x14ac:dyDescent="0.3">
      <c r="A71" s="1" t="s">
        <v>162</v>
      </c>
      <c r="B71" s="2" t="s">
        <v>148</v>
      </c>
      <c r="C71" s="2">
        <v>6.69</v>
      </c>
    </row>
    <row r="72" spans="1:3" x14ac:dyDescent="0.3">
      <c r="A72" s="1" t="s">
        <v>162</v>
      </c>
      <c r="B72" s="2" t="s">
        <v>149</v>
      </c>
      <c r="C72" s="2">
        <v>6.5200000000000005</v>
      </c>
    </row>
    <row r="73" spans="1:3" x14ac:dyDescent="0.3">
      <c r="A73" s="1" t="s">
        <v>162</v>
      </c>
      <c r="B73" s="2" t="s">
        <v>150</v>
      </c>
      <c r="C73" s="2">
        <v>6.6099999999999994</v>
      </c>
    </row>
    <row r="74" spans="1:3" x14ac:dyDescent="0.3">
      <c r="A74" s="1" t="s">
        <v>162</v>
      </c>
      <c r="B74" s="2" t="s">
        <v>151</v>
      </c>
      <c r="C74" s="2">
        <v>6.3</v>
      </c>
    </row>
    <row r="75" spans="1:3" x14ac:dyDescent="0.3">
      <c r="A75" s="1" t="s">
        <v>162</v>
      </c>
      <c r="B75" s="2" t="s">
        <v>152</v>
      </c>
      <c r="C75" s="2">
        <v>6.3</v>
      </c>
    </row>
    <row r="76" spans="1:3" x14ac:dyDescent="0.3">
      <c r="A76" s="1" t="s">
        <v>162</v>
      </c>
      <c r="B76" s="2" t="s">
        <v>153</v>
      </c>
      <c r="C76" s="2">
        <v>6.3</v>
      </c>
    </row>
    <row r="77" spans="1:3" x14ac:dyDescent="0.3">
      <c r="A77" s="1" t="s">
        <v>162</v>
      </c>
      <c r="B77" s="2" t="s">
        <v>154</v>
      </c>
      <c r="C77" s="2">
        <v>6.3</v>
      </c>
    </row>
    <row r="78" spans="1:3" x14ac:dyDescent="0.3">
      <c r="A78" s="1" t="s">
        <v>162</v>
      </c>
      <c r="B78" s="2" t="s">
        <v>155</v>
      </c>
      <c r="C78" s="2">
        <v>6.3</v>
      </c>
    </row>
    <row r="79" spans="1:3" x14ac:dyDescent="0.3">
      <c r="A79" s="1" t="s">
        <v>162</v>
      </c>
      <c r="B79" s="2" t="s">
        <v>156</v>
      </c>
      <c r="C79" s="2">
        <v>6.2770000000000001</v>
      </c>
    </row>
    <row r="80" spans="1:3" x14ac:dyDescent="0.3">
      <c r="A80" s="1" t="s">
        <v>162</v>
      </c>
      <c r="B80" s="2" t="s">
        <v>157</v>
      </c>
      <c r="C80" s="2">
        <v>6.2770000000000001</v>
      </c>
    </row>
    <row r="81" spans="1:3" x14ac:dyDescent="0.3">
      <c r="A81" s="1" t="s">
        <v>162</v>
      </c>
      <c r="B81" s="2" t="s">
        <v>158</v>
      </c>
      <c r="C81" s="2"/>
    </row>
    <row r="82" spans="1:3" x14ac:dyDescent="0.3">
      <c r="A82" s="1" t="s">
        <v>162</v>
      </c>
      <c r="B82" s="2" t="s">
        <v>159</v>
      </c>
      <c r="C82" s="2"/>
    </row>
    <row r="83" spans="1:3" x14ac:dyDescent="0.3">
      <c r="A83" s="1" t="s">
        <v>162</v>
      </c>
      <c r="B83" s="2" t="s">
        <v>160</v>
      </c>
      <c r="C83" s="2"/>
    </row>
    <row r="84" spans="1:3" x14ac:dyDescent="0.3">
      <c r="A84" s="1" t="s">
        <v>162</v>
      </c>
      <c r="B84" s="2" t="s">
        <v>107</v>
      </c>
      <c r="C84" s="2"/>
    </row>
    <row r="85" spans="1:3" x14ac:dyDescent="0.3">
      <c r="A85" s="1" t="s">
        <v>162</v>
      </c>
      <c r="B85" s="2" t="s">
        <v>113</v>
      </c>
      <c r="C85" s="2"/>
    </row>
    <row r="86" spans="1:3" x14ac:dyDescent="0.3">
      <c r="A86" s="1" t="s">
        <v>162</v>
      </c>
      <c r="B86" s="2" t="s">
        <v>114</v>
      </c>
      <c r="C86" s="2"/>
    </row>
    <row r="87" spans="1:3" x14ac:dyDescent="0.3">
      <c r="A87" s="1" t="s">
        <v>162</v>
      </c>
      <c r="B87" s="2" t="s">
        <v>115</v>
      </c>
      <c r="C87" s="2"/>
    </row>
    <row r="88" spans="1:3" x14ac:dyDescent="0.3">
      <c r="A88" s="1" t="s">
        <v>162</v>
      </c>
      <c r="B88" s="2" t="s">
        <v>116</v>
      </c>
      <c r="C88" s="2"/>
    </row>
    <row r="89" spans="1:3" x14ac:dyDescent="0.3">
      <c r="A89" s="1" t="s">
        <v>162</v>
      </c>
      <c r="B89" s="2" t="s">
        <v>117</v>
      </c>
      <c r="C89" s="2"/>
    </row>
    <row r="90" spans="1:3" x14ac:dyDescent="0.3">
      <c r="A90" s="1" t="s">
        <v>162</v>
      </c>
      <c r="B90" s="2" t="s">
        <v>118</v>
      </c>
      <c r="C90" s="2"/>
    </row>
    <row r="91" spans="1:3" x14ac:dyDescent="0.3">
      <c r="A91" s="1" t="s">
        <v>162</v>
      </c>
      <c r="B91" s="2" t="s">
        <v>119</v>
      </c>
      <c r="C91" s="2"/>
    </row>
    <row r="92" spans="1:3" x14ac:dyDescent="0.3">
      <c r="A92" s="1" t="s">
        <v>163</v>
      </c>
      <c r="B92" s="2" t="s">
        <v>132</v>
      </c>
      <c r="C92" s="2"/>
    </row>
    <row r="93" spans="1:3" x14ac:dyDescent="0.3">
      <c r="A93" s="1" t="s">
        <v>163</v>
      </c>
      <c r="B93" s="2" t="s">
        <v>140</v>
      </c>
      <c r="C93" s="2">
        <v>13.809999999999999</v>
      </c>
    </row>
    <row r="94" spans="1:3" x14ac:dyDescent="0.3">
      <c r="A94" s="1" t="s">
        <v>163</v>
      </c>
      <c r="B94" s="2" t="s">
        <v>141</v>
      </c>
      <c r="C94" s="2">
        <v>13.809999999999999</v>
      </c>
    </row>
    <row r="95" spans="1:3" x14ac:dyDescent="0.3">
      <c r="A95" s="1" t="s">
        <v>163</v>
      </c>
      <c r="B95" s="2" t="s">
        <v>142</v>
      </c>
      <c r="C95" s="2">
        <v>12.809999999999999</v>
      </c>
    </row>
    <row r="96" spans="1:3" x14ac:dyDescent="0.3">
      <c r="A96" s="1" t="s">
        <v>163</v>
      </c>
      <c r="B96" s="2" t="s">
        <v>143</v>
      </c>
      <c r="C96" s="2">
        <v>12.379999999999999</v>
      </c>
    </row>
    <row r="97" spans="1:3" x14ac:dyDescent="0.3">
      <c r="A97" s="1" t="s">
        <v>163</v>
      </c>
      <c r="B97" s="2" t="s">
        <v>144</v>
      </c>
      <c r="C97" s="2">
        <v>13.88</v>
      </c>
    </row>
    <row r="98" spans="1:3" x14ac:dyDescent="0.3">
      <c r="A98" s="1" t="s">
        <v>163</v>
      </c>
      <c r="B98" s="2" t="s">
        <v>145</v>
      </c>
      <c r="C98" s="2">
        <v>12.88</v>
      </c>
    </row>
    <row r="99" spans="1:3" x14ac:dyDescent="0.3">
      <c r="A99" s="1" t="s">
        <v>163</v>
      </c>
      <c r="B99" s="2" t="s">
        <v>146</v>
      </c>
      <c r="C99" s="2">
        <v>12.88</v>
      </c>
    </row>
    <row r="100" spans="1:3" x14ac:dyDescent="0.3">
      <c r="A100" s="1" t="s">
        <v>163</v>
      </c>
      <c r="B100" s="2" t="s">
        <v>147</v>
      </c>
      <c r="C100" s="2">
        <v>12.940000000000001</v>
      </c>
    </row>
    <row r="101" spans="1:3" x14ac:dyDescent="0.3">
      <c r="A101" s="1" t="s">
        <v>163</v>
      </c>
      <c r="B101" s="2" t="s">
        <v>148</v>
      </c>
      <c r="C101" s="2">
        <v>12.91</v>
      </c>
    </row>
    <row r="102" spans="1:3" x14ac:dyDescent="0.3">
      <c r="A102" s="1" t="s">
        <v>163</v>
      </c>
      <c r="B102" s="2" t="s">
        <v>149</v>
      </c>
      <c r="C102" s="2">
        <v>12</v>
      </c>
    </row>
    <row r="103" spans="1:3" x14ac:dyDescent="0.3">
      <c r="A103" s="1" t="s">
        <v>163</v>
      </c>
      <c r="B103" s="2" t="s">
        <v>150</v>
      </c>
      <c r="C103" s="2">
        <v>12</v>
      </c>
    </row>
    <row r="104" spans="1:3" x14ac:dyDescent="0.3">
      <c r="A104" s="1" t="s">
        <v>163</v>
      </c>
      <c r="B104" s="2" t="s">
        <v>151</v>
      </c>
      <c r="C104" s="2">
        <v>12.3</v>
      </c>
    </row>
    <row r="105" spans="1:3" x14ac:dyDescent="0.3">
      <c r="A105" s="1" t="s">
        <v>163</v>
      </c>
      <c r="B105" s="2" t="s">
        <v>152</v>
      </c>
      <c r="C105" s="2">
        <v>12.3</v>
      </c>
    </row>
    <row r="106" spans="1:3" x14ac:dyDescent="0.3">
      <c r="A106" s="1" t="s">
        <v>163</v>
      </c>
      <c r="B106" s="2" t="s">
        <v>153</v>
      </c>
      <c r="C106" s="2">
        <v>12.3</v>
      </c>
    </row>
    <row r="107" spans="1:3" x14ac:dyDescent="0.3">
      <c r="A107" s="1" t="s">
        <v>163</v>
      </c>
      <c r="B107" s="2" t="s">
        <v>154</v>
      </c>
      <c r="C107" s="2">
        <v>12.2</v>
      </c>
    </row>
    <row r="108" spans="1:3" x14ac:dyDescent="0.3">
      <c r="A108" s="1" t="s">
        <v>163</v>
      </c>
      <c r="B108" s="2" t="s">
        <v>155</v>
      </c>
      <c r="C108" s="2">
        <v>11.2</v>
      </c>
    </row>
    <row r="109" spans="1:3" x14ac:dyDescent="0.3">
      <c r="A109" s="1" t="s">
        <v>163</v>
      </c>
      <c r="B109" s="2" t="s">
        <v>156</v>
      </c>
      <c r="C109" s="2">
        <v>11.870000000000001</v>
      </c>
    </row>
    <row r="110" spans="1:3" x14ac:dyDescent="0.3">
      <c r="A110" s="1" t="s">
        <v>163</v>
      </c>
      <c r="B110" s="2" t="s">
        <v>157</v>
      </c>
      <c r="C110" s="2">
        <v>10.23</v>
      </c>
    </row>
    <row r="111" spans="1:3" x14ac:dyDescent="0.3">
      <c r="A111" s="1" t="s">
        <v>163</v>
      </c>
      <c r="B111" s="2" t="s">
        <v>158</v>
      </c>
      <c r="C111" s="2">
        <v>10.98</v>
      </c>
    </row>
    <row r="112" spans="1:3" x14ac:dyDescent="0.3">
      <c r="A112" s="1" t="s">
        <v>163</v>
      </c>
      <c r="B112" s="2" t="s">
        <v>159</v>
      </c>
      <c r="C112" s="2">
        <v>11.74</v>
      </c>
    </row>
    <row r="113" spans="1:3" x14ac:dyDescent="0.3">
      <c r="A113" s="1" t="s">
        <v>163</v>
      </c>
      <c r="B113" s="2" t="s">
        <v>160</v>
      </c>
      <c r="C113" s="2">
        <v>11.879999999999999</v>
      </c>
    </row>
    <row r="114" spans="1:3" x14ac:dyDescent="0.3">
      <c r="A114" s="1" t="s">
        <v>163</v>
      </c>
      <c r="B114" s="2" t="s">
        <v>107</v>
      </c>
      <c r="C114" s="2">
        <v>11.28</v>
      </c>
    </row>
    <row r="115" spans="1:3" x14ac:dyDescent="0.3">
      <c r="A115" s="1" t="s">
        <v>163</v>
      </c>
      <c r="B115" s="2" t="s">
        <v>113</v>
      </c>
      <c r="C115" s="2">
        <v>11.26</v>
      </c>
    </row>
    <row r="116" spans="1:3" x14ac:dyDescent="0.3">
      <c r="A116" s="1" t="s">
        <v>163</v>
      </c>
      <c r="B116" s="2" t="s">
        <v>114</v>
      </c>
      <c r="C116" s="2">
        <v>12.61</v>
      </c>
    </row>
    <row r="117" spans="1:3" x14ac:dyDescent="0.3">
      <c r="A117" s="1" t="s">
        <v>163</v>
      </c>
      <c r="B117" s="2" t="s">
        <v>115</v>
      </c>
      <c r="C117" s="2">
        <v>14.24</v>
      </c>
    </row>
    <row r="118" spans="1:3" x14ac:dyDescent="0.3">
      <c r="A118" s="1" t="s">
        <v>163</v>
      </c>
      <c r="B118" s="2" t="s">
        <v>116</v>
      </c>
      <c r="C118" s="2">
        <v>14.809999999999999</v>
      </c>
    </row>
    <row r="119" spans="1:3" x14ac:dyDescent="0.3">
      <c r="A119" s="1" t="s">
        <v>163</v>
      </c>
      <c r="B119" s="2" t="s">
        <v>117</v>
      </c>
      <c r="C119" s="2">
        <v>13.1</v>
      </c>
    </row>
    <row r="120" spans="1:3" x14ac:dyDescent="0.3">
      <c r="A120" s="1" t="s">
        <v>163</v>
      </c>
      <c r="B120" s="2" t="s">
        <v>118</v>
      </c>
      <c r="C120" s="2">
        <v>13.25</v>
      </c>
    </row>
    <row r="121" spans="1:3" x14ac:dyDescent="0.3">
      <c r="A121" s="1" t="s">
        <v>163</v>
      </c>
      <c r="B121" s="2" t="s">
        <v>119</v>
      </c>
      <c r="C121" s="2">
        <v>14.26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BCF1C-B278-4591-95F2-339E422329F5}">
  <dimension ref="A1:M83"/>
  <sheetViews>
    <sheetView workbookViewId="0">
      <selection activeCell="A3" sqref="A3:A82"/>
    </sheetView>
  </sheetViews>
  <sheetFormatPr defaultRowHeight="14.4" x14ac:dyDescent="0.3"/>
  <cols>
    <col min="1" max="1" width="77.88671875" bestFit="1" customWidth="1"/>
    <col min="2" max="2" width="10.77734375" style="19" bestFit="1" customWidth="1"/>
    <col min="3" max="3" width="7.77734375" bestFit="1" customWidth="1"/>
    <col min="4" max="4" width="10" bestFit="1" customWidth="1"/>
    <col min="5" max="5" width="26.109375" bestFit="1" customWidth="1"/>
    <col min="6" max="6" width="12.109375" bestFit="1" customWidth="1"/>
    <col min="7" max="7" width="9.88671875" bestFit="1" customWidth="1"/>
    <col min="8" max="8" width="26.21875" bestFit="1" customWidth="1"/>
    <col min="9" max="9" width="26.21875" customWidth="1"/>
    <col min="10" max="10" width="49.44140625" bestFit="1" customWidth="1"/>
    <col min="11" max="11" width="8.21875" bestFit="1" customWidth="1"/>
    <col min="13" max="13" width="14.6640625" style="18" bestFit="1" customWidth="1"/>
  </cols>
  <sheetData>
    <row r="1" spans="1:13" x14ac:dyDescent="0.3">
      <c r="A1" s="55" t="s">
        <v>170</v>
      </c>
      <c r="B1" s="56"/>
      <c r="C1" s="56"/>
      <c r="D1" s="56"/>
      <c r="E1" s="56"/>
      <c r="F1" s="56"/>
      <c r="G1" s="56"/>
      <c r="H1" s="56"/>
      <c r="I1" s="20"/>
      <c r="J1" s="57" t="s">
        <v>171</v>
      </c>
      <c r="K1" s="56"/>
      <c r="L1" s="56"/>
    </row>
    <row r="2" spans="1:13" x14ac:dyDescent="0.3">
      <c r="A2" s="12" t="s">
        <v>164</v>
      </c>
      <c r="B2" s="21" t="s">
        <v>1</v>
      </c>
      <c r="C2" s="12" t="s">
        <v>101</v>
      </c>
      <c r="D2" s="27" t="s">
        <v>165</v>
      </c>
      <c r="E2" s="28" t="s">
        <v>166</v>
      </c>
      <c r="F2" s="28" t="s">
        <v>167</v>
      </c>
      <c r="G2" s="28" t="s">
        <v>168</v>
      </c>
      <c r="H2" s="27" t="s">
        <v>169</v>
      </c>
      <c r="I2" s="30" t="s">
        <v>252</v>
      </c>
      <c r="J2" s="22" t="s">
        <v>171</v>
      </c>
      <c r="K2" s="22" t="s">
        <v>1</v>
      </c>
      <c r="L2" s="22" t="s">
        <v>101</v>
      </c>
      <c r="M2" s="25" t="s">
        <v>251</v>
      </c>
    </row>
    <row r="3" spans="1:13" x14ac:dyDescent="0.3">
      <c r="A3" s="12" t="s">
        <v>301</v>
      </c>
      <c r="B3" s="21">
        <v>43466</v>
      </c>
      <c r="C3" s="12">
        <v>122</v>
      </c>
      <c r="D3" s="13"/>
      <c r="E3" s="12"/>
      <c r="F3" s="13"/>
      <c r="G3" s="12"/>
      <c r="H3" s="13"/>
      <c r="I3" s="29"/>
      <c r="J3" s="23" t="s">
        <v>172</v>
      </c>
      <c r="K3" s="23" t="s">
        <v>173</v>
      </c>
      <c r="L3" s="23">
        <v>145.6</v>
      </c>
      <c r="M3" s="26">
        <f>Table3_19[[#This Row],[Value]]/L3</f>
        <v>0.83791208791208793</v>
      </c>
    </row>
    <row r="4" spans="1:13" x14ac:dyDescent="0.3">
      <c r="A4" s="12" t="s">
        <v>301</v>
      </c>
      <c r="B4" s="21">
        <v>43497</v>
      </c>
      <c r="C4" s="12">
        <v>122.1</v>
      </c>
      <c r="D4" s="13"/>
      <c r="E4" s="12"/>
      <c r="F4" s="13"/>
      <c r="G4" s="12"/>
      <c r="H4" s="13"/>
      <c r="I4" s="29"/>
      <c r="J4" s="24" t="s">
        <v>172</v>
      </c>
      <c r="K4" s="24" t="s">
        <v>174</v>
      </c>
      <c r="L4" s="24">
        <v>146.6</v>
      </c>
      <c r="M4" s="26">
        <f>Table3_19[[#This Row],[Value]]/L4</f>
        <v>0.83287858117326052</v>
      </c>
    </row>
    <row r="5" spans="1:13" x14ac:dyDescent="0.3">
      <c r="A5" s="12" t="s">
        <v>301</v>
      </c>
      <c r="B5" s="21">
        <v>43525</v>
      </c>
      <c r="C5" s="12">
        <v>122.6</v>
      </c>
      <c r="D5" s="13"/>
      <c r="E5" s="12"/>
      <c r="F5" s="13"/>
      <c r="G5" s="12"/>
      <c r="H5" s="13"/>
      <c r="I5" s="29"/>
      <c r="J5" s="23" t="s">
        <v>172</v>
      </c>
      <c r="K5" s="23" t="s">
        <v>175</v>
      </c>
      <c r="L5" s="23">
        <v>146.9</v>
      </c>
      <c r="M5" s="26">
        <f>Table3_19[[#This Row],[Value]]/L5</f>
        <v>0.83458134785568405</v>
      </c>
    </row>
    <row r="6" spans="1:13" x14ac:dyDescent="0.3">
      <c r="A6" s="12" t="s">
        <v>301</v>
      </c>
      <c r="B6" s="21">
        <v>43556</v>
      </c>
      <c r="C6" s="12">
        <v>123.6</v>
      </c>
      <c r="D6" s="13"/>
      <c r="E6" s="12"/>
      <c r="F6" s="13"/>
      <c r="G6" s="12"/>
      <c r="H6" s="13"/>
      <c r="I6" s="29"/>
      <c r="J6" s="24" t="s">
        <v>172</v>
      </c>
      <c r="K6" s="24" t="s">
        <v>176</v>
      </c>
      <c r="L6" s="24">
        <v>146.9</v>
      </c>
      <c r="M6" s="26">
        <f>Table3_19[[#This Row],[Value]]/L6</f>
        <v>0.84138869979577935</v>
      </c>
    </row>
    <row r="7" spans="1:13" x14ac:dyDescent="0.3">
      <c r="A7" s="12" t="s">
        <v>301</v>
      </c>
      <c r="B7" s="21">
        <v>43586</v>
      </c>
      <c r="C7" s="12">
        <v>124.2</v>
      </c>
      <c r="D7" s="13"/>
      <c r="E7" s="12"/>
      <c r="F7" s="13"/>
      <c r="G7" s="12"/>
      <c r="H7" s="13"/>
      <c r="I7" s="29"/>
      <c r="J7" s="23" t="s">
        <v>172</v>
      </c>
      <c r="K7" s="23" t="s">
        <v>177</v>
      </c>
      <c r="L7" s="23">
        <v>146.9</v>
      </c>
      <c r="M7" s="26">
        <f>Table3_19[[#This Row],[Value]]/L7</f>
        <v>0.84547311095983657</v>
      </c>
    </row>
    <row r="8" spans="1:13" x14ac:dyDescent="0.3">
      <c r="A8" s="12" t="s">
        <v>301</v>
      </c>
      <c r="B8" s="21">
        <v>43617</v>
      </c>
      <c r="C8" s="12">
        <v>124.6</v>
      </c>
      <c r="D8" s="13"/>
      <c r="E8" s="12"/>
      <c r="F8" s="13"/>
      <c r="G8" s="12"/>
      <c r="H8" s="13"/>
      <c r="I8" s="29"/>
      <c r="J8" s="24" t="s">
        <v>172</v>
      </c>
      <c r="K8" s="24" t="s">
        <v>178</v>
      </c>
      <c r="L8" s="24">
        <v>147.19999999999999</v>
      </c>
      <c r="M8" s="26">
        <f>Table3_19[[#This Row],[Value]]/L8</f>
        <v>0.84646739130434789</v>
      </c>
    </row>
    <row r="9" spans="1:13" x14ac:dyDescent="0.3">
      <c r="A9" s="12" t="s">
        <v>301</v>
      </c>
      <c r="B9" s="21">
        <v>43647</v>
      </c>
      <c r="C9" s="12">
        <v>124.9</v>
      </c>
      <c r="D9" s="13"/>
      <c r="E9" s="12"/>
      <c r="F9" s="13"/>
      <c r="G9" s="12"/>
      <c r="H9" s="13"/>
      <c r="I9" s="29"/>
      <c r="J9" s="23" t="s">
        <v>172</v>
      </c>
      <c r="K9" s="23" t="s">
        <v>179</v>
      </c>
      <c r="L9" s="23">
        <v>146.30000000000001</v>
      </c>
      <c r="M9" s="26">
        <f>Table3_19[[#This Row],[Value]]/L9</f>
        <v>0.85372522214627478</v>
      </c>
    </row>
    <row r="10" spans="1:13" x14ac:dyDescent="0.3">
      <c r="A10" s="12" t="s">
        <v>301</v>
      </c>
      <c r="B10" s="21">
        <v>43678</v>
      </c>
      <c r="C10" s="12">
        <v>125.6</v>
      </c>
      <c r="D10" s="13"/>
      <c r="E10" s="12"/>
      <c r="F10" s="13"/>
      <c r="G10" s="12"/>
      <c r="H10" s="13"/>
      <c r="I10" s="29"/>
      <c r="J10" s="24" t="s">
        <v>172</v>
      </c>
      <c r="K10" s="24" t="s">
        <v>180</v>
      </c>
      <c r="L10" s="24">
        <v>146.6</v>
      </c>
      <c r="M10" s="26">
        <f>Table3_19[[#This Row],[Value]]/L10</f>
        <v>0.85675306957708053</v>
      </c>
    </row>
    <row r="11" spans="1:13" x14ac:dyDescent="0.3">
      <c r="A11" s="12" t="s">
        <v>301</v>
      </c>
      <c r="B11" s="21">
        <v>43709</v>
      </c>
      <c r="C11" s="12">
        <v>126.4</v>
      </c>
      <c r="D11" s="13"/>
      <c r="E11" s="12"/>
      <c r="F11" s="13"/>
      <c r="G11" s="12"/>
      <c r="H11" s="13"/>
      <c r="I11" s="29"/>
      <c r="J11" s="23" t="s">
        <v>172</v>
      </c>
      <c r="K11" s="23" t="s">
        <v>181</v>
      </c>
      <c r="L11" s="23">
        <v>147.6</v>
      </c>
      <c r="M11" s="26">
        <f>Table3_19[[#This Row],[Value]]/L11</f>
        <v>0.85636856368563696</v>
      </c>
    </row>
    <row r="12" spans="1:13" x14ac:dyDescent="0.3">
      <c r="A12" s="12" t="s">
        <v>301</v>
      </c>
      <c r="B12" s="21">
        <v>43739</v>
      </c>
      <c r="C12" s="12">
        <v>127.4</v>
      </c>
      <c r="D12" s="13"/>
      <c r="E12" s="12"/>
      <c r="F12" s="13"/>
      <c r="G12" s="12"/>
      <c r="H12" s="13"/>
      <c r="I12" s="29"/>
      <c r="J12" s="24" t="s">
        <v>172</v>
      </c>
      <c r="K12" s="24" t="s">
        <v>182</v>
      </c>
      <c r="L12" s="24">
        <v>148.6</v>
      </c>
      <c r="M12" s="26">
        <f>Table3_19[[#This Row],[Value]]/L12</f>
        <v>0.85733512786002697</v>
      </c>
    </row>
    <row r="13" spans="1:13" x14ac:dyDescent="0.3">
      <c r="A13" s="12" t="s">
        <v>301</v>
      </c>
      <c r="B13" s="21">
        <v>43770</v>
      </c>
      <c r="C13" s="12">
        <v>128</v>
      </c>
      <c r="D13" s="13"/>
      <c r="E13" s="12"/>
      <c r="F13" s="13"/>
      <c r="G13" s="12"/>
      <c r="H13" s="13"/>
      <c r="I13" s="29"/>
      <c r="J13" s="23" t="s">
        <v>172</v>
      </c>
      <c r="K13" s="23" t="s">
        <v>183</v>
      </c>
      <c r="L13" s="23">
        <v>149.30000000000001</v>
      </c>
      <c r="M13" s="26">
        <f>Table3_19[[#This Row],[Value]]/L13</f>
        <v>0.85733422638981904</v>
      </c>
    </row>
    <row r="14" spans="1:13" x14ac:dyDescent="0.3">
      <c r="A14" s="12" t="s">
        <v>301</v>
      </c>
      <c r="B14" s="21">
        <v>43800</v>
      </c>
      <c r="C14" s="12">
        <v>128.30000000000001</v>
      </c>
      <c r="D14" s="13"/>
      <c r="E14" s="12"/>
      <c r="F14" s="13"/>
      <c r="G14" s="12"/>
      <c r="H14" s="13"/>
      <c r="I14" s="29"/>
      <c r="J14" s="24" t="s">
        <v>172</v>
      </c>
      <c r="K14" s="24" t="s">
        <v>184</v>
      </c>
      <c r="L14" s="24">
        <v>149.30000000000001</v>
      </c>
      <c r="M14" s="26">
        <f>Table3_19[[#This Row],[Value]]/L14</f>
        <v>0.85934360348292027</v>
      </c>
    </row>
    <row r="15" spans="1:13" x14ac:dyDescent="0.3">
      <c r="A15" s="12" t="s">
        <v>301</v>
      </c>
      <c r="B15" s="21">
        <v>43831</v>
      </c>
      <c r="C15" s="12">
        <v>129.1</v>
      </c>
      <c r="D15" s="13">
        <f>(Table3_19[[#This Row],[Value]]-C3)/C3</f>
        <v>5.8196721311475366E-2</v>
      </c>
      <c r="E15" s="12"/>
      <c r="F15" s="13">
        <f>1+Table3_19[[#This Row],[Inflation]]</f>
        <v>1.0581967213114754</v>
      </c>
      <c r="G15" s="13">
        <f>Table3_19[[#This Row],[1+Inflation]]</f>
        <v>1.0581967213114754</v>
      </c>
      <c r="H15" s="13"/>
      <c r="I15" s="29"/>
      <c r="J15" s="23" t="s">
        <v>172</v>
      </c>
      <c r="K15" s="23" t="s">
        <v>185</v>
      </c>
      <c r="L15" s="23">
        <v>147.9</v>
      </c>
      <c r="M15" s="26">
        <f>Table3_19[[#This Row],[Value]]/L15</f>
        <v>0.87288708586883024</v>
      </c>
    </row>
    <row r="16" spans="1:13" x14ac:dyDescent="0.3">
      <c r="A16" s="12" t="s">
        <v>301</v>
      </c>
      <c r="B16" s="21">
        <v>43862</v>
      </c>
      <c r="C16" s="12">
        <v>129.1</v>
      </c>
      <c r="D16" s="13">
        <f>(Table3_19[[#This Row],[Value]]-C4)/C4</f>
        <v>5.7330057330057332E-2</v>
      </c>
      <c r="E16" s="12"/>
      <c r="F16" s="13">
        <f>1+Table3_19[[#This Row],[Inflation]]</f>
        <v>1.0573300573300572</v>
      </c>
      <c r="G16" s="13">
        <f>Table3_19[[#This Row],[1+Inflation]]*F15</f>
        <v>1.1188632000107408</v>
      </c>
      <c r="H16" s="13"/>
      <c r="I16" s="29"/>
      <c r="J16" s="24" t="s">
        <v>172</v>
      </c>
      <c r="K16" s="24" t="s">
        <v>186</v>
      </c>
      <c r="L16" s="24">
        <v>147.69999999999999</v>
      </c>
      <c r="M16" s="26">
        <f>Table3_19[[#This Row],[Value]]/L16</f>
        <v>0.87406905890318221</v>
      </c>
    </row>
    <row r="17" spans="1:13" x14ac:dyDescent="0.3">
      <c r="A17" s="12" t="s">
        <v>301</v>
      </c>
      <c r="B17" s="21">
        <v>43891</v>
      </c>
      <c r="C17" s="12">
        <v>130.19999999999999</v>
      </c>
      <c r="D17" s="13">
        <f>(Table3_19[[#This Row],[Value]]-C5)/C5</f>
        <v>6.19902120717781E-2</v>
      </c>
      <c r="E17" s="12"/>
      <c r="F17" s="13">
        <f>1+Table3_19[[#This Row],[Inflation]]</f>
        <v>1.0619902120717781</v>
      </c>
      <c r="G17" s="13">
        <f>G16*Table3_19[[#This Row],[1+Inflation]]</f>
        <v>1.188221767058715</v>
      </c>
      <c r="H17" s="13"/>
      <c r="I17" s="29"/>
      <c r="J17" s="23" t="s">
        <v>172</v>
      </c>
      <c r="K17" s="23" t="s">
        <v>187</v>
      </c>
      <c r="L17" s="23">
        <v>147.30000000000001</v>
      </c>
      <c r="M17" s="26">
        <f>Table3_19[[#This Row],[Value]]/L17</f>
        <v>0.8839103869653766</v>
      </c>
    </row>
    <row r="18" spans="1:13" x14ac:dyDescent="0.3">
      <c r="A18" s="12" t="s">
        <v>301</v>
      </c>
      <c r="B18" s="21">
        <v>43922</v>
      </c>
      <c r="C18" s="12">
        <v>131.30000000000001</v>
      </c>
      <c r="D18" s="13">
        <f>(Table3_19[[#This Row],[Value]]-C6)/C6</f>
        <v>6.2297734627831856E-2</v>
      </c>
      <c r="E18" s="12"/>
      <c r="F18" s="13">
        <f>1+Table3_19[[#This Row],[Inflation]]</f>
        <v>1.0622977346278319</v>
      </c>
      <c r="G18" s="13">
        <f>G17*Table3_19[[#This Row],[1+Inflation]]</f>
        <v>1.2622452913819524</v>
      </c>
      <c r="H18" s="13"/>
      <c r="I18" s="29"/>
      <c r="J18" s="24" t="s">
        <v>172</v>
      </c>
      <c r="K18" s="24" t="s">
        <v>188</v>
      </c>
      <c r="L18" s="24">
        <v>149.19999999999999</v>
      </c>
      <c r="M18" s="26">
        <f>Table3_19[[#This Row],[Value]]/L18</f>
        <v>0.88002680965147473</v>
      </c>
    </row>
    <row r="19" spans="1:13" x14ac:dyDescent="0.3">
      <c r="A19" s="12" t="s">
        <v>301</v>
      </c>
      <c r="B19" s="21">
        <v>43952</v>
      </c>
      <c r="C19" s="12">
        <v>132</v>
      </c>
      <c r="D19" s="13">
        <f>(Table3_19[[#This Row],[Value]]-C7)/C7</f>
        <v>6.2801932367149732E-2</v>
      </c>
      <c r="E19" s="12"/>
      <c r="F19" s="13">
        <f>1+Table3_19[[#This Row],[Inflation]]</f>
        <v>1.0628019323671498</v>
      </c>
      <c r="G19" s="13">
        <f>G18*Table3_19[[#This Row],[1+Inflation]]</f>
        <v>1.3415167348020751</v>
      </c>
      <c r="H19" s="13"/>
      <c r="I19" s="29"/>
      <c r="J19" s="23" t="s">
        <v>172</v>
      </c>
      <c r="K19" s="23" t="s">
        <v>189</v>
      </c>
      <c r="L19" s="23">
        <v>149.30000000000001</v>
      </c>
      <c r="M19" s="26">
        <f>Table3_19[[#This Row],[Value]]/L19</f>
        <v>0.88412592096450093</v>
      </c>
    </row>
    <row r="20" spans="1:13" x14ac:dyDescent="0.3">
      <c r="A20" s="12" t="s">
        <v>301</v>
      </c>
      <c r="B20" s="21">
        <v>43983</v>
      </c>
      <c r="C20" s="12">
        <v>131.80000000000001</v>
      </c>
      <c r="D20" s="13">
        <f>(Table3_19[[#This Row],[Value]]-C8)/C8</f>
        <v>5.7784911717496126E-2</v>
      </c>
      <c r="E20" s="12"/>
      <c r="F20" s="13">
        <f>1+Table3_19[[#This Row],[Inflation]]</f>
        <v>1.0577849117174962</v>
      </c>
      <c r="G20" s="13">
        <f>G19*Table3_19[[#This Row],[1+Inflation]]</f>
        <v>1.4190361608901567</v>
      </c>
      <c r="H20" s="13"/>
      <c r="I20" s="29"/>
      <c r="J20" s="24" t="s">
        <v>172</v>
      </c>
      <c r="K20" s="24" t="s">
        <v>190</v>
      </c>
      <c r="L20" s="24">
        <v>149.9</v>
      </c>
      <c r="M20" s="26">
        <f>Table3_19[[#This Row],[Value]]/L20</f>
        <v>0.87925283522348241</v>
      </c>
    </row>
    <row r="21" spans="1:13" x14ac:dyDescent="0.3">
      <c r="A21" s="12" t="s">
        <v>301</v>
      </c>
      <c r="B21" s="21">
        <v>44013</v>
      </c>
      <c r="C21" s="12">
        <v>132</v>
      </c>
      <c r="D21" s="13">
        <f>(Table3_19[[#This Row],[Value]]-C9)/C9</f>
        <v>5.6845476381104834E-2</v>
      </c>
      <c r="E21" s="12"/>
      <c r="F21" s="13">
        <f>1+Table3_19[[#This Row],[Inflation]]</f>
        <v>1.0568454763811048</v>
      </c>
      <c r="G21" s="13">
        <f>G20*Table3_19[[#This Row],[1+Inflation]]</f>
        <v>1.4997019474579718</v>
      </c>
      <c r="H21" s="13"/>
      <c r="I21" s="29"/>
      <c r="J21" s="23" t="s">
        <v>172</v>
      </c>
      <c r="K21" s="23" t="s">
        <v>191</v>
      </c>
      <c r="L21" s="23">
        <v>151.1</v>
      </c>
      <c r="M21" s="26">
        <f>Table3_19[[#This Row],[Value]]/L21</f>
        <v>0.87359364659166117</v>
      </c>
    </row>
    <row r="22" spans="1:13" x14ac:dyDescent="0.3">
      <c r="A22" s="12" t="s">
        <v>301</v>
      </c>
      <c r="B22" s="21">
        <v>44044</v>
      </c>
      <c r="C22" s="12">
        <v>132.4</v>
      </c>
      <c r="D22" s="13">
        <f>(Table3_19[[#This Row],[Value]]-C10)/C10</f>
        <v>5.4140127388535124E-2</v>
      </c>
      <c r="E22" s="12"/>
      <c r="F22" s="13">
        <f>1+Table3_19[[#This Row],[Inflation]]</f>
        <v>1.0541401273885351</v>
      </c>
      <c r="G22" s="13">
        <f>G21*Table3_19[[#This Row],[1+Inflation]]</f>
        <v>1.5808960019381806</v>
      </c>
      <c r="H22" s="13"/>
      <c r="I22" s="29"/>
      <c r="J22" s="24" t="s">
        <v>172</v>
      </c>
      <c r="K22" s="24" t="s">
        <v>192</v>
      </c>
      <c r="L22" s="24">
        <v>151</v>
      </c>
      <c r="M22" s="26">
        <f>Table3_19[[#This Row],[Value]]/L22</f>
        <v>0.87682119205298015</v>
      </c>
    </row>
    <row r="23" spans="1:13" x14ac:dyDescent="0.3">
      <c r="A23" s="12" t="s">
        <v>301</v>
      </c>
      <c r="B23" s="21">
        <v>44075</v>
      </c>
      <c r="C23" s="12">
        <v>133.19999999999999</v>
      </c>
      <c r="D23" s="13">
        <f>(Table3_19[[#This Row],[Value]]-C11)/C11</f>
        <v>5.3797468354430243E-2</v>
      </c>
      <c r="E23" s="12"/>
      <c r="F23" s="13">
        <f>1+Table3_19[[#This Row],[Inflation]]</f>
        <v>1.0537974683544302</v>
      </c>
      <c r="G23" s="13">
        <f>G22*Table3_19[[#This Row],[1+Inflation]]</f>
        <v>1.6659442045740951</v>
      </c>
      <c r="H23" s="13"/>
      <c r="I23" s="29"/>
      <c r="J23" s="23" t="s">
        <v>172</v>
      </c>
      <c r="K23" s="23" t="s">
        <v>193</v>
      </c>
      <c r="L23" s="23">
        <v>151.69999999999999</v>
      </c>
      <c r="M23" s="26">
        <f>Table3_19[[#This Row],[Value]]/L23</f>
        <v>0.87804878048780488</v>
      </c>
    </row>
    <row r="24" spans="1:13" x14ac:dyDescent="0.3">
      <c r="A24" s="12" t="s">
        <v>301</v>
      </c>
      <c r="B24" s="21">
        <v>44105</v>
      </c>
      <c r="C24" s="12">
        <v>134.30000000000001</v>
      </c>
      <c r="D24" s="13">
        <f>(Table3_19[[#This Row],[Value]]-C12)/C12</f>
        <v>5.416012558869706E-2</v>
      </c>
      <c r="E24" s="12"/>
      <c r="F24" s="13">
        <f>1+Table3_19[[#This Row],[Inflation]]</f>
        <v>1.054160125588697</v>
      </c>
      <c r="G24" s="13">
        <f>G23*Table3_19[[#This Row],[1+Inflation]]</f>
        <v>1.75617195191759</v>
      </c>
      <c r="H24" s="13"/>
      <c r="I24" s="29"/>
      <c r="J24" s="24" t="s">
        <v>172</v>
      </c>
      <c r="K24" s="24" t="s">
        <v>194</v>
      </c>
      <c r="L24" s="24">
        <v>154.30000000000001</v>
      </c>
      <c r="M24" s="26">
        <f>Table3_19[[#This Row],[Value]]/L24</f>
        <v>0.87038237200259239</v>
      </c>
    </row>
    <row r="25" spans="1:13" x14ac:dyDescent="0.3">
      <c r="A25" s="12" t="s">
        <v>301</v>
      </c>
      <c r="B25" s="21">
        <v>44136</v>
      </c>
      <c r="C25" s="12">
        <v>134.19999999999999</v>
      </c>
      <c r="D25" s="13">
        <f>(Table3_19[[#This Row],[Value]]-C13)/C13</f>
        <v>4.8437499999999911E-2</v>
      </c>
      <c r="E25" s="12"/>
      <c r="F25" s="13">
        <f>1+Table3_19[[#This Row],[Inflation]]</f>
        <v>1.0484374999999999</v>
      </c>
      <c r="G25" s="13">
        <f>G24*Table3_19[[#This Row],[1+Inflation]]</f>
        <v>1.8412365308385981</v>
      </c>
      <c r="H25" s="13"/>
      <c r="I25" s="29"/>
      <c r="J25" s="23" t="s">
        <v>172</v>
      </c>
      <c r="K25" s="23" t="s">
        <v>195</v>
      </c>
      <c r="L25" s="23">
        <v>154.4</v>
      </c>
      <c r="M25" s="26">
        <f>Table3_19[[#This Row],[Value]]/L25</f>
        <v>0.86917098445595842</v>
      </c>
    </row>
    <row r="26" spans="1:13" x14ac:dyDescent="0.3">
      <c r="A26" s="12" t="s">
        <v>301</v>
      </c>
      <c r="B26" s="21">
        <v>44166</v>
      </c>
      <c r="C26" s="12">
        <v>134.6</v>
      </c>
      <c r="D26" s="13">
        <f>(Table3_19[[#This Row],[Value]]-C14)/C14</f>
        <v>4.9103663289165878E-2</v>
      </c>
      <c r="E26" s="13">
        <f>AVERAGE(D15:D26)</f>
        <v>5.6407160868976791E-2</v>
      </c>
      <c r="F26" s="13">
        <f>1+Table3_19[[#This Row],[Inflation]]</f>
        <v>1.0491036632891659</v>
      </c>
      <c r="G26" s="13">
        <f>G25*Table3_19[[#This Row],[1+Inflation]]</f>
        <v>1.9316479894846086</v>
      </c>
      <c r="H26" s="13">
        <f>(Table3_19[[#This Row],[Product]]^(1/12))-1</f>
        <v>5.6397420788469432E-2</v>
      </c>
      <c r="I26" s="29">
        <f>_xlfn.STDEV.P(D15:D26)</f>
        <v>4.5347057919726836E-3</v>
      </c>
      <c r="J26" s="24" t="s">
        <v>172</v>
      </c>
      <c r="K26" s="24" t="s">
        <v>196</v>
      </c>
      <c r="L26" s="24">
        <v>154.1</v>
      </c>
      <c r="M26" s="26">
        <f>Table3_19[[#This Row],[Value]]/L26</f>
        <v>0.87345879299156393</v>
      </c>
    </row>
    <row r="27" spans="1:13" x14ac:dyDescent="0.3">
      <c r="A27" s="12" t="s">
        <v>301</v>
      </c>
      <c r="B27" s="21">
        <v>44197</v>
      </c>
      <c r="C27" s="12">
        <v>135.5</v>
      </c>
      <c r="D27" s="13">
        <f>(Table3_19[[#This Row],[Value]]-C15)/C15</f>
        <v>4.9573973663826536E-2</v>
      </c>
      <c r="E27" s="12"/>
      <c r="F27" s="13">
        <f>1+Table3_19[[#This Row],[Inflation]]</f>
        <v>1.0495739736638265</v>
      </c>
      <c r="G27" s="13">
        <f>Table3_19[[#This Row],[1+Inflation]]</f>
        <v>1.0495739736638265</v>
      </c>
      <c r="H27" s="13"/>
      <c r="I27" s="29"/>
      <c r="J27" s="23" t="s">
        <v>172</v>
      </c>
      <c r="K27" s="23" t="s">
        <v>197</v>
      </c>
      <c r="L27" s="23">
        <v>157.30000000000001</v>
      </c>
      <c r="M27" s="26">
        <f>Table3_19[[#This Row],[Value]]/L27</f>
        <v>0.86141131595677045</v>
      </c>
    </row>
    <row r="28" spans="1:13" x14ac:dyDescent="0.3">
      <c r="A28" s="12" t="s">
        <v>301</v>
      </c>
      <c r="B28" s="21">
        <v>44228</v>
      </c>
      <c r="C28" s="12">
        <v>135.4</v>
      </c>
      <c r="D28" s="13">
        <f>(Table3_19[[#This Row],[Value]]-C16)/C16</f>
        <v>4.8799380325329295E-2</v>
      </c>
      <c r="E28" s="12"/>
      <c r="F28" s="13">
        <f>1+Table3_19[[#This Row],[Inflation]]</f>
        <v>1.0487993803253293</v>
      </c>
      <c r="G28" s="13">
        <f>Table3_19[[#This Row],[1+Inflation]]*F27</f>
        <v>1.1007925331842148</v>
      </c>
      <c r="H28" s="13"/>
      <c r="I28" s="29"/>
      <c r="J28" s="24" t="s">
        <v>172</v>
      </c>
      <c r="K28" s="24" t="s">
        <v>198</v>
      </c>
      <c r="L28" s="24">
        <v>158.30000000000001</v>
      </c>
      <c r="M28" s="26">
        <f>Table3_19[[#This Row],[Value]]/L28</f>
        <v>0.85533796588755528</v>
      </c>
    </row>
    <row r="29" spans="1:13" x14ac:dyDescent="0.3">
      <c r="A29" s="12" t="s">
        <v>301</v>
      </c>
      <c r="B29" s="21">
        <v>44256</v>
      </c>
      <c r="C29" s="12">
        <v>136.4</v>
      </c>
      <c r="D29" s="13">
        <f>(Table3_19[[#This Row],[Value]]-C17)/C17</f>
        <v>4.7619047619047755E-2</v>
      </c>
      <c r="E29" s="12"/>
      <c r="F29" s="13">
        <f>1+Table3_19[[#This Row],[Inflation]]</f>
        <v>1.0476190476190477</v>
      </c>
      <c r="G29" s="13">
        <f>G28*Table3_19[[#This Row],[1+Inflation]]</f>
        <v>1.1532112252406059</v>
      </c>
      <c r="H29" s="13"/>
      <c r="I29" s="29"/>
      <c r="J29" s="23" t="s">
        <v>172</v>
      </c>
      <c r="K29" s="23" t="s">
        <v>199</v>
      </c>
      <c r="L29" s="23">
        <v>158.6</v>
      </c>
      <c r="M29" s="26">
        <f>Table3_19[[#This Row],[Value]]/L29</f>
        <v>0.86002522068095844</v>
      </c>
    </row>
    <row r="30" spans="1:13" x14ac:dyDescent="0.3">
      <c r="A30" s="12" t="s">
        <v>301</v>
      </c>
      <c r="B30" s="21">
        <v>44287</v>
      </c>
      <c r="C30" s="12">
        <v>137.9</v>
      </c>
      <c r="D30" s="13">
        <f>(Table3_19[[#This Row],[Value]]-C18)/C18</f>
        <v>5.0266565118050222E-2</v>
      </c>
      <c r="E30" s="12"/>
      <c r="F30" s="13">
        <f>1+Table3_19[[#This Row],[Inflation]]</f>
        <v>1.0502665651180503</v>
      </c>
      <c r="G30" s="13">
        <f>G29*Table3_19[[#This Row],[1+Inflation]]</f>
        <v>1.2111791923890294</v>
      </c>
      <c r="H30" s="13"/>
      <c r="I30" s="29"/>
      <c r="J30" s="24" t="s">
        <v>172</v>
      </c>
      <c r="K30" s="24" t="s">
        <v>200</v>
      </c>
      <c r="L30" s="24">
        <v>162.1</v>
      </c>
      <c r="M30" s="26">
        <f>Table3_19[[#This Row],[Value]]/L30</f>
        <v>0.85070943861813697</v>
      </c>
    </row>
    <row r="31" spans="1:13" x14ac:dyDescent="0.3">
      <c r="A31" s="12" t="s">
        <v>301</v>
      </c>
      <c r="B31" s="21">
        <v>44317</v>
      </c>
      <c r="C31" s="12">
        <v>138.6</v>
      </c>
      <c r="D31" s="13">
        <f>(Table3_19[[#This Row],[Value]]-C19)/C19</f>
        <v>4.9999999999999954E-2</v>
      </c>
      <c r="E31" s="12"/>
      <c r="F31" s="13">
        <f>1+Table3_19[[#This Row],[Inflation]]</f>
        <v>1.05</v>
      </c>
      <c r="G31" s="13">
        <f>G30*Table3_19[[#This Row],[1+Inflation]]</f>
        <v>1.2717381520084809</v>
      </c>
      <c r="H31" s="13"/>
      <c r="I31" s="29"/>
      <c r="J31" s="23" t="s">
        <v>172</v>
      </c>
      <c r="K31" s="23" t="s">
        <v>201</v>
      </c>
      <c r="L31" s="23">
        <v>165.3</v>
      </c>
      <c r="M31" s="26">
        <f>Table3_19[[#This Row],[Value]]/L31</f>
        <v>0.83847549909255892</v>
      </c>
    </row>
    <row r="32" spans="1:13" x14ac:dyDescent="0.3">
      <c r="A32" s="12" t="s">
        <v>301</v>
      </c>
      <c r="B32" s="21">
        <v>44348</v>
      </c>
      <c r="C32" s="12">
        <v>139.30000000000001</v>
      </c>
      <c r="D32" s="13">
        <f>(Table3_19[[#This Row],[Value]]-C20)/C20</f>
        <v>5.6904400606980265E-2</v>
      </c>
      <c r="E32" s="12"/>
      <c r="F32" s="13">
        <f>1+Table3_19[[#This Row],[Inflation]]</f>
        <v>1.0569044006069803</v>
      </c>
      <c r="G32" s="13">
        <f>G31*Table3_19[[#This Row],[1+Inflation]]</f>
        <v>1.3441056492775525</v>
      </c>
      <c r="H32" s="13"/>
      <c r="I32" s="29"/>
      <c r="J32" s="24" t="s">
        <v>172</v>
      </c>
      <c r="K32" s="24" t="s">
        <v>202</v>
      </c>
      <c r="L32" s="24">
        <v>164.9</v>
      </c>
      <c r="M32" s="26">
        <f>Table3_19[[#This Row],[Value]]/L32</f>
        <v>0.84475439660400242</v>
      </c>
    </row>
    <row r="33" spans="1:13" x14ac:dyDescent="0.3">
      <c r="A33" s="12" t="s">
        <v>301</v>
      </c>
      <c r="B33" s="21">
        <v>44378</v>
      </c>
      <c r="C33" s="12">
        <v>140.5</v>
      </c>
      <c r="D33" s="13">
        <f>(Table3_19[[#This Row],[Value]]-C21)/C21</f>
        <v>6.4393939393939392E-2</v>
      </c>
      <c r="E33" s="12"/>
      <c r="F33" s="13">
        <f>1+Table3_19[[#This Row],[Inflation]]</f>
        <v>1.0643939393939394</v>
      </c>
      <c r="G33" s="13">
        <f>G32*Table3_19[[#This Row],[1+Inflation]]</f>
        <v>1.4306579069961829</v>
      </c>
      <c r="H33" s="13"/>
      <c r="I33" s="29"/>
      <c r="J33" s="23" t="s">
        <v>172</v>
      </c>
      <c r="K33" s="23" t="s">
        <v>203</v>
      </c>
      <c r="L33" s="23">
        <v>168.5</v>
      </c>
      <c r="M33" s="26">
        <f>Table3_19[[#This Row],[Value]]/L33</f>
        <v>0.83382789317507422</v>
      </c>
    </row>
    <row r="34" spans="1:13" x14ac:dyDescent="0.3">
      <c r="A34" s="12" t="s">
        <v>301</v>
      </c>
      <c r="B34" s="21">
        <v>44409</v>
      </c>
      <c r="C34" s="12">
        <v>140.5</v>
      </c>
      <c r="D34" s="13">
        <f>(Table3_19[[#This Row],[Value]]-C22)/C22</f>
        <v>6.1178247734138928E-2</v>
      </c>
      <c r="E34" s="12"/>
      <c r="F34" s="13">
        <f>1+Table3_19[[#This Row],[Inflation]]</f>
        <v>1.0611782477341389</v>
      </c>
      <c r="G34" s="13">
        <f>G33*Table3_19[[#This Row],[1+Inflation]]</f>
        <v>1.5181830508532002</v>
      </c>
      <c r="H34" s="13"/>
      <c r="I34" s="29"/>
      <c r="J34" s="24" t="s">
        <v>172</v>
      </c>
      <c r="K34" s="24" t="s">
        <v>204</v>
      </c>
      <c r="L34" s="24">
        <v>166.2</v>
      </c>
      <c r="M34" s="26">
        <f>Table3_19[[#This Row],[Value]]/L34</f>
        <v>0.84536702767749705</v>
      </c>
    </row>
    <row r="35" spans="1:13" x14ac:dyDescent="0.3">
      <c r="A35" s="12" t="s">
        <v>301</v>
      </c>
      <c r="B35" s="21">
        <v>44440</v>
      </c>
      <c r="C35" s="12">
        <v>141.4</v>
      </c>
      <c r="D35" s="13">
        <f>(Table3_19[[#This Row],[Value]]-C23)/C23</f>
        <v>6.1561561561561694E-2</v>
      </c>
      <c r="E35" s="12"/>
      <c r="F35" s="13">
        <f>1+Table3_19[[#This Row],[Inflation]]</f>
        <v>1.0615615615615617</v>
      </c>
      <c r="G35" s="13">
        <f>G34*Table3_19[[#This Row],[1+Inflation]]</f>
        <v>1.611644770200019</v>
      </c>
      <c r="H35" s="13"/>
      <c r="I35" s="29"/>
      <c r="J35" s="23" t="s">
        <v>172</v>
      </c>
      <c r="K35" s="23" t="s">
        <v>205</v>
      </c>
      <c r="L35" s="23">
        <v>167.7</v>
      </c>
      <c r="M35" s="26">
        <f>Table3_19[[#This Row],[Value]]/L35</f>
        <v>0.84317233154442461</v>
      </c>
    </row>
    <row r="36" spans="1:13" x14ac:dyDescent="0.3">
      <c r="A36" s="12" t="s">
        <v>301</v>
      </c>
      <c r="B36" s="21">
        <v>44470</v>
      </c>
      <c r="C36" s="12">
        <v>142.69999999999999</v>
      </c>
      <c r="D36" s="13">
        <f>(Table3_19[[#This Row],[Value]]-C24)/C24</f>
        <v>6.2546537602382546E-2</v>
      </c>
      <c r="E36" s="12"/>
      <c r="F36" s="13">
        <f>1+Table3_19[[#This Row],[Inflation]]</f>
        <v>1.0625465376023826</v>
      </c>
      <c r="G36" s="13">
        <f>G35*Table3_19[[#This Row],[1+Inflation]]</f>
        <v>1.7124475704210178</v>
      </c>
      <c r="H36" s="13"/>
      <c r="I36" s="29"/>
      <c r="J36" s="24" t="s">
        <v>172</v>
      </c>
      <c r="K36" s="24" t="s">
        <v>206</v>
      </c>
      <c r="L36" s="24">
        <v>168.5</v>
      </c>
      <c r="M36" s="26">
        <f>Table3_19[[#This Row],[Value]]/L36</f>
        <v>0.84688427299703262</v>
      </c>
    </row>
    <row r="37" spans="1:13" x14ac:dyDescent="0.3">
      <c r="A37" s="12" t="s">
        <v>301</v>
      </c>
      <c r="B37" s="21">
        <v>44501</v>
      </c>
      <c r="C37" s="12">
        <v>142.9</v>
      </c>
      <c r="D37" s="13">
        <f>(Table3_19[[#This Row],[Value]]-C25)/C25</f>
        <v>6.4828614008942007E-2</v>
      </c>
      <c r="E37" s="12"/>
      <c r="F37" s="13">
        <f>1+Table3_19[[#This Row],[Inflation]]</f>
        <v>1.064828614008942</v>
      </c>
      <c r="G37" s="13">
        <f>G36*Table3_19[[#This Row],[1+Inflation]]</f>
        <v>1.8234631729743924</v>
      </c>
      <c r="H37" s="13"/>
      <c r="I37" s="29"/>
      <c r="J37" s="23" t="s">
        <v>172</v>
      </c>
      <c r="K37" s="23" t="s">
        <v>207</v>
      </c>
      <c r="L37" s="23">
        <v>169</v>
      </c>
      <c r="M37" s="26">
        <f>Table3_19[[#This Row],[Value]]/L37</f>
        <v>0.8455621301775148</v>
      </c>
    </row>
    <row r="38" spans="1:13" x14ac:dyDescent="0.3">
      <c r="A38" s="12" t="s">
        <v>301</v>
      </c>
      <c r="B38" s="21">
        <v>44531</v>
      </c>
      <c r="C38" s="12">
        <v>143.5</v>
      </c>
      <c r="D38" s="13">
        <f>(Table3_19[[#This Row],[Value]]-C26)/C26</f>
        <v>6.6121842496285332E-2</v>
      </c>
      <c r="E38" s="13">
        <f t="shared" ref="E38" si="0">AVERAGE(D27:D38)</f>
        <v>5.6982842510873655E-2</v>
      </c>
      <c r="F38" s="13">
        <f>1+Table3_19[[#This Row],[Inflation]]</f>
        <v>1.0661218424962853</v>
      </c>
      <c r="G38" s="13">
        <f>G37*Table3_19[[#This Row],[1+Inflation]]</f>
        <v>1.9440339176955819</v>
      </c>
      <c r="H38" s="13">
        <f>(Table3_19[[#This Row],[Product]]^(1/12))-1</f>
        <v>5.696024614988171E-2</v>
      </c>
      <c r="I38" s="29">
        <f t="shared" ref="I38" si="1">_xlfn.STDEV.P(D27:D38)</f>
        <v>6.9097652802617288E-3</v>
      </c>
      <c r="J38" s="24" t="s">
        <v>172</v>
      </c>
      <c r="K38" s="24" t="s">
        <v>208</v>
      </c>
      <c r="L38" s="24">
        <v>169.2</v>
      </c>
      <c r="M38" s="26">
        <f>Table3_19[[#This Row],[Value]]/L38</f>
        <v>0.84810874704491734</v>
      </c>
    </row>
    <row r="39" spans="1:13" x14ac:dyDescent="0.3">
      <c r="A39" s="12" t="s">
        <v>301</v>
      </c>
      <c r="B39" s="21">
        <v>44562</v>
      </c>
      <c r="C39" s="12">
        <v>144.5</v>
      </c>
      <c r="D39" s="13">
        <f>(Table3_19[[#This Row],[Value]]-C27)/C27</f>
        <v>6.6420664206642069E-2</v>
      </c>
      <c r="E39" s="12"/>
      <c r="F39" s="13">
        <f>1+Table3_19[[#This Row],[Inflation]]</f>
        <v>1.0664206642066421</v>
      </c>
      <c r="G39" s="13">
        <f>Table3_19[[#This Row],[1+Inflation]]</f>
        <v>1.0664206642066421</v>
      </c>
      <c r="H39" s="13"/>
      <c r="I39" s="29"/>
      <c r="J39" s="23" t="s">
        <v>172</v>
      </c>
      <c r="K39" s="23" t="s">
        <v>209</v>
      </c>
      <c r="L39" s="23">
        <v>173.2</v>
      </c>
      <c r="M39" s="26">
        <f>Table3_19[[#This Row],[Value]]/L39</f>
        <v>0.83429561200923796</v>
      </c>
    </row>
    <row r="40" spans="1:13" x14ac:dyDescent="0.3">
      <c r="A40" s="12" t="s">
        <v>301</v>
      </c>
      <c r="B40" s="21">
        <v>44593</v>
      </c>
      <c r="C40" s="12">
        <v>145</v>
      </c>
      <c r="D40" s="13">
        <f>(Table3_19[[#This Row],[Value]]-C28)/C28</f>
        <v>7.0901033973412061E-2</v>
      </c>
      <c r="E40" s="12"/>
      <c r="F40" s="13">
        <f>1+Table3_19[[#This Row],[Inflation]]</f>
        <v>1.070901033973412</v>
      </c>
      <c r="G40" s="13">
        <f>Table3_19[[#This Row],[1+Inflation]]*F39</f>
        <v>1.1420309919495057</v>
      </c>
      <c r="H40" s="13"/>
      <c r="I40" s="29"/>
      <c r="J40" s="24" t="s">
        <v>172</v>
      </c>
      <c r="K40" s="24" t="s">
        <v>210</v>
      </c>
      <c r="L40" s="24">
        <v>173.5</v>
      </c>
      <c r="M40" s="26">
        <f>Table3_19[[#This Row],[Value]]/L40</f>
        <v>0.83573487031700289</v>
      </c>
    </row>
    <row r="41" spans="1:13" x14ac:dyDescent="0.3">
      <c r="A41" s="12" t="s">
        <v>301</v>
      </c>
      <c r="B41" s="21">
        <v>44621</v>
      </c>
      <c r="C41" s="12">
        <v>146.19999999999999</v>
      </c>
      <c r="D41" s="13">
        <f>(Table3_19[[#This Row],[Value]]-C29)/C29</f>
        <v>7.1847507331378166E-2</v>
      </c>
      <c r="E41" s="12"/>
      <c r="F41" s="13">
        <f>1+Table3_19[[#This Row],[Inflation]]</f>
        <v>1.0718475073313782</v>
      </c>
      <c r="G41" s="13">
        <f>G40*Table3_19[[#This Row],[1+Inflation]]</f>
        <v>1.224083072016259</v>
      </c>
      <c r="H41" s="13"/>
      <c r="I41" s="29"/>
      <c r="J41" s="23" t="s">
        <v>172</v>
      </c>
      <c r="K41" s="23" t="s">
        <v>211</v>
      </c>
      <c r="L41" s="23">
        <v>176.53</v>
      </c>
      <c r="M41" s="26">
        <f>Table3_19[[#This Row],[Value]]/L41</f>
        <v>0.82818784342604645</v>
      </c>
    </row>
    <row r="42" spans="1:13" x14ac:dyDescent="0.3">
      <c r="A42" s="12" t="s">
        <v>301</v>
      </c>
      <c r="B42" s="21">
        <v>44652</v>
      </c>
      <c r="C42" s="12">
        <v>148.19999999999999</v>
      </c>
      <c r="D42" s="13">
        <f>(Table3_19[[#This Row],[Value]]-C30)/C30</f>
        <v>7.4691805656272536E-2</v>
      </c>
      <c r="E42" s="12"/>
      <c r="F42" s="13">
        <f>1+Table3_19[[#This Row],[Inflation]]</f>
        <v>1.0746918056562724</v>
      </c>
      <c r="G42" s="13">
        <f>G41*Table3_19[[#This Row],[1+Inflation]]</f>
        <v>1.3155120469384303</v>
      </c>
      <c r="H42" s="13"/>
      <c r="I42" s="29"/>
      <c r="J42" s="24" t="s">
        <v>172</v>
      </c>
      <c r="K42" s="24" t="s">
        <v>212</v>
      </c>
      <c r="L42" s="24">
        <v>180.5</v>
      </c>
      <c r="M42" s="26">
        <f>Table3_19[[#This Row],[Value]]/L42</f>
        <v>0.82105263157894726</v>
      </c>
    </row>
    <row r="43" spans="1:13" x14ac:dyDescent="0.3">
      <c r="A43" s="12" t="s">
        <v>301</v>
      </c>
      <c r="B43" s="21">
        <v>44682</v>
      </c>
      <c r="C43" s="12">
        <v>149.5</v>
      </c>
      <c r="D43" s="13">
        <f>(Table3_19[[#This Row],[Value]]-C31)/C31</f>
        <v>7.8643578643578682E-2</v>
      </c>
      <c r="E43" s="12"/>
      <c r="F43" s="13">
        <f>1+Table3_19[[#This Row],[Inflation]]</f>
        <v>1.0786435786435786</v>
      </c>
      <c r="G43" s="13">
        <f>G42*Table3_19[[#This Row],[1+Inflation]]</f>
        <v>1.4189686220584079</v>
      </c>
      <c r="H43" s="13"/>
      <c r="I43" s="29"/>
      <c r="J43" s="23" t="s">
        <v>172</v>
      </c>
      <c r="K43" s="23" t="s">
        <v>213</v>
      </c>
      <c r="L43" s="23">
        <v>183.3</v>
      </c>
      <c r="M43" s="26">
        <f>Table3_19[[#This Row],[Value]]/L43</f>
        <v>0.81560283687943258</v>
      </c>
    </row>
    <row r="44" spans="1:13" x14ac:dyDescent="0.3">
      <c r="A44" s="12" t="s">
        <v>301</v>
      </c>
      <c r="B44" s="21">
        <v>44713</v>
      </c>
      <c r="C44" s="12">
        <v>150.5</v>
      </c>
      <c r="D44" s="13">
        <f>(Table3_19[[#This Row],[Value]]-C32)/C32</f>
        <v>8.0402010050251174E-2</v>
      </c>
      <c r="E44" s="12"/>
      <c r="F44" s="13">
        <f>1+Table3_19[[#This Row],[Inflation]]</f>
        <v>1.0804020100502512</v>
      </c>
      <c r="G44" s="13">
        <f>G43*Table3_19[[#This Row],[1+Inflation]]</f>
        <v>1.5330565514701391</v>
      </c>
      <c r="H44" s="13"/>
      <c r="I44" s="29"/>
      <c r="J44" s="24" t="s">
        <v>172</v>
      </c>
      <c r="K44" s="24" t="s">
        <v>214</v>
      </c>
      <c r="L44" s="24">
        <v>184</v>
      </c>
      <c r="M44" s="26">
        <f>Table3_19[[#This Row],[Value]]/L44</f>
        <v>0.81793478260869568</v>
      </c>
    </row>
    <row r="45" spans="1:13" x14ac:dyDescent="0.3">
      <c r="A45" s="12" t="s">
        <v>301</v>
      </c>
      <c r="B45" s="21">
        <v>44743</v>
      </c>
      <c r="C45" s="12">
        <v>152</v>
      </c>
      <c r="D45" s="13">
        <f>(Table3_19[[#This Row],[Value]]-C33)/C33</f>
        <v>8.1850533807829182E-2</v>
      </c>
      <c r="E45" s="12"/>
      <c r="F45" s="13">
        <f>1+Table3_19[[#This Row],[Inflation]]</f>
        <v>1.0818505338078293</v>
      </c>
      <c r="G45" s="13">
        <f>G44*Table3_19[[#This Row],[1+Inflation]]</f>
        <v>1.6585380485655599</v>
      </c>
      <c r="H45" s="13"/>
      <c r="I45" s="29"/>
      <c r="J45" s="23" t="s">
        <v>172</v>
      </c>
      <c r="K45" s="23" t="s">
        <v>215</v>
      </c>
      <c r="L45" s="23">
        <v>187</v>
      </c>
      <c r="M45" s="26">
        <f>Table3_19[[#This Row],[Value]]/L45</f>
        <v>0.81283422459893051</v>
      </c>
    </row>
    <row r="46" spans="1:13" x14ac:dyDescent="0.3">
      <c r="A46" s="12" t="s">
        <v>301</v>
      </c>
      <c r="B46" s="21">
        <v>44774</v>
      </c>
      <c r="C46" s="12">
        <v>152.69999999999999</v>
      </c>
      <c r="D46" s="13">
        <f>(Table3_19[[#This Row],[Value]]-C34)/C34</f>
        <v>8.6832740213523052E-2</v>
      </c>
      <c r="E46" s="12"/>
      <c r="F46" s="13">
        <f>1+Table3_19[[#This Row],[Inflation]]</f>
        <v>1.0868327402135232</v>
      </c>
      <c r="G46" s="13">
        <f>G45*Table3_19[[#This Row],[1+Inflation]]</f>
        <v>1.8025534520708968</v>
      </c>
      <c r="H46" s="13"/>
      <c r="I46" s="29"/>
      <c r="J46" s="24" t="s">
        <v>172</v>
      </c>
      <c r="K46" s="24" t="s">
        <v>216</v>
      </c>
      <c r="L46" s="24">
        <v>187.9</v>
      </c>
      <c r="M46" s="26">
        <f>Table3_19[[#This Row],[Value]]/L46</f>
        <v>0.81266631186801486</v>
      </c>
    </row>
    <row r="47" spans="1:13" x14ac:dyDescent="0.3">
      <c r="A47" s="12" t="s">
        <v>301</v>
      </c>
      <c r="B47" s="21">
        <v>44805</v>
      </c>
      <c r="C47" s="12">
        <v>154.30000000000001</v>
      </c>
      <c r="D47" s="13">
        <f>(Table3_19[[#This Row],[Value]]-C35)/C35</f>
        <v>9.1230551626591272E-2</v>
      </c>
      <c r="E47" s="12"/>
      <c r="F47" s="13">
        <f>1+Table3_19[[#This Row],[Inflation]]</f>
        <v>1.0912305516265912</v>
      </c>
      <c r="G47" s="13">
        <f>G46*Table3_19[[#This Row],[1+Inflation]]</f>
        <v>1.9670013978397409</v>
      </c>
      <c r="H47" s="13"/>
      <c r="I47" s="29"/>
      <c r="J47" s="23" t="s">
        <v>172</v>
      </c>
      <c r="K47" s="23" t="s">
        <v>217</v>
      </c>
      <c r="L47" s="23">
        <v>189.1</v>
      </c>
      <c r="M47" s="26">
        <f>Table3_19[[#This Row],[Value]]/L47</f>
        <v>0.81597038603913286</v>
      </c>
    </row>
    <row r="48" spans="1:13" x14ac:dyDescent="0.3">
      <c r="A48" s="12" t="s">
        <v>301</v>
      </c>
      <c r="B48" s="21">
        <v>44835</v>
      </c>
      <c r="C48" s="12">
        <v>155.9</v>
      </c>
      <c r="D48" s="13">
        <f>(Table3_19[[#This Row],[Value]]-C36)/C36</f>
        <v>9.2501751927119957E-2</v>
      </c>
      <c r="E48" s="12"/>
      <c r="F48" s="13">
        <f>1+Table3_19[[#This Row],[Inflation]]</f>
        <v>1.0925017519271201</v>
      </c>
      <c r="G48" s="13">
        <f>G47*Table3_19[[#This Row],[1+Inflation]]</f>
        <v>2.148952473183011</v>
      </c>
      <c r="H48" s="13"/>
      <c r="I48" s="29"/>
      <c r="J48" s="24" t="s">
        <v>172</v>
      </c>
      <c r="K48" s="24" t="s">
        <v>218</v>
      </c>
      <c r="L48" s="24">
        <v>189.7</v>
      </c>
      <c r="M48" s="26">
        <f>Table3_19[[#This Row],[Value]]/L48</f>
        <v>0.8218239325250396</v>
      </c>
    </row>
    <row r="49" spans="1:13" x14ac:dyDescent="0.3">
      <c r="A49" s="12" t="s">
        <v>301</v>
      </c>
      <c r="B49" s="21">
        <v>44866</v>
      </c>
      <c r="C49" s="12">
        <v>156.9</v>
      </c>
      <c r="D49" s="13">
        <f>(Table3_19[[#This Row],[Value]]-C37)/C37</f>
        <v>9.7970608817354796E-2</v>
      </c>
      <c r="E49" s="12"/>
      <c r="F49" s="13">
        <f>1+Table3_19[[#This Row],[Inflation]]</f>
        <v>1.0979706088173549</v>
      </c>
      <c r="G49" s="13">
        <f>G48*Table3_19[[#This Row],[1+Inflation]]</f>
        <v>2.3594866553003109</v>
      </c>
      <c r="H49" s="13"/>
      <c r="I49" s="29"/>
      <c r="J49" s="23" t="s">
        <v>172</v>
      </c>
      <c r="K49" s="23" t="s">
        <v>219</v>
      </c>
      <c r="L49" s="23">
        <v>186.6</v>
      </c>
      <c r="M49" s="26">
        <f>Table3_19[[#This Row],[Value]]/L49</f>
        <v>0.84083601286173637</v>
      </c>
    </row>
    <row r="50" spans="1:13" x14ac:dyDescent="0.3">
      <c r="A50" s="12" t="s">
        <v>301</v>
      </c>
      <c r="B50" s="21">
        <v>44896</v>
      </c>
      <c r="C50" s="12">
        <v>158</v>
      </c>
      <c r="D50" s="13">
        <f>(Table3_19[[#This Row],[Value]]-C38)/C38</f>
        <v>0.10104529616724739</v>
      </c>
      <c r="E50" s="13">
        <f t="shared" ref="E50" si="2">AVERAGE(D39:D50)</f>
        <v>8.2861506868433354E-2</v>
      </c>
      <c r="F50" s="13">
        <f>1+Table3_19[[#This Row],[Inflation]]</f>
        <v>1.1010452961672474</v>
      </c>
      <c r="G50" s="13">
        <f>G49*Table3_19[[#This Row],[1+Inflation]]</f>
        <v>2.597901683187799</v>
      </c>
      <c r="H50" s="13">
        <f>(Table3_19[[#This Row],[Product]]^(1/12))-1</f>
        <v>8.2809089166693051E-2</v>
      </c>
      <c r="I50" s="29">
        <f t="shared" ref="I50" si="3">_xlfn.STDEV.P(D39:D50)</f>
        <v>1.0661260153947538E-2</v>
      </c>
      <c r="J50" s="24" t="s">
        <v>172</v>
      </c>
      <c r="K50" s="24" t="s">
        <v>220</v>
      </c>
      <c r="L50" s="24">
        <v>186.4</v>
      </c>
      <c r="M50" s="26">
        <f>Table3_19[[#This Row],[Value]]/L50</f>
        <v>0.84763948497854069</v>
      </c>
    </row>
    <row r="51" spans="1:13" x14ac:dyDescent="0.3">
      <c r="A51" s="12" t="s">
        <v>301</v>
      </c>
      <c r="B51" s="21">
        <v>44927</v>
      </c>
      <c r="C51" s="12">
        <v>159.30000000000001</v>
      </c>
      <c r="D51" s="13">
        <f>(Table3_19[[#This Row],[Value]]-C39)/C39</f>
        <v>0.10242214532871981</v>
      </c>
      <c r="E51" s="12"/>
      <c r="F51" s="13">
        <f>1+Table3_19[[#This Row],[Inflation]]</f>
        <v>1.1024221453287197</v>
      </c>
      <c r="G51" s="13">
        <f>Table3_19[[#This Row],[1+Inflation]]</f>
        <v>1.1024221453287197</v>
      </c>
      <c r="H51" s="13"/>
      <c r="I51" s="29"/>
      <c r="J51" s="23" t="s">
        <v>172</v>
      </c>
      <c r="K51" s="23" t="s">
        <v>221</v>
      </c>
      <c r="L51" s="23">
        <v>188.1</v>
      </c>
      <c r="M51" s="26">
        <f>Table3_19[[#This Row],[Value]]/L51</f>
        <v>0.84688995215311014</v>
      </c>
    </row>
    <row r="52" spans="1:13" x14ac:dyDescent="0.3">
      <c r="A52" s="12" t="s">
        <v>301</v>
      </c>
      <c r="B52" s="21">
        <v>44958</v>
      </c>
      <c r="C52" s="12">
        <v>160.1</v>
      </c>
      <c r="D52" s="13">
        <f>(Table3_19[[#This Row],[Value]]-C40)/C40</f>
        <v>0.10413793103448273</v>
      </c>
      <c r="E52" s="12"/>
      <c r="F52" s="13">
        <f>1+Table3_19[[#This Row],[Inflation]]</f>
        <v>1.1041379310344828</v>
      </c>
      <c r="G52" s="13">
        <f>Table3_19[[#This Row],[1+Inflation]]*F51</f>
        <v>1.2172261066698484</v>
      </c>
      <c r="H52" s="13"/>
      <c r="I52" s="29"/>
      <c r="J52" s="24" t="s">
        <v>172</v>
      </c>
      <c r="K52" s="24" t="s">
        <v>222</v>
      </c>
      <c r="L52" s="24">
        <v>187.7</v>
      </c>
      <c r="M52" s="26">
        <f>Table3_19[[#This Row],[Value]]/L52</f>
        <v>0.85295684603090038</v>
      </c>
    </row>
    <row r="53" spans="1:13" x14ac:dyDescent="0.3">
      <c r="A53" s="12" t="s">
        <v>301</v>
      </c>
      <c r="B53" s="21">
        <v>44986</v>
      </c>
      <c r="C53" s="12">
        <v>161.19999999999999</v>
      </c>
      <c r="D53" s="13">
        <f>(Table3_19[[#This Row],[Value]]-C41)/C41</f>
        <v>0.10259917920656636</v>
      </c>
      <c r="E53" s="12"/>
      <c r="F53" s="13">
        <f>1+Table3_19[[#This Row],[Inflation]]</f>
        <v>1.1025991792065664</v>
      </c>
      <c r="G53" s="13">
        <f>G52*Table3_19[[#This Row],[1+Inflation]]</f>
        <v>1.3421125061229793</v>
      </c>
      <c r="H53" s="13"/>
      <c r="I53" s="29"/>
      <c r="J53" s="23" t="s">
        <v>172</v>
      </c>
      <c r="K53" s="23" t="s">
        <v>223</v>
      </c>
      <c r="L53" s="23">
        <v>188.1</v>
      </c>
      <c r="M53" s="26">
        <f>Table3_19[[#This Row],[Value]]/L53</f>
        <v>0.85699096225412008</v>
      </c>
    </row>
    <row r="54" spans="1:13" x14ac:dyDescent="0.3">
      <c r="A54" s="12" t="s">
        <v>301</v>
      </c>
      <c r="B54" s="21">
        <v>45017</v>
      </c>
      <c r="C54" s="12">
        <v>163.1</v>
      </c>
      <c r="D54" s="13">
        <f>(Table3_19[[#This Row],[Value]]-C42)/C42</f>
        <v>0.1005398110661269</v>
      </c>
      <c r="E54" s="12"/>
      <c r="F54" s="13">
        <f>1+Table3_19[[#This Row],[Inflation]]</f>
        <v>1.1005398110661269</v>
      </c>
      <c r="G54" s="13">
        <f>G53*Table3_19[[#This Row],[1+Inflation]]</f>
        <v>1.4770482439180697</v>
      </c>
      <c r="H54" s="13"/>
      <c r="I54" s="29"/>
      <c r="J54" s="24" t="s">
        <v>172</v>
      </c>
      <c r="K54" s="24" t="s">
        <v>224</v>
      </c>
      <c r="L54" s="24">
        <v>187.9</v>
      </c>
      <c r="M54" s="26">
        <f>Table3_19[[#This Row],[Value]]/L54</f>
        <v>0.86801490154337413</v>
      </c>
    </row>
    <row r="55" spans="1:13" x14ac:dyDescent="0.3">
      <c r="A55" s="12" t="s">
        <v>301</v>
      </c>
      <c r="B55" s="21">
        <v>45047</v>
      </c>
      <c r="C55" s="12">
        <v>163.9</v>
      </c>
      <c r="D55" s="13">
        <f>(Table3_19[[#This Row],[Value]]-C43)/C43</f>
        <v>9.6321070234113751E-2</v>
      </c>
      <c r="E55" s="12"/>
      <c r="F55" s="13">
        <f>1+Table3_19[[#This Row],[Inflation]]</f>
        <v>1.0963210702341137</v>
      </c>
      <c r="G55" s="13">
        <f>G54*Table3_19[[#This Row],[1+Inflation]]</f>
        <v>1.6193191115596763</v>
      </c>
      <c r="H55" s="13"/>
      <c r="I55" s="29"/>
      <c r="J55" s="23" t="s">
        <v>172</v>
      </c>
      <c r="K55" s="23" t="s">
        <v>225</v>
      </c>
      <c r="L55" s="23">
        <v>186.6</v>
      </c>
      <c r="M55" s="26">
        <f>Table3_19[[#This Row],[Value]]/L55</f>
        <v>0.87834941050375137</v>
      </c>
    </row>
    <row r="56" spans="1:13" x14ac:dyDescent="0.3">
      <c r="A56" s="12" t="s">
        <v>301</v>
      </c>
      <c r="B56" s="21">
        <v>45078</v>
      </c>
      <c r="C56" s="12">
        <v>164.6</v>
      </c>
      <c r="D56" s="13">
        <f>(Table3_19[[#This Row],[Value]]-C44)/C44</f>
        <v>9.368770764119598E-2</v>
      </c>
      <c r="E56" s="12"/>
      <c r="F56" s="13">
        <f>1+Table3_19[[#This Row],[Inflation]]</f>
        <v>1.0936877076411959</v>
      </c>
      <c r="G56" s="13">
        <f>G55*Table3_19[[#This Row],[1+Inflation]]</f>
        <v>1.7710294070612804</v>
      </c>
      <c r="H56" s="13"/>
      <c r="I56" s="29"/>
      <c r="J56" s="24" t="s">
        <v>172</v>
      </c>
      <c r="K56" s="24" t="s">
        <v>226</v>
      </c>
      <c r="L56" s="24">
        <v>188</v>
      </c>
      <c r="M56" s="26">
        <f>Table3_19[[#This Row],[Value]]/L56</f>
        <v>0.87553191489361704</v>
      </c>
    </row>
    <row r="57" spans="1:13" x14ac:dyDescent="0.3">
      <c r="A57" s="12" t="s">
        <v>301</v>
      </c>
      <c r="B57" s="21">
        <v>45108</v>
      </c>
      <c r="C57" s="12">
        <v>165.8</v>
      </c>
      <c r="D57" s="13">
        <f>(Table3_19[[#This Row],[Value]]-C45)/C45</f>
        <v>9.07894736842106E-2</v>
      </c>
      <c r="E57" s="12"/>
      <c r="F57" s="13">
        <f>1+Table3_19[[#This Row],[Inflation]]</f>
        <v>1.0907894736842105</v>
      </c>
      <c r="G57" s="13">
        <f>G56*Table3_19[[#This Row],[1+Inflation]]</f>
        <v>1.9318202348076334</v>
      </c>
      <c r="H57" s="13"/>
      <c r="I57" s="29"/>
      <c r="J57" s="23" t="s">
        <v>172</v>
      </c>
      <c r="K57" s="23" t="s">
        <v>227</v>
      </c>
      <c r="L57" s="23">
        <v>188.3</v>
      </c>
      <c r="M57" s="26">
        <f>Table3_19[[#This Row],[Value]]/L57</f>
        <v>0.88050982474774298</v>
      </c>
    </row>
    <row r="58" spans="1:13" x14ac:dyDescent="0.3">
      <c r="A58" s="12" t="s">
        <v>301</v>
      </c>
      <c r="B58" s="21">
        <v>45139</v>
      </c>
      <c r="C58" s="12">
        <v>166.8</v>
      </c>
      <c r="D58" s="13">
        <f>(Table3_19[[#This Row],[Value]]-C46)/C46</f>
        <v>9.2337917485265375E-2</v>
      </c>
      <c r="E58" s="12"/>
      <c r="F58" s="13">
        <f>1+Table3_19[[#This Row],[Inflation]]</f>
        <v>1.0923379174852654</v>
      </c>
      <c r="G58" s="13">
        <f>G57*Table3_19[[#This Row],[1+Inflation]]</f>
        <v>2.1102004922456667</v>
      </c>
      <c r="H58" s="13"/>
      <c r="I58" s="29"/>
      <c r="J58" s="24" t="s">
        <v>172</v>
      </c>
      <c r="K58" s="24" t="s">
        <v>228</v>
      </c>
      <c r="L58" s="24">
        <v>187.4</v>
      </c>
      <c r="M58" s="26">
        <f>Table3_19[[#This Row],[Value]]/L58</f>
        <v>0.89007470651013876</v>
      </c>
    </row>
    <row r="59" spans="1:13" x14ac:dyDescent="0.3">
      <c r="A59" s="12" t="s">
        <v>301</v>
      </c>
      <c r="B59" s="21">
        <v>45170</v>
      </c>
      <c r="C59" s="12">
        <v>168.1</v>
      </c>
      <c r="D59" s="13">
        <f>(Table3_19[[#This Row],[Value]]-C47)/C47</f>
        <v>8.9436163318211165E-2</v>
      </c>
      <c r="E59" s="12"/>
      <c r="F59" s="13">
        <f>1+Table3_19[[#This Row],[Inflation]]</f>
        <v>1.0894361633182112</v>
      </c>
      <c r="G59" s="13">
        <f>G58*Table3_19[[#This Row],[1+Inflation]]</f>
        <v>2.29892872810432</v>
      </c>
      <c r="H59" s="13"/>
      <c r="I59" s="29"/>
      <c r="J59" s="23" t="s">
        <v>172</v>
      </c>
      <c r="K59" s="23" t="s">
        <v>229</v>
      </c>
      <c r="L59" s="23">
        <v>187.9</v>
      </c>
      <c r="M59" s="26">
        <f>Table3_19[[#This Row],[Value]]/L59</f>
        <v>0.89462480042575832</v>
      </c>
    </row>
    <row r="60" spans="1:13" x14ac:dyDescent="0.3">
      <c r="A60" s="12" t="s">
        <v>301</v>
      </c>
      <c r="B60" s="21">
        <v>45200</v>
      </c>
      <c r="C60" s="12">
        <v>169.4</v>
      </c>
      <c r="D60" s="13">
        <f>(Table3_19[[#This Row],[Value]]-C48)/C48</f>
        <v>8.6593970493906353E-2</v>
      </c>
      <c r="E60" s="12"/>
      <c r="F60" s="13">
        <f>1+Table3_19[[#This Row],[Inflation]]</f>
        <v>1.0865939704939063</v>
      </c>
      <c r="G60" s="13">
        <f>G59*Table3_19[[#This Row],[1+Inflation]]</f>
        <v>2.498002094553379</v>
      </c>
      <c r="H60" s="13"/>
      <c r="I60" s="29"/>
      <c r="J60" s="24" t="s">
        <v>172</v>
      </c>
      <c r="K60" s="24" t="s">
        <v>230</v>
      </c>
      <c r="L60" s="24">
        <v>190.9</v>
      </c>
      <c r="M60" s="26">
        <f>Table3_19[[#This Row],[Value]]/L60</f>
        <v>0.8873755893137768</v>
      </c>
    </row>
    <row r="61" spans="1:13" x14ac:dyDescent="0.3">
      <c r="A61" s="12" t="s">
        <v>301</v>
      </c>
      <c r="B61" s="21">
        <v>45231</v>
      </c>
      <c r="C61" s="12">
        <v>169.8</v>
      </c>
      <c r="D61" s="13">
        <f>(Table3_19[[#This Row],[Value]]-C49)/C49</f>
        <v>8.2217973231357586E-2</v>
      </c>
      <c r="E61" s="12"/>
      <c r="F61" s="13">
        <f>1+Table3_19[[#This Row],[Inflation]]</f>
        <v>1.0822179732313575</v>
      </c>
      <c r="G61" s="13">
        <f>G60*Table3_19[[#This Row],[1+Inflation]]</f>
        <v>2.7033827638952435</v>
      </c>
      <c r="H61" s="13"/>
      <c r="I61" s="29"/>
      <c r="J61" s="23" t="s">
        <v>172</v>
      </c>
      <c r="K61" s="23" t="s">
        <v>231</v>
      </c>
      <c r="L61" s="23">
        <v>190.8</v>
      </c>
      <c r="M61" s="26">
        <f>Table3_19[[#This Row],[Value]]/L61</f>
        <v>0.88993710691823902</v>
      </c>
    </row>
    <row r="62" spans="1:13" x14ac:dyDescent="0.3">
      <c r="A62" s="12" t="s">
        <v>301</v>
      </c>
      <c r="B62" s="21">
        <v>45261</v>
      </c>
      <c r="C62" s="12">
        <v>170.8</v>
      </c>
      <c r="D62" s="13">
        <f>(Table3_19[[#This Row],[Value]]-C50)/C50</f>
        <v>8.1012658227848172E-2</v>
      </c>
      <c r="E62" s="13">
        <f t="shared" ref="E62" si="4">AVERAGE(D51:D62)</f>
        <v>9.3508000079333728E-2</v>
      </c>
      <c r="F62" s="13">
        <f>1+Table3_19[[#This Row],[Inflation]]</f>
        <v>1.0810126582278481</v>
      </c>
      <c r="G62" s="13">
        <f>G61*Table3_19[[#This Row],[1+Inflation]]</f>
        <v>2.9223909878057444</v>
      </c>
      <c r="H62" s="13">
        <f>(Table3_19[[#This Row],[Product]]^(1/12))-1</f>
        <v>9.348171856826859E-2</v>
      </c>
      <c r="I62" s="29">
        <f t="shared" ref="I62" si="5">_xlfn.STDEV.P(D51:D62)</f>
        <v>7.578700376648431E-3</v>
      </c>
      <c r="J62" s="24" t="s">
        <v>172</v>
      </c>
      <c r="K62" s="24" t="s">
        <v>232</v>
      </c>
      <c r="L62" s="24">
        <v>190.7</v>
      </c>
      <c r="M62" s="26">
        <f>Table3_19[[#This Row],[Value]]/L62</f>
        <v>0.89564761405348725</v>
      </c>
    </row>
    <row r="63" spans="1:13" x14ac:dyDescent="0.3">
      <c r="A63" s="12" t="s">
        <v>301</v>
      </c>
      <c r="B63" s="21">
        <v>45292</v>
      </c>
      <c r="C63" s="12">
        <v>171.7</v>
      </c>
      <c r="D63" s="13">
        <f>(Table3_19[[#This Row],[Value]]-C51)/C51</f>
        <v>7.7840552416823458E-2</v>
      </c>
      <c r="E63" s="12"/>
      <c r="F63" s="13">
        <f>1+Table3_19[[#This Row],[Inflation]]</f>
        <v>1.0778405524168235</v>
      </c>
      <c r="G63" s="13">
        <f>Table3_19[[#This Row],[1+Inflation]]</f>
        <v>1.0778405524168235</v>
      </c>
      <c r="H63" s="13"/>
      <c r="I63" s="29"/>
      <c r="J63" s="23" t="s">
        <v>172</v>
      </c>
      <c r="K63" s="23" t="s">
        <v>233</v>
      </c>
      <c r="L63" s="23">
        <v>192.8</v>
      </c>
      <c r="M63" s="26">
        <f>Table3_19[[#This Row],[Value]]/L63</f>
        <v>0.89056016597510357</v>
      </c>
    </row>
    <row r="64" spans="1:13" x14ac:dyDescent="0.3">
      <c r="A64" s="12" t="s">
        <v>301</v>
      </c>
      <c r="B64" s="21">
        <v>45323</v>
      </c>
      <c r="C64" s="12">
        <v>172.1</v>
      </c>
      <c r="D64" s="13">
        <f>(Table3_19[[#This Row],[Value]]-C52)/C52</f>
        <v>7.4953154278575893E-2</v>
      </c>
      <c r="E64" s="12"/>
      <c r="F64" s="13">
        <f>1+Table3_19[[#This Row],[Inflation]]</f>
        <v>1.074953154278576</v>
      </c>
      <c r="G64" s="13">
        <f>Table3_19[[#This Row],[1+Inflation]]*F63</f>
        <v>1.1586281016298272</v>
      </c>
      <c r="H64" s="13"/>
      <c r="I64" s="29"/>
      <c r="J64" s="24" t="s">
        <v>172</v>
      </c>
      <c r="K64" s="24" t="s">
        <v>234</v>
      </c>
      <c r="L64" s="24">
        <v>193.5</v>
      </c>
      <c r="M64" s="26">
        <f>Table3_19[[#This Row],[Value]]/L64</f>
        <v>0.88940568475452197</v>
      </c>
    </row>
    <row r="65" spans="1:13" x14ac:dyDescent="0.3">
      <c r="A65" s="12" t="s">
        <v>301</v>
      </c>
      <c r="B65" s="21">
        <v>45352</v>
      </c>
      <c r="C65" s="12">
        <v>173.3</v>
      </c>
      <c r="D65" s="13">
        <f>(Table3_19[[#This Row],[Value]]-C53)/C53</f>
        <v>7.5062034739454248E-2</v>
      </c>
      <c r="E65" s="12"/>
      <c r="F65" s="13">
        <f>1+Table3_19[[#This Row],[Inflation]]</f>
        <v>1.0750620347394542</v>
      </c>
      <c r="G65" s="13">
        <f>G64*Table3_19[[#This Row],[1+Inflation]]</f>
        <v>1.245597084444473</v>
      </c>
      <c r="H65" s="13"/>
      <c r="I65" s="29"/>
      <c r="J65" s="23" t="s">
        <v>172</v>
      </c>
      <c r="K65" s="23" t="s">
        <v>235</v>
      </c>
      <c r="L65" s="23">
        <v>193.9</v>
      </c>
      <c r="M65" s="26">
        <f>Table3_19[[#This Row],[Value]]/L65</f>
        <v>0.89375966993295519</v>
      </c>
    </row>
    <row r="66" spans="1:13" x14ac:dyDescent="0.3">
      <c r="A66" s="12" t="s">
        <v>301</v>
      </c>
      <c r="B66" s="21">
        <v>45383</v>
      </c>
      <c r="C66" s="12">
        <v>174.8</v>
      </c>
      <c r="D66" s="13">
        <f>(Table3_19[[#This Row],[Value]]-C54)/C54</f>
        <v>7.1735131820968842E-2</v>
      </c>
      <c r="E66" s="12"/>
      <c r="F66" s="13">
        <f>1+Table3_19[[#This Row],[Inflation]]</f>
        <v>1.0717351318209689</v>
      </c>
      <c r="G66" s="13">
        <f>G65*Table3_19[[#This Row],[1+Inflation]]</f>
        <v>1.334950155492912</v>
      </c>
      <c r="H66" s="13"/>
      <c r="I66" s="29"/>
      <c r="J66" s="24" t="s">
        <v>172</v>
      </c>
      <c r="K66" s="24" t="s">
        <v>236</v>
      </c>
      <c r="L66" s="24">
        <v>194.6</v>
      </c>
      <c r="M66" s="26">
        <f>Table3_19[[#This Row],[Value]]/L66</f>
        <v>0.89825282631038039</v>
      </c>
    </row>
    <row r="67" spans="1:13" x14ac:dyDescent="0.3">
      <c r="A67" s="12" t="s">
        <v>301</v>
      </c>
      <c r="B67" s="21">
        <v>45413</v>
      </c>
      <c r="C67" s="12">
        <v>175.7</v>
      </c>
      <c r="D67" s="13">
        <f>(Table3_19[[#This Row],[Value]]-C55)/C55</f>
        <v>7.1995118974984645E-2</v>
      </c>
      <c r="E67" s="12"/>
      <c r="F67" s="13">
        <f>1+Table3_19[[#This Row],[Inflation]]</f>
        <v>1.0719951189749846</v>
      </c>
      <c r="G67" s="13">
        <f>G66*Table3_19[[#This Row],[1+Inflation]]</f>
        <v>1.4310600507632982</v>
      </c>
      <c r="H67" s="13"/>
      <c r="I67" s="29"/>
      <c r="J67" s="23" t="s">
        <v>172</v>
      </c>
      <c r="K67" s="23" t="s">
        <v>237</v>
      </c>
      <c r="L67" s="23">
        <v>194.8</v>
      </c>
      <c r="M67" s="26">
        <f>Table3_19[[#This Row],[Value]]/L67</f>
        <v>0.90195071868583154</v>
      </c>
    </row>
    <row r="68" spans="1:13" x14ac:dyDescent="0.3">
      <c r="A68" s="12" t="s">
        <v>301</v>
      </c>
      <c r="B68" s="21">
        <v>45444</v>
      </c>
      <c r="C68" s="12">
        <v>176.6</v>
      </c>
      <c r="D68" s="13">
        <f>(Table3_19[[#This Row],[Value]]-C56)/C56</f>
        <v>7.2904009720534638E-2</v>
      </c>
      <c r="E68" s="12"/>
      <c r="F68" s="13">
        <f>1+Table3_19[[#This Row],[Inflation]]</f>
        <v>1.0729040097205347</v>
      </c>
      <c r="G68" s="13">
        <f>G67*Table3_19[[#This Row],[1+Inflation]]</f>
        <v>1.5353900666148146</v>
      </c>
      <c r="H68" s="13"/>
      <c r="I68" s="29"/>
      <c r="J68" s="24" t="s">
        <v>172</v>
      </c>
      <c r="K68" s="24" t="s">
        <v>238</v>
      </c>
      <c r="L68" s="24">
        <v>195.2</v>
      </c>
      <c r="M68" s="26">
        <f>Table3_19[[#This Row],[Value]]/L68</f>
        <v>0.90471311475409844</v>
      </c>
    </row>
    <row r="69" spans="1:13" x14ac:dyDescent="0.3">
      <c r="A69" s="12" t="s">
        <v>301</v>
      </c>
      <c r="B69" s="21">
        <v>45474</v>
      </c>
      <c r="C69" s="12">
        <v>177.3</v>
      </c>
      <c r="D69" s="13">
        <f>(Table3_19[[#This Row],[Value]]-C57)/C57</f>
        <v>6.9360675512665851E-2</v>
      </c>
      <c r="E69" s="12"/>
      <c r="F69" s="13">
        <f>1+Table3_19[[#This Row],[Inflation]]</f>
        <v>1.0693606755126659</v>
      </c>
      <c r="G69" s="13">
        <f>G68*Table3_19[[#This Row],[1+Inflation]]</f>
        <v>1.6418857588106552</v>
      </c>
      <c r="H69" s="13"/>
      <c r="I69" s="29"/>
      <c r="J69" s="23" t="s">
        <v>172</v>
      </c>
      <c r="K69" s="23" t="s">
        <v>239</v>
      </c>
      <c r="L69" s="23">
        <v>196.5</v>
      </c>
      <c r="M69" s="26">
        <f>Table3_19[[#This Row],[Value]]/L69</f>
        <v>0.90229007633587788</v>
      </c>
    </row>
    <row r="70" spans="1:13" x14ac:dyDescent="0.3">
      <c r="A70" s="12" t="s">
        <v>301</v>
      </c>
      <c r="B70" s="21">
        <v>45505</v>
      </c>
      <c r="C70" s="12">
        <v>177.9</v>
      </c>
      <c r="D70" s="13">
        <f>(Table3_19[[#This Row],[Value]]-C58)/C58</f>
        <v>6.6546762589928019E-2</v>
      </c>
      <c r="E70" s="12"/>
      <c r="F70" s="13">
        <f>1+Table3_19[[#This Row],[Inflation]]</f>
        <v>1.0665467625899281</v>
      </c>
      <c r="G70" s="13">
        <f>G69*Table3_19[[#This Row],[1+Inflation]]</f>
        <v>1.7511479406020118</v>
      </c>
      <c r="H70" s="13"/>
      <c r="I70" s="29"/>
      <c r="J70" s="24" t="s">
        <v>172</v>
      </c>
      <c r="K70" s="24" t="s">
        <v>240</v>
      </c>
      <c r="L70" s="24">
        <v>197.5</v>
      </c>
      <c r="M70" s="26">
        <f>Table3_19[[#This Row],[Value]]/L70</f>
        <v>0.90075949367088615</v>
      </c>
    </row>
    <row r="71" spans="1:13" x14ac:dyDescent="0.3">
      <c r="A71" s="12" t="s">
        <v>301</v>
      </c>
      <c r="B71" s="21">
        <v>45536</v>
      </c>
      <c r="C71" s="12">
        <v>179.3</v>
      </c>
      <c r="D71" s="13">
        <f>(Table3_19[[#This Row],[Value]]-C59)/C59</f>
        <v>6.6627007733492075E-2</v>
      </c>
      <c r="E71" s="12"/>
      <c r="F71" s="13">
        <f>1+Table3_19[[#This Row],[Inflation]]</f>
        <v>1.0666270077334921</v>
      </c>
      <c r="G71" s="13">
        <f>G70*Table3_19[[#This Row],[1+Inflation]]</f>
        <v>1.8678216879829908</v>
      </c>
      <c r="H71" s="13"/>
      <c r="I71" s="29"/>
      <c r="J71" s="23" t="s">
        <v>172</v>
      </c>
      <c r="K71" s="23" t="s">
        <v>241</v>
      </c>
      <c r="L71" s="23">
        <v>197.5</v>
      </c>
      <c r="M71" s="26">
        <f>Table3_19[[#This Row],[Value]]/L71</f>
        <v>0.90784810126582283</v>
      </c>
    </row>
    <row r="72" spans="1:13" x14ac:dyDescent="0.3">
      <c r="A72" s="12" t="s">
        <v>301</v>
      </c>
      <c r="B72" s="21">
        <v>45566</v>
      </c>
      <c r="C72" s="12">
        <v>180.8</v>
      </c>
      <c r="D72" s="13">
        <f>(Table3_19[[#This Row],[Value]]-C60)/C60</f>
        <v>6.7296340023612788E-2</v>
      </c>
      <c r="E72" s="12"/>
      <c r="F72" s="13">
        <f>1+Table3_19[[#This Row],[Inflation]]</f>
        <v>1.0672963400236128</v>
      </c>
      <c r="G72" s="13">
        <f>G71*Table3_19[[#This Row],[1+Inflation]]</f>
        <v>1.9935192514009725</v>
      </c>
      <c r="H72" s="13"/>
      <c r="I72" s="29"/>
      <c r="J72" s="24" t="s">
        <v>172</v>
      </c>
      <c r="K72" s="24" t="s">
        <v>242</v>
      </c>
      <c r="L72" s="24">
        <v>199.5</v>
      </c>
      <c r="M72" s="26">
        <f>Table3_19[[#This Row],[Value]]/L72</f>
        <v>0.90626566416040111</v>
      </c>
    </row>
    <row r="73" spans="1:13" x14ac:dyDescent="0.3">
      <c r="A73" s="12" t="s">
        <v>301</v>
      </c>
      <c r="B73" s="21">
        <v>45597</v>
      </c>
      <c r="C73" s="12">
        <v>181</v>
      </c>
      <c r="D73" s="13">
        <f>(Table3_19[[#This Row],[Value]]-C61)/C61</f>
        <v>6.5959952885747866E-2</v>
      </c>
      <c r="E73" s="12"/>
      <c r="F73" s="13">
        <f>1+Table3_19[[#This Row],[Inflation]]</f>
        <v>1.065959952885748</v>
      </c>
      <c r="G73" s="13">
        <f>G72*Table3_19[[#This Row],[1+Inflation]]</f>
        <v>2.1250116873002121</v>
      </c>
      <c r="H73" s="13"/>
      <c r="I73" s="29"/>
      <c r="J73" s="23" t="s">
        <v>172</v>
      </c>
      <c r="K73" s="23" t="s">
        <v>243</v>
      </c>
      <c r="L73" s="23">
        <v>200.4</v>
      </c>
      <c r="M73" s="26">
        <f>Table3_19[[#This Row],[Value]]/L73</f>
        <v>0.90319361277445109</v>
      </c>
    </row>
    <row r="74" spans="1:13" x14ac:dyDescent="0.3">
      <c r="A74" s="12" t="s">
        <v>301</v>
      </c>
      <c r="B74" s="21">
        <v>45627</v>
      </c>
      <c r="C74" s="12">
        <v>181.3</v>
      </c>
      <c r="D74" s="13">
        <f>(Table3_19[[#This Row],[Value]]-C62)/C62</f>
        <v>6.1475409836065573E-2</v>
      </c>
      <c r="E74" s="13">
        <f t="shared" ref="E74" si="6">AVERAGE(D63:D74)</f>
        <v>7.0146345877737826E-2</v>
      </c>
      <c r="F74" s="13">
        <f>1+Table3_19[[#This Row],[Inflation]]</f>
        <v>1.0614754098360655</v>
      </c>
      <c r="G74" s="13">
        <f>G73*Table3_19[[#This Row],[1+Inflation]]</f>
        <v>2.2556476516834216</v>
      </c>
      <c r="H74" s="13">
        <f>(Table3_19[[#This Row],[Product]]^(1/12))-1</f>
        <v>7.0136733067084345E-2</v>
      </c>
      <c r="I74" s="29">
        <f t="shared" ref="I74" si="7">_xlfn.STDEV.P(D63:D74)</f>
        <v>4.5351470124529863E-3</v>
      </c>
      <c r="J74" s="24" t="s">
        <v>172</v>
      </c>
      <c r="K74" s="24" t="s">
        <v>244</v>
      </c>
      <c r="L74" s="24">
        <v>200</v>
      </c>
      <c r="M74" s="26">
        <f>Table3_19[[#This Row],[Value]]/L74</f>
        <v>0.90650000000000008</v>
      </c>
    </row>
    <row r="75" spans="1:13" x14ac:dyDescent="0.3">
      <c r="A75" s="12" t="s">
        <v>301</v>
      </c>
      <c r="B75" s="21">
        <v>45658</v>
      </c>
      <c r="C75" s="12">
        <v>182</v>
      </c>
      <c r="D75" s="13">
        <f>(Table3_19[[#This Row],[Value]]-C63)/C63</f>
        <v>5.9988351776354178E-2</v>
      </c>
      <c r="E75" s="12"/>
      <c r="F75" s="13">
        <f>1+Table3_19[[#This Row],[Inflation]]</f>
        <v>1.0599883517763542</v>
      </c>
      <c r="G75" s="13">
        <f>Table3_19[[#This Row],[1+Inflation]]</f>
        <v>1.0599883517763542</v>
      </c>
      <c r="H75" s="13"/>
      <c r="I75" s="29"/>
      <c r="J75" s="23" t="s">
        <v>172</v>
      </c>
      <c r="K75" s="23" t="s">
        <v>245</v>
      </c>
      <c r="L75" s="23">
        <v>201</v>
      </c>
      <c r="M75" s="26">
        <f>Table3_19[[#This Row],[Value]]/L75</f>
        <v>0.90547263681592038</v>
      </c>
    </row>
    <row r="76" spans="1:13" x14ac:dyDescent="0.3">
      <c r="A76" s="12" t="s">
        <v>301</v>
      </c>
      <c r="B76" s="21">
        <v>45689</v>
      </c>
      <c r="C76" s="12">
        <v>181.8</v>
      </c>
      <c r="D76" s="13">
        <f>(Table3_19[[#This Row],[Value]]-C64)/C64</f>
        <v>5.6362579895409749E-2</v>
      </c>
      <c r="E76" s="12"/>
      <c r="F76" s="13">
        <f>1+Table3_19[[#This Row],[Inflation]]</f>
        <v>1.0563625798954097</v>
      </c>
      <c r="G76" s="13">
        <f>Table3_19[[#This Row],[1+Inflation]]*F75</f>
        <v>1.1197320299415525</v>
      </c>
      <c r="H76" s="13"/>
      <c r="I76" s="29"/>
      <c r="J76" s="24" t="s">
        <v>172</v>
      </c>
      <c r="K76" s="24" t="s">
        <v>246</v>
      </c>
      <c r="L76" s="24">
        <v>201.5</v>
      </c>
      <c r="M76" s="26">
        <f>Table3_19[[#This Row],[Value]]/L76</f>
        <v>0.90223325062034743</v>
      </c>
    </row>
    <row r="77" spans="1:13" x14ac:dyDescent="0.3">
      <c r="A77" s="12" t="s">
        <v>301</v>
      </c>
      <c r="B77" s="21">
        <v>45717</v>
      </c>
      <c r="C77" s="12">
        <v>183.5</v>
      </c>
      <c r="D77" s="13">
        <f>(Table3_19[[#This Row],[Value]]-C65)/C65</f>
        <v>5.8857472590882795E-2</v>
      </c>
      <c r="E77" s="12"/>
      <c r="F77" s="13">
        <f>1+Table3_19[[#This Row],[Inflation]]</f>
        <v>1.0588574725908828</v>
      </c>
      <c r="G77" s="13">
        <f>G76*Table3_19[[#This Row],[1+Inflation]]</f>
        <v>1.185636627202971</v>
      </c>
      <c r="H77" s="13"/>
      <c r="I77" s="29"/>
      <c r="J77" s="23" t="s">
        <v>172</v>
      </c>
      <c r="K77" s="23" t="s">
        <v>247</v>
      </c>
      <c r="L77" s="23">
        <v>201.1</v>
      </c>
      <c r="M77" s="26">
        <f>Table3_19[[#This Row],[Value]]/L77</f>
        <v>0.912481352560915</v>
      </c>
    </row>
    <row r="78" spans="1:13" x14ac:dyDescent="0.3">
      <c r="A78" s="12" t="s">
        <v>301</v>
      </c>
      <c r="B78" s="21">
        <v>45748</v>
      </c>
      <c r="C78" s="12">
        <v>184.6</v>
      </c>
      <c r="D78" s="13">
        <f>(Table3_19[[#This Row],[Value]]-C66)/C66</f>
        <v>5.6064073226544518E-2</v>
      </c>
      <c r="E78" s="12"/>
      <c r="F78" s="13">
        <f>1+Table3_19[[#This Row],[Inflation]]</f>
        <v>1.0560640732265445</v>
      </c>
      <c r="G78" s="13">
        <f>G77*Table3_19[[#This Row],[1+Inflation]]</f>
        <v>1.2521082458905517</v>
      </c>
      <c r="H78" s="13"/>
      <c r="I78" s="29"/>
      <c r="J78" s="24" t="s">
        <v>172</v>
      </c>
      <c r="K78" s="24" t="s">
        <v>248</v>
      </c>
      <c r="L78" s="24">
        <v>202.3</v>
      </c>
      <c r="M78" s="26">
        <f>Table3_19[[#This Row],[Value]]/L78</f>
        <v>0.91250617894216501</v>
      </c>
    </row>
    <row r="79" spans="1:13" x14ac:dyDescent="0.3">
      <c r="A79" s="12" t="s">
        <v>301</v>
      </c>
      <c r="B79" s="21">
        <v>45778</v>
      </c>
      <c r="C79" s="12">
        <v>185.3</v>
      </c>
      <c r="D79" s="13">
        <f>(Table3_19[[#This Row],[Value]]-C67)/C67</f>
        <v>5.463858850313047E-2</v>
      </c>
      <c r="E79" s="12"/>
      <c r="F79" s="13">
        <f>1+Table3_19[[#This Row],[Inflation]]</f>
        <v>1.0546385885031304</v>
      </c>
      <c r="G79" s="13">
        <f>G78*Table3_19[[#This Row],[1+Inflation]]</f>
        <v>1.320521673099142</v>
      </c>
      <c r="H79" s="13"/>
      <c r="I79" s="29"/>
      <c r="J79" s="23" t="s">
        <v>172</v>
      </c>
      <c r="K79" s="23" t="s">
        <v>249</v>
      </c>
      <c r="L79" s="23">
        <v>202.5</v>
      </c>
      <c r="M79" s="26">
        <f>Table3_19[[#This Row],[Value]]/L79</f>
        <v>0.91506172839506184</v>
      </c>
    </row>
    <row r="80" spans="1:13" x14ac:dyDescent="0.3">
      <c r="A80" s="12" t="s">
        <v>301</v>
      </c>
      <c r="B80" s="21">
        <v>45809</v>
      </c>
      <c r="C80" s="12">
        <v>186.1</v>
      </c>
      <c r="D80" s="13">
        <f>(Table3_19[[#This Row],[Value]]-C68)/C68</f>
        <v>5.3793884484711216E-2</v>
      </c>
      <c r="E80" s="12"/>
      <c r="F80" s="13">
        <f>1+Table3_19[[#This Row],[Inflation]]</f>
        <v>1.0537938844847112</v>
      </c>
      <c r="G80" s="13">
        <f>G79*Table3_19[[#This Row],[1+Inflation]]</f>
        <v>1.3915576634413949</v>
      </c>
      <c r="H80" s="13"/>
      <c r="I80" s="29"/>
      <c r="J80" s="24" t="s">
        <v>172</v>
      </c>
      <c r="K80" s="24" t="s">
        <v>250</v>
      </c>
      <c r="L80" s="24">
        <v>201.9</v>
      </c>
      <c r="M80" s="26">
        <f>Table3_19[[#This Row],[Value]]/L80</f>
        <v>0.92174343734522035</v>
      </c>
    </row>
    <row r="81" spans="1:9" x14ac:dyDescent="0.3">
      <c r="A81" s="12" t="s">
        <v>301</v>
      </c>
      <c r="B81" s="21">
        <v>45839</v>
      </c>
      <c r="C81" s="12">
        <v>186.7</v>
      </c>
      <c r="D81" s="13">
        <f>(Table3_19[[#This Row],[Value]]-C69)/C69</f>
        <v>5.3017484489565579E-2</v>
      </c>
      <c r="E81" s="12"/>
      <c r="F81" s="13">
        <f>1+Table3_19[[#This Row],[Inflation]]</f>
        <v>1.0530174844895657</v>
      </c>
      <c r="G81" s="13">
        <f>G80*Table3_19[[#This Row],[1+Inflation]]</f>
        <v>1.4653345502792352</v>
      </c>
      <c r="H81" s="13"/>
      <c r="I81" s="29"/>
    </row>
    <row r="82" spans="1:9" x14ac:dyDescent="0.3">
      <c r="A82" s="12" t="s">
        <v>301</v>
      </c>
      <c r="B82" s="21">
        <v>45870</v>
      </c>
      <c r="C82" s="12">
        <v>187.2</v>
      </c>
      <c r="D82" s="13">
        <f>(Table3_19[[#This Row],[Value]]-C70)/C70</f>
        <v>5.2276559865092651E-2</v>
      </c>
      <c r="E82" s="13">
        <f>AVERAGE(D75:D82)</f>
        <v>5.56248743539614E-2</v>
      </c>
      <c r="F82" s="13">
        <f>1+Table3_19[[#This Row],[Inflation]]</f>
        <v>1.0522765598650927</v>
      </c>
      <c r="G82" s="13">
        <f>G81*Table3_19[[#This Row],[1+Inflation]]</f>
        <v>1.5419371996192963</v>
      </c>
      <c r="H82" s="13">
        <f>(Table3_19[[#This Row],[Product]]^(1/8))-1</f>
        <v>5.5621764395052953E-2</v>
      </c>
      <c r="I82" s="29">
        <f>_xlfn.STDEV.P(D75:D82)</f>
        <v>2.5632427507653577E-3</v>
      </c>
    </row>
    <row r="83" spans="1:9" x14ac:dyDescent="0.3">
      <c r="A83" s="31"/>
      <c r="B83" s="32"/>
      <c r="C83" s="33"/>
      <c r="D83" s="34"/>
      <c r="E83" s="33"/>
      <c r="F83" s="34"/>
      <c r="G83" s="33"/>
      <c r="H83" s="35" t="s">
        <v>294</v>
      </c>
      <c r="I83" s="36">
        <f>_xlfn.STDEV.P(D15:D82)</f>
        <v>1.6130227017648779E-2</v>
      </c>
    </row>
  </sheetData>
  <mergeCells count="2">
    <mergeCell ref="A1:H1"/>
    <mergeCell ref="J1:L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E15F-5E2A-4B72-B9CF-A3303528A00E}">
  <dimension ref="A1:K1156"/>
  <sheetViews>
    <sheetView workbookViewId="0">
      <selection activeCell="A6" sqref="A6"/>
    </sheetView>
  </sheetViews>
  <sheetFormatPr defaultRowHeight="14.4" x14ac:dyDescent="0.3"/>
  <cols>
    <col min="1" max="1" width="80.21875" bestFit="1" customWidth="1"/>
    <col min="2" max="2" width="10.77734375" bestFit="1" customWidth="1"/>
    <col min="3" max="3" width="7.77734375" bestFit="1" customWidth="1"/>
    <col min="4" max="4" width="15.21875" bestFit="1" customWidth="1"/>
  </cols>
  <sheetData>
    <row r="1" spans="1:11" x14ac:dyDescent="0.3">
      <c r="A1" s="42"/>
      <c r="B1" s="43" t="s">
        <v>107</v>
      </c>
      <c r="C1" s="44" t="s">
        <v>113</v>
      </c>
      <c r="D1" s="44" t="s">
        <v>114</v>
      </c>
      <c r="E1" s="44" t="s">
        <v>115</v>
      </c>
      <c r="F1" s="44" t="s">
        <v>116</v>
      </c>
      <c r="G1" s="44" t="s">
        <v>117</v>
      </c>
      <c r="H1" s="44" t="s">
        <v>118</v>
      </c>
      <c r="I1" s="44" t="s">
        <v>119</v>
      </c>
      <c r="J1" s="44" t="s">
        <v>120</v>
      </c>
      <c r="K1" s="44" t="s">
        <v>121</v>
      </c>
    </row>
    <row r="2" spans="1:11" x14ac:dyDescent="0.3">
      <c r="A2" s="45" t="s">
        <v>291</v>
      </c>
      <c r="B2" s="46">
        <v>-17.600000000000001</v>
      </c>
      <c r="C2" s="47">
        <v>-18.3</v>
      </c>
      <c r="D2" s="47">
        <v>-19.5</v>
      </c>
      <c r="E2" s="47">
        <v>-19.8</v>
      </c>
      <c r="F2" s="47">
        <v>-14.2</v>
      </c>
      <c r="G2" s="47">
        <v>-11</v>
      </c>
      <c r="H2" s="47">
        <v>-10.1</v>
      </c>
      <c r="I2" s="47">
        <v>-12.2</v>
      </c>
      <c r="J2" s="47">
        <v>-1.3</v>
      </c>
      <c r="K2" s="47">
        <v>-2.5</v>
      </c>
    </row>
    <row r="3" spans="1:11" x14ac:dyDescent="0.3">
      <c r="A3" s="48" t="s">
        <v>292</v>
      </c>
      <c r="B3" s="49">
        <v>40447.5</v>
      </c>
      <c r="C3" s="50">
        <v>42349.7</v>
      </c>
      <c r="D3" s="50">
        <v>49764.4</v>
      </c>
      <c r="E3" s="50">
        <v>59161.5</v>
      </c>
      <c r="F3" s="50">
        <v>65335.8</v>
      </c>
      <c r="G3" s="50">
        <v>54946.5</v>
      </c>
      <c r="H3" s="50">
        <v>67175.8</v>
      </c>
      <c r="I3" s="50">
        <v>87711.7</v>
      </c>
      <c r="J3" s="50">
        <v>95945.600000000006</v>
      </c>
      <c r="K3" s="50">
        <v>96083.4</v>
      </c>
    </row>
    <row r="4" spans="1:11" x14ac:dyDescent="0.3">
      <c r="A4" s="51" t="s">
        <v>293</v>
      </c>
      <c r="B4" s="52">
        <f>B2*B3</f>
        <v>-711876</v>
      </c>
      <c r="C4" s="53">
        <f t="shared" ref="C4:K4" si="0">C2*C3</f>
        <v>-774999.51</v>
      </c>
      <c r="D4" s="53">
        <f t="shared" si="0"/>
        <v>-970405.8</v>
      </c>
      <c r="E4" s="53">
        <f t="shared" si="0"/>
        <v>-1171397.7</v>
      </c>
      <c r="F4" s="53">
        <f t="shared" si="0"/>
        <v>-927768.36</v>
      </c>
      <c r="G4" s="53">
        <f t="shared" si="0"/>
        <v>-604411.5</v>
      </c>
      <c r="H4" s="53">
        <f t="shared" si="0"/>
        <v>-678475.58</v>
      </c>
      <c r="I4" s="53">
        <f t="shared" si="0"/>
        <v>-1070082.74</v>
      </c>
      <c r="J4" s="53">
        <f t="shared" si="0"/>
        <v>-124729.28000000001</v>
      </c>
      <c r="K4" s="53">
        <f t="shared" si="0"/>
        <v>-240208.5</v>
      </c>
    </row>
    <row r="5" spans="1:11" x14ac:dyDescent="0.3">
      <c r="A5" s="2"/>
      <c r="B5" s="2"/>
      <c r="C5" s="2"/>
      <c r="D5" s="6"/>
    </row>
    <row r="6" spans="1:11" x14ac:dyDescent="0.3">
      <c r="A6" s="2"/>
      <c r="B6" s="2"/>
      <c r="C6" s="2"/>
      <c r="D6" s="6"/>
    </row>
    <row r="7" spans="1:11" x14ac:dyDescent="0.3">
      <c r="A7" s="2"/>
      <c r="B7" s="2"/>
      <c r="C7" s="2"/>
      <c r="D7" s="6"/>
    </row>
    <row r="8" spans="1:11" x14ac:dyDescent="0.3">
      <c r="A8" s="2"/>
      <c r="B8" s="2"/>
      <c r="C8" s="2"/>
      <c r="D8" s="6"/>
    </row>
    <row r="9" spans="1:11" x14ac:dyDescent="0.3">
      <c r="A9" s="2"/>
      <c r="B9" s="2"/>
      <c r="C9" s="2"/>
      <c r="D9" s="6"/>
    </row>
    <row r="10" spans="1:11" x14ac:dyDescent="0.3">
      <c r="A10" s="2"/>
      <c r="B10" s="2"/>
      <c r="C10" s="2"/>
      <c r="D10" s="6"/>
    </row>
    <row r="11" spans="1:11" x14ac:dyDescent="0.3">
      <c r="A11" s="2"/>
      <c r="B11" s="2"/>
      <c r="C11" s="2"/>
      <c r="D11" s="6"/>
    </row>
    <row r="12" spans="1:11" x14ac:dyDescent="0.3">
      <c r="A12" s="2"/>
      <c r="B12" s="2"/>
      <c r="C12" s="2"/>
      <c r="D12" s="6"/>
    </row>
    <row r="13" spans="1:11" x14ac:dyDescent="0.3">
      <c r="A13" s="2"/>
      <c r="B13" s="2"/>
      <c r="C13" s="2"/>
      <c r="D13" s="6"/>
    </row>
    <row r="14" spans="1:11" x14ac:dyDescent="0.3">
      <c r="A14" s="2"/>
      <c r="B14" s="2"/>
      <c r="C14" s="2"/>
      <c r="D14" s="6"/>
    </row>
    <row r="15" spans="1:11" x14ac:dyDescent="0.3">
      <c r="A15" s="2"/>
      <c r="B15" s="2"/>
      <c r="C15" s="2"/>
      <c r="D15" s="6"/>
    </row>
    <row r="16" spans="1:11" x14ac:dyDescent="0.3">
      <c r="A16" s="2"/>
      <c r="B16" s="2"/>
      <c r="C16" s="2"/>
      <c r="D16" s="6"/>
    </row>
    <row r="17" spans="1:4" x14ac:dyDescent="0.3">
      <c r="A17" s="2"/>
      <c r="B17" s="2"/>
      <c r="C17" s="2"/>
      <c r="D17" s="6"/>
    </row>
    <row r="18" spans="1:4" x14ac:dyDescent="0.3">
      <c r="A18" s="2"/>
      <c r="B18" s="2"/>
      <c r="C18" s="2"/>
      <c r="D18" s="6"/>
    </row>
    <row r="19" spans="1:4" x14ac:dyDescent="0.3">
      <c r="A19" s="2"/>
      <c r="B19" s="2"/>
      <c r="C19" s="2"/>
      <c r="D19" s="6"/>
    </row>
    <row r="20" spans="1:4" x14ac:dyDescent="0.3">
      <c r="A20" s="2"/>
      <c r="B20" s="37"/>
      <c r="C20" s="2"/>
      <c r="D20" s="6"/>
    </row>
    <row r="21" spans="1:4" x14ac:dyDescent="0.3">
      <c r="A21" s="2"/>
      <c r="B21" s="2"/>
      <c r="C21" s="2"/>
      <c r="D21" s="6"/>
    </row>
    <row r="22" spans="1:4" x14ac:dyDescent="0.3">
      <c r="A22" s="2"/>
      <c r="B22" s="2"/>
      <c r="C22" s="2"/>
      <c r="D22" s="6"/>
    </row>
    <row r="23" spans="1:4" x14ac:dyDescent="0.3">
      <c r="A23" s="2"/>
      <c r="B23" s="2"/>
      <c r="C23" s="2"/>
      <c r="D23" s="6"/>
    </row>
    <row r="24" spans="1:4" x14ac:dyDescent="0.3">
      <c r="A24" s="2"/>
      <c r="B24" s="2"/>
      <c r="C24" s="2"/>
      <c r="D24" s="6"/>
    </row>
    <row r="25" spans="1:4" x14ac:dyDescent="0.3">
      <c r="A25" s="2"/>
      <c r="B25" s="2"/>
      <c r="C25" s="2"/>
      <c r="D25" s="6"/>
    </row>
    <row r="26" spans="1:4" x14ac:dyDescent="0.3">
      <c r="A26" s="2"/>
      <c r="B26" s="2"/>
      <c r="C26" s="2"/>
      <c r="D26" s="6"/>
    </row>
    <row r="27" spans="1:4" x14ac:dyDescent="0.3">
      <c r="A27" s="2"/>
      <c r="B27" s="2"/>
      <c r="C27" s="2"/>
      <c r="D27" s="6"/>
    </row>
    <row r="28" spans="1:4" x14ac:dyDescent="0.3">
      <c r="A28" s="2"/>
      <c r="B28" s="2"/>
      <c r="C28" s="2"/>
      <c r="D28" s="6"/>
    </row>
    <row r="29" spans="1:4" x14ac:dyDescent="0.3">
      <c r="A29" s="2"/>
      <c r="B29" s="2"/>
      <c r="C29" s="2"/>
      <c r="D29" s="6"/>
    </row>
    <row r="30" spans="1:4" x14ac:dyDescent="0.3">
      <c r="A30" s="2"/>
      <c r="B30" s="2"/>
      <c r="C30" s="2"/>
      <c r="D30" s="6"/>
    </row>
    <row r="31" spans="1:4" x14ac:dyDescent="0.3">
      <c r="A31" s="2"/>
      <c r="B31" s="2"/>
      <c r="C31" s="2"/>
      <c r="D31" s="6"/>
    </row>
    <row r="32" spans="1:4" x14ac:dyDescent="0.3">
      <c r="A32" s="2"/>
      <c r="B32" s="2"/>
      <c r="C32" s="2"/>
      <c r="D32" s="6"/>
    </row>
    <row r="33" spans="1:4" x14ac:dyDescent="0.3">
      <c r="A33" s="2"/>
      <c r="B33" s="2"/>
      <c r="C33" s="2"/>
      <c r="D33" s="6"/>
    </row>
    <row r="34" spans="1:4" x14ac:dyDescent="0.3">
      <c r="A34" s="2"/>
      <c r="B34" s="2"/>
      <c r="C34" s="2"/>
      <c r="D34" s="6"/>
    </row>
    <row r="35" spans="1:4" x14ac:dyDescent="0.3">
      <c r="A35" s="2"/>
      <c r="B35" s="2"/>
      <c r="C35" s="2"/>
      <c r="D35" s="6"/>
    </row>
    <row r="36" spans="1:4" x14ac:dyDescent="0.3">
      <c r="A36" s="2"/>
      <c r="B36" s="2"/>
      <c r="C36" s="2"/>
      <c r="D36" s="6"/>
    </row>
    <row r="37" spans="1:4" x14ac:dyDescent="0.3">
      <c r="A37" s="2"/>
      <c r="B37" s="2"/>
      <c r="C37" s="2"/>
      <c r="D37" s="6"/>
    </row>
    <row r="38" spans="1:4" x14ac:dyDescent="0.3">
      <c r="A38" s="2"/>
      <c r="B38" s="2"/>
      <c r="C38" s="2"/>
      <c r="D38" s="6"/>
    </row>
    <row r="39" spans="1:4" x14ac:dyDescent="0.3">
      <c r="A39" s="2"/>
      <c r="B39" s="2"/>
      <c r="C39" s="2"/>
      <c r="D39" s="6"/>
    </row>
    <row r="40" spans="1:4" x14ac:dyDescent="0.3">
      <c r="A40" s="2"/>
      <c r="B40" s="2"/>
      <c r="C40" s="2"/>
      <c r="D40" s="6"/>
    </row>
    <row r="41" spans="1:4" x14ac:dyDescent="0.3">
      <c r="A41" s="2"/>
      <c r="B41" s="2"/>
      <c r="C41" s="2"/>
      <c r="D41" s="6"/>
    </row>
    <row r="42" spans="1:4" x14ac:dyDescent="0.3">
      <c r="A42" s="2"/>
      <c r="B42" s="2"/>
      <c r="C42" s="2"/>
      <c r="D42" s="6"/>
    </row>
    <row r="43" spans="1:4" x14ac:dyDescent="0.3">
      <c r="A43" s="2"/>
      <c r="B43" s="2"/>
      <c r="C43" s="2"/>
      <c r="D43" s="6"/>
    </row>
    <row r="44" spans="1:4" x14ac:dyDescent="0.3">
      <c r="A44" s="2"/>
      <c r="B44" s="2"/>
      <c r="C44" s="2"/>
      <c r="D44" s="6"/>
    </row>
    <row r="45" spans="1:4" x14ac:dyDescent="0.3">
      <c r="A45" s="2"/>
      <c r="B45" s="2"/>
      <c r="C45" s="2"/>
      <c r="D45" s="6"/>
    </row>
    <row r="46" spans="1:4" x14ac:dyDescent="0.3">
      <c r="A46" s="2"/>
      <c r="B46" s="2"/>
      <c r="C46" s="2"/>
      <c r="D46" s="6"/>
    </row>
    <row r="47" spans="1:4" x14ac:dyDescent="0.3">
      <c r="A47" s="2"/>
      <c r="B47" s="2"/>
      <c r="C47" s="2"/>
      <c r="D47" s="6"/>
    </row>
    <row r="48" spans="1:4" x14ac:dyDescent="0.3">
      <c r="A48" s="2"/>
      <c r="B48" s="2"/>
      <c r="C48" s="2"/>
      <c r="D48" s="6"/>
    </row>
    <row r="49" spans="1:4" x14ac:dyDescent="0.3">
      <c r="A49" s="2"/>
      <c r="B49" s="2"/>
      <c r="C49" s="2"/>
      <c r="D49" s="6"/>
    </row>
    <row r="50" spans="1:4" x14ac:dyDescent="0.3">
      <c r="A50" s="2"/>
      <c r="B50" s="2"/>
      <c r="C50" s="2"/>
      <c r="D50" s="6"/>
    </row>
    <row r="51" spans="1:4" x14ac:dyDescent="0.3">
      <c r="A51" s="2"/>
      <c r="B51" s="2"/>
      <c r="C51" s="2"/>
      <c r="D51" s="6"/>
    </row>
    <row r="52" spans="1:4" x14ac:dyDescent="0.3">
      <c r="A52" s="2"/>
      <c r="B52" s="2"/>
      <c r="C52" s="2"/>
      <c r="D52" s="6"/>
    </row>
    <row r="53" spans="1:4" x14ac:dyDescent="0.3">
      <c r="A53" s="2"/>
      <c r="B53" s="2"/>
      <c r="C53" s="2"/>
      <c r="D53" s="6"/>
    </row>
    <row r="54" spans="1:4" x14ac:dyDescent="0.3">
      <c r="A54" s="2"/>
      <c r="B54" s="2"/>
      <c r="C54" s="2"/>
      <c r="D54" s="6"/>
    </row>
    <row r="55" spans="1:4" x14ac:dyDescent="0.3">
      <c r="A55" s="2"/>
      <c r="B55" s="2"/>
      <c r="C55" s="2"/>
      <c r="D55" s="6"/>
    </row>
    <row r="56" spans="1:4" x14ac:dyDescent="0.3">
      <c r="A56" s="2"/>
      <c r="B56" s="2"/>
      <c r="C56" s="2"/>
      <c r="D56" s="6"/>
    </row>
    <row r="57" spans="1:4" x14ac:dyDescent="0.3">
      <c r="A57" s="2"/>
      <c r="B57" s="2"/>
      <c r="C57" s="2"/>
      <c r="D57" s="6"/>
    </row>
    <row r="58" spans="1:4" x14ac:dyDescent="0.3">
      <c r="A58" s="2"/>
      <c r="B58" s="2"/>
      <c r="C58" s="2"/>
      <c r="D58" s="6"/>
    </row>
    <row r="59" spans="1:4" x14ac:dyDescent="0.3">
      <c r="A59" s="2"/>
      <c r="B59" s="2"/>
      <c r="C59" s="2"/>
      <c r="D59" s="6"/>
    </row>
    <row r="60" spans="1:4" x14ac:dyDescent="0.3">
      <c r="A60" s="2"/>
      <c r="B60" s="2"/>
      <c r="C60" s="2"/>
      <c r="D60" s="6"/>
    </row>
    <row r="61" spans="1:4" x14ac:dyDescent="0.3">
      <c r="A61" s="2"/>
      <c r="B61" s="2"/>
      <c r="C61" s="2"/>
      <c r="D61" s="6"/>
    </row>
    <row r="62" spans="1:4" x14ac:dyDescent="0.3">
      <c r="A62" s="2"/>
      <c r="B62" s="2"/>
      <c r="C62" s="2"/>
      <c r="D62" s="6"/>
    </row>
    <row r="63" spans="1:4" x14ac:dyDescent="0.3">
      <c r="A63" s="2"/>
      <c r="B63" s="2"/>
      <c r="C63" s="2"/>
      <c r="D63" s="6"/>
    </row>
    <row r="64" spans="1:4" x14ac:dyDescent="0.3">
      <c r="A64" s="2"/>
      <c r="B64" s="2"/>
      <c r="C64" s="2"/>
      <c r="D64" s="6"/>
    </row>
    <row r="65" spans="1:4" x14ac:dyDescent="0.3">
      <c r="A65" s="2"/>
      <c r="B65" s="2"/>
      <c r="C65" s="2"/>
      <c r="D65" s="6"/>
    </row>
    <row r="66" spans="1:4" x14ac:dyDescent="0.3">
      <c r="A66" s="2"/>
      <c r="B66" s="2"/>
      <c r="C66" s="2"/>
      <c r="D66" s="6"/>
    </row>
    <row r="67" spans="1:4" x14ac:dyDescent="0.3">
      <c r="A67" s="2"/>
      <c r="B67" s="2"/>
      <c r="C67" s="2"/>
      <c r="D67" s="6"/>
    </row>
    <row r="68" spans="1:4" x14ac:dyDescent="0.3">
      <c r="A68" s="2"/>
      <c r="B68" s="2"/>
      <c r="C68" s="2"/>
      <c r="D68" s="6"/>
    </row>
    <row r="69" spans="1:4" x14ac:dyDescent="0.3">
      <c r="A69" s="2"/>
      <c r="B69" s="2"/>
      <c r="C69" s="2"/>
      <c r="D69" s="6"/>
    </row>
    <row r="70" spans="1:4" x14ac:dyDescent="0.3">
      <c r="A70" s="2"/>
      <c r="B70" s="2"/>
      <c r="C70" s="2"/>
      <c r="D70" s="6"/>
    </row>
    <row r="71" spans="1:4" x14ac:dyDescent="0.3">
      <c r="A71" s="2"/>
      <c r="B71" s="2"/>
      <c r="C71" s="2"/>
      <c r="D71" s="6"/>
    </row>
    <row r="72" spans="1:4" x14ac:dyDescent="0.3">
      <c r="A72" s="2"/>
      <c r="B72" s="2"/>
      <c r="C72" s="2"/>
      <c r="D72" s="6"/>
    </row>
    <row r="73" spans="1:4" x14ac:dyDescent="0.3">
      <c r="A73" s="2"/>
      <c r="B73" s="2"/>
      <c r="C73" s="2"/>
      <c r="D73" s="6"/>
    </row>
    <row r="74" spans="1:4" x14ac:dyDescent="0.3">
      <c r="A74" s="2"/>
      <c r="B74" s="2"/>
      <c r="C74" s="2"/>
      <c r="D74" s="6"/>
    </row>
    <row r="75" spans="1:4" x14ac:dyDescent="0.3">
      <c r="A75" s="2"/>
      <c r="B75" s="2"/>
      <c r="C75" s="2"/>
      <c r="D75" s="6"/>
    </row>
    <row r="76" spans="1:4" x14ac:dyDescent="0.3">
      <c r="A76" s="2"/>
      <c r="B76" s="2"/>
      <c r="C76" s="2"/>
      <c r="D76" s="6"/>
    </row>
    <row r="77" spans="1:4" x14ac:dyDescent="0.3">
      <c r="A77" s="2"/>
      <c r="B77" s="2"/>
      <c r="C77" s="2"/>
      <c r="D77" s="6"/>
    </row>
    <row r="78" spans="1:4" x14ac:dyDescent="0.3">
      <c r="A78" s="2"/>
      <c r="B78" s="2"/>
      <c r="C78" s="2"/>
      <c r="D78" s="6"/>
    </row>
    <row r="79" spans="1:4" x14ac:dyDescent="0.3">
      <c r="A79" s="2"/>
      <c r="B79" s="2"/>
      <c r="C79" s="2"/>
      <c r="D79" s="6"/>
    </row>
    <row r="80" spans="1:4" x14ac:dyDescent="0.3">
      <c r="A80" s="2"/>
      <c r="B80" s="2"/>
      <c r="C80" s="2"/>
      <c r="D80" s="6"/>
    </row>
    <row r="81" spans="1:4" x14ac:dyDescent="0.3">
      <c r="A81" s="2"/>
      <c r="B81" s="2"/>
      <c r="C81" s="2"/>
      <c r="D81" s="6"/>
    </row>
    <row r="82" spans="1:4" x14ac:dyDescent="0.3">
      <c r="A82" s="2"/>
      <c r="B82" s="2"/>
      <c r="C82" s="2"/>
      <c r="D82" s="6"/>
    </row>
    <row r="83" spans="1:4" x14ac:dyDescent="0.3">
      <c r="A83" s="2"/>
      <c r="B83" s="2"/>
      <c r="C83" s="2"/>
      <c r="D83" s="6"/>
    </row>
    <row r="84" spans="1:4" x14ac:dyDescent="0.3">
      <c r="A84" s="2"/>
      <c r="B84" s="2"/>
      <c r="C84" s="2"/>
      <c r="D84" s="6"/>
    </row>
    <row r="85" spans="1:4" x14ac:dyDescent="0.3">
      <c r="A85" s="2"/>
      <c r="B85" s="2"/>
      <c r="C85" s="2"/>
      <c r="D85" s="6"/>
    </row>
    <row r="86" spans="1:4" x14ac:dyDescent="0.3">
      <c r="A86" s="2"/>
      <c r="B86" s="2"/>
      <c r="C86" s="2"/>
      <c r="D86" s="6"/>
    </row>
    <row r="87" spans="1:4" x14ac:dyDescent="0.3">
      <c r="A87" s="2"/>
      <c r="B87" s="2"/>
      <c r="C87" s="2"/>
      <c r="D87" s="6"/>
    </row>
    <row r="88" spans="1:4" x14ac:dyDescent="0.3">
      <c r="A88" s="2"/>
      <c r="B88" s="2"/>
      <c r="C88" s="2"/>
      <c r="D88" s="6"/>
    </row>
    <row r="89" spans="1:4" x14ac:dyDescent="0.3">
      <c r="A89" s="2"/>
      <c r="B89" s="2"/>
      <c r="C89" s="2"/>
      <c r="D89" s="6"/>
    </row>
    <row r="90" spans="1:4" x14ac:dyDescent="0.3">
      <c r="A90" s="2"/>
      <c r="B90" s="2"/>
      <c r="C90" s="2"/>
      <c r="D90" s="6"/>
    </row>
    <row r="91" spans="1:4" x14ac:dyDescent="0.3">
      <c r="A91" s="2"/>
      <c r="B91" s="2"/>
      <c r="C91" s="2"/>
      <c r="D91" s="6"/>
    </row>
    <row r="92" spans="1:4" x14ac:dyDescent="0.3">
      <c r="A92" s="2"/>
      <c r="B92" s="2"/>
      <c r="C92" s="2"/>
      <c r="D92" s="6"/>
    </row>
    <row r="93" spans="1:4" x14ac:dyDescent="0.3">
      <c r="A93" s="2"/>
      <c r="B93" s="2"/>
      <c r="C93" s="2"/>
      <c r="D93" s="6"/>
    </row>
    <row r="94" spans="1:4" x14ac:dyDescent="0.3">
      <c r="A94" s="2"/>
      <c r="B94" s="2"/>
      <c r="C94" s="2"/>
      <c r="D94" s="6"/>
    </row>
    <row r="95" spans="1:4" x14ac:dyDescent="0.3">
      <c r="A95" s="2"/>
      <c r="B95" s="2"/>
      <c r="C95" s="2"/>
      <c r="D95" s="6"/>
    </row>
    <row r="96" spans="1:4" x14ac:dyDescent="0.3">
      <c r="A96" s="2"/>
      <c r="B96" s="2"/>
      <c r="C96" s="2"/>
      <c r="D96" s="6"/>
    </row>
    <row r="97" spans="1:4" x14ac:dyDescent="0.3">
      <c r="A97" s="2"/>
      <c r="B97" s="2"/>
      <c r="C97" s="2"/>
      <c r="D97" s="6"/>
    </row>
    <row r="98" spans="1:4" x14ac:dyDescent="0.3">
      <c r="A98" s="2"/>
      <c r="B98" s="2"/>
      <c r="C98" s="2"/>
      <c r="D98" s="6"/>
    </row>
    <row r="99" spans="1:4" x14ac:dyDescent="0.3">
      <c r="A99" s="2"/>
      <c r="B99" s="2"/>
      <c r="C99" s="2"/>
      <c r="D99" s="6"/>
    </row>
    <row r="100" spans="1:4" x14ac:dyDescent="0.3">
      <c r="A100" s="2"/>
      <c r="B100" s="2"/>
      <c r="C100" s="2"/>
      <c r="D100" s="6"/>
    </row>
    <row r="101" spans="1:4" x14ac:dyDescent="0.3">
      <c r="A101" s="2"/>
      <c r="B101" s="2"/>
      <c r="C101" s="2"/>
      <c r="D101" s="6"/>
    </row>
    <row r="102" spans="1:4" x14ac:dyDescent="0.3">
      <c r="A102" s="2"/>
      <c r="B102" s="2"/>
      <c r="C102" s="2"/>
      <c r="D102" s="6"/>
    </row>
    <row r="103" spans="1:4" x14ac:dyDescent="0.3">
      <c r="A103" s="2"/>
      <c r="B103" s="2"/>
      <c r="C103" s="2"/>
      <c r="D103" s="6"/>
    </row>
    <row r="104" spans="1:4" x14ac:dyDescent="0.3">
      <c r="A104" s="2"/>
      <c r="B104" s="2"/>
      <c r="C104" s="2"/>
      <c r="D104" s="6"/>
    </row>
    <row r="105" spans="1:4" x14ac:dyDescent="0.3">
      <c r="A105" s="2"/>
      <c r="B105" s="2"/>
      <c r="C105" s="2"/>
      <c r="D105" s="6"/>
    </row>
    <row r="106" spans="1:4" x14ac:dyDescent="0.3">
      <c r="A106" s="2"/>
      <c r="B106" s="2"/>
      <c r="C106" s="2"/>
      <c r="D106" s="6"/>
    </row>
    <row r="107" spans="1:4" x14ac:dyDescent="0.3">
      <c r="A107" s="2"/>
      <c r="B107" s="2"/>
      <c r="C107" s="2"/>
      <c r="D107" s="6"/>
    </row>
    <row r="108" spans="1:4" x14ac:dyDescent="0.3">
      <c r="A108" s="2"/>
      <c r="B108" s="2"/>
      <c r="C108" s="2"/>
      <c r="D108" s="6"/>
    </row>
    <row r="109" spans="1:4" x14ac:dyDescent="0.3">
      <c r="A109" s="2"/>
      <c r="B109" s="2"/>
      <c r="C109" s="2"/>
      <c r="D109" s="6"/>
    </row>
    <row r="110" spans="1:4" x14ac:dyDescent="0.3">
      <c r="A110" s="2"/>
      <c r="B110" s="2"/>
      <c r="C110" s="2"/>
      <c r="D110" s="6"/>
    </row>
    <row r="111" spans="1:4" x14ac:dyDescent="0.3">
      <c r="A111" s="2"/>
      <c r="B111" s="2"/>
      <c r="C111" s="2"/>
      <c r="D111" s="6"/>
    </row>
    <row r="112" spans="1:4" x14ac:dyDescent="0.3">
      <c r="A112" s="2"/>
      <c r="B112" s="2"/>
      <c r="C112" s="2"/>
      <c r="D112" s="6"/>
    </row>
    <row r="113" spans="1:4" x14ac:dyDescent="0.3">
      <c r="A113" s="2"/>
      <c r="B113" s="2"/>
      <c r="C113" s="2"/>
      <c r="D113" s="6"/>
    </row>
    <row r="114" spans="1:4" x14ac:dyDescent="0.3">
      <c r="A114" s="2"/>
      <c r="B114" s="2"/>
      <c r="C114" s="2"/>
      <c r="D114" s="6"/>
    </row>
    <row r="115" spans="1:4" x14ac:dyDescent="0.3">
      <c r="A115" s="2"/>
      <c r="B115" s="2"/>
      <c r="C115" s="2"/>
      <c r="D115" s="6"/>
    </row>
    <row r="116" spans="1:4" x14ac:dyDescent="0.3">
      <c r="A116" s="2"/>
      <c r="B116" s="2"/>
      <c r="C116" s="2"/>
      <c r="D116" s="6"/>
    </row>
    <row r="117" spans="1:4" x14ac:dyDescent="0.3">
      <c r="A117" s="2"/>
      <c r="B117" s="2"/>
      <c r="C117" s="2"/>
      <c r="D117" s="6"/>
    </row>
    <row r="118" spans="1:4" x14ac:dyDescent="0.3">
      <c r="A118" s="2"/>
      <c r="B118" s="2"/>
      <c r="C118" s="2"/>
      <c r="D118" s="6"/>
    </row>
    <row r="119" spans="1:4" x14ac:dyDescent="0.3">
      <c r="A119" s="2"/>
      <c r="B119" s="2"/>
      <c r="C119" s="2"/>
      <c r="D119" s="6"/>
    </row>
    <row r="120" spans="1:4" x14ac:dyDescent="0.3">
      <c r="A120" s="2"/>
      <c r="B120" s="2"/>
      <c r="C120" s="2"/>
      <c r="D120" s="6"/>
    </row>
    <row r="121" spans="1:4" x14ac:dyDescent="0.3">
      <c r="A121" s="2"/>
      <c r="B121" s="2"/>
      <c r="C121" s="2"/>
      <c r="D121" s="6"/>
    </row>
    <row r="122" spans="1:4" x14ac:dyDescent="0.3">
      <c r="A122" s="2"/>
      <c r="B122" s="2"/>
      <c r="C122" s="2"/>
      <c r="D122" s="6"/>
    </row>
    <row r="123" spans="1:4" x14ac:dyDescent="0.3">
      <c r="A123" s="2"/>
      <c r="B123" s="2"/>
      <c r="C123" s="2"/>
      <c r="D123" s="6"/>
    </row>
    <row r="124" spans="1:4" x14ac:dyDescent="0.3">
      <c r="A124" s="2"/>
      <c r="B124" s="2"/>
      <c r="C124" s="2"/>
      <c r="D124" s="6"/>
    </row>
    <row r="125" spans="1:4" x14ac:dyDescent="0.3">
      <c r="A125" s="2"/>
      <c r="B125" s="2"/>
      <c r="C125" s="2"/>
      <c r="D125" s="6"/>
    </row>
    <row r="126" spans="1:4" x14ac:dyDescent="0.3">
      <c r="A126" s="2"/>
      <c r="B126" s="2"/>
      <c r="C126" s="2"/>
      <c r="D126" s="6"/>
    </row>
    <row r="127" spans="1:4" x14ac:dyDescent="0.3">
      <c r="A127" s="2"/>
      <c r="B127" s="2"/>
      <c r="C127" s="2"/>
      <c r="D127" s="6"/>
    </row>
    <row r="128" spans="1:4" x14ac:dyDescent="0.3">
      <c r="A128" s="2"/>
      <c r="B128" s="2"/>
      <c r="C128" s="2"/>
      <c r="D128" s="6"/>
    </row>
    <row r="129" spans="1:4" x14ac:dyDescent="0.3">
      <c r="A129" s="2"/>
      <c r="B129" s="2"/>
      <c r="C129" s="2"/>
      <c r="D129" s="6"/>
    </row>
    <row r="130" spans="1:4" x14ac:dyDescent="0.3">
      <c r="A130" s="2"/>
      <c r="B130" s="2"/>
      <c r="C130" s="2"/>
      <c r="D130" s="6"/>
    </row>
    <row r="131" spans="1:4" x14ac:dyDescent="0.3">
      <c r="A131" s="2"/>
      <c r="B131" s="2"/>
      <c r="C131" s="2"/>
      <c r="D131" s="6"/>
    </row>
    <row r="132" spans="1:4" x14ac:dyDescent="0.3">
      <c r="A132" s="2"/>
      <c r="B132" s="2"/>
      <c r="C132" s="2"/>
      <c r="D132" s="6"/>
    </row>
    <row r="133" spans="1:4" x14ac:dyDescent="0.3">
      <c r="A133" s="2"/>
      <c r="B133" s="2"/>
      <c r="C133" s="2"/>
      <c r="D133" s="6"/>
    </row>
    <row r="134" spans="1:4" x14ac:dyDescent="0.3">
      <c r="A134" s="2"/>
      <c r="B134" s="2"/>
      <c r="C134" s="2"/>
      <c r="D134" s="6"/>
    </row>
    <row r="135" spans="1:4" x14ac:dyDescent="0.3">
      <c r="A135" s="2"/>
      <c r="B135" s="2"/>
      <c r="C135" s="2"/>
      <c r="D135" s="6"/>
    </row>
    <row r="136" spans="1:4" x14ac:dyDescent="0.3">
      <c r="A136" s="2"/>
      <c r="B136" s="2"/>
      <c r="C136" s="2"/>
      <c r="D136" s="6"/>
    </row>
    <row r="137" spans="1:4" x14ac:dyDescent="0.3">
      <c r="A137" s="2"/>
      <c r="B137" s="2"/>
      <c r="C137" s="2"/>
      <c r="D137" s="6"/>
    </row>
    <row r="138" spans="1:4" x14ac:dyDescent="0.3">
      <c r="A138" s="2"/>
      <c r="B138" s="2"/>
      <c r="C138" s="2"/>
      <c r="D138" s="6"/>
    </row>
    <row r="139" spans="1:4" x14ac:dyDescent="0.3">
      <c r="A139" s="2"/>
      <c r="B139" s="2"/>
      <c r="C139" s="2"/>
      <c r="D139" s="6"/>
    </row>
    <row r="140" spans="1:4" x14ac:dyDescent="0.3">
      <c r="A140" s="2"/>
      <c r="B140" s="2"/>
      <c r="C140" s="2"/>
      <c r="D140" s="6"/>
    </row>
    <row r="141" spans="1:4" x14ac:dyDescent="0.3">
      <c r="A141" s="2"/>
      <c r="B141" s="2"/>
      <c r="C141" s="2"/>
      <c r="D141" s="6"/>
    </row>
    <row r="142" spans="1:4" x14ac:dyDescent="0.3">
      <c r="A142" s="2"/>
      <c r="B142" s="2"/>
      <c r="C142" s="2"/>
      <c r="D142" s="6"/>
    </row>
    <row r="143" spans="1:4" x14ac:dyDescent="0.3">
      <c r="A143" s="2"/>
      <c r="B143" s="2"/>
      <c r="C143" s="2"/>
      <c r="D143" s="6"/>
    </row>
    <row r="144" spans="1:4" x14ac:dyDescent="0.3">
      <c r="A144" s="2"/>
      <c r="B144" s="2"/>
      <c r="C144" s="2"/>
      <c r="D144" s="6"/>
    </row>
    <row r="145" spans="1:4" x14ac:dyDescent="0.3">
      <c r="A145" s="2"/>
      <c r="B145" s="2"/>
      <c r="C145" s="2"/>
      <c r="D145" s="6"/>
    </row>
    <row r="146" spans="1:4" x14ac:dyDescent="0.3">
      <c r="A146" s="2"/>
      <c r="B146" s="2"/>
      <c r="C146" s="2"/>
      <c r="D146" s="6"/>
    </row>
    <row r="147" spans="1:4" x14ac:dyDescent="0.3">
      <c r="A147" s="2"/>
      <c r="B147" s="2"/>
      <c r="C147" s="2"/>
      <c r="D147" s="6"/>
    </row>
    <row r="148" spans="1:4" x14ac:dyDescent="0.3">
      <c r="A148" s="2"/>
      <c r="B148" s="2"/>
      <c r="C148" s="2"/>
      <c r="D148" s="6"/>
    </row>
    <row r="149" spans="1:4" x14ac:dyDescent="0.3">
      <c r="A149" s="2"/>
      <c r="B149" s="2"/>
      <c r="C149" s="2"/>
      <c r="D149" s="6"/>
    </row>
    <row r="150" spans="1:4" x14ac:dyDescent="0.3">
      <c r="A150" s="2"/>
      <c r="B150" s="2"/>
      <c r="C150" s="2"/>
      <c r="D150" s="6"/>
    </row>
    <row r="151" spans="1:4" x14ac:dyDescent="0.3">
      <c r="A151" s="2"/>
      <c r="B151" s="2"/>
      <c r="C151" s="2"/>
      <c r="D151" s="6"/>
    </row>
    <row r="152" spans="1:4" x14ac:dyDescent="0.3">
      <c r="A152" s="2"/>
      <c r="B152" s="2"/>
      <c r="C152" s="2"/>
      <c r="D152" s="6"/>
    </row>
    <row r="153" spans="1:4" x14ac:dyDescent="0.3">
      <c r="A153" s="2"/>
      <c r="B153" s="2"/>
      <c r="C153" s="2"/>
      <c r="D153" s="6"/>
    </row>
    <row r="154" spans="1:4" x14ac:dyDescent="0.3">
      <c r="A154" s="2"/>
      <c r="B154" s="2"/>
      <c r="C154" s="2"/>
      <c r="D154" s="6"/>
    </row>
    <row r="155" spans="1:4" x14ac:dyDescent="0.3">
      <c r="A155" s="2"/>
      <c r="B155" s="2"/>
      <c r="C155" s="2"/>
      <c r="D155" s="6"/>
    </row>
    <row r="156" spans="1:4" x14ac:dyDescent="0.3">
      <c r="A156" s="2"/>
      <c r="B156" s="2"/>
      <c r="C156" s="2"/>
      <c r="D156" s="6"/>
    </row>
    <row r="157" spans="1:4" x14ac:dyDescent="0.3">
      <c r="A157" s="2"/>
      <c r="B157" s="2"/>
      <c r="C157" s="2"/>
      <c r="D157" s="6"/>
    </row>
    <row r="158" spans="1:4" x14ac:dyDescent="0.3">
      <c r="A158" s="2"/>
      <c r="B158" s="2"/>
      <c r="C158" s="2"/>
      <c r="D158" s="6"/>
    </row>
    <row r="159" spans="1:4" x14ac:dyDescent="0.3">
      <c r="A159" s="2"/>
      <c r="B159" s="2"/>
      <c r="C159" s="2"/>
      <c r="D159" s="6"/>
    </row>
    <row r="160" spans="1:4" x14ac:dyDescent="0.3">
      <c r="A160" s="2"/>
      <c r="B160" s="2"/>
      <c r="C160" s="2"/>
      <c r="D160" s="6"/>
    </row>
    <row r="161" spans="1:4" x14ac:dyDescent="0.3">
      <c r="A161" s="2"/>
      <c r="B161" s="2"/>
      <c r="C161" s="2"/>
      <c r="D161" s="6"/>
    </row>
    <row r="162" spans="1:4" x14ac:dyDescent="0.3">
      <c r="A162" s="2"/>
      <c r="B162" s="2"/>
      <c r="C162" s="2"/>
      <c r="D162" s="6"/>
    </row>
    <row r="163" spans="1:4" x14ac:dyDescent="0.3">
      <c r="A163" s="2"/>
      <c r="B163" s="2"/>
      <c r="C163" s="2"/>
      <c r="D163" s="6"/>
    </row>
    <row r="164" spans="1:4" x14ac:dyDescent="0.3">
      <c r="A164" s="2"/>
      <c r="B164" s="2"/>
      <c r="C164" s="2"/>
      <c r="D164" s="6"/>
    </row>
    <row r="165" spans="1:4" x14ac:dyDescent="0.3">
      <c r="A165" s="2"/>
      <c r="B165" s="2"/>
      <c r="C165" s="2"/>
      <c r="D165" s="6"/>
    </row>
    <row r="166" spans="1:4" x14ac:dyDescent="0.3">
      <c r="A166" s="2"/>
      <c r="B166" s="2"/>
      <c r="C166" s="2"/>
      <c r="D166" s="6"/>
    </row>
    <row r="167" spans="1:4" x14ac:dyDescent="0.3">
      <c r="A167" s="2"/>
      <c r="B167" s="2"/>
      <c r="C167" s="2"/>
      <c r="D167" s="6"/>
    </row>
    <row r="168" spans="1:4" x14ac:dyDescent="0.3">
      <c r="A168" s="2"/>
      <c r="B168" s="2"/>
      <c r="C168" s="2"/>
      <c r="D168" s="6"/>
    </row>
    <row r="169" spans="1:4" x14ac:dyDescent="0.3">
      <c r="A169" s="2"/>
      <c r="B169" s="2"/>
      <c r="C169" s="2"/>
      <c r="D169" s="6"/>
    </row>
    <row r="170" spans="1:4" x14ac:dyDescent="0.3">
      <c r="A170" s="2"/>
      <c r="B170" s="2"/>
      <c r="C170" s="2"/>
      <c r="D170" s="6"/>
    </row>
    <row r="171" spans="1:4" x14ac:dyDescent="0.3">
      <c r="A171" s="2"/>
      <c r="B171" s="2"/>
      <c r="C171" s="2"/>
      <c r="D171" s="6"/>
    </row>
    <row r="172" spans="1:4" x14ac:dyDescent="0.3">
      <c r="A172" s="2"/>
      <c r="B172" s="2"/>
      <c r="C172" s="2"/>
      <c r="D172" s="6"/>
    </row>
    <row r="173" spans="1:4" x14ac:dyDescent="0.3">
      <c r="A173" s="2"/>
      <c r="B173" s="2"/>
      <c r="C173" s="2"/>
      <c r="D173" s="6"/>
    </row>
    <row r="174" spans="1:4" x14ac:dyDescent="0.3">
      <c r="A174" s="2"/>
      <c r="B174" s="2"/>
      <c r="C174" s="2"/>
      <c r="D174" s="6"/>
    </row>
    <row r="175" spans="1:4" x14ac:dyDescent="0.3">
      <c r="A175" s="2"/>
      <c r="B175" s="2"/>
      <c r="C175" s="2"/>
      <c r="D175" s="6"/>
    </row>
    <row r="176" spans="1:4" x14ac:dyDescent="0.3">
      <c r="A176" s="2"/>
      <c r="B176" s="2"/>
      <c r="C176" s="2"/>
      <c r="D176" s="6"/>
    </row>
    <row r="177" spans="1:4" x14ac:dyDescent="0.3">
      <c r="A177" s="2"/>
      <c r="B177" s="2"/>
      <c r="C177" s="2"/>
      <c r="D177" s="6"/>
    </row>
    <row r="178" spans="1:4" x14ac:dyDescent="0.3">
      <c r="A178" s="2"/>
      <c r="B178" s="2"/>
      <c r="C178" s="2"/>
      <c r="D178" s="6"/>
    </row>
    <row r="179" spans="1:4" x14ac:dyDescent="0.3">
      <c r="A179" s="2"/>
      <c r="B179" s="2"/>
      <c r="C179" s="2"/>
      <c r="D179" s="6"/>
    </row>
    <row r="180" spans="1:4" x14ac:dyDescent="0.3">
      <c r="A180" s="2"/>
      <c r="B180" s="2"/>
      <c r="C180" s="2"/>
      <c r="D180" s="6"/>
    </row>
    <row r="181" spans="1:4" x14ac:dyDescent="0.3">
      <c r="A181" s="2"/>
      <c r="B181" s="2"/>
      <c r="C181" s="2"/>
      <c r="D181" s="6"/>
    </row>
    <row r="182" spans="1:4" x14ac:dyDescent="0.3">
      <c r="A182" s="2"/>
      <c r="B182" s="2"/>
      <c r="C182" s="2"/>
      <c r="D182" s="6"/>
    </row>
    <row r="183" spans="1:4" x14ac:dyDescent="0.3">
      <c r="A183" s="2"/>
      <c r="B183" s="2"/>
      <c r="C183" s="2"/>
      <c r="D183" s="6"/>
    </row>
    <row r="184" spans="1:4" x14ac:dyDescent="0.3">
      <c r="A184" s="2"/>
      <c r="B184" s="2"/>
      <c r="C184" s="2"/>
      <c r="D184" s="6"/>
    </row>
    <row r="185" spans="1:4" x14ac:dyDescent="0.3">
      <c r="A185" s="2"/>
      <c r="B185" s="37"/>
      <c r="C185" s="2"/>
      <c r="D185" s="6"/>
    </row>
    <row r="186" spans="1:4" x14ac:dyDescent="0.3">
      <c r="A186" s="2"/>
      <c r="B186" s="2"/>
      <c r="C186" s="2"/>
      <c r="D186" s="6"/>
    </row>
    <row r="187" spans="1:4" x14ac:dyDescent="0.3">
      <c r="A187" s="2"/>
      <c r="B187" s="2"/>
      <c r="C187" s="2"/>
      <c r="D187" s="6"/>
    </row>
    <row r="188" spans="1:4" x14ac:dyDescent="0.3">
      <c r="A188" s="2"/>
      <c r="B188" s="2"/>
      <c r="C188" s="2"/>
      <c r="D188" s="6"/>
    </row>
    <row r="189" spans="1:4" x14ac:dyDescent="0.3">
      <c r="A189" s="2"/>
      <c r="B189" s="2"/>
      <c r="C189" s="2"/>
      <c r="D189" s="6"/>
    </row>
    <row r="190" spans="1:4" x14ac:dyDescent="0.3">
      <c r="A190" s="2"/>
      <c r="B190" s="2"/>
      <c r="C190" s="2"/>
      <c r="D190" s="6"/>
    </row>
    <row r="191" spans="1:4" x14ac:dyDescent="0.3">
      <c r="A191" s="2"/>
      <c r="B191" s="2"/>
      <c r="C191" s="2"/>
      <c r="D191" s="6"/>
    </row>
    <row r="192" spans="1:4" x14ac:dyDescent="0.3">
      <c r="A192" s="2"/>
      <c r="B192" s="2"/>
      <c r="C192" s="2"/>
      <c r="D192" s="6"/>
    </row>
    <row r="193" spans="1:4" x14ac:dyDescent="0.3">
      <c r="A193" s="2"/>
      <c r="B193" s="2"/>
      <c r="C193" s="2"/>
      <c r="D193" s="6"/>
    </row>
    <row r="194" spans="1:4" x14ac:dyDescent="0.3">
      <c r="A194" s="2"/>
      <c r="B194" s="2"/>
      <c r="C194" s="2"/>
      <c r="D194" s="6"/>
    </row>
    <row r="195" spans="1:4" x14ac:dyDescent="0.3">
      <c r="A195" s="2"/>
      <c r="B195" s="2"/>
      <c r="C195" s="2"/>
      <c r="D195" s="6"/>
    </row>
    <row r="196" spans="1:4" x14ac:dyDescent="0.3">
      <c r="A196" s="2"/>
      <c r="B196" s="2"/>
      <c r="C196" s="2"/>
      <c r="D196" s="6"/>
    </row>
    <row r="197" spans="1:4" x14ac:dyDescent="0.3">
      <c r="A197" s="2"/>
      <c r="B197" s="2"/>
      <c r="C197" s="2"/>
      <c r="D197" s="6"/>
    </row>
    <row r="198" spans="1:4" x14ac:dyDescent="0.3">
      <c r="A198" s="2"/>
      <c r="B198" s="2"/>
      <c r="C198" s="2"/>
      <c r="D198" s="6"/>
    </row>
    <row r="199" spans="1:4" x14ac:dyDescent="0.3">
      <c r="A199" s="2"/>
      <c r="B199" s="2"/>
      <c r="C199" s="2"/>
      <c r="D199" s="6"/>
    </row>
    <row r="200" spans="1:4" x14ac:dyDescent="0.3">
      <c r="A200" s="2"/>
      <c r="B200" s="2"/>
      <c r="C200" s="2"/>
      <c r="D200" s="6"/>
    </row>
    <row r="201" spans="1:4" x14ac:dyDescent="0.3">
      <c r="A201" s="2"/>
      <c r="B201" s="2"/>
      <c r="C201" s="2"/>
      <c r="D201" s="6"/>
    </row>
    <row r="202" spans="1:4" x14ac:dyDescent="0.3">
      <c r="A202" s="2"/>
      <c r="B202" s="2"/>
      <c r="C202" s="2"/>
      <c r="D202" s="6"/>
    </row>
    <row r="203" spans="1:4" x14ac:dyDescent="0.3">
      <c r="A203" s="2"/>
      <c r="B203" s="2"/>
      <c r="C203" s="2"/>
      <c r="D203" s="6"/>
    </row>
    <row r="204" spans="1:4" x14ac:dyDescent="0.3">
      <c r="A204" s="2"/>
      <c r="B204" s="2"/>
      <c r="C204" s="2"/>
      <c r="D204" s="6"/>
    </row>
    <row r="205" spans="1:4" x14ac:dyDescent="0.3">
      <c r="A205" s="2"/>
      <c r="B205" s="2"/>
      <c r="C205" s="2"/>
      <c r="D205" s="6"/>
    </row>
    <row r="206" spans="1:4" x14ac:dyDescent="0.3">
      <c r="A206" s="2"/>
      <c r="B206" s="2"/>
      <c r="C206" s="2"/>
      <c r="D206" s="6"/>
    </row>
    <row r="207" spans="1:4" x14ac:dyDescent="0.3">
      <c r="A207" s="2"/>
      <c r="B207" s="2"/>
      <c r="C207" s="2"/>
      <c r="D207" s="6"/>
    </row>
    <row r="208" spans="1:4" x14ac:dyDescent="0.3">
      <c r="A208" s="2"/>
      <c r="B208" s="2"/>
      <c r="C208" s="2"/>
      <c r="D208" s="6"/>
    </row>
    <row r="209" spans="1:4" x14ac:dyDescent="0.3">
      <c r="A209" s="2"/>
      <c r="B209" s="2"/>
      <c r="C209" s="2"/>
      <c r="D209" s="6"/>
    </row>
    <row r="210" spans="1:4" x14ac:dyDescent="0.3">
      <c r="A210" s="2"/>
      <c r="B210" s="2"/>
      <c r="C210" s="2"/>
      <c r="D210" s="6"/>
    </row>
    <row r="211" spans="1:4" x14ac:dyDescent="0.3">
      <c r="A211" s="2"/>
      <c r="B211" s="2"/>
      <c r="C211" s="2"/>
      <c r="D211" s="6"/>
    </row>
    <row r="212" spans="1:4" x14ac:dyDescent="0.3">
      <c r="A212" s="2"/>
      <c r="B212" s="2"/>
      <c r="C212" s="2"/>
      <c r="D212" s="6"/>
    </row>
    <row r="213" spans="1:4" x14ac:dyDescent="0.3">
      <c r="A213" s="2"/>
      <c r="B213" s="2"/>
      <c r="C213" s="2"/>
      <c r="D213" s="6"/>
    </row>
    <row r="214" spans="1:4" x14ac:dyDescent="0.3">
      <c r="A214" s="2"/>
      <c r="B214" s="2"/>
      <c r="C214" s="2"/>
      <c r="D214" s="6"/>
    </row>
    <row r="215" spans="1:4" x14ac:dyDescent="0.3">
      <c r="A215" s="2"/>
      <c r="B215" s="2"/>
      <c r="C215" s="2"/>
      <c r="D215" s="6"/>
    </row>
    <row r="216" spans="1:4" x14ac:dyDescent="0.3">
      <c r="A216" s="2"/>
      <c r="B216" s="2"/>
      <c r="C216" s="2"/>
      <c r="D216" s="6"/>
    </row>
    <row r="217" spans="1:4" x14ac:dyDescent="0.3">
      <c r="A217" s="2"/>
      <c r="B217" s="2"/>
      <c r="C217" s="2"/>
      <c r="D217" s="6"/>
    </row>
    <row r="218" spans="1:4" x14ac:dyDescent="0.3">
      <c r="A218" s="2"/>
      <c r="B218" s="2"/>
      <c r="C218" s="2"/>
      <c r="D218" s="6"/>
    </row>
    <row r="219" spans="1:4" x14ac:dyDescent="0.3">
      <c r="A219" s="2"/>
      <c r="B219" s="2"/>
      <c r="C219" s="2"/>
      <c r="D219" s="6"/>
    </row>
    <row r="220" spans="1:4" x14ac:dyDescent="0.3">
      <c r="A220" s="2"/>
      <c r="B220" s="2"/>
      <c r="C220" s="2"/>
      <c r="D220" s="6"/>
    </row>
    <row r="221" spans="1:4" x14ac:dyDescent="0.3">
      <c r="A221" s="2"/>
      <c r="B221" s="2"/>
      <c r="C221" s="2"/>
      <c r="D221" s="6"/>
    </row>
    <row r="222" spans="1:4" x14ac:dyDescent="0.3">
      <c r="A222" s="2"/>
      <c r="B222" s="2"/>
      <c r="C222" s="2"/>
      <c r="D222" s="6"/>
    </row>
    <row r="223" spans="1:4" x14ac:dyDescent="0.3">
      <c r="A223" s="2"/>
      <c r="B223" s="2"/>
      <c r="C223" s="2"/>
      <c r="D223" s="6"/>
    </row>
    <row r="224" spans="1:4" x14ac:dyDescent="0.3">
      <c r="A224" s="2"/>
      <c r="B224" s="2"/>
      <c r="C224" s="2"/>
      <c r="D224" s="6"/>
    </row>
    <row r="225" spans="1:4" x14ac:dyDescent="0.3">
      <c r="A225" s="2"/>
      <c r="B225" s="2"/>
      <c r="C225" s="2"/>
      <c r="D225" s="6"/>
    </row>
    <row r="226" spans="1:4" x14ac:dyDescent="0.3">
      <c r="A226" s="2"/>
      <c r="B226" s="2"/>
      <c r="C226" s="2"/>
      <c r="D226" s="6"/>
    </row>
    <row r="227" spans="1:4" x14ac:dyDescent="0.3">
      <c r="A227" s="2"/>
      <c r="B227" s="2"/>
      <c r="C227" s="2"/>
      <c r="D227" s="6"/>
    </row>
    <row r="228" spans="1:4" x14ac:dyDescent="0.3">
      <c r="A228" s="2"/>
      <c r="B228" s="2"/>
      <c r="C228" s="2"/>
      <c r="D228" s="6"/>
    </row>
    <row r="229" spans="1:4" x14ac:dyDescent="0.3">
      <c r="A229" s="2"/>
      <c r="B229" s="2"/>
      <c r="C229" s="2"/>
      <c r="D229" s="6"/>
    </row>
    <row r="230" spans="1:4" x14ac:dyDescent="0.3">
      <c r="A230" s="2"/>
      <c r="B230" s="2"/>
      <c r="C230" s="2"/>
      <c r="D230" s="6"/>
    </row>
    <row r="231" spans="1:4" x14ac:dyDescent="0.3">
      <c r="A231" s="2"/>
      <c r="B231" s="2"/>
      <c r="C231" s="2"/>
      <c r="D231" s="6"/>
    </row>
    <row r="232" spans="1:4" x14ac:dyDescent="0.3">
      <c r="A232" s="2"/>
      <c r="B232" s="2"/>
      <c r="C232" s="2"/>
      <c r="D232" s="6"/>
    </row>
    <row r="233" spans="1:4" x14ac:dyDescent="0.3">
      <c r="A233" s="2"/>
      <c r="B233" s="2"/>
      <c r="C233" s="2"/>
      <c r="D233" s="6"/>
    </row>
    <row r="234" spans="1:4" x14ac:dyDescent="0.3">
      <c r="A234" s="2"/>
      <c r="B234" s="2"/>
      <c r="C234" s="2"/>
      <c r="D234" s="6"/>
    </row>
    <row r="235" spans="1:4" x14ac:dyDescent="0.3">
      <c r="A235" s="2"/>
      <c r="B235" s="2"/>
      <c r="C235" s="2"/>
      <c r="D235" s="6"/>
    </row>
    <row r="236" spans="1:4" x14ac:dyDescent="0.3">
      <c r="A236" s="2"/>
      <c r="B236" s="2"/>
      <c r="C236" s="2"/>
      <c r="D236" s="6"/>
    </row>
    <row r="237" spans="1:4" x14ac:dyDescent="0.3">
      <c r="A237" s="2"/>
      <c r="B237" s="2"/>
      <c r="C237" s="2"/>
      <c r="D237" s="6"/>
    </row>
    <row r="238" spans="1:4" x14ac:dyDescent="0.3">
      <c r="A238" s="2"/>
      <c r="B238" s="2"/>
      <c r="C238" s="2"/>
      <c r="D238" s="6"/>
    </row>
    <row r="239" spans="1:4" x14ac:dyDescent="0.3">
      <c r="A239" s="2"/>
      <c r="B239" s="2"/>
      <c r="C239" s="2"/>
      <c r="D239" s="6"/>
    </row>
    <row r="240" spans="1:4" x14ac:dyDescent="0.3">
      <c r="A240" s="2"/>
      <c r="B240" s="2"/>
      <c r="C240" s="2"/>
      <c r="D240" s="6"/>
    </row>
    <row r="241" spans="1:4" x14ac:dyDescent="0.3">
      <c r="A241" s="2"/>
      <c r="B241" s="2"/>
      <c r="C241" s="2"/>
      <c r="D241" s="6"/>
    </row>
    <row r="242" spans="1:4" x14ac:dyDescent="0.3">
      <c r="A242" s="2"/>
      <c r="B242" s="2"/>
      <c r="C242" s="2"/>
      <c r="D242" s="6"/>
    </row>
    <row r="243" spans="1:4" x14ac:dyDescent="0.3">
      <c r="A243" s="2"/>
      <c r="B243" s="2"/>
      <c r="C243" s="2"/>
      <c r="D243" s="6"/>
    </row>
    <row r="244" spans="1:4" x14ac:dyDescent="0.3">
      <c r="A244" s="2"/>
      <c r="B244" s="2"/>
      <c r="C244" s="2"/>
      <c r="D244" s="6"/>
    </row>
    <row r="245" spans="1:4" x14ac:dyDescent="0.3">
      <c r="A245" s="2"/>
      <c r="B245" s="2"/>
      <c r="C245" s="2"/>
      <c r="D245" s="6"/>
    </row>
    <row r="246" spans="1:4" x14ac:dyDescent="0.3">
      <c r="A246" s="2"/>
      <c r="B246" s="2"/>
      <c r="C246" s="2"/>
      <c r="D246" s="6"/>
    </row>
    <row r="247" spans="1:4" x14ac:dyDescent="0.3">
      <c r="A247" s="2"/>
      <c r="B247" s="2"/>
      <c r="C247" s="2"/>
      <c r="D247" s="6"/>
    </row>
    <row r="248" spans="1:4" x14ac:dyDescent="0.3">
      <c r="A248" s="2"/>
      <c r="B248" s="2"/>
      <c r="C248" s="2"/>
      <c r="D248" s="6"/>
    </row>
    <row r="249" spans="1:4" x14ac:dyDescent="0.3">
      <c r="A249" s="2"/>
      <c r="B249" s="2"/>
      <c r="C249" s="2"/>
      <c r="D249" s="6"/>
    </row>
    <row r="250" spans="1:4" x14ac:dyDescent="0.3">
      <c r="A250" s="2"/>
      <c r="B250" s="2"/>
      <c r="C250" s="2"/>
      <c r="D250" s="6"/>
    </row>
    <row r="251" spans="1:4" x14ac:dyDescent="0.3">
      <c r="A251" s="2"/>
      <c r="B251" s="2"/>
      <c r="C251" s="2"/>
      <c r="D251" s="6"/>
    </row>
    <row r="252" spans="1:4" x14ac:dyDescent="0.3">
      <c r="A252" s="2"/>
      <c r="B252" s="2"/>
      <c r="C252" s="2"/>
      <c r="D252" s="6"/>
    </row>
    <row r="253" spans="1:4" x14ac:dyDescent="0.3">
      <c r="A253" s="2"/>
      <c r="B253" s="2"/>
      <c r="C253" s="2"/>
      <c r="D253" s="6"/>
    </row>
    <row r="254" spans="1:4" x14ac:dyDescent="0.3">
      <c r="A254" s="2"/>
      <c r="B254" s="2"/>
      <c r="C254" s="2"/>
      <c r="D254" s="6"/>
    </row>
    <row r="255" spans="1:4" x14ac:dyDescent="0.3">
      <c r="A255" s="2"/>
      <c r="B255" s="2"/>
      <c r="C255" s="2"/>
      <c r="D255" s="6"/>
    </row>
    <row r="256" spans="1:4" x14ac:dyDescent="0.3">
      <c r="A256" s="2"/>
      <c r="B256" s="2"/>
      <c r="C256" s="2"/>
      <c r="D256" s="6"/>
    </row>
    <row r="257" spans="1:4" x14ac:dyDescent="0.3">
      <c r="A257" s="2"/>
      <c r="B257" s="2"/>
      <c r="C257" s="2"/>
      <c r="D257" s="6"/>
    </row>
    <row r="258" spans="1:4" x14ac:dyDescent="0.3">
      <c r="A258" s="2"/>
      <c r="B258" s="2"/>
      <c r="C258" s="2"/>
      <c r="D258" s="6"/>
    </row>
    <row r="259" spans="1:4" x14ac:dyDescent="0.3">
      <c r="A259" s="2"/>
      <c r="B259" s="2"/>
      <c r="C259" s="2"/>
      <c r="D259" s="6"/>
    </row>
    <row r="260" spans="1:4" x14ac:dyDescent="0.3">
      <c r="A260" s="2"/>
      <c r="B260" s="2"/>
      <c r="C260" s="2"/>
      <c r="D260" s="6"/>
    </row>
    <row r="261" spans="1:4" x14ac:dyDescent="0.3">
      <c r="A261" s="2"/>
      <c r="B261" s="2"/>
      <c r="C261" s="2"/>
      <c r="D261" s="6"/>
    </row>
    <row r="262" spans="1:4" x14ac:dyDescent="0.3">
      <c r="A262" s="2"/>
      <c r="B262" s="2"/>
      <c r="C262" s="2"/>
      <c r="D262" s="6"/>
    </row>
    <row r="263" spans="1:4" x14ac:dyDescent="0.3">
      <c r="A263" s="2"/>
      <c r="B263" s="2"/>
      <c r="C263" s="2"/>
      <c r="D263" s="6"/>
    </row>
    <row r="264" spans="1:4" x14ac:dyDescent="0.3">
      <c r="A264" s="2"/>
      <c r="B264" s="2"/>
      <c r="C264" s="2"/>
      <c r="D264" s="6"/>
    </row>
    <row r="265" spans="1:4" x14ac:dyDescent="0.3">
      <c r="A265" s="2"/>
      <c r="B265" s="2"/>
      <c r="C265" s="2"/>
      <c r="D265" s="6"/>
    </row>
    <row r="266" spans="1:4" x14ac:dyDescent="0.3">
      <c r="A266" s="2"/>
      <c r="B266" s="2"/>
      <c r="C266" s="2"/>
      <c r="D266" s="6"/>
    </row>
    <row r="267" spans="1:4" x14ac:dyDescent="0.3">
      <c r="A267" s="2"/>
      <c r="B267" s="2"/>
      <c r="C267" s="2"/>
      <c r="D267" s="6"/>
    </row>
    <row r="268" spans="1:4" x14ac:dyDescent="0.3">
      <c r="A268" s="2"/>
      <c r="B268" s="2"/>
      <c r="C268" s="2"/>
      <c r="D268" s="6"/>
    </row>
    <row r="269" spans="1:4" x14ac:dyDescent="0.3">
      <c r="A269" s="2"/>
      <c r="B269" s="2"/>
      <c r="C269" s="2"/>
      <c r="D269" s="6"/>
    </row>
    <row r="270" spans="1:4" x14ac:dyDescent="0.3">
      <c r="A270" s="2"/>
      <c r="B270" s="2"/>
      <c r="C270" s="2"/>
      <c r="D270" s="6"/>
    </row>
    <row r="271" spans="1:4" x14ac:dyDescent="0.3">
      <c r="A271" s="2"/>
      <c r="B271" s="2"/>
      <c r="C271" s="2"/>
      <c r="D271" s="6"/>
    </row>
    <row r="272" spans="1:4" x14ac:dyDescent="0.3">
      <c r="A272" s="2"/>
      <c r="B272" s="2"/>
      <c r="C272" s="2"/>
      <c r="D272" s="6"/>
    </row>
    <row r="273" spans="1:4" x14ac:dyDescent="0.3">
      <c r="A273" s="2"/>
      <c r="B273" s="2"/>
      <c r="C273" s="2"/>
      <c r="D273" s="6"/>
    </row>
    <row r="274" spans="1:4" x14ac:dyDescent="0.3">
      <c r="A274" s="2"/>
      <c r="B274" s="2"/>
      <c r="C274" s="2"/>
      <c r="D274" s="6"/>
    </row>
    <row r="275" spans="1:4" x14ac:dyDescent="0.3">
      <c r="A275" s="2"/>
      <c r="B275" s="2"/>
      <c r="C275" s="2"/>
      <c r="D275" s="6"/>
    </row>
    <row r="276" spans="1:4" x14ac:dyDescent="0.3">
      <c r="A276" s="2"/>
      <c r="B276" s="2"/>
      <c r="C276" s="2"/>
      <c r="D276" s="6"/>
    </row>
    <row r="277" spans="1:4" x14ac:dyDescent="0.3">
      <c r="A277" s="2"/>
      <c r="B277" s="2"/>
      <c r="C277" s="2"/>
      <c r="D277" s="6"/>
    </row>
    <row r="278" spans="1:4" x14ac:dyDescent="0.3">
      <c r="A278" s="2"/>
      <c r="B278" s="2"/>
      <c r="C278" s="2"/>
      <c r="D278" s="6"/>
    </row>
    <row r="279" spans="1:4" x14ac:dyDescent="0.3">
      <c r="A279" s="2"/>
      <c r="B279" s="2"/>
      <c r="C279" s="2"/>
      <c r="D279" s="6"/>
    </row>
    <row r="280" spans="1:4" x14ac:dyDescent="0.3">
      <c r="A280" s="2"/>
      <c r="B280" s="2"/>
      <c r="C280" s="2"/>
      <c r="D280" s="6"/>
    </row>
    <row r="281" spans="1:4" x14ac:dyDescent="0.3">
      <c r="A281" s="2"/>
      <c r="B281" s="2"/>
      <c r="C281" s="2"/>
      <c r="D281" s="6"/>
    </row>
    <row r="282" spans="1:4" x14ac:dyDescent="0.3">
      <c r="A282" s="2"/>
      <c r="B282" s="2"/>
      <c r="C282" s="2"/>
      <c r="D282" s="6"/>
    </row>
    <row r="283" spans="1:4" x14ac:dyDescent="0.3">
      <c r="A283" s="2"/>
      <c r="B283" s="2"/>
      <c r="C283" s="2"/>
      <c r="D283" s="6"/>
    </row>
    <row r="284" spans="1:4" x14ac:dyDescent="0.3">
      <c r="A284" s="2"/>
      <c r="B284" s="2"/>
      <c r="C284" s="2"/>
      <c r="D284" s="6"/>
    </row>
    <row r="285" spans="1:4" x14ac:dyDescent="0.3">
      <c r="A285" s="2"/>
      <c r="B285" s="2"/>
      <c r="C285" s="2"/>
      <c r="D285" s="6"/>
    </row>
    <row r="286" spans="1:4" x14ac:dyDescent="0.3">
      <c r="A286" s="2"/>
      <c r="B286" s="2"/>
      <c r="C286" s="2"/>
      <c r="D286" s="6"/>
    </row>
    <row r="287" spans="1:4" x14ac:dyDescent="0.3">
      <c r="A287" s="2"/>
      <c r="B287" s="2"/>
      <c r="C287" s="2"/>
      <c r="D287" s="6"/>
    </row>
    <row r="288" spans="1:4" x14ac:dyDescent="0.3">
      <c r="A288" s="2"/>
      <c r="B288" s="2"/>
      <c r="C288" s="2"/>
      <c r="D288" s="6"/>
    </row>
    <row r="289" spans="1:4" x14ac:dyDescent="0.3">
      <c r="A289" s="2"/>
      <c r="B289" s="2"/>
      <c r="C289" s="2"/>
      <c r="D289" s="6"/>
    </row>
    <row r="290" spans="1:4" x14ac:dyDescent="0.3">
      <c r="A290" s="2"/>
      <c r="B290" s="2"/>
      <c r="C290" s="2"/>
      <c r="D290" s="6"/>
    </row>
    <row r="291" spans="1:4" x14ac:dyDescent="0.3">
      <c r="A291" s="2"/>
      <c r="B291" s="2"/>
      <c r="C291" s="2"/>
      <c r="D291" s="6"/>
    </row>
    <row r="292" spans="1:4" x14ac:dyDescent="0.3">
      <c r="A292" s="2"/>
      <c r="B292" s="2"/>
      <c r="C292" s="2"/>
      <c r="D292" s="6"/>
    </row>
    <row r="293" spans="1:4" x14ac:dyDescent="0.3">
      <c r="A293" s="2"/>
      <c r="B293" s="2"/>
      <c r="C293" s="2"/>
      <c r="D293" s="6"/>
    </row>
    <row r="294" spans="1:4" x14ac:dyDescent="0.3">
      <c r="A294" s="2"/>
      <c r="B294" s="2"/>
      <c r="C294" s="2"/>
      <c r="D294" s="6"/>
    </row>
    <row r="295" spans="1:4" x14ac:dyDescent="0.3">
      <c r="A295" s="2"/>
      <c r="B295" s="2"/>
      <c r="C295" s="2"/>
      <c r="D295" s="6"/>
    </row>
    <row r="296" spans="1:4" x14ac:dyDescent="0.3">
      <c r="A296" s="2"/>
      <c r="B296" s="2"/>
      <c r="C296" s="2"/>
      <c r="D296" s="6"/>
    </row>
    <row r="297" spans="1:4" x14ac:dyDescent="0.3">
      <c r="A297" s="2"/>
      <c r="B297" s="2"/>
      <c r="C297" s="2"/>
      <c r="D297" s="6"/>
    </row>
    <row r="298" spans="1:4" x14ac:dyDescent="0.3">
      <c r="A298" s="2"/>
      <c r="B298" s="2"/>
      <c r="C298" s="2"/>
      <c r="D298" s="6"/>
    </row>
    <row r="299" spans="1:4" x14ac:dyDescent="0.3">
      <c r="A299" s="2"/>
      <c r="B299" s="2"/>
      <c r="C299" s="2"/>
      <c r="D299" s="6"/>
    </row>
    <row r="300" spans="1:4" x14ac:dyDescent="0.3">
      <c r="A300" s="2"/>
      <c r="B300" s="2"/>
      <c r="C300" s="2"/>
      <c r="D300" s="6"/>
    </row>
    <row r="301" spans="1:4" x14ac:dyDescent="0.3">
      <c r="A301" s="2"/>
      <c r="B301" s="2"/>
      <c r="C301" s="2"/>
      <c r="D301" s="6"/>
    </row>
    <row r="302" spans="1:4" x14ac:dyDescent="0.3">
      <c r="A302" s="2"/>
      <c r="B302" s="2"/>
      <c r="C302" s="2"/>
      <c r="D302" s="6"/>
    </row>
    <row r="303" spans="1:4" x14ac:dyDescent="0.3">
      <c r="A303" s="2"/>
      <c r="B303" s="2"/>
      <c r="C303" s="2"/>
      <c r="D303" s="6"/>
    </row>
    <row r="304" spans="1:4" x14ac:dyDescent="0.3">
      <c r="A304" s="2"/>
      <c r="B304" s="2"/>
      <c r="C304" s="2"/>
      <c r="D304" s="6"/>
    </row>
    <row r="305" spans="1:4" x14ac:dyDescent="0.3">
      <c r="A305" s="2"/>
      <c r="B305" s="2"/>
      <c r="C305" s="2"/>
      <c r="D305" s="6"/>
    </row>
    <row r="306" spans="1:4" x14ac:dyDescent="0.3">
      <c r="A306" s="2"/>
      <c r="B306" s="2"/>
      <c r="C306" s="2"/>
      <c r="D306" s="6"/>
    </row>
    <row r="307" spans="1:4" x14ac:dyDescent="0.3">
      <c r="A307" s="2"/>
      <c r="B307" s="2"/>
      <c r="C307" s="2"/>
      <c r="D307" s="6"/>
    </row>
    <row r="308" spans="1:4" x14ac:dyDescent="0.3">
      <c r="A308" s="2"/>
      <c r="B308" s="2"/>
      <c r="C308" s="2"/>
      <c r="D308" s="6"/>
    </row>
    <row r="309" spans="1:4" x14ac:dyDescent="0.3">
      <c r="A309" s="2"/>
      <c r="B309" s="2"/>
      <c r="C309" s="2"/>
      <c r="D309" s="6"/>
    </row>
    <row r="310" spans="1:4" x14ac:dyDescent="0.3">
      <c r="A310" s="2"/>
      <c r="B310" s="2"/>
      <c r="C310" s="2"/>
      <c r="D310" s="6"/>
    </row>
    <row r="311" spans="1:4" x14ac:dyDescent="0.3">
      <c r="A311" s="2"/>
      <c r="B311" s="2"/>
      <c r="C311" s="2"/>
      <c r="D311" s="6"/>
    </row>
    <row r="312" spans="1:4" x14ac:dyDescent="0.3">
      <c r="A312" s="2"/>
      <c r="B312" s="2"/>
      <c r="C312" s="2"/>
      <c r="D312" s="6"/>
    </row>
    <row r="313" spans="1:4" x14ac:dyDescent="0.3">
      <c r="A313" s="2"/>
      <c r="B313" s="2"/>
      <c r="C313" s="2"/>
      <c r="D313" s="6"/>
    </row>
    <row r="314" spans="1:4" x14ac:dyDescent="0.3">
      <c r="A314" s="2"/>
      <c r="B314" s="2"/>
      <c r="C314" s="2"/>
      <c r="D314" s="6"/>
    </row>
    <row r="315" spans="1:4" x14ac:dyDescent="0.3">
      <c r="A315" s="2"/>
      <c r="B315" s="2"/>
      <c r="C315" s="2"/>
      <c r="D315" s="6"/>
    </row>
    <row r="316" spans="1:4" x14ac:dyDescent="0.3">
      <c r="A316" s="2"/>
      <c r="B316" s="2"/>
      <c r="C316" s="2"/>
      <c r="D316" s="6"/>
    </row>
    <row r="317" spans="1:4" x14ac:dyDescent="0.3">
      <c r="A317" s="2"/>
      <c r="B317" s="2"/>
      <c r="C317" s="2"/>
      <c r="D317" s="6"/>
    </row>
    <row r="318" spans="1:4" x14ac:dyDescent="0.3">
      <c r="A318" s="2"/>
      <c r="B318" s="2"/>
      <c r="C318" s="2"/>
      <c r="D318" s="6"/>
    </row>
    <row r="319" spans="1:4" x14ac:dyDescent="0.3">
      <c r="A319" s="2"/>
      <c r="B319" s="2"/>
      <c r="C319" s="2"/>
      <c r="D319" s="6"/>
    </row>
    <row r="320" spans="1:4" x14ac:dyDescent="0.3">
      <c r="A320" s="2"/>
      <c r="B320" s="2"/>
      <c r="C320" s="2"/>
      <c r="D320" s="6"/>
    </row>
    <row r="321" spans="1:4" x14ac:dyDescent="0.3">
      <c r="A321" s="2"/>
      <c r="B321" s="2"/>
      <c r="C321" s="2"/>
      <c r="D321" s="6"/>
    </row>
    <row r="322" spans="1:4" x14ac:dyDescent="0.3">
      <c r="A322" s="2"/>
      <c r="B322" s="2"/>
      <c r="C322" s="2"/>
      <c r="D322" s="6"/>
    </row>
    <row r="323" spans="1:4" x14ac:dyDescent="0.3">
      <c r="A323" s="2"/>
      <c r="B323" s="2"/>
      <c r="C323" s="2"/>
      <c r="D323" s="6"/>
    </row>
    <row r="324" spans="1:4" x14ac:dyDescent="0.3">
      <c r="A324" s="2"/>
      <c r="B324" s="2"/>
      <c r="C324" s="2"/>
      <c r="D324" s="6"/>
    </row>
    <row r="325" spans="1:4" x14ac:dyDescent="0.3">
      <c r="A325" s="2"/>
      <c r="B325" s="2"/>
      <c r="C325" s="2"/>
      <c r="D325" s="6"/>
    </row>
    <row r="326" spans="1:4" x14ac:dyDescent="0.3">
      <c r="A326" s="2"/>
      <c r="B326" s="2"/>
      <c r="C326" s="2"/>
      <c r="D326" s="6"/>
    </row>
    <row r="327" spans="1:4" x14ac:dyDescent="0.3">
      <c r="A327" s="2"/>
      <c r="B327" s="2"/>
      <c r="C327" s="2"/>
      <c r="D327" s="6"/>
    </row>
    <row r="328" spans="1:4" x14ac:dyDescent="0.3">
      <c r="A328" s="2"/>
      <c r="B328" s="2"/>
      <c r="C328" s="2"/>
      <c r="D328" s="6"/>
    </row>
    <row r="329" spans="1:4" x14ac:dyDescent="0.3">
      <c r="A329" s="2"/>
      <c r="B329" s="2"/>
      <c r="C329" s="2"/>
      <c r="D329" s="6"/>
    </row>
    <row r="330" spans="1:4" x14ac:dyDescent="0.3">
      <c r="A330" s="2"/>
      <c r="B330" s="2"/>
      <c r="C330" s="2"/>
      <c r="D330" s="6"/>
    </row>
    <row r="331" spans="1:4" x14ac:dyDescent="0.3">
      <c r="A331" s="2"/>
      <c r="B331" s="2"/>
      <c r="C331" s="2"/>
      <c r="D331" s="6"/>
    </row>
    <row r="332" spans="1:4" x14ac:dyDescent="0.3">
      <c r="A332" s="2"/>
      <c r="B332" s="2"/>
      <c r="C332" s="2"/>
      <c r="D332" s="6"/>
    </row>
    <row r="333" spans="1:4" x14ac:dyDescent="0.3">
      <c r="A333" s="2"/>
      <c r="B333" s="2"/>
      <c r="C333" s="2"/>
      <c r="D333" s="6"/>
    </row>
    <row r="334" spans="1:4" x14ac:dyDescent="0.3">
      <c r="A334" s="2"/>
      <c r="B334" s="2"/>
      <c r="C334" s="2"/>
      <c r="D334" s="6"/>
    </row>
    <row r="335" spans="1:4" x14ac:dyDescent="0.3">
      <c r="A335" s="2"/>
      <c r="B335" s="2"/>
      <c r="C335" s="2"/>
      <c r="D335" s="6"/>
    </row>
    <row r="336" spans="1:4" x14ac:dyDescent="0.3">
      <c r="A336" s="2"/>
      <c r="B336" s="2"/>
      <c r="C336" s="2"/>
      <c r="D336" s="6"/>
    </row>
    <row r="337" spans="1:4" x14ac:dyDescent="0.3">
      <c r="A337" s="2"/>
      <c r="B337" s="2"/>
      <c r="C337" s="2"/>
      <c r="D337" s="6"/>
    </row>
    <row r="338" spans="1:4" x14ac:dyDescent="0.3">
      <c r="A338" s="2"/>
      <c r="B338" s="2"/>
      <c r="C338" s="2"/>
      <c r="D338" s="6"/>
    </row>
    <row r="339" spans="1:4" x14ac:dyDescent="0.3">
      <c r="A339" s="2"/>
      <c r="B339" s="2"/>
      <c r="C339" s="2"/>
      <c r="D339" s="6"/>
    </row>
    <row r="340" spans="1:4" x14ac:dyDescent="0.3">
      <c r="A340" s="2"/>
      <c r="B340" s="2"/>
      <c r="C340" s="2"/>
      <c r="D340" s="6"/>
    </row>
    <row r="341" spans="1:4" x14ac:dyDescent="0.3">
      <c r="A341" s="2"/>
      <c r="B341" s="2"/>
      <c r="C341" s="2"/>
      <c r="D341" s="6"/>
    </row>
    <row r="342" spans="1:4" x14ac:dyDescent="0.3">
      <c r="A342" s="2"/>
      <c r="B342" s="2"/>
      <c r="C342" s="2"/>
      <c r="D342" s="6"/>
    </row>
    <row r="343" spans="1:4" x14ac:dyDescent="0.3">
      <c r="A343" s="2"/>
      <c r="B343" s="2"/>
      <c r="C343" s="2"/>
      <c r="D343" s="6"/>
    </row>
    <row r="344" spans="1:4" x14ac:dyDescent="0.3">
      <c r="A344" s="2"/>
      <c r="B344" s="2"/>
      <c r="C344" s="2"/>
      <c r="D344" s="6"/>
    </row>
    <row r="345" spans="1:4" x14ac:dyDescent="0.3">
      <c r="A345" s="2"/>
      <c r="B345" s="2"/>
      <c r="C345" s="2"/>
      <c r="D345" s="6"/>
    </row>
    <row r="346" spans="1:4" x14ac:dyDescent="0.3">
      <c r="A346" s="2"/>
      <c r="B346" s="2"/>
      <c r="C346" s="2"/>
      <c r="D346" s="6"/>
    </row>
    <row r="347" spans="1:4" x14ac:dyDescent="0.3">
      <c r="A347" s="2"/>
      <c r="B347" s="2"/>
      <c r="C347" s="2"/>
      <c r="D347" s="6"/>
    </row>
    <row r="348" spans="1:4" x14ac:dyDescent="0.3">
      <c r="A348" s="2"/>
      <c r="B348" s="2"/>
      <c r="C348" s="2"/>
      <c r="D348" s="6"/>
    </row>
    <row r="349" spans="1:4" x14ac:dyDescent="0.3">
      <c r="A349" s="2"/>
      <c r="B349" s="2"/>
      <c r="C349" s="2"/>
      <c r="D349" s="6"/>
    </row>
    <row r="350" spans="1:4" x14ac:dyDescent="0.3">
      <c r="A350" s="2"/>
      <c r="B350" s="37"/>
      <c r="C350" s="2"/>
      <c r="D350" s="6"/>
    </row>
    <row r="351" spans="1:4" x14ac:dyDescent="0.3">
      <c r="A351" s="2"/>
      <c r="B351" s="2"/>
      <c r="C351" s="2"/>
      <c r="D351" s="6"/>
    </row>
    <row r="352" spans="1:4" x14ac:dyDescent="0.3">
      <c r="A352" s="2"/>
      <c r="B352" s="2"/>
      <c r="C352" s="2"/>
      <c r="D352" s="6"/>
    </row>
    <row r="353" spans="1:4" x14ac:dyDescent="0.3">
      <c r="A353" s="2"/>
      <c r="B353" s="2"/>
      <c r="C353" s="2"/>
      <c r="D353" s="6"/>
    </row>
    <row r="354" spans="1:4" x14ac:dyDescent="0.3">
      <c r="A354" s="2"/>
      <c r="B354" s="2"/>
      <c r="C354" s="2"/>
      <c r="D354" s="6"/>
    </row>
    <row r="355" spans="1:4" x14ac:dyDescent="0.3">
      <c r="A355" s="2"/>
      <c r="B355" s="2"/>
      <c r="C355" s="2"/>
      <c r="D355" s="6"/>
    </row>
    <row r="356" spans="1:4" x14ac:dyDescent="0.3">
      <c r="A356" s="2"/>
      <c r="B356" s="2"/>
      <c r="C356" s="2"/>
      <c r="D356" s="6"/>
    </row>
    <row r="357" spans="1:4" x14ac:dyDescent="0.3">
      <c r="A357" s="2"/>
      <c r="B357" s="2"/>
      <c r="C357" s="2"/>
      <c r="D357" s="6"/>
    </row>
    <row r="358" spans="1:4" x14ac:dyDescent="0.3">
      <c r="A358" s="2"/>
      <c r="B358" s="2"/>
      <c r="C358" s="2"/>
      <c r="D358" s="6"/>
    </row>
    <row r="359" spans="1:4" x14ac:dyDescent="0.3">
      <c r="A359" s="2"/>
      <c r="B359" s="2"/>
      <c r="C359" s="2"/>
      <c r="D359" s="6"/>
    </row>
    <row r="360" spans="1:4" x14ac:dyDescent="0.3">
      <c r="A360" s="2"/>
      <c r="B360" s="2"/>
      <c r="C360" s="2"/>
      <c r="D360" s="6"/>
    </row>
    <row r="361" spans="1:4" x14ac:dyDescent="0.3">
      <c r="A361" s="2"/>
      <c r="B361" s="2"/>
      <c r="C361" s="2"/>
      <c r="D361" s="6"/>
    </row>
    <row r="362" spans="1:4" x14ac:dyDescent="0.3">
      <c r="A362" s="2"/>
      <c r="B362" s="2"/>
      <c r="C362" s="2"/>
      <c r="D362" s="6"/>
    </row>
    <row r="363" spans="1:4" x14ac:dyDescent="0.3">
      <c r="A363" s="2"/>
      <c r="B363" s="2"/>
      <c r="C363" s="2"/>
      <c r="D363" s="6"/>
    </row>
    <row r="364" spans="1:4" x14ac:dyDescent="0.3">
      <c r="A364" s="2"/>
      <c r="B364" s="2"/>
      <c r="C364" s="2"/>
      <c r="D364" s="6"/>
    </row>
    <row r="365" spans="1:4" x14ac:dyDescent="0.3">
      <c r="A365" s="2"/>
      <c r="B365" s="2"/>
      <c r="C365" s="2"/>
      <c r="D365" s="6"/>
    </row>
    <row r="366" spans="1:4" x14ac:dyDescent="0.3">
      <c r="A366" s="2"/>
      <c r="B366" s="2"/>
      <c r="C366" s="2"/>
      <c r="D366" s="6"/>
    </row>
    <row r="367" spans="1:4" x14ac:dyDescent="0.3">
      <c r="A367" s="2"/>
      <c r="B367" s="2"/>
      <c r="C367" s="2"/>
      <c r="D367" s="6"/>
    </row>
    <row r="368" spans="1:4" x14ac:dyDescent="0.3">
      <c r="A368" s="2"/>
      <c r="B368" s="2"/>
      <c r="C368" s="2"/>
      <c r="D368" s="6"/>
    </row>
    <row r="369" spans="1:4" x14ac:dyDescent="0.3">
      <c r="A369" s="2"/>
      <c r="B369" s="2"/>
      <c r="C369" s="2"/>
      <c r="D369" s="6"/>
    </row>
    <row r="370" spans="1:4" x14ac:dyDescent="0.3">
      <c r="A370" s="2"/>
      <c r="B370" s="2"/>
      <c r="C370" s="2"/>
      <c r="D370" s="6"/>
    </row>
    <row r="371" spans="1:4" x14ac:dyDescent="0.3">
      <c r="A371" s="2"/>
      <c r="B371" s="2"/>
      <c r="C371" s="2"/>
      <c r="D371" s="6"/>
    </row>
    <row r="372" spans="1:4" x14ac:dyDescent="0.3">
      <c r="A372" s="2"/>
      <c r="B372" s="2"/>
      <c r="C372" s="2"/>
      <c r="D372" s="6"/>
    </row>
    <row r="373" spans="1:4" x14ac:dyDescent="0.3">
      <c r="A373" s="2"/>
      <c r="B373" s="2"/>
      <c r="C373" s="2"/>
      <c r="D373" s="6"/>
    </row>
    <row r="374" spans="1:4" x14ac:dyDescent="0.3">
      <c r="A374" s="2"/>
      <c r="B374" s="2"/>
      <c r="C374" s="2"/>
      <c r="D374" s="6"/>
    </row>
    <row r="375" spans="1:4" x14ac:dyDescent="0.3">
      <c r="A375" s="2"/>
      <c r="B375" s="2"/>
      <c r="C375" s="2"/>
      <c r="D375" s="6"/>
    </row>
    <row r="376" spans="1:4" x14ac:dyDescent="0.3">
      <c r="A376" s="2"/>
      <c r="B376" s="2"/>
      <c r="C376" s="2"/>
      <c r="D376" s="6"/>
    </row>
    <row r="377" spans="1:4" x14ac:dyDescent="0.3">
      <c r="A377" s="2"/>
      <c r="B377" s="2"/>
      <c r="C377" s="2"/>
      <c r="D377" s="6"/>
    </row>
    <row r="378" spans="1:4" x14ac:dyDescent="0.3">
      <c r="A378" s="2"/>
      <c r="B378" s="2"/>
      <c r="C378" s="2"/>
      <c r="D378" s="6"/>
    </row>
    <row r="379" spans="1:4" x14ac:dyDescent="0.3">
      <c r="A379" s="2"/>
      <c r="B379" s="2"/>
      <c r="C379" s="2"/>
      <c r="D379" s="6"/>
    </row>
    <row r="380" spans="1:4" x14ac:dyDescent="0.3">
      <c r="A380" s="2"/>
      <c r="B380" s="2"/>
      <c r="C380" s="2"/>
      <c r="D380" s="6"/>
    </row>
    <row r="381" spans="1:4" x14ac:dyDescent="0.3">
      <c r="A381" s="2"/>
      <c r="B381" s="2"/>
      <c r="C381" s="2"/>
      <c r="D381" s="6"/>
    </row>
    <row r="382" spans="1:4" x14ac:dyDescent="0.3">
      <c r="A382" s="2"/>
      <c r="B382" s="2"/>
      <c r="C382" s="2"/>
      <c r="D382" s="6"/>
    </row>
    <row r="383" spans="1:4" x14ac:dyDescent="0.3">
      <c r="A383" s="2"/>
      <c r="B383" s="2"/>
      <c r="C383" s="2"/>
      <c r="D383" s="6"/>
    </row>
    <row r="384" spans="1:4" x14ac:dyDescent="0.3">
      <c r="A384" s="2"/>
      <c r="B384" s="2"/>
      <c r="C384" s="2"/>
      <c r="D384" s="6"/>
    </row>
    <row r="385" spans="1:4" x14ac:dyDescent="0.3">
      <c r="A385" s="2"/>
      <c r="B385" s="2"/>
      <c r="C385" s="2"/>
      <c r="D385" s="6"/>
    </row>
    <row r="386" spans="1:4" x14ac:dyDescent="0.3">
      <c r="A386" s="2"/>
      <c r="B386" s="2"/>
      <c r="C386" s="2"/>
      <c r="D386" s="6"/>
    </row>
    <row r="387" spans="1:4" x14ac:dyDescent="0.3">
      <c r="A387" s="2"/>
      <c r="B387" s="2"/>
      <c r="C387" s="2"/>
      <c r="D387" s="6"/>
    </row>
    <row r="388" spans="1:4" x14ac:dyDescent="0.3">
      <c r="A388" s="2"/>
      <c r="B388" s="2"/>
      <c r="C388" s="2"/>
      <c r="D388" s="6"/>
    </row>
    <row r="389" spans="1:4" x14ac:dyDescent="0.3">
      <c r="A389" s="2"/>
      <c r="B389" s="2"/>
      <c r="C389" s="2"/>
      <c r="D389" s="6"/>
    </row>
    <row r="390" spans="1:4" x14ac:dyDescent="0.3">
      <c r="A390" s="2"/>
      <c r="B390" s="2"/>
      <c r="C390" s="2"/>
      <c r="D390" s="6"/>
    </row>
    <row r="391" spans="1:4" x14ac:dyDescent="0.3">
      <c r="A391" s="2"/>
      <c r="B391" s="2"/>
      <c r="C391" s="2"/>
      <c r="D391" s="6"/>
    </row>
    <row r="392" spans="1:4" x14ac:dyDescent="0.3">
      <c r="A392" s="2"/>
      <c r="B392" s="2"/>
      <c r="C392" s="2"/>
      <c r="D392" s="6"/>
    </row>
    <row r="393" spans="1:4" x14ac:dyDescent="0.3">
      <c r="A393" s="2"/>
      <c r="B393" s="2"/>
      <c r="C393" s="2"/>
      <c r="D393" s="6"/>
    </row>
    <row r="394" spans="1:4" x14ac:dyDescent="0.3">
      <c r="A394" s="2"/>
      <c r="B394" s="2"/>
      <c r="C394" s="2"/>
      <c r="D394" s="6"/>
    </row>
    <row r="395" spans="1:4" x14ac:dyDescent="0.3">
      <c r="A395" s="2"/>
      <c r="B395" s="2"/>
      <c r="C395" s="2"/>
      <c r="D395" s="6"/>
    </row>
    <row r="396" spans="1:4" x14ac:dyDescent="0.3">
      <c r="A396" s="2"/>
      <c r="B396" s="2"/>
      <c r="C396" s="2"/>
      <c r="D396" s="6"/>
    </row>
    <row r="397" spans="1:4" x14ac:dyDescent="0.3">
      <c r="A397" s="2"/>
      <c r="B397" s="2"/>
      <c r="C397" s="2"/>
      <c r="D397" s="6"/>
    </row>
    <row r="398" spans="1:4" x14ac:dyDescent="0.3">
      <c r="A398" s="2"/>
      <c r="B398" s="2"/>
      <c r="C398" s="2"/>
      <c r="D398" s="6"/>
    </row>
    <row r="399" spans="1:4" x14ac:dyDescent="0.3">
      <c r="A399" s="2"/>
      <c r="B399" s="2"/>
      <c r="C399" s="2"/>
      <c r="D399" s="6"/>
    </row>
    <row r="400" spans="1:4" x14ac:dyDescent="0.3">
      <c r="A400" s="2"/>
      <c r="B400" s="2"/>
      <c r="C400" s="2"/>
      <c r="D400" s="6"/>
    </row>
    <row r="401" spans="1:4" x14ac:dyDescent="0.3">
      <c r="A401" s="2"/>
      <c r="B401" s="2"/>
      <c r="C401" s="2"/>
      <c r="D401" s="6"/>
    </row>
    <row r="402" spans="1:4" x14ac:dyDescent="0.3">
      <c r="A402" s="2"/>
      <c r="B402" s="2"/>
      <c r="C402" s="2"/>
      <c r="D402" s="6"/>
    </row>
    <row r="403" spans="1:4" x14ac:dyDescent="0.3">
      <c r="A403" s="2"/>
      <c r="B403" s="2"/>
      <c r="C403" s="2"/>
      <c r="D403" s="6"/>
    </row>
    <row r="404" spans="1:4" x14ac:dyDescent="0.3">
      <c r="A404" s="2"/>
      <c r="B404" s="2"/>
      <c r="C404" s="2"/>
      <c r="D404" s="6"/>
    </row>
    <row r="405" spans="1:4" x14ac:dyDescent="0.3">
      <c r="A405" s="2"/>
      <c r="B405" s="2"/>
      <c r="C405" s="2"/>
      <c r="D405" s="6"/>
    </row>
    <row r="406" spans="1:4" x14ac:dyDescent="0.3">
      <c r="A406" s="2"/>
      <c r="B406" s="2"/>
      <c r="C406" s="2"/>
      <c r="D406" s="6"/>
    </row>
    <row r="407" spans="1:4" x14ac:dyDescent="0.3">
      <c r="A407" s="2"/>
      <c r="B407" s="2"/>
      <c r="C407" s="2"/>
      <c r="D407" s="6"/>
    </row>
    <row r="408" spans="1:4" x14ac:dyDescent="0.3">
      <c r="A408" s="2"/>
      <c r="B408" s="2"/>
      <c r="C408" s="2"/>
      <c r="D408" s="6"/>
    </row>
    <row r="409" spans="1:4" x14ac:dyDescent="0.3">
      <c r="A409" s="2"/>
      <c r="B409" s="2"/>
      <c r="C409" s="2"/>
      <c r="D409" s="6"/>
    </row>
    <row r="410" spans="1:4" x14ac:dyDescent="0.3">
      <c r="A410" s="2"/>
      <c r="B410" s="2"/>
      <c r="C410" s="2"/>
      <c r="D410" s="6"/>
    </row>
    <row r="411" spans="1:4" x14ac:dyDescent="0.3">
      <c r="A411" s="2"/>
      <c r="B411" s="2"/>
      <c r="C411" s="2"/>
      <c r="D411" s="6"/>
    </row>
    <row r="412" spans="1:4" x14ac:dyDescent="0.3">
      <c r="A412" s="2"/>
      <c r="B412" s="2"/>
      <c r="C412" s="2"/>
      <c r="D412" s="6"/>
    </row>
    <row r="413" spans="1:4" x14ac:dyDescent="0.3">
      <c r="A413" s="2"/>
      <c r="B413" s="2"/>
      <c r="C413" s="2"/>
      <c r="D413" s="6"/>
    </row>
    <row r="414" spans="1:4" x14ac:dyDescent="0.3">
      <c r="A414" s="2"/>
      <c r="B414" s="2"/>
      <c r="C414" s="2"/>
      <c r="D414" s="6"/>
    </row>
    <row r="415" spans="1:4" x14ac:dyDescent="0.3">
      <c r="A415" s="2"/>
      <c r="B415" s="2"/>
      <c r="C415" s="2"/>
      <c r="D415" s="6"/>
    </row>
    <row r="416" spans="1:4" x14ac:dyDescent="0.3">
      <c r="A416" s="2"/>
      <c r="B416" s="2"/>
      <c r="C416" s="2"/>
      <c r="D416" s="6"/>
    </row>
    <row r="417" spans="1:4" x14ac:dyDescent="0.3">
      <c r="A417" s="2"/>
      <c r="B417" s="2"/>
      <c r="C417" s="2"/>
      <c r="D417" s="6"/>
    </row>
    <row r="418" spans="1:4" x14ac:dyDescent="0.3">
      <c r="A418" s="2"/>
      <c r="B418" s="2"/>
      <c r="C418" s="2"/>
      <c r="D418" s="6"/>
    </row>
    <row r="419" spans="1:4" x14ac:dyDescent="0.3">
      <c r="A419" s="2"/>
      <c r="B419" s="2"/>
      <c r="C419" s="2"/>
      <c r="D419" s="6"/>
    </row>
    <row r="420" spans="1:4" x14ac:dyDescent="0.3">
      <c r="A420" s="2"/>
      <c r="B420" s="2"/>
      <c r="C420" s="2"/>
      <c r="D420" s="6"/>
    </row>
    <row r="421" spans="1:4" x14ac:dyDescent="0.3">
      <c r="A421" s="2"/>
      <c r="B421" s="2"/>
      <c r="C421" s="2"/>
      <c r="D421" s="6"/>
    </row>
    <row r="422" spans="1:4" x14ac:dyDescent="0.3">
      <c r="A422" s="2"/>
      <c r="B422" s="2"/>
      <c r="C422" s="2"/>
      <c r="D422" s="6"/>
    </row>
    <row r="423" spans="1:4" x14ac:dyDescent="0.3">
      <c r="A423" s="2"/>
      <c r="B423" s="2"/>
      <c r="C423" s="2"/>
      <c r="D423" s="6"/>
    </row>
    <row r="424" spans="1:4" x14ac:dyDescent="0.3">
      <c r="A424" s="2"/>
      <c r="B424" s="2"/>
      <c r="C424" s="2"/>
      <c r="D424" s="6"/>
    </row>
    <row r="425" spans="1:4" x14ac:dyDescent="0.3">
      <c r="A425" s="2"/>
      <c r="B425" s="2"/>
      <c r="C425" s="2"/>
      <c r="D425" s="6"/>
    </row>
    <row r="426" spans="1:4" x14ac:dyDescent="0.3">
      <c r="A426" s="2"/>
      <c r="B426" s="2"/>
      <c r="C426" s="2"/>
      <c r="D426" s="6"/>
    </row>
    <row r="427" spans="1:4" x14ac:dyDescent="0.3">
      <c r="A427" s="2"/>
      <c r="B427" s="2"/>
      <c r="C427" s="2"/>
      <c r="D427" s="6"/>
    </row>
    <row r="428" spans="1:4" x14ac:dyDescent="0.3">
      <c r="A428" s="2"/>
      <c r="B428" s="2"/>
      <c r="C428" s="2"/>
      <c r="D428" s="6"/>
    </row>
    <row r="429" spans="1:4" x14ac:dyDescent="0.3">
      <c r="A429" s="2"/>
      <c r="B429" s="2"/>
      <c r="C429" s="2"/>
      <c r="D429" s="6"/>
    </row>
    <row r="430" spans="1:4" x14ac:dyDescent="0.3">
      <c r="A430" s="2"/>
      <c r="B430" s="2"/>
      <c r="C430" s="2"/>
      <c r="D430" s="6"/>
    </row>
    <row r="431" spans="1:4" x14ac:dyDescent="0.3">
      <c r="A431" s="2"/>
      <c r="B431" s="2"/>
      <c r="C431" s="2"/>
      <c r="D431" s="6"/>
    </row>
    <row r="432" spans="1:4" x14ac:dyDescent="0.3">
      <c r="A432" s="2"/>
      <c r="B432" s="2"/>
      <c r="C432" s="2"/>
      <c r="D432" s="6"/>
    </row>
    <row r="433" spans="1:4" x14ac:dyDescent="0.3">
      <c r="A433" s="2"/>
      <c r="B433" s="2"/>
      <c r="C433" s="2"/>
      <c r="D433" s="6"/>
    </row>
    <row r="434" spans="1:4" x14ac:dyDescent="0.3">
      <c r="A434" s="2"/>
      <c r="B434" s="2"/>
      <c r="C434" s="2"/>
      <c r="D434" s="6"/>
    </row>
    <row r="435" spans="1:4" x14ac:dyDescent="0.3">
      <c r="A435" s="2"/>
      <c r="B435" s="2"/>
      <c r="C435" s="2"/>
      <c r="D435" s="6"/>
    </row>
    <row r="436" spans="1:4" x14ac:dyDescent="0.3">
      <c r="A436" s="2"/>
      <c r="B436" s="2"/>
      <c r="C436" s="2"/>
      <c r="D436" s="6"/>
    </row>
    <row r="437" spans="1:4" x14ac:dyDescent="0.3">
      <c r="A437" s="2"/>
      <c r="B437" s="2"/>
      <c r="C437" s="2"/>
      <c r="D437" s="6"/>
    </row>
    <row r="438" spans="1:4" x14ac:dyDescent="0.3">
      <c r="A438" s="2"/>
      <c r="B438" s="2"/>
      <c r="C438" s="2"/>
      <c r="D438" s="6"/>
    </row>
    <row r="439" spans="1:4" x14ac:dyDescent="0.3">
      <c r="A439" s="2"/>
      <c r="B439" s="2"/>
      <c r="C439" s="2"/>
      <c r="D439" s="6"/>
    </row>
    <row r="440" spans="1:4" x14ac:dyDescent="0.3">
      <c r="A440" s="2"/>
      <c r="B440" s="2"/>
      <c r="C440" s="2"/>
      <c r="D440" s="6"/>
    </row>
    <row r="441" spans="1:4" x14ac:dyDescent="0.3">
      <c r="A441" s="2"/>
      <c r="B441" s="2"/>
      <c r="C441" s="2"/>
      <c r="D441" s="6"/>
    </row>
    <row r="442" spans="1:4" x14ac:dyDescent="0.3">
      <c r="A442" s="2"/>
      <c r="B442" s="2"/>
      <c r="C442" s="2"/>
      <c r="D442" s="6"/>
    </row>
    <row r="443" spans="1:4" x14ac:dyDescent="0.3">
      <c r="A443" s="2"/>
      <c r="B443" s="2"/>
      <c r="C443" s="2"/>
      <c r="D443" s="6"/>
    </row>
    <row r="444" spans="1:4" x14ac:dyDescent="0.3">
      <c r="A444" s="2"/>
      <c r="B444" s="2"/>
      <c r="C444" s="2"/>
      <c r="D444" s="6"/>
    </row>
    <row r="445" spans="1:4" x14ac:dyDescent="0.3">
      <c r="A445" s="2"/>
      <c r="B445" s="2"/>
      <c r="C445" s="2"/>
      <c r="D445" s="6"/>
    </row>
    <row r="446" spans="1:4" x14ac:dyDescent="0.3">
      <c r="A446" s="2"/>
      <c r="B446" s="2"/>
      <c r="C446" s="2"/>
      <c r="D446" s="6"/>
    </row>
    <row r="447" spans="1:4" x14ac:dyDescent="0.3">
      <c r="A447" s="2"/>
      <c r="B447" s="2"/>
      <c r="C447" s="2"/>
      <c r="D447" s="6"/>
    </row>
    <row r="448" spans="1:4" x14ac:dyDescent="0.3">
      <c r="A448" s="2"/>
      <c r="B448" s="2"/>
      <c r="C448" s="2"/>
      <c r="D448" s="6"/>
    </row>
    <row r="449" spans="1:4" x14ac:dyDescent="0.3">
      <c r="A449" s="2"/>
      <c r="B449" s="2"/>
      <c r="C449" s="2"/>
      <c r="D449" s="6"/>
    </row>
    <row r="450" spans="1:4" x14ac:dyDescent="0.3">
      <c r="A450" s="2"/>
      <c r="B450" s="2"/>
      <c r="C450" s="2"/>
      <c r="D450" s="6"/>
    </row>
    <row r="451" spans="1:4" x14ac:dyDescent="0.3">
      <c r="A451" s="2"/>
      <c r="B451" s="2"/>
      <c r="C451" s="2"/>
      <c r="D451" s="6"/>
    </row>
    <row r="452" spans="1:4" x14ac:dyDescent="0.3">
      <c r="A452" s="2"/>
      <c r="B452" s="2"/>
      <c r="C452" s="2"/>
      <c r="D452" s="6"/>
    </row>
    <row r="453" spans="1:4" x14ac:dyDescent="0.3">
      <c r="A453" s="2"/>
      <c r="B453" s="2"/>
      <c r="C453" s="2"/>
      <c r="D453" s="6"/>
    </row>
    <row r="454" spans="1:4" x14ac:dyDescent="0.3">
      <c r="A454" s="2"/>
      <c r="B454" s="2"/>
      <c r="C454" s="2"/>
      <c r="D454" s="6"/>
    </row>
    <row r="455" spans="1:4" x14ac:dyDescent="0.3">
      <c r="A455" s="2"/>
      <c r="B455" s="2"/>
      <c r="C455" s="2"/>
      <c r="D455" s="6"/>
    </row>
    <row r="456" spans="1:4" x14ac:dyDescent="0.3">
      <c r="A456" s="2"/>
      <c r="B456" s="2"/>
      <c r="C456" s="2"/>
      <c r="D456" s="6"/>
    </row>
    <row r="457" spans="1:4" x14ac:dyDescent="0.3">
      <c r="A457" s="2"/>
      <c r="B457" s="2"/>
      <c r="C457" s="2"/>
      <c r="D457" s="6"/>
    </row>
    <row r="458" spans="1:4" x14ac:dyDescent="0.3">
      <c r="A458" s="2"/>
      <c r="B458" s="2"/>
      <c r="C458" s="2"/>
      <c r="D458" s="6"/>
    </row>
    <row r="459" spans="1:4" x14ac:dyDescent="0.3">
      <c r="A459" s="2"/>
      <c r="B459" s="2"/>
      <c r="C459" s="2"/>
      <c r="D459" s="6"/>
    </row>
    <row r="460" spans="1:4" x14ac:dyDescent="0.3">
      <c r="A460" s="2"/>
      <c r="B460" s="2"/>
      <c r="C460" s="2"/>
      <c r="D460" s="6"/>
    </row>
    <row r="461" spans="1:4" x14ac:dyDescent="0.3">
      <c r="A461" s="2"/>
      <c r="B461" s="2"/>
      <c r="C461" s="2"/>
      <c r="D461" s="6"/>
    </row>
    <row r="462" spans="1:4" x14ac:dyDescent="0.3">
      <c r="A462" s="2"/>
      <c r="B462" s="2"/>
      <c r="C462" s="2"/>
      <c r="D462" s="6"/>
    </row>
    <row r="463" spans="1:4" x14ac:dyDescent="0.3">
      <c r="A463" s="2"/>
      <c r="B463" s="2"/>
      <c r="C463" s="2"/>
      <c r="D463" s="6"/>
    </row>
    <row r="464" spans="1:4" x14ac:dyDescent="0.3">
      <c r="A464" s="2"/>
      <c r="B464" s="2"/>
      <c r="C464" s="2"/>
      <c r="D464" s="6"/>
    </row>
    <row r="465" spans="1:4" x14ac:dyDescent="0.3">
      <c r="A465" s="2"/>
      <c r="B465" s="2"/>
      <c r="C465" s="2"/>
      <c r="D465" s="6"/>
    </row>
    <row r="466" spans="1:4" x14ac:dyDescent="0.3">
      <c r="A466" s="2"/>
      <c r="B466" s="2"/>
      <c r="C466" s="2"/>
      <c r="D466" s="6"/>
    </row>
    <row r="467" spans="1:4" x14ac:dyDescent="0.3">
      <c r="A467" s="2"/>
      <c r="B467" s="2"/>
      <c r="C467" s="2"/>
      <c r="D467" s="6"/>
    </row>
    <row r="468" spans="1:4" x14ac:dyDescent="0.3">
      <c r="A468" s="2"/>
      <c r="B468" s="2"/>
      <c r="C468" s="2"/>
      <c r="D468" s="6"/>
    </row>
    <row r="469" spans="1:4" x14ac:dyDescent="0.3">
      <c r="A469" s="2"/>
      <c r="B469" s="2"/>
      <c r="C469" s="2"/>
      <c r="D469" s="6"/>
    </row>
    <row r="470" spans="1:4" x14ac:dyDescent="0.3">
      <c r="A470" s="2"/>
      <c r="B470" s="2"/>
      <c r="C470" s="2"/>
      <c r="D470" s="6"/>
    </row>
    <row r="471" spans="1:4" x14ac:dyDescent="0.3">
      <c r="A471" s="2"/>
      <c r="B471" s="2"/>
      <c r="C471" s="2"/>
      <c r="D471" s="6"/>
    </row>
    <row r="472" spans="1:4" x14ac:dyDescent="0.3">
      <c r="A472" s="2"/>
      <c r="B472" s="2"/>
      <c r="C472" s="2"/>
      <c r="D472" s="6"/>
    </row>
    <row r="473" spans="1:4" x14ac:dyDescent="0.3">
      <c r="A473" s="2"/>
      <c r="B473" s="2"/>
      <c r="C473" s="2"/>
      <c r="D473" s="6"/>
    </row>
    <row r="474" spans="1:4" x14ac:dyDescent="0.3">
      <c r="A474" s="2"/>
      <c r="B474" s="2"/>
      <c r="C474" s="2"/>
      <c r="D474" s="6"/>
    </row>
    <row r="475" spans="1:4" x14ac:dyDescent="0.3">
      <c r="A475" s="2"/>
      <c r="B475" s="2"/>
      <c r="C475" s="2"/>
      <c r="D475" s="6"/>
    </row>
    <row r="476" spans="1:4" x14ac:dyDescent="0.3">
      <c r="A476" s="2"/>
      <c r="B476" s="2"/>
      <c r="C476" s="2"/>
      <c r="D476" s="6"/>
    </row>
    <row r="477" spans="1:4" x14ac:dyDescent="0.3">
      <c r="A477" s="2"/>
      <c r="B477" s="2"/>
      <c r="C477" s="2"/>
      <c r="D477" s="6"/>
    </row>
    <row r="478" spans="1:4" x14ac:dyDescent="0.3">
      <c r="A478" s="2"/>
      <c r="B478" s="2"/>
      <c r="C478" s="2"/>
      <c r="D478" s="6"/>
    </row>
    <row r="479" spans="1:4" x14ac:dyDescent="0.3">
      <c r="A479" s="2"/>
      <c r="B479" s="2"/>
      <c r="C479" s="2"/>
      <c r="D479" s="6"/>
    </row>
    <row r="480" spans="1:4" x14ac:dyDescent="0.3">
      <c r="A480" s="2"/>
      <c r="B480" s="2"/>
      <c r="C480" s="2"/>
      <c r="D480" s="6"/>
    </row>
    <row r="481" spans="1:4" x14ac:dyDescent="0.3">
      <c r="A481" s="2"/>
      <c r="B481" s="2"/>
      <c r="C481" s="2"/>
      <c r="D481" s="6"/>
    </row>
    <row r="482" spans="1:4" x14ac:dyDescent="0.3">
      <c r="A482" s="2"/>
      <c r="B482" s="2"/>
      <c r="C482" s="2"/>
      <c r="D482" s="6"/>
    </row>
    <row r="483" spans="1:4" x14ac:dyDescent="0.3">
      <c r="A483" s="2"/>
      <c r="B483" s="2"/>
      <c r="C483" s="2"/>
      <c r="D483" s="6"/>
    </row>
    <row r="484" spans="1:4" x14ac:dyDescent="0.3">
      <c r="A484" s="2"/>
      <c r="B484" s="2"/>
      <c r="C484" s="2"/>
      <c r="D484" s="6"/>
    </row>
    <row r="485" spans="1:4" x14ac:dyDescent="0.3">
      <c r="A485" s="2"/>
      <c r="B485" s="2"/>
      <c r="C485" s="2"/>
      <c r="D485" s="6"/>
    </row>
    <row r="486" spans="1:4" x14ac:dyDescent="0.3">
      <c r="A486" s="2"/>
      <c r="B486" s="2"/>
      <c r="C486" s="2"/>
      <c r="D486" s="6"/>
    </row>
    <row r="487" spans="1:4" x14ac:dyDescent="0.3">
      <c r="A487" s="2"/>
      <c r="B487" s="2"/>
      <c r="C487" s="2"/>
      <c r="D487" s="6"/>
    </row>
    <row r="488" spans="1:4" x14ac:dyDescent="0.3">
      <c r="A488" s="2"/>
      <c r="B488" s="2"/>
      <c r="C488" s="2"/>
      <c r="D488" s="6"/>
    </row>
    <row r="489" spans="1:4" x14ac:dyDescent="0.3">
      <c r="A489" s="2"/>
      <c r="B489" s="2"/>
      <c r="C489" s="2"/>
      <c r="D489" s="6"/>
    </row>
    <row r="490" spans="1:4" x14ac:dyDescent="0.3">
      <c r="A490" s="2"/>
      <c r="B490" s="2"/>
      <c r="C490" s="2"/>
      <c r="D490" s="6"/>
    </row>
    <row r="491" spans="1:4" x14ac:dyDescent="0.3">
      <c r="A491" s="2"/>
      <c r="B491" s="2"/>
      <c r="C491" s="2"/>
      <c r="D491" s="6"/>
    </row>
    <row r="492" spans="1:4" x14ac:dyDescent="0.3">
      <c r="A492" s="2"/>
      <c r="B492" s="2"/>
      <c r="C492" s="2"/>
      <c r="D492" s="6"/>
    </row>
    <row r="493" spans="1:4" x14ac:dyDescent="0.3">
      <c r="A493" s="2"/>
      <c r="B493" s="2"/>
      <c r="C493" s="2"/>
      <c r="D493" s="6"/>
    </row>
    <row r="494" spans="1:4" x14ac:dyDescent="0.3">
      <c r="A494" s="2"/>
      <c r="B494" s="2"/>
      <c r="C494" s="2"/>
      <c r="D494" s="6"/>
    </row>
    <row r="495" spans="1:4" x14ac:dyDescent="0.3">
      <c r="A495" s="2"/>
      <c r="B495" s="2"/>
      <c r="C495" s="2"/>
      <c r="D495" s="6"/>
    </row>
    <row r="496" spans="1:4" x14ac:dyDescent="0.3">
      <c r="A496" s="2"/>
      <c r="B496" s="2"/>
      <c r="C496" s="2"/>
      <c r="D496" s="6"/>
    </row>
    <row r="497" spans="1:4" x14ac:dyDescent="0.3">
      <c r="A497" s="2"/>
      <c r="B497" s="2"/>
      <c r="C497" s="2"/>
      <c r="D497" s="6"/>
    </row>
    <row r="498" spans="1:4" x14ac:dyDescent="0.3">
      <c r="A498" s="2"/>
      <c r="B498" s="2"/>
      <c r="C498" s="2"/>
      <c r="D498" s="6"/>
    </row>
    <row r="499" spans="1:4" x14ac:dyDescent="0.3">
      <c r="A499" s="2"/>
      <c r="B499" s="2"/>
      <c r="C499" s="2"/>
      <c r="D499" s="6"/>
    </row>
    <row r="500" spans="1:4" x14ac:dyDescent="0.3">
      <c r="A500" s="2"/>
      <c r="B500" s="2"/>
      <c r="C500" s="2"/>
      <c r="D500" s="6"/>
    </row>
    <row r="501" spans="1:4" x14ac:dyDescent="0.3">
      <c r="A501" s="2"/>
      <c r="B501" s="2"/>
      <c r="C501" s="2"/>
      <c r="D501" s="6"/>
    </row>
    <row r="502" spans="1:4" x14ac:dyDescent="0.3">
      <c r="A502" s="2"/>
      <c r="B502" s="2"/>
      <c r="C502" s="2"/>
      <c r="D502" s="6"/>
    </row>
    <row r="503" spans="1:4" x14ac:dyDescent="0.3">
      <c r="A503" s="2"/>
      <c r="B503" s="2"/>
      <c r="C503" s="2"/>
      <c r="D503" s="6"/>
    </row>
    <row r="504" spans="1:4" x14ac:dyDescent="0.3">
      <c r="A504" s="2"/>
      <c r="B504" s="2"/>
      <c r="C504" s="2"/>
      <c r="D504" s="6"/>
    </row>
    <row r="505" spans="1:4" x14ac:dyDescent="0.3">
      <c r="A505" s="2"/>
      <c r="B505" s="2"/>
      <c r="C505" s="2"/>
      <c r="D505" s="6"/>
    </row>
    <row r="506" spans="1:4" x14ac:dyDescent="0.3">
      <c r="A506" s="2"/>
      <c r="B506" s="2"/>
      <c r="C506" s="2"/>
      <c r="D506" s="6"/>
    </row>
    <row r="507" spans="1:4" x14ac:dyDescent="0.3">
      <c r="A507" s="2"/>
      <c r="B507" s="2"/>
      <c r="C507" s="2"/>
      <c r="D507" s="6"/>
    </row>
    <row r="508" spans="1:4" x14ac:dyDescent="0.3">
      <c r="A508" s="2"/>
      <c r="B508" s="2"/>
      <c r="C508" s="2"/>
      <c r="D508" s="6"/>
    </row>
    <row r="509" spans="1:4" x14ac:dyDescent="0.3">
      <c r="A509" s="2"/>
      <c r="B509" s="2"/>
      <c r="C509" s="2"/>
      <c r="D509" s="6"/>
    </row>
    <row r="510" spans="1:4" x14ac:dyDescent="0.3">
      <c r="A510" s="2"/>
      <c r="B510" s="2"/>
      <c r="C510" s="2"/>
      <c r="D510" s="6"/>
    </row>
    <row r="511" spans="1:4" x14ac:dyDescent="0.3">
      <c r="A511" s="2"/>
      <c r="B511" s="2"/>
      <c r="C511" s="2"/>
      <c r="D511" s="6"/>
    </row>
    <row r="512" spans="1:4" x14ac:dyDescent="0.3">
      <c r="A512" s="2"/>
      <c r="B512" s="2"/>
      <c r="C512" s="2"/>
      <c r="D512" s="6"/>
    </row>
    <row r="513" spans="1:4" x14ac:dyDescent="0.3">
      <c r="A513" s="2"/>
      <c r="B513" s="2"/>
      <c r="C513" s="2"/>
      <c r="D513" s="6"/>
    </row>
    <row r="514" spans="1:4" x14ac:dyDescent="0.3">
      <c r="A514" s="2"/>
      <c r="B514" s="2"/>
      <c r="C514" s="2"/>
      <c r="D514" s="6"/>
    </row>
    <row r="515" spans="1:4" x14ac:dyDescent="0.3">
      <c r="A515" s="2"/>
      <c r="B515" s="37"/>
      <c r="C515" s="2"/>
      <c r="D515" s="6"/>
    </row>
    <row r="516" spans="1:4" x14ac:dyDescent="0.3">
      <c r="A516" s="2"/>
      <c r="B516" s="2"/>
      <c r="C516" s="2"/>
      <c r="D516" s="6"/>
    </row>
    <row r="517" spans="1:4" x14ac:dyDescent="0.3">
      <c r="A517" s="2"/>
      <c r="B517" s="2"/>
      <c r="C517" s="2"/>
      <c r="D517" s="6"/>
    </row>
    <row r="518" spans="1:4" x14ac:dyDescent="0.3">
      <c r="A518" s="2"/>
      <c r="B518" s="2"/>
      <c r="C518" s="2"/>
      <c r="D518" s="6"/>
    </row>
    <row r="519" spans="1:4" x14ac:dyDescent="0.3">
      <c r="A519" s="2"/>
      <c r="B519" s="2"/>
      <c r="C519" s="2"/>
      <c r="D519" s="6"/>
    </row>
    <row r="520" spans="1:4" x14ac:dyDescent="0.3">
      <c r="A520" s="2"/>
      <c r="B520" s="2"/>
      <c r="C520" s="2"/>
      <c r="D520" s="6"/>
    </row>
    <row r="521" spans="1:4" x14ac:dyDescent="0.3">
      <c r="A521" s="2"/>
      <c r="B521" s="2"/>
      <c r="C521" s="2"/>
      <c r="D521" s="6"/>
    </row>
    <row r="522" spans="1:4" x14ac:dyDescent="0.3">
      <c r="A522" s="2"/>
      <c r="B522" s="2"/>
      <c r="C522" s="2"/>
      <c r="D522" s="6"/>
    </row>
    <row r="523" spans="1:4" x14ac:dyDescent="0.3">
      <c r="A523" s="2"/>
      <c r="B523" s="2"/>
      <c r="C523" s="2"/>
      <c r="D523" s="6"/>
    </row>
    <row r="524" spans="1:4" x14ac:dyDescent="0.3">
      <c r="A524" s="2"/>
      <c r="B524" s="2"/>
      <c r="C524" s="2"/>
      <c r="D524" s="6"/>
    </row>
    <row r="525" spans="1:4" x14ac:dyDescent="0.3">
      <c r="A525" s="2"/>
      <c r="B525" s="2"/>
      <c r="C525" s="2"/>
      <c r="D525" s="6"/>
    </row>
    <row r="526" spans="1:4" x14ac:dyDescent="0.3">
      <c r="A526" s="2"/>
      <c r="B526" s="2"/>
      <c r="C526" s="2"/>
      <c r="D526" s="6"/>
    </row>
    <row r="527" spans="1:4" x14ac:dyDescent="0.3">
      <c r="A527" s="2"/>
      <c r="B527" s="2"/>
      <c r="C527" s="2"/>
      <c r="D527" s="6"/>
    </row>
    <row r="528" spans="1:4" x14ac:dyDescent="0.3">
      <c r="A528" s="2"/>
      <c r="B528" s="2"/>
      <c r="C528" s="2"/>
      <c r="D528" s="6"/>
    </row>
    <row r="529" spans="1:4" x14ac:dyDescent="0.3">
      <c r="A529" s="2"/>
      <c r="B529" s="2"/>
      <c r="C529" s="2"/>
      <c r="D529" s="6"/>
    </row>
    <row r="530" spans="1:4" x14ac:dyDescent="0.3">
      <c r="A530" s="2"/>
      <c r="B530" s="2"/>
      <c r="C530" s="2"/>
      <c r="D530" s="6"/>
    </row>
    <row r="531" spans="1:4" x14ac:dyDescent="0.3">
      <c r="A531" s="2"/>
      <c r="B531" s="2"/>
      <c r="C531" s="2"/>
      <c r="D531" s="6"/>
    </row>
    <row r="532" spans="1:4" x14ac:dyDescent="0.3">
      <c r="A532" s="2"/>
      <c r="B532" s="2"/>
      <c r="C532" s="2"/>
      <c r="D532" s="6"/>
    </row>
    <row r="533" spans="1:4" x14ac:dyDescent="0.3">
      <c r="A533" s="2"/>
      <c r="B533" s="2"/>
      <c r="C533" s="2"/>
      <c r="D533" s="6"/>
    </row>
    <row r="534" spans="1:4" x14ac:dyDescent="0.3">
      <c r="A534" s="2"/>
      <c r="B534" s="2"/>
      <c r="C534" s="2"/>
      <c r="D534" s="6"/>
    </row>
    <row r="535" spans="1:4" x14ac:dyDescent="0.3">
      <c r="A535" s="2"/>
      <c r="B535" s="2"/>
      <c r="C535" s="2"/>
      <c r="D535" s="6"/>
    </row>
    <row r="536" spans="1:4" x14ac:dyDescent="0.3">
      <c r="A536" s="2"/>
      <c r="B536" s="2"/>
      <c r="C536" s="2"/>
      <c r="D536" s="6"/>
    </row>
    <row r="537" spans="1:4" x14ac:dyDescent="0.3">
      <c r="A537" s="2"/>
      <c r="B537" s="2"/>
      <c r="C537" s="2"/>
      <c r="D537" s="6"/>
    </row>
    <row r="538" spans="1:4" x14ac:dyDescent="0.3">
      <c r="A538" s="2"/>
      <c r="B538" s="2"/>
      <c r="C538" s="2"/>
      <c r="D538" s="6"/>
    </row>
    <row r="539" spans="1:4" x14ac:dyDescent="0.3">
      <c r="A539" s="2"/>
      <c r="B539" s="2"/>
      <c r="C539" s="2"/>
      <c r="D539" s="6"/>
    </row>
    <row r="540" spans="1:4" x14ac:dyDescent="0.3">
      <c r="A540" s="2"/>
      <c r="B540" s="2"/>
      <c r="C540" s="2"/>
      <c r="D540" s="6"/>
    </row>
    <row r="541" spans="1:4" x14ac:dyDescent="0.3">
      <c r="A541" s="2"/>
      <c r="B541" s="2"/>
      <c r="C541" s="2"/>
      <c r="D541" s="6"/>
    </row>
    <row r="542" spans="1:4" x14ac:dyDescent="0.3">
      <c r="A542" s="2"/>
      <c r="B542" s="2"/>
      <c r="C542" s="2"/>
      <c r="D542" s="6"/>
    </row>
    <row r="543" spans="1:4" x14ac:dyDescent="0.3">
      <c r="A543" s="2"/>
      <c r="B543" s="2"/>
      <c r="C543" s="2"/>
      <c r="D543" s="6"/>
    </row>
    <row r="544" spans="1:4" x14ac:dyDescent="0.3">
      <c r="A544" s="2"/>
      <c r="B544" s="2"/>
      <c r="C544" s="2"/>
      <c r="D544" s="6"/>
    </row>
    <row r="545" spans="1:4" x14ac:dyDescent="0.3">
      <c r="A545" s="2"/>
      <c r="B545" s="2"/>
      <c r="C545" s="2"/>
      <c r="D545" s="6"/>
    </row>
    <row r="546" spans="1:4" x14ac:dyDescent="0.3">
      <c r="A546" s="2"/>
      <c r="B546" s="2"/>
      <c r="C546" s="2"/>
      <c r="D546" s="6"/>
    </row>
    <row r="547" spans="1:4" x14ac:dyDescent="0.3">
      <c r="A547" s="2"/>
      <c r="B547" s="2"/>
      <c r="C547" s="2"/>
      <c r="D547" s="6"/>
    </row>
    <row r="548" spans="1:4" x14ac:dyDescent="0.3">
      <c r="A548" s="2"/>
      <c r="B548" s="2"/>
      <c r="C548" s="2"/>
      <c r="D548" s="6"/>
    </row>
    <row r="549" spans="1:4" x14ac:dyDescent="0.3">
      <c r="A549" s="2"/>
      <c r="B549" s="2"/>
      <c r="C549" s="2"/>
      <c r="D549" s="6"/>
    </row>
    <row r="550" spans="1:4" x14ac:dyDescent="0.3">
      <c r="A550" s="2"/>
      <c r="B550" s="2"/>
      <c r="C550" s="2"/>
      <c r="D550" s="6"/>
    </row>
    <row r="551" spans="1:4" x14ac:dyDescent="0.3">
      <c r="A551" s="2"/>
      <c r="B551" s="2"/>
      <c r="C551" s="2"/>
      <c r="D551" s="6"/>
    </row>
    <row r="552" spans="1:4" x14ac:dyDescent="0.3">
      <c r="A552" s="2"/>
      <c r="B552" s="2"/>
      <c r="C552" s="2"/>
      <c r="D552" s="6"/>
    </row>
    <row r="553" spans="1:4" x14ac:dyDescent="0.3">
      <c r="A553" s="2"/>
      <c r="B553" s="2"/>
      <c r="C553" s="2"/>
      <c r="D553" s="6"/>
    </row>
    <row r="554" spans="1:4" x14ac:dyDescent="0.3">
      <c r="A554" s="2"/>
      <c r="B554" s="2"/>
      <c r="C554" s="2"/>
      <c r="D554" s="6"/>
    </row>
    <row r="555" spans="1:4" x14ac:dyDescent="0.3">
      <c r="A555" s="2"/>
      <c r="B555" s="2"/>
      <c r="C555" s="2"/>
      <c r="D555" s="6"/>
    </row>
    <row r="556" spans="1:4" x14ac:dyDescent="0.3">
      <c r="A556" s="2"/>
      <c r="B556" s="2"/>
      <c r="C556" s="2"/>
      <c r="D556" s="6"/>
    </row>
    <row r="557" spans="1:4" x14ac:dyDescent="0.3">
      <c r="A557" s="2"/>
      <c r="B557" s="2"/>
      <c r="C557" s="2"/>
      <c r="D557" s="6"/>
    </row>
    <row r="558" spans="1:4" x14ac:dyDescent="0.3">
      <c r="A558" s="2"/>
      <c r="B558" s="2"/>
      <c r="C558" s="2"/>
      <c r="D558" s="6"/>
    </row>
    <row r="559" spans="1:4" x14ac:dyDescent="0.3">
      <c r="A559" s="2"/>
      <c r="B559" s="2"/>
      <c r="C559" s="2"/>
      <c r="D559" s="6"/>
    </row>
    <row r="560" spans="1:4" x14ac:dyDescent="0.3">
      <c r="A560" s="2"/>
      <c r="B560" s="2"/>
      <c r="C560" s="2"/>
      <c r="D560" s="6"/>
    </row>
    <row r="561" spans="1:4" x14ac:dyDescent="0.3">
      <c r="A561" s="2"/>
      <c r="B561" s="2"/>
      <c r="C561" s="2"/>
      <c r="D561" s="6"/>
    </row>
    <row r="562" spans="1:4" x14ac:dyDescent="0.3">
      <c r="A562" s="2"/>
      <c r="B562" s="2"/>
      <c r="C562" s="2"/>
      <c r="D562" s="6"/>
    </row>
    <row r="563" spans="1:4" x14ac:dyDescent="0.3">
      <c r="A563" s="2"/>
      <c r="B563" s="2"/>
      <c r="C563" s="2"/>
      <c r="D563" s="6"/>
    </row>
    <row r="564" spans="1:4" x14ac:dyDescent="0.3">
      <c r="A564" s="2"/>
      <c r="B564" s="2"/>
      <c r="C564" s="2"/>
      <c r="D564" s="6"/>
    </row>
    <row r="565" spans="1:4" x14ac:dyDescent="0.3">
      <c r="A565" s="2"/>
      <c r="B565" s="2"/>
      <c r="C565" s="2"/>
      <c r="D565" s="6"/>
    </row>
    <row r="566" spans="1:4" x14ac:dyDescent="0.3">
      <c r="A566" s="2"/>
      <c r="B566" s="2"/>
      <c r="C566" s="2"/>
      <c r="D566" s="6"/>
    </row>
    <row r="567" spans="1:4" x14ac:dyDescent="0.3">
      <c r="A567" s="2"/>
      <c r="B567" s="2"/>
      <c r="C567" s="2"/>
      <c r="D567" s="6"/>
    </row>
    <row r="568" spans="1:4" x14ac:dyDescent="0.3">
      <c r="A568" s="2"/>
      <c r="B568" s="2"/>
      <c r="C568" s="2"/>
      <c r="D568" s="6"/>
    </row>
    <row r="569" spans="1:4" x14ac:dyDescent="0.3">
      <c r="A569" s="2"/>
      <c r="B569" s="2"/>
      <c r="C569" s="2"/>
      <c r="D569" s="6"/>
    </row>
    <row r="570" spans="1:4" x14ac:dyDescent="0.3">
      <c r="A570" s="2"/>
      <c r="B570" s="2"/>
      <c r="C570" s="2"/>
      <c r="D570" s="6"/>
    </row>
    <row r="571" spans="1:4" x14ac:dyDescent="0.3">
      <c r="A571" s="2"/>
      <c r="B571" s="2"/>
      <c r="C571" s="2"/>
      <c r="D571" s="6"/>
    </row>
    <row r="572" spans="1:4" x14ac:dyDescent="0.3">
      <c r="A572" s="2"/>
      <c r="B572" s="2"/>
      <c r="C572" s="2"/>
      <c r="D572" s="6"/>
    </row>
    <row r="573" spans="1:4" x14ac:dyDescent="0.3">
      <c r="A573" s="2"/>
      <c r="B573" s="2"/>
      <c r="C573" s="2"/>
      <c r="D573" s="6"/>
    </row>
    <row r="574" spans="1:4" x14ac:dyDescent="0.3">
      <c r="A574" s="2"/>
      <c r="B574" s="2"/>
      <c r="C574" s="2"/>
      <c r="D574" s="6"/>
    </row>
    <row r="575" spans="1:4" x14ac:dyDescent="0.3">
      <c r="A575" s="2"/>
      <c r="B575" s="2"/>
      <c r="C575" s="2"/>
      <c r="D575" s="6"/>
    </row>
    <row r="576" spans="1:4" x14ac:dyDescent="0.3">
      <c r="A576" s="2"/>
      <c r="B576" s="2"/>
      <c r="C576" s="2"/>
      <c r="D576" s="6"/>
    </row>
    <row r="577" spans="1:4" x14ac:dyDescent="0.3">
      <c r="A577" s="2"/>
      <c r="B577" s="2"/>
      <c r="C577" s="2"/>
      <c r="D577" s="6"/>
    </row>
    <row r="578" spans="1:4" x14ac:dyDescent="0.3">
      <c r="A578" s="2"/>
      <c r="B578" s="2"/>
      <c r="C578" s="2"/>
      <c r="D578" s="6"/>
    </row>
    <row r="579" spans="1:4" x14ac:dyDescent="0.3">
      <c r="A579" s="2"/>
      <c r="B579" s="2"/>
      <c r="C579" s="2"/>
      <c r="D579" s="6"/>
    </row>
    <row r="580" spans="1:4" x14ac:dyDescent="0.3">
      <c r="A580" s="2"/>
      <c r="B580" s="2"/>
      <c r="C580" s="2"/>
      <c r="D580" s="6"/>
    </row>
    <row r="581" spans="1:4" x14ac:dyDescent="0.3">
      <c r="A581" s="2"/>
      <c r="B581" s="2"/>
      <c r="C581" s="2"/>
      <c r="D581" s="6"/>
    </row>
    <row r="582" spans="1:4" x14ac:dyDescent="0.3">
      <c r="A582" s="2"/>
      <c r="B582" s="2"/>
      <c r="C582" s="2"/>
      <c r="D582" s="6"/>
    </row>
    <row r="583" spans="1:4" x14ac:dyDescent="0.3">
      <c r="A583" s="2"/>
      <c r="B583" s="2"/>
      <c r="C583" s="2"/>
      <c r="D583" s="6"/>
    </row>
    <row r="584" spans="1:4" x14ac:dyDescent="0.3">
      <c r="A584" s="2"/>
      <c r="B584" s="2"/>
      <c r="C584" s="2"/>
      <c r="D584" s="6"/>
    </row>
    <row r="585" spans="1:4" x14ac:dyDescent="0.3">
      <c r="A585" s="2"/>
      <c r="B585" s="2"/>
      <c r="C585" s="2"/>
      <c r="D585" s="6"/>
    </row>
    <row r="586" spans="1:4" x14ac:dyDescent="0.3">
      <c r="A586" s="2"/>
      <c r="B586" s="2"/>
      <c r="C586" s="2"/>
      <c r="D586" s="6"/>
    </row>
    <row r="587" spans="1:4" x14ac:dyDescent="0.3">
      <c r="A587" s="2"/>
      <c r="B587" s="2"/>
      <c r="C587" s="2"/>
      <c r="D587" s="6"/>
    </row>
    <row r="588" spans="1:4" x14ac:dyDescent="0.3">
      <c r="A588" s="2"/>
      <c r="B588" s="2"/>
      <c r="C588" s="2"/>
      <c r="D588" s="6"/>
    </row>
    <row r="589" spans="1:4" x14ac:dyDescent="0.3">
      <c r="A589" s="2"/>
      <c r="B589" s="2"/>
      <c r="C589" s="2"/>
      <c r="D589" s="6"/>
    </row>
    <row r="590" spans="1:4" x14ac:dyDescent="0.3">
      <c r="A590" s="2"/>
      <c r="B590" s="2"/>
      <c r="C590" s="2"/>
      <c r="D590" s="6"/>
    </row>
    <row r="591" spans="1:4" x14ac:dyDescent="0.3">
      <c r="A591" s="2"/>
      <c r="B591" s="2"/>
      <c r="C591" s="2"/>
      <c r="D591" s="6"/>
    </row>
    <row r="592" spans="1:4" x14ac:dyDescent="0.3">
      <c r="A592" s="2"/>
      <c r="B592" s="2"/>
      <c r="C592" s="2"/>
      <c r="D592" s="6"/>
    </row>
    <row r="593" spans="1:4" x14ac:dyDescent="0.3">
      <c r="A593" s="2"/>
      <c r="B593" s="2"/>
      <c r="C593" s="2"/>
      <c r="D593" s="6"/>
    </row>
    <row r="594" spans="1:4" x14ac:dyDescent="0.3">
      <c r="A594" s="2"/>
      <c r="B594" s="2"/>
      <c r="C594" s="2"/>
      <c r="D594" s="6"/>
    </row>
    <row r="595" spans="1:4" x14ac:dyDescent="0.3">
      <c r="A595" s="2"/>
      <c r="B595" s="2"/>
      <c r="C595" s="2"/>
      <c r="D595" s="6"/>
    </row>
    <row r="596" spans="1:4" x14ac:dyDescent="0.3">
      <c r="A596" s="2"/>
      <c r="B596" s="2"/>
      <c r="C596" s="2"/>
      <c r="D596" s="6"/>
    </row>
    <row r="597" spans="1:4" x14ac:dyDescent="0.3">
      <c r="A597" s="2"/>
      <c r="B597" s="2"/>
      <c r="C597" s="2"/>
      <c r="D597" s="6"/>
    </row>
    <row r="598" spans="1:4" x14ac:dyDescent="0.3">
      <c r="A598" s="2"/>
      <c r="B598" s="2"/>
      <c r="C598" s="2"/>
      <c r="D598" s="6"/>
    </row>
    <row r="599" spans="1:4" x14ac:dyDescent="0.3">
      <c r="A599" s="2"/>
      <c r="B599" s="2"/>
      <c r="C599" s="2"/>
      <c r="D599" s="6"/>
    </row>
    <row r="600" spans="1:4" x14ac:dyDescent="0.3">
      <c r="A600" s="2"/>
      <c r="B600" s="2"/>
      <c r="C600" s="2"/>
      <c r="D600" s="6"/>
    </row>
    <row r="601" spans="1:4" x14ac:dyDescent="0.3">
      <c r="A601" s="2"/>
      <c r="B601" s="2"/>
      <c r="C601" s="2"/>
      <c r="D601" s="6"/>
    </row>
    <row r="602" spans="1:4" x14ac:dyDescent="0.3">
      <c r="A602" s="2"/>
      <c r="B602" s="2"/>
      <c r="C602" s="2"/>
      <c r="D602" s="6"/>
    </row>
    <row r="603" spans="1:4" x14ac:dyDescent="0.3">
      <c r="A603" s="2"/>
      <c r="B603" s="2"/>
      <c r="C603" s="2"/>
      <c r="D603" s="6"/>
    </row>
    <row r="604" spans="1:4" x14ac:dyDescent="0.3">
      <c r="A604" s="2"/>
      <c r="B604" s="2"/>
      <c r="C604" s="2"/>
      <c r="D604" s="6"/>
    </row>
    <row r="605" spans="1:4" x14ac:dyDescent="0.3">
      <c r="A605" s="2"/>
      <c r="B605" s="2"/>
      <c r="C605" s="2"/>
      <c r="D605" s="6"/>
    </row>
    <row r="606" spans="1:4" x14ac:dyDescent="0.3">
      <c r="A606" s="2"/>
      <c r="B606" s="2"/>
      <c r="C606" s="2"/>
      <c r="D606" s="6"/>
    </row>
    <row r="607" spans="1:4" x14ac:dyDescent="0.3">
      <c r="A607" s="2"/>
      <c r="B607" s="2"/>
      <c r="C607" s="2"/>
      <c r="D607" s="6"/>
    </row>
    <row r="608" spans="1:4" x14ac:dyDescent="0.3">
      <c r="A608" s="2"/>
      <c r="B608" s="2"/>
      <c r="C608" s="2"/>
      <c r="D608" s="6"/>
    </row>
    <row r="609" spans="1:4" x14ac:dyDescent="0.3">
      <c r="A609" s="2"/>
      <c r="B609" s="2"/>
      <c r="C609" s="2"/>
      <c r="D609" s="6"/>
    </row>
    <row r="610" spans="1:4" x14ac:dyDescent="0.3">
      <c r="A610" s="2"/>
      <c r="B610" s="2"/>
      <c r="C610" s="2"/>
      <c r="D610" s="6"/>
    </row>
    <row r="611" spans="1:4" x14ac:dyDescent="0.3">
      <c r="A611" s="2"/>
      <c r="B611" s="2"/>
      <c r="C611" s="2"/>
      <c r="D611" s="6"/>
    </row>
    <row r="612" spans="1:4" x14ac:dyDescent="0.3">
      <c r="A612" s="2"/>
      <c r="B612" s="2"/>
      <c r="C612" s="2"/>
      <c r="D612" s="6"/>
    </row>
    <row r="613" spans="1:4" x14ac:dyDescent="0.3">
      <c r="A613" s="2"/>
      <c r="B613" s="2"/>
      <c r="C613" s="2"/>
      <c r="D613" s="6"/>
    </row>
    <row r="614" spans="1:4" x14ac:dyDescent="0.3">
      <c r="A614" s="2"/>
      <c r="B614" s="2"/>
      <c r="C614" s="2"/>
      <c r="D614" s="6"/>
    </row>
    <row r="615" spans="1:4" x14ac:dyDescent="0.3">
      <c r="A615" s="2"/>
      <c r="B615" s="2"/>
      <c r="C615" s="2"/>
      <c r="D615" s="6"/>
    </row>
    <row r="616" spans="1:4" x14ac:dyDescent="0.3">
      <c r="A616" s="2"/>
      <c r="B616" s="2"/>
      <c r="C616" s="2"/>
      <c r="D616" s="6"/>
    </row>
    <row r="617" spans="1:4" x14ac:dyDescent="0.3">
      <c r="A617" s="2"/>
      <c r="B617" s="2"/>
      <c r="C617" s="2"/>
      <c r="D617" s="6"/>
    </row>
    <row r="618" spans="1:4" x14ac:dyDescent="0.3">
      <c r="A618" s="2"/>
      <c r="B618" s="2"/>
      <c r="C618" s="2"/>
      <c r="D618" s="6"/>
    </row>
    <row r="619" spans="1:4" x14ac:dyDescent="0.3">
      <c r="A619" s="2"/>
      <c r="B619" s="2"/>
      <c r="C619" s="2"/>
      <c r="D619" s="6"/>
    </row>
    <row r="620" spans="1:4" x14ac:dyDescent="0.3">
      <c r="A620" s="2"/>
      <c r="B620" s="2"/>
      <c r="C620" s="2"/>
      <c r="D620" s="6"/>
    </row>
    <row r="621" spans="1:4" x14ac:dyDescent="0.3">
      <c r="A621" s="2"/>
      <c r="B621" s="2"/>
      <c r="C621" s="2"/>
      <c r="D621" s="6"/>
    </row>
    <row r="622" spans="1:4" x14ac:dyDescent="0.3">
      <c r="A622" s="2"/>
      <c r="B622" s="2"/>
      <c r="C622" s="2"/>
      <c r="D622" s="6"/>
    </row>
    <row r="623" spans="1:4" x14ac:dyDescent="0.3">
      <c r="A623" s="2"/>
      <c r="B623" s="2"/>
      <c r="C623" s="2"/>
      <c r="D623" s="6"/>
    </row>
    <row r="624" spans="1:4" x14ac:dyDescent="0.3">
      <c r="A624" s="2"/>
      <c r="B624" s="2"/>
      <c r="C624" s="2"/>
      <c r="D624" s="6"/>
    </row>
    <row r="625" spans="1:4" x14ac:dyDescent="0.3">
      <c r="A625" s="2"/>
      <c r="B625" s="2"/>
      <c r="C625" s="2"/>
      <c r="D625" s="6"/>
    </row>
    <row r="626" spans="1:4" x14ac:dyDescent="0.3">
      <c r="A626" s="2"/>
      <c r="B626" s="2"/>
      <c r="C626" s="2"/>
      <c r="D626" s="6"/>
    </row>
    <row r="627" spans="1:4" x14ac:dyDescent="0.3">
      <c r="A627" s="2"/>
      <c r="B627" s="2"/>
      <c r="C627" s="2"/>
      <c r="D627" s="6"/>
    </row>
    <row r="628" spans="1:4" x14ac:dyDescent="0.3">
      <c r="A628" s="2"/>
      <c r="B628" s="2"/>
      <c r="C628" s="2"/>
      <c r="D628" s="6"/>
    </row>
    <row r="629" spans="1:4" x14ac:dyDescent="0.3">
      <c r="A629" s="2"/>
      <c r="B629" s="2"/>
      <c r="C629" s="2"/>
      <c r="D629" s="6"/>
    </row>
    <row r="630" spans="1:4" x14ac:dyDescent="0.3">
      <c r="A630" s="2"/>
      <c r="B630" s="2"/>
      <c r="C630" s="2"/>
      <c r="D630" s="6"/>
    </row>
    <row r="631" spans="1:4" x14ac:dyDescent="0.3">
      <c r="A631" s="2"/>
      <c r="B631" s="2"/>
      <c r="C631" s="2"/>
      <c r="D631" s="6"/>
    </row>
    <row r="632" spans="1:4" x14ac:dyDescent="0.3">
      <c r="A632" s="2"/>
      <c r="B632" s="2"/>
      <c r="C632" s="2"/>
      <c r="D632" s="6"/>
    </row>
    <row r="633" spans="1:4" x14ac:dyDescent="0.3">
      <c r="A633" s="2"/>
      <c r="B633" s="2"/>
      <c r="C633" s="2"/>
      <c r="D633" s="6"/>
    </row>
    <row r="634" spans="1:4" x14ac:dyDescent="0.3">
      <c r="A634" s="2"/>
      <c r="B634" s="2"/>
      <c r="C634" s="2"/>
      <c r="D634" s="6"/>
    </row>
    <row r="635" spans="1:4" x14ac:dyDescent="0.3">
      <c r="A635" s="2"/>
      <c r="B635" s="2"/>
      <c r="C635" s="2"/>
      <c r="D635" s="6"/>
    </row>
    <row r="636" spans="1:4" x14ac:dyDescent="0.3">
      <c r="A636" s="2"/>
      <c r="B636" s="2"/>
      <c r="C636" s="2"/>
      <c r="D636" s="6"/>
    </row>
    <row r="637" spans="1:4" x14ac:dyDescent="0.3">
      <c r="A637" s="2"/>
      <c r="B637" s="2"/>
      <c r="C637" s="2"/>
      <c r="D637" s="6"/>
    </row>
    <row r="638" spans="1:4" x14ac:dyDescent="0.3">
      <c r="A638" s="2"/>
      <c r="B638" s="2"/>
      <c r="C638" s="2"/>
      <c r="D638" s="6"/>
    </row>
    <row r="639" spans="1:4" x14ac:dyDescent="0.3">
      <c r="A639" s="2"/>
      <c r="B639" s="2"/>
      <c r="C639" s="2"/>
      <c r="D639" s="6"/>
    </row>
    <row r="640" spans="1:4" x14ac:dyDescent="0.3">
      <c r="A640" s="2"/>
      <c r="B640" s="2"/>
      <c r="C640" s="2"/>
      <c r="D640" s="6"/>
    </row>
    <row r="641" spans="1:4" x14ac:dyDescent="0.3">
      <c r="A641" s="2"/>
      <c r="B641" s="2"/>
      <c r="C641" s="2"/>
      <c r="D641" s="6"/>
    </row>
    <row r="642" spans="1:4" x14ac:dyDescent="0.3">
      <c r="A642" s="2"/>
      <c r="B642" s="2"/>
      <c r="C642" s="2"/>
      <c r="D642" s="6"/>
    </row>
    <row r="643" spans="1:4" x14ac:dyDescent="0.3">
      <c r="A643" s="2"/>
      <c r="B643" s="2"/>
      <c r="C643" s="2"/>
      <c r="D643" s="6"/>
    </row>
    <row r="644" spans="1:4" x14ac:dyDescent="0.3">
      <c r="A644" s="2"/>
      <c r="B644" s="2"/>
      <c r="C644" s="2"/>
      <c r="D644" s="6"/>
    </row>
    <row r="645" spans="1:4" x14ac:dyDescent="0.3">
      <c r="A645" s="2"/>
      <c r="B645" s="2"/>
      <c r="C645" s="2"/>
      <c r="D645" s="6"/>
    </row>
    <row r="646" spans="1:4" x14ac:dyDescent="0.3">
      <c r="A646" s="2"/>
      <c r="B646" s="2"/>
      <c r="C646" s="2"/>
      <c r="D646" s="6"/>
    </row>
    <row r="647" spans="1:4" x14ac:dyDescent="0.3">
      <c r="A647" s="2"/>
      <c r="B647" s="2"/>
      <c r="C647" s="2"/>
      <c r="D647" s="6"/>
    </row>
    <row r="648" spans="1:4" x14ac:dyDescent="0.3">
      <c r="A648" s="2"/>
      <c r="B648" s="2"/>
      <c r="C648" s="2"/>
      <c r="D648" s="6"/>
    </row>
    <row r="649" spans="1:4" x14ac:dyDescent="0.3">
      <c r="A649" s="2"/>
      <c r="B649" s="2"/>
      <c r="C649" s="2"/>
      <c r="D649" s="6"/>
    </row>
    <row r="650" spans="1:4" x14ac:dyDescent="0.3">
      <c r="A650" s="2"/>
      <c r="B650" s="2"/>
      <c r="C650" s="2"/>
      <c r="D650" s="6"/>
    </row>
    <row r="651" spans="1:4" x14ac:dyDescent="0.3">
      <c r="A651" s="2"/>
      <c r="B651" s="2"/>
      <c r="C651" s="2"/>
      <c r="D651" s="6"/>
    </row>
    <row r="652" spans="1:4" x14ac:dyDescent="0.3">
      <c r="A652" s="2"/>
      <c r="B652" s="2"/>
      <c r="C652" s="2"/>
      <c r="D652" s="6"/>
    </row>
    <row r="653" spans="1:4" x14ac:dyDescent="0.3">
      <c r="A653" s="2"/>
      <c r="B653" s="2"/>
      <c r="C653" s="2"/>
      <c r="D653" s="6"/>
    </row>
    <row r="654" spans="1:4" x14ac:dyDescent="0.3">
      <c r="A654" s="2"/>
      <c r="B654" s="2"/>
      <c r="C654" s="2"/>
      <c r="D654" s="6"/>
    </row>
    <row r="655" spans="1:4" x14ac:dyDescent="0.3">
      <c r="A655" s="2"/>
      <c r="B655" s="2"/>
      <c r="C655" s="2"/>
      <c r="D655" s="6"/>
    </row>
    <row r="656" spans="1:4" x14ac:dyDescent="0.3">
      <c r="A656" s="2"/>
      <c r="B656" s="2"/>
      <c r="C656" s="2"/>
      <c r="D656" s="6"/>
    </row>
    <row r="657" spans="1:4" x14ac:dyDescent="0.3">
      <c r="A657" s="2"/>
      <c r="B657" s="2"/>
      <c r="C657" s="2"/>
      <c r="D657" s="6"/>
    </row>
    <row r="658" spans="1:4" x14ac:dyDescent="0.3">
      <c r="A658" s="2"/>
      <c r="B658" s="2"/>
      <c r="C658" s="2"/>
      <c r="D658" s="6"/>
    </row>
    <row r="659" spans="1:4" x14ac:dyDescent="0.3">
      <c r="A659" s="2"/>
      <c r="B659" s="2"/>
      <c r="C659" s="2"/>
      <c r="D659" s="6"/>
    </row>
    <row r="660" spans="1:4" x14ac:dyDescent="0.3">
      <c r="A660" s="2"/>
      <c r="B660" s="2"/>
      <c r="C660" s="2"/>
      <c r="D660" s="6"/>
    </row>
    <row r="661" spans="1:4" x14ac:dyDescent="0.3">
      <c r="A661" s="2"/>
      <c r="B661" s="2"/>
      <c r="C661" s="2"/>
      <c r="D661" s="6"/>
    </row>
    <row r="662" spans="1:4" x14ac:dyDescent="0.3">
      <c r="A662" s="2"/>
      <c r="B662" s="2"/>
      <c r="C662" s="2"/>
      <c r="D662" s="6"/>
    </row>
    <row r="663" spans="1:4" x14ac:dyDescent="0.3">
      <c r="A663" s="2"/>
      <c r="B663" s="2"/>
      <c r="C663" s="2"/>
      <c r="D663" s="6"/>
    </row>
    <row r="664" spans="1:4" x14ac:dyDescent="0.3">
      <c r="A664" s="2"/>
      <c r="B664" s="2"/>
      <c r="C664" s="2"/>
      <c r="D664" s="6"/>
    </row>
    <row r="665" spans="1:4" x14ac:dyDescent="0.3">
      <c r="A665" s="2"/>
      <c r="B665" s="2"/>
      <c r="C665" s="2"/>
      <c r="D665" s="6"/>
    </row>
    <row r="666" spans="1:4" x14ac:dyDescent="0.3">
      <c r="A666" s="2"/>
      <c r="B666" s="2"/>
      <c r="C666" s="2"/>
      <c r="D666" s="6"/>
    </row>
    <row r="667" spans="1:4" x14ac:dyDescent="0.3">
      <c r="A667" s="2"/>
      <c r="B667" s="2"/>
      <c r="C667" s="2"/>
      <c r="D667" s="6"/>
    </row>
    <row r="668" spans="1:4" x14ac:dyDescent="0.3">
      <c r="A668" s="2"/>
      <c r="B668" s="2"/>
      <c r="C668" s="2"/>
      <c r="D668" s="6"/>
    </row>
    <row r="669" spans="1:4" x14ac:dyDescent="0.3">
      <c r="A669" s="2"/>
      <c r="B669" s="2"/>
      <c r="C669" s="2"/>
      <c r="D669" s="6"/>
    </row>
    <row r="670" spans="1:4" x14ac:dyDescent="0.3">
      <c r="A670" s="2"/>
      <c r="B670" s="2"/>
      <c r="C670" s="2"/>
      <c r="D670" s="6"/>
    </row>
    <row r="671" spans="1:4" x14ac:dyDescent="0.3">
      <c r="A671" s="2"/>
      <c r="B671" s="2"/>
      <c r="C671" s="2"/>
      <c r="D671" s="6"/>
    </row>
    <row r="672" spans="1:4" x14ac:dyDescent="0.3">
      <c r="A672" s="2"/>
      <c r="B672" s="2"/>
      <c r="C672" s="2"/>
      <c r="D672" s="6"/>
    </row>
    <row r="673" spans="1:4" x14ac:dyDescent="0.3">
      <c r="A673" s="2"/>
      <c r="B673" s="2"/>
      <c r="C673" s="2"/>
      <c r="D673" s="6"/>
    </row>
    <row r="674" spans="1:4" x14ac:dyDescent="0.3">
      <c r="A674" s="2"/>
      <c r="B674" s="2"/>
      <c r="C674" s="2"/>
      <c r="D674" s="6"/>
    </row>
    <row r="675" spans="1:4" x14ac:dyDescent="0.3">
      <c r="A675" s="2"/>
      <c r="B675" s="2"/>
      <c r="C675" s="2"/>
      <c r="D675" s="6"/>
    </row>
    <row r="676" spans="1:4" x14ac:dyDescent="0.3">
      <c r="A676" s="2"/>
      <c r="B676" s="2"/>
      <c r="C676" s="2"/>
      <c r="D676" s="6"/>
    </row>
    <row r="677" spans="1:4" x14ac:dyDescent="0.3">
      <c r="A677" s="2"/>
      <c r="B677" s="2"/>
      <c r="C677" s="2"/>
      <c r="D677" s="6"/>
    </row>
    <row r="678" spans="1:4" x14ac:dyDescent="0.3">
      <c r="A678" s="2"/>
      <c r="B678" s="2"/>
      <c r="C678" s="2"/>
      <c r="D678" s="6"/>
    </row>
    <row r="679" spans="1:4" x14ac:dyDescent="0.3">
      <c r="A679" s="2"/>
      <c r="B679" s="2"/>
      <c r="C679" s="2"/>
      <c r="D679" s="6"/>
    </row>
    <row r="680" spans="1:4" x14ac:dyDescent="0.3">
      <c r="A680" s="2"/>
      <c r="B680" s="37"/>
      <c r="C680" s="2"/>
      <c r="D680" s="6"/>
    </row>
    <row r="681" spans="1:4" x14ac:dyDescent="0.3">
      <c r="A681" s="2"/>
      <c r="B681" s="2"/>
      <c r="C681" s="2"/>
      <c r="D681" s="6"/>
    </row>
    <row r="682" spans="1:4" x14ac:dyDescent="0.3">
      <c r="A682" s="2"/>
      <c r="B682" s="2"/>
      <c r="C682" s="2"/>
      <c r="D682" s="6"/>
    </row>
    <row r="683" spans="1:4" x14ac:dyDescent="0.3">
      <c r="A683" s="2"/>
      <c r="B683" s="2"/>
      <c r="C683" s="2"/>
      <c r="D683" s="6"/>
    </row>
    <row r="684" spans="1:4" x14ac:dyDescent="0.3">
      <c r="A684" s="2"/>
      <c r="B684" s="2"/>
      <c r="C684" s="2"/>
      <c r="D684" s="6"/>
    </row>
    <row r="685" spans="1:4" x14ac:dyDescent="0.3">
      <c r="A685" s="2"/>
      <c r="B685" s="2"/>
      <c r="C685" s="2"/>
      <c r="D685" s="6"/>
    </row>
    <row r="686" spans="1:4" x14ac:dyDescent="0.3">
      <c r="A686" s="2"/>
      <c r="B686" s="2"/>
      <c r="C686" s="2"/>
      <c r="D686" s="6"/>
    </row>
    <row r="687" spans="1:4" x14ac:dyDescent="0.3">
      <c r="A687" s="2"/>
      <c r="B687" s="2"/>
      <c r="C687" s="2"/>
      <c r="D687" s="6"/>
    </row>
    <row r="688" spans="1:4" x14ac:dyDescent="0.3">
      <c r="A688" s="2"/>
      <c r="B688" s="2"/>
      <c r="C688" s="2"/>
      <c r="D688" s="6"/>
    </row>
    <row r="689" spans="1:4" x14ac:dyDescent="0.3">
      <c r="A689" s="2"/>
      <c r="B689" s="2"/>
      <c r="C689" s="2"/>
      <c r="D689" s="6"/>
    </row>
    <row r="690" spans="1:4" x14ac:dyDescent="0.3">
      <c r="A690" s="2"/>
      <c r="B690" s="2"/>
      <c r="C690" s="2"/>
      <c r="D690" s="6"/>
    </row>
    <row r="691" spans="1:4" x14ac:dyDescent="0.3">
      <c r="A691" s="2"/>
      <c r="B691" s="2"/>
      <c r="C691" s="2"/>
      <c r="D691" s="6"/>
    </row>
    <row r="692" spans="1:4" x14ac:dyDescent="0.3">
      <c r="A692" s="2"/>
      <c r="B692" s="2"/>
      <c r="C692" s="2"/>
      <c r="D692" s="6"/>
    </row>
    <row r="693" spans="1:4" x14ac:dyDescent="0.3">
      <c r="A693" s="2"/>
      <c r="B693" s="2"/>
      <c r="C693" s="2"/>
      <c r="D693" s="6"/>
    </row>
    <row r="694" spans="1:4" x14ac:dyDescent="0.3">
      <c r="A694" s="2"/>
      <c r="B694" s="2"/>
      <c r="C694" s="2"/>
      <c r="D694" s="6"/>
    </row>
    <row r="695" spans="1:4" x14ac:dyDescent="0.3">
      <c r="A695" s="2"/>
      <c r="B695" s="2"/>
      <c r="C695" s="2"/>
      <c r="D695" s="6"/>
    </row>
    <row r="696" spans="1:4" x14ac:dyDescent="0.3">
      <c r="A696" s="2"/>
      <c r="B696" s="2"/>
      <c r="C696" s="2"/>
      <c r="D696" s="6"/>
    </row>
    <row r="697" spans="1:4" x14ac:dyDescent="0.3">
      <c r="A697" s="2"/>
      <c r="B697" s="2"/>
      <c r="C697" s="2"/>
      <c r="D697" s="6"/>
    </row>
    <row r="698" spans="1:4" x14ac:dyDescent="0.3">
      <c r="A698" s="2"/>
      <c r="B698" s="2"/>
      <c r="C698" s="2"/>
      <c r="D698" s="6"/>
    </row>
    <row r="699" spans="1:4" x14ac:dyDescent="0.3">
      <c r="A699" s="2"/>
      <c r="B699" s="2"/>
      <c r="C699" s="2"/>
      <c r="D699" s="6"/>
    </row>
    <row r="700" spans="1:4" x14ac:dyDescent="0.3">
      <c r="A700" s="2"/>
      <c r="B700" s="2"/>
      <c r="C700" s="2"/>
      <c r="D700" s="6"/>
    </row>
    <row r="701" spans="1:4" x14ac:dyDescent="0.3">
      <c r="A701" s="2"/>
      <c r="B701" s="2"/>
      <c r="C701" s="2"/>
      <c r="D701" s="6"/>
    </row>
    <row r="702" spans="1:4" x14ac:dyDescent="0.3">
      <c r="A702" s="2"/>
      <c r="B702" s="2"/>
      <c r="C702" s="2"/>
      <c r="D702" s="6"/>
    </row>
    <row r="703" spans="1:4" x14ac:dyDescent="0.3">
      <c r="A703" s="2"/>
      <c r="B703" s="2"/>
      <c r="C703" s="2"/>
      <c r="D703" s="6"/>
    </row>
    <row r="704" spans="1:4" x14ac:dyDescent="0.3">
      <c r="A704" s="2"/>
      <c r="B704" s="2"/>
      <c r="C704" s="2"/>
      <c r="D704" s="6"/>
    </row>
    <row r="705" spans="1:4" x14ac:dyDescent="0.3">
      <c r="A705" s="2"/>
      <c r="B705" s="2"/>
      <c r="C705" s="2"/>
      <c r="D705" s="6"/>
    </row>
    <row r="706" spans="1:4" x14ac:dyDescent="0.3">
      <c r="A706" s="2"/>
      <c r="B706" s="2"/>
      <c r="C706" s="2"/>
      <c r="D706" s="6"/>
    </row>
    <row r="707" spans="1:4" x14ac:dyDescent="0.3">
      <c r="A707" s="2"/>
      <c r="B707" s="2"/>
      <c r="C707" s="2"/>
      <c r="D707" s="6"/>
    </row>
    <row r="708" spans="1:4" x14ac:dyDescent="0.3">
      <c r="A708" s="2"/>
      <c r="B708" s="2"/>
      <c r="C708" s="2"/>
      <c r="D708" s="6"/>
    </row>
    <row r="709" spans="1:4" x14ac:dyDescent="0.3">
      <c r="A709" s="2"/>
      <c r="B709" s="2"/>
      <c r="C709" s="2"/>
      <c r="D709" s="6"/>
    </row>
    <row r="710" spans="1:4" x14ac:dyDescent="0.3">
      <c r="A710" s="2"/>
      <c r="B710" s="2"/>
      <c r="C710" s="2"/>
      <c r="D710" s="6"/>
    </row>
    <row r="711" spans="1:4" x14ac:dyDescent="0.3">
      <c r="A711" s="2"/>
      <c r="B711" s="2"/>
      <c r="C711" s="2"/>
      <c r="D711" s="6"/>
    </row>
    <row r="712" spans="1:4" x14ac:dyDescent="0.3">
      <c r="A712" s="2"/>
      <c r="B712" s="2"/>
      <c r="C712" s="2"/>
      <c r="D712" s="6"/>
    </row>
    <row r="713" spans="1:4" x14ac:dyDescent="0.3">
      <c r="A713" s="2"/>
      <c r="B713" s="2"/>
      <c r="C713" s="2"/>
      <c r="D713" s="6"/>
    </row>
    <row r="714" spans="1:4" x14ac:dyDescent="0.3">
      <c r="A714" s="2"/>
      <c r="B714" s="2"/>
      <c r="C714" s="2"/>
      <c r="D714" s="6"/>
    </row>
    <row r="715" spans="1:4" x14ac:dyDescent="0.3">
      <c r="A715" s="2"/>
      <c r="B715" s="2"/>
      <c r="C715" s="2"/>
      <c r="D715" s="6"/>
    </row>
    <row r="716" spans="1:4" x14ac:dyDescent="0.3">
      <c r="A716" s="2"/>
      <c r="B716" s="2"/>
      <c r="C716" s="2"/>
      <c r="D716" s="6"/>
    </row>
    <row r="717" spans="1:4" x14ac:dyDescent="0.3">
      <c r="A717" s="2"/>
      <c r="B717" s="2"/>
      <c r="C717" s="2"/>
      <c r="D717" s="6"/>
    </row>
    <row r="718" spans="1:4" x14ac:dyDescent="0.3">
      <c r="A718" s="2"/>
      <c r="B718" s="2"/>
      <c r="C718" s="2"/>
      <c r="D718" s="6"/>
    </row>
    <row r="719" spans="1:4" x14ac:dyDescent="0.3">
      <c r="A719" s="2"/>
      <c r="B719" s="2"/>
      <c r="C719" s="2"/>
      <c r="D719" s="6"/>
    </row>
    <row r="720" spans="1:4" x14ac:dyDescent="0.3">
      <c r="A720" s="2"/>
      <c r="B720" s="2"/>
      <c r="C720" s="2"/>
      <c r="D720" s="6"/>
    </row>
    <row r="721" spans="1:4" x14ac:dyDescent="0.3">
      <c r="A721" s="2"/>
      <c r="B721" s="2"/>
      <c r="C721" s="2"/>
      <c r="D721" s="6"/>
    </row>
    <row r="722" spans="1:4" x14ac:dyDescent="0.3">
      <c r="A722" s="2"/>
      <c r="B722" s="2"/>
      <c r="C722" s="2"/>
      <c r="D722" s="6"/>
    </row>
    <row r="723" spans="1:4" x14ac:dyDescent="0.3">
      <c r="A723" s="2"/>
      <c r="B723" s="2"/>
      <c r="C723" s="2"/>
      <c r="D723" s="6"/>
    </row>
    <row r="724" spans="1:4" x14ac:dyDescent="0.3">
      <c r="A724" s="2"/>
      <c r="B724" s="2"/>
      <c r="C724" s="2"/>
      <c r="D724" s="6"/>
    </row>
    <row r="725" spans="1:4" x14ac:dyDescent="0.3">
      <c r="A725" s="2"/>
      <c r="B725" s="2"/>
      <c r="C725" s="2"/>
      <c r="D725" s="6"/>
    </row>
    <row r="726" spans="1:4" x14ac:dyDescent="0.3">
      <c r="A726" s="2"/>
      <c r="B726" s="2"/>
      <c r="C726" s="2"/>
      <c r="D726" s="6"/>
    </row>
    <row r="727" spans="1:4" x14ac:dyDescent="0.3">
      <c r="A727" s="2"/>
      <c r="B727" s="2"/>
      <c r="C727" s="2"/>
      <c r="D727" s="6"/>
    </row>
    <row r="728" spans="1:4" x14ac:dyDescent="0.3">
      <c r="A728" s="2"/>
      <c r="B728" s="2"/>
      <c r="C728" s="2"/>
      <c r="D728" s="6"/>
    </row>
    <row r="729" spans="1:4" x14ac:dyDescent="0.3">
      <c r="A729" s="2"/>
      <c r="B729" s="2"/>
      <c r="C729" s="2"/>
      <c r="D729" s="6"/>
    </row>
    <row r="730" spans="1:4" x14ac:dyDescent="0.3">
      <c r="A730" s="2"/>
      <c r="B730" s="2"/>
      <c r="C730" s="2"/>
      <c r="D730" s="6"/>
    </row>
    <row r="731" spans="1:4" x14ac:dyDescent="0.3">
      <c r="A731" s="2"/>
      <c r="B731" s="2"/>
      <c r="C731" s="2"/>
      <c r="D731" s="6"/>
    </row>
    <row r="732" spans="1:4" x14ac:dyDescent="0.3">
      <c r="A732" s="2"/>
      <c r="B732" s="2"/>
      <c r="C732" s="2"/>
      <c r="D732" s="6"/>
    </row>
    <row r="733" spans="1:4" x14ac:dyDescent="0.3">
      <c r="A733" s="2"/>
      <c r="B733" s="2"/>
      <c r="C733" s="2"/>
      <c r="D733" s="6"/>
    </row>
    <row r="734" spans="1:4" x14ac:dyDescent="0.3">
      <c r="A734" s="2"/>
      <c r="B734" s="2"/>
      <c r="C734" s="2"/>
      <c r="D734" s="6"/>
    </row>
    <row r="735" spans="1:4" x14ac:dyDescent="0.3">
      <c r="A735" s="2"/>
      <c r="B735" s="2"/>
      <c r="C735" s="2"/>
      <c r="D735" s="6"/>
    </row>
    <row r="736" spans="1:4" x14ac:dyDescent="0.3">
      <c r="A736" s="2"/>
      <c r="B736" s="2"/>
      <c r="C736" s="2"/>
      <c r="D736" s="6"/>
    </row>
    <row r="737" spans="1:4" x14ac:dyDescent="0.3">
      <c r="A737" s="2"/>
      <c r="B737" s="2"/>
      <c r="C737" s="2"/>
      <c r="D737" s="6"/>
    </row>
    <row r="738" spans="1:4" x14ac:dyDescent="0.3">
      <c r="A738" s="2"/>
      <c r="B738" s="2"/>
      <c r="C738" s="2"/>
      <c r="D738" s="6"/>
    </row>
    <row r="739" spans="1:4" x14ac:dyDescent="0.3">
      <c r="A739" s="2"/>
      <c r="B739" s="2"/>
      <c r="C739" s="2"/>
      <c r="D739" s="6"/>
    </row>
    <row r="740" spans="1:4" x14ac:dyDescent="0.3">
      <c r="A740" s="2"/>
      <c r="B740" s="2"/>
      <c r="C740" s="2"/>
      <c r="D740" s="6"/>
    </row>
    <row r="741" spans="1:4" x14ac:dyDescent="0.3">
      <c r="A741" s="2"/>
      <c r="B741" s="2"/>
      <c r="C741" s="2"/>
      <c r="D741" s="6"/>
    </row>
    <row r="742" spans="1:4" x14ac:dyDescent="0.3">
      <c r="A742" s="2"/>
      <c r="B742" s="2"/>
      <c r="C742" s="2"/>
      <c r="D742" s="6"/>
    </row>
    <row r="743" spans="1:4" x14ac:dyDescent="0.3">
      <c r="A743" s="2"/>
      <c r="B743" s="2"/>
      <c r="C743" s="2"/>
      <c r="D743" s="6"/>
    </row>
    <row r="744" spans="1:4" x14ac:dyDescent="0.3">
      <c r="A744" s="2"/>
      <c r="B744" s="2"/>
      <c r="C744" s="2"/>
      <c r="D744" s="6"/>
    </row>
    <row r="745" spans="1:4" x14ac:dyDescent="0.3">
      <c r="A745" s="2"/>
      <c r="B745" s="2"/>
      <c r="C745" s="2"/>
      <c r="D745" s="6"/>
    </row>
    <row r="746" spans="1:4" x14ac:dyDescent="0.3">
      <c r="A746" s="2"/>
      <c r="B746" s="2"/>
      <c r="C746" s="2"/>
      <c r="D746" s="6"/>
    </row>
    <row r="747" spans="1:4" x14ac:dyDescent="0.3">
      <c r="A747" s="2"/>
      <c r="B747" s="2"/>
      <c r="C747" s="2"/>
      <c r="D747" s="6"/>
    </row>
    <row r="748" spans="1:4" x14ac:dyDescent="0.3">
      <c r="A748" s="2"/>
      <c r="B748" s="2"/>
      <c r="C748" s="2"/>
      <c r="D748" s="6"/>
    </row>
    <row r="749" spans="1:4" x14ac:dyDescent="0.3">
      <c r="A749" s="2"/>
      <c r="B749" s="2"/>
      <c r="C749" s="2"/>
      <c r="D749" s="6"/>
    </row>
    <row r="750" spans="1:4" x14ac:dyDescent="0.3">
      <c r="A750" s="2"/>
      <c r="B750" s="2"/>
      <c r="C750" s="2"/>
      <c r="D750" s="6"/>
    </row>
    <row r="751" spans="1:4" x14ac:dyDescent="0.3">
      <c r="A751" s="2"/>
      <c r="B751" s="2"/>
      <c r="C751" s="2"/>
      <c r="D751" s="6"/>
    </row>
    <row r="752" spans="1:4" x14ac:dyDescent="0.3">
      <c r="A752" s="2"/>
      <c r="B752" s="2"/>
      <c r="C752" s="2"/>
      <c r="D752" s="6"/>
    </row>
    <row r="753" spans="1:4" x14ac:dyDescent="0.3">
      <c r="A753" s="2"/>
      <c r="B753" s="2"/>
      <c r="C753" s="2"/>
      <c r="D753" s="6"/>
    </row>
    <row r="754" spans="1:4" x14ac:dyDescent="0.3">
      <c r="A754" s="2"/>
      <c r="B754" s="2"/>
      <c r="C754" s="2"/>
      <c r="D754" s="6"/>
    </row>
    <row r="755" spans="1:4" x14ac:dyDescent="0.3">
      <c r="A755" s="2"/>
      <c r="B755" s="2"/>
      <c r="C755" s="2"/>
      <c r="D755" s="6"/>
    </row>
    <row r="756" spans="1:4" x14ac:dyDescent="0.3">
      <c r="A756" s="2"/>
      <c r="B756" s="2"/>
      <c r="C756" s="2"/>
      <c r="D756" s="6"/>
    </row>
    <row r="757" spans="1:4" x14ac:dyDescent="0.3">
      <c r="A757" s="2"/>
      <c r="B757" s="2"/>
      <c r="C757" s="2"/>
      <c r="D757" s="6"/>
    </row>
    <row r="758" spans="1:4" x14ac:dyDescent="0.3">
      <c r="A758" s="2"/>
      <c r="B758" s="2"/>
      <c r="C758" s="2"/>
      <c r="D758" s="6"/>
    </row>
    <row r="759" spans="1:4" x14ac:dyDescent="0.3">
      <c r="A759" s="2"/>
      <c r="B759" s="2"/>
      <c r="C759" s="2"/>
      <c r="D759" s="6"/>
    </row>
    <row r="760" spans="1:4" x14ac:dyDescent="0.3">
      <c r="A760" s="2"/>
      <c r="B760" s="2"/>
      <c r="C760" s="2"/>
      <c r="D760" s="6"/>
    </row>
    <row r="761" spans="1:4" x14ac:dyDescent="0.3">
      <c r="A761" s="2"/>
      <c r="B761" s="2"/>
      <c r="C761" s="2"/>
      <c r="D761" s="6"/>
    </row>
    <row r="762" spans="1:4" x14ac:dyDescent="0.3">
      <c r="A762" s="2"/>
      <c r="B762" s="2"/>
      <c r="C762" s="2"/>
      <c r="D762" s="6"/>
    </row>
    <row r="763" spans="1:4" x14ac:dyDescent="0.3">
      <c r="A763" s="2"/>
      <c r="B763" s="2"/>
      <c r="C763" s="2"/>
      <c r="D763" s="6"/>
    </row>
    <row r="764" spans="1:4" x14ac:dyDescent="0.3">
      <c r="A764" s="2"/>
      <c r="B764" s="2"/>
      <c r="C764" s="2"/>
      <c r="D764" s="6"/>
    </row>
    <row r="765" spans="1:4" x14ac:dyDescent="0.3">
      <c r="A765" s="2"/>
      <c r="B765" s="2"/>
      <c r="C765" s="2"/>
      <c r="D765" s="6"/>
    </row>
    <row r="766" spans="1:4" x14ac:dyDescent="0.3">
      <c r="A766" s="2"/>
      <c r="B766" s="2"/>
      <c r="C766" s="2"/>
      <c r="D766" s="6"/>
    </row>
    <row r="767" spans="1:4" x14ac:dyDescent="0.3">
      <c r="A767" s="2"/>
      <c r="B767" s="2"/>
      <c r="C767" s="2"/>
      <c r="D767" s="6"/>
    </row>
    <row r="768" spans="1:4" x14ac:dyDescent="0.3">
      <c r="A768" s="2"/>
      <c r="B768" s="2"/>
      <c r="C768" s="2"/>
      <c r="D768" s="6"/>
    </row>
    <row r="769" spans="1:4" x14ac:dyDescent="0.3">
      <c r="A769" s="2"/>
      <c r="B769" s="2"/>
      <c r="C769" s="2"/>
      <c r="D769" s="6"/>
    </row>
    <row r="770" spans="1:4" x14ac:dyDescent="0.3">
      <c r="A770" s="2"/>
      <c r="B770" s="2"/>
      <c r="C770" s="2"/>
      <c r="D770" s="6"/>
    </row>
    <row r="771" spans="1:4" x14ac:dyDescent="0.3">
      <c r="A771" s="2"/>
      <c r="B771" s="2"/>
      <c r="C771" s="2"/>
      <c r="D771" s="6"/>
    </row>
    <row r="772" spans="1:4" x14ac:dyDescent="0.3">
      <c r="A772" s="2"/>
      <c r="B772" s="2"/>
      <c r="C772" s="2"/>
      <c r="D772" s="6"/>
    </row>
    <row r="773" spans="1:4" x14ac:dyDescent="0.3">
      <c r="A773" s="2"/>
      <c r="B773" s="2"/>
      <c r="C773" s="2"/>
      <c r="D773" s="6"/>
    </row>
    <row r="774" spans="1:4" x14ac:dyDescent="0.3">
      <c r="A774" s="2"/>
      <c r="B774" s="2"/>
      <c r="C774" s="2"/>
      <c r="D774" s="6"/>
    </row>
    <row r="775" spans="1:4" x14ac:dyDescent="0.3">
      <c r="A775" s="2"/>
      <c r="B775" s="2"/>
      <c r="C775" s="2"/>
      <c r="D775" s="6"/>
    </row>
    <row r="776" spans="1:4" x14ac:dyDescent="0.3">
      <c r="A776" s="2"/>
      <c r="B776" s="2"/>
      <c r="C776" s="2"/>
      <c r="D776" s="6"/>
    </row>
    <row r="777" spans="1:4" x14ac:dyDescent="0.3">
      <c r="A777" s="2"/>
      <c r="B777" s="2"/>
      <c r="C777" s="2"/>
      <c r="D777" s="6"/>
    </row>
    <row r="778" spans="1:4" x14ac:dyDescent="0.3">
      <c r="A778" s="2"/>
      <c r="B778" s="2"/>
      <c r="C778" s="2"/>
      <c r="D778" s="6"/>
    </row>
    <row r="779" spans="1:4" x14ac:dyDescent="0.3">
      <c r="A779" s="2"/>
      <c r="B779" s="2"/>
      <c r="C779" s="2"/>
      <c r="D779" s="6"/>
    </row>
    <row r="780" spans="1:4" x14ac:dyDescent="0.3">
      <c r="A780" s="2"/>
      <c r="B780" s="2"/>
      <c r="C780" s="2"/>
      <c r="D780" s="6"/>
    </row>
    <row r="781" spans="1:4" x14ac:dyDescent="0.3">
      <c r="A781" s="2"/>
      <c r="B781" s="2"/>
      <c r="C781" s="2"/>
      <c r="D781" s="6"/>
    </row>
    <row r="782" spans="1:4" x14ac:dyDescent="0.3">
      <c r="A782" s="2"/>
      <c r="B782" s="2"/>
      <c r="C782" s="2"/>
      <c r="D782" s="6"/>
    </row>
    <row r="783" spans="1:4" x14ac:dyDescent="0.3">
      <c r="A783" s="2"/>
      <c r="B783" s="2"/>
      <c r="C783" s="2"/>
      <c r="D783" s="6"/>
    </row>
    <row r="784" spans="1:4" x14ac:dyDescent="0.3">
      <c r="A784" s="2"/>
      <c r="B784" s="2"/>
      <c r="C784" s="2"/>
      <c r="D784" s="6"/>
    </row>
    <row r="785" spans="1:4" x14ac:dyDescent="0.3">
      <c r="A785" s="2"/>
      <c r="B785" s="2"/>
      <c r="C785" s="2"/>
      <c r="D785" s="6"/>
    </row>
    <row r="786" spans="1:4" x14ac:dyDescent="0.3">
      <c r="A786" s="2"/>
      <c r="B786" s="2"/>
      <c r="C786" s="2"/>
      <c r="D786" s="6"/>
    </row>
    <row r="787" spans="1:4" x14ac:dyDescent="0.3">
      <c r="A787" s="2"/>
      <c r="B787" s="2"/>
      <c r="C787" s="2"/>
      <c r="D787" s="6"/>
    </row>
    <row r="788" spans="1:4" x14ac:dyDescent="0.3">
      <c r="A788" s="2"/>
      <c r="B788" s="2"/>
      <c r="C788" s="2"/>
      <c r="D788" s="6"/>
    </row>
    <row r="789" spans="1:4" x14ac:dyDescent="0.3">
      <c r="A789" s="2"/>
      <c r="B789" s="2"/>
      <c r="C789" s="2"/>
      <c r="D789" s="6"/>
    </row>
    <row r="790" spans="1:4" x14ac:dyDescent="0.3">
      <c r="A790" s="2"/>
      <c r="B790" s="2"/>
      <c r="C790" s="2"/>
      <c r="D790" s="6"/>
    </row>
    <row r="791" spans="1:4" x14ac:dyDescent="0.3">
      <c r="A791" s="2"/>
      <c r="B791" s="2"/>
      <c r="C791" s="2"/>
      <c r="D791" s="6"/>
    </row>
    <row r="792" spans="1:4" x14ac:dyDescent="0.3">
      <c r="A792" s="2"/>
      <c r="B792" s="2"/>
      <c r="C792" s="2"/>
      <c r="D792" s="6"/>
    </row>
    <row r="793" spans="1:4" x14ac:dyDescent="0.3">
      <c r="A793" s="2"/>
      <c r="B793" s="2"/>
      <c r="C793" s="2"/>
      <c r="D793" s="6"/>
    </row>
    <row r="794" spans="1:4" x14ac:dyDescent="0.3">
      <c r="A794" s="2"/>
      <c r="B794" s="2"/>
      <c r="C794" s="2"/>
      <c r="D794" s="6"/>
    </row>
    <row r="795" spans="1:4" x14ac:dyDescent="0.3">
      <c r="A795" s="2"/>
      <c r="B795" s="2"/>
      <c r="C795" s="2"/>
      <c r="D795" s="6"/>
    </row>
    <row r="796" spans="1:4" x14ac:dyDescent="0.3">
      <c r="A796" s="2"/>
      <c r="B796" s="2"/>
      <c r="C796" s="2"/>
      <c r="D796" s="6"/>
    </row>
    <row r="797" spans="1:4" x14ac:dyDescent="0.3">
      <c r="A797" s="2"/>
      <c r="B797" s="2"/>
      <c r="C797" s="2"/>
      <c r="D797" s="6"/>
    </row>
    <row r="798" spans="1:4" x14ac:dyDescent="0.3">
      <c r="A798" s="2"/>
      <c r="B798" s="2"/>
      <c r="C798" s="2"/>
      <c r="D798" s="6"/>
    </row>
    <row r="799" spans="1:4" x14ac:dyDescent="0.3">
      <c r="A799" s="2"/>
      <c r="B799" s="2"/>
      <c r="C799" s="2"/>
      <c r="D799" s="6"/>
    </row>
    <row r="800" spans="1:4" x14ac:dyDescent="0.3">
      <c r="A800" s="2"/>
      <c r="B800" s="2"/>
      <c r="C800" s="2"/>
      <c r="D800" s="6"/>
    </row>
    <row r="801" spans="1:4" x14ac:dyDescent="0.3">
      <c r="A801" s="2"/>
      <c r="B801" s="2"/>
      <c r="C801" s="2"/>
      <c r="D801" s="6"/>
    </row>
    <row r="802" spans="1:4" x14ac:dyDescent="0.3">
      <c r="A802" s="2"/>
      <c r="B802" s="2"/>
      <c r="C802" s="2"/>
      <c r="D802" s="6"/>
    </row>
    <row r="803" spans="1:4" x14ac:dyDescent="0.3">
      <c r="A803" s="2"/>
      <c r="B803" s="2"/>
      <c r="C803" s="2"/>
      <c r="D803" s="6"/>
    </row>
    <row r="804" spans="1:4" x14ac:dyDescent="0.3">
      <c r="A804" s="2"/>
      <c r="B804" s="2"/>
      <c r="C804" s="2"/>
      <c r="D804" s="6"/>
    </row>
    <row r="805" spans="1:4" x14ac:dyDescent="0.3">
      <c r="A805" s="2"/>
      <c r="B805" s="2"/>
      <c r="C805" s="2"/>
      <c r="D805" s="6"/>
    </row>
    <row r="806" spans="1:4" x14ac:dyDescent="0.3">
      <c r="A806" s="2"/>
      <c r="B806" s="2"/>
      <c r="C806" s="2"/>
      <c r="D806" s="6"/>
    </row>
    <row r="807" spans="1:4" x14ac:dyDescent="0.3">
      <c r="A807" s="2"/>
      <c r="B807" s="2"/>
      <c r="C807" s="2"/>
      <c r="D807" s="6"/>
    </row>
    <row r="808" spans="1:4" x14ac:dyDescent="0.3">
      <c r="A808" s="2"/>
      <c r="B808" s="2"/>
      <c r="C808" s="2"/>
      <c r="D808" s="6"/>
    </row>
    <row r="809" spans="1:4" x14ac:dyDescent="0.3">
      <c r="A809" s="2"/>
      <c r="B809" s="2"/>
      <c r="C809" s="2"/>
      <c r="D809" s="6"/>
    </row>
    <row r="810" spans="1:4" x14ac:dyDescent="0.3">
      <c r="A810" s="2"/>
      <c r="B810" s="2"/>
      <c r="C810" s="2"/>
      <c r="D810" s="6"/>
    </row>
    <row r="811" spans="1:4" x14ac:dyDescent="0.3">
      <c r="A811" s="2"/>
      <c r="B811" s="2"/>
      <c r="C811" s="2"/>
      <c r="D811" s="6"/>
    </row>
    <row r="812" spans="1:4" x14ac:dyDescent="0.3">
      <c r="A812" s="2"/>
      <c r="B812" s="2"/>
      <c r="C812" s="2"/>
      <c r="D812" s="6"/>
    </row>
    <row r="813" spans="1:4" x14ac:dyDescent="0.3">
      <c r="A813" s="2"/>
      <c r="B813" s="2"/>
      <c r="C813" s="2"/>
      <c r="D813" s="6"/>
    </row>
    <row r="814" spans="1:4" x14ac:dyDescent="0.3">
      <c r="A814" s="2"/>
      <c r="B814" s="2"/>
      <c r="C814" s="2"/>
      <c r="D814" s="6"/>
    </row>
    <row r="815" spans="1:4" x14ac:dyDescent="0.3">
      <c r="A815" s="2"/>
      <c r="B815" s="2"/>
      <c r="C815" s="2"/>
      <c r="D815" s="6"/>
    </row>
    <row r="816" spans="1:4" x14ac:dyDescent="0.3">
      <c r="A816" s="2"/>
      <c r="B816" s="2"/>
      <c r="C816" s="2"/>
      <c r="D816" s="6"/>
    </row>
    <row r="817" spans="1:4" x14ac:dyDescent="0.3">
      <c r="A817" s="2"/>
      <c r="B817" s="2"/>
      <c r="C817" s="2"/>
      <c r="D817" s="6"/>
    </row>
    <row r="818" spans="1:4" x14ac:dyDescent="0.3">
      <c r="A818" s="2"/>
      <c r="B818" s="2"/>
      <c r="C818" s="2"/>
      <c r="D818" s="6"/>
    </row>
    <row r="819" spans="1:4" x14ac:dyDescent="0.3">
      <c r="A819" s="2"/>
      <c r="B819" s="2"/>
      <c r="C819" s="2"/>
      <c r="D819" s="6"/>
    </row>
    <row r="820" spans="1:4" x14ac:dyDescent="0.3">
      <c r="A820" s="2"/>
      <c r="B820" s="2"/>
      <c r="C820" s="2"/>
      <c r="D820" s="6"/>
    </row>
    <row r="821" spans="1:4" x14ac:dyDescent="0.3">
      <c r="A821" s="2"/>
      <c r="B821" s="2"/>
      <c r="C821" s="2"/>
      <c r="D821" s="6"/>
    </row>
    <row r="822" spans="1:4" x14ac:dyDescent="0.3">
      <c r="A822" s="2"/>
      <c r="B822" s="2"/>
      <c r="C822" s="2"/>
      <c r="D822" s="6"/>
    </row>
    <row r="823" spans="1:4" x14ac:dyDescent="0.3">
      <c r="A823" s="2"/>
      <c r="B823" s="2"/>
      <c r="C823" s="2"/>
      <c r="D823" s="6"/>
    </row>
    <row r="824" spans="1:4" x14ac:dyDescent="0.3">
      <c r="A824" s="2"/>
      <c r="B824" s="2"/>
      <c r="C824" s="2"/>
      <c r="D824" s="6"/>
    </row>
    <row r="825" spans="1:4" x14ac:dyDescent="0.3">
      <c r="A825" s="2"/>
      <c r="B825" s="2"/>
      <c r="C825" s="2"/>
      <c r="D825" s="6"/>
    </row>
    <row r="826" spans="1:4" x14ac:dyDescent="0.3">
      <c r="A826" s="2"/>
      <c r="B826" s="2"/>
      <c r="C826" s="2"/>
      <c r="D826" s="6"/>
    </row>
    <row r="827" spans="1:4" x14ac:dyDescent="0.3">
      <c r="A827" s="2"/>
      <c r="B827" s="2"/>
      <c r="C827" s="2"/>
      <c r="D827" s="6"/>
    </row>
    <row r="828" spans="1:4" x14ac:dyDescent="0.3">
      <c r="A828" s="2"/>
      <c r="B828" s="2"/>
      <c r="C828" s="2"/>
      <c r="D828" s="6"/>
    </row>
    <row r="829" spans="1:4" x14ac:dyDescent="0.3">
      <c r="A829" s="2"/>
      <c r="B829" s="2"/>
      <c r="C829" s="2"/>
      <c r="D829" s="6"/>
    </row>
    <row r="830" spans="1:4" x14ac:dyDescent="0.3">
      <c r="A830" s="2"/>
      <c r="B830" s="2"/>
      <c r="C830" s="2"/>
      <c r="D830" s="6"/>
    </row>
    <row r="831" spans="1:4" x14ac:dyDescent="0.3">
      <c r="A831" s="2"/>
      <c r="B831" s="2"/>
      <c r="C831" s="2"/>
      <c r="D831" s="6"/>
    </row>
    <row r="832" spans="1:4" x14ac:dyDescent="0.3">
      <c r="A832" s="2"/>
      <c r="B832" s="2"/>
      <c r="C832" s="2"/>
      <c r="D832" s="6"/>
    </row>
    <row r="833" spans="1:4" x14ac:dyDescent="0.3">
      <c r="A833" s="2"/>
      <c r="B833" s="2"/>
      <c r="C833" s="2"/>
      <c r="D833" s="6"/>
    </row>
    <row r="834" spans="1:4" x14ac:dyDescent="0.3">
      <c r="A834" s="2"/>
      <c r="B834" s="2"/>
      <c r="C834" s="2"/>
      <c r="D834" s="6"/>
    </row>
    <row r="835" spans="1:4" x14ac:dyDescent="0.3">
      <c r="A835" s="2"/>
      <c r="B835" s="2"/>
      <c r="C835" s="2"/>
      <c r="D835" s="6"/>
    </row>
    <row r="836" spans="1:4" x14ac:dyDescent="0.3">
      <c r="A836" s="2"/>
      <c r="B836" s="2"/>
      <c r="C836" s="2"/>
      <c r="D836" s="6"/>
    </row>
    <row r="837" spans="1:4" x14ac:dyDescent="0.3">
      <c r="A837" s="2"/>
      <c r="B837" s="2"/>
      <c r="C837" s="2"/>
      <c r="D837" s="6"/>
    </row>
    <row r="838" spans="1:4" x14ac:dyDescent="0.3">
      <c r="A838" s="2"/>
      <c r="B838" s="2"/>
      <c r="C838" s="2"/>
      <c r="D838" s="6"/>
    </row>
    <row r="839" spans="1:4" x14ac:dyDescent="0.3">
      <c r="A839" s="2"/>
      <c r="B839" s="2"/>
      <c r="C839" s="2"/>
      <c r="D839" s="6"/>
    </row>
    <row r="840" spans="1:4" x14ac:dyDescent="0.3">
      <c r="A840" s="2"/>
      <c r="B840" s="2"/>
      <c r="C840" s="2"/>
      <c r="D840" s="6"/>
    </row>
    <row r="841" spans="1:4" x14ac:dyDescent="0.3">
      <c r="A841" s="2"/>
      <c r="B841" s="2"/>
      <c r="C841" s="2"/>
      <c r="D841" s="6"/>
    </row>
    <row r="842" spans="1:4" x14ac:dyDescent="0.3">
      <c r="A842" s="2"/>
      <c r="B842" s="2"/>
      <c r="C842" s="2"/>
      <c r="D842" s="6"/>
    </row>
    <row r="843" spans="1:4" x14ac:dyDescent="0.3">
      <c r="A843" s="2"/>
      <c r="B843" s="2"/>
      <c r="C843" s="2"/>
      <c r="D843" s="6"/>
    </row>
    <row r="844" spans="1:4" x14ac:dyDescent="0.3">
      <c r="A844" s="2"/>
      <c r="B844" s="2"/>
      <c r="C844" s="2"/>
      <c r="D844" s="6"/>
    </row>
    <row r="845" spans="1:4" x14ac:dyDescent="0.3">
      <c r="A845" s="2"/>
      <c r="B845" s="37"/>
      <c r="C845" s="2"/>
      <c r="D845" s="6"/>
    </row>
    <row r="846" spans="1:4" x14ac:dyDescent="0.3">
      <c r="A846" s="2"/>
      <c r="B846" s="2"/>
      <c r="C846" s="2"/>
      <c r="D846" s="6"/>
    </row>
    <row r="847" spans="1:4" x14ac:dyDescent="0.3">
      <c r="A847" s="2"/>
      <c r="B847" s="2"/>
      <c r="C847" s="2"/>
      <c r="D847" s="6"/>
    </row>
    <row r="848" spans="1:4" x14ac:dyDescent="0.3">
      <c r="A848" s="2"/>
      <c r="B848" s="2"/>
      <c r="C848" s="2"/>
      <c r="D848" s="6"/>
    </row>
    <row r="849" spans="1:4" x14ac:dyDescent="0.3">
      <c r="A849" s="2"/>
      <c r="B849" s="2"/>
      <c r="C849" s="2"/>
      <c r="D849" s="6"/>
    </row>
    <row r="850" spans="1:4" x14ac:dyDescent="0.3">
      <c r="A850" s="2"/>
      <c r="B850" s="2"/>
      <c r="C850" s="2"/>
      <c r="D850" s="6"/>
    </row>
    <row r="851" spans="1:4" x14ac:dyDescent="0.3">
      <c r="A851" s="2"/>
      <c r="B851" s="2"/>
      <c r="C851" s="2"/>
      <c r="D851" s="6"/>
    </row>
    <row r="852" spans="1:4" x14ac:dyDescent="0.3">
      <c r="A852" s="2"/>
      <c r="B852" s="2"/>
      <c r="C852" s="2"/>
      <c r="D852" s="6"/>
    </row>
    <row r="853" spans="1:4" x14ac:dyDescent="0.3">
      <c r="A853" s="2"/>
      <c r="B853" s="2"/>
      <c r="C853" s="2"/>
      <c r="D853" s="6"/>
    </row>
    <row r="854" spans="1:4" x14ac:dyDescent="0.3">
      <c r="A854" s="2"/>
      <c r="B854" s="2"/>
      <c r="C854" s="2"/>
      <c r="D854" s="6"/>
    </row>
    <row r="855" spans="1:4" x14ac:dyDescent="0.3">
      <c r="A855" s="2"/>
      <c r="B855" s="2"/>
      <c r="C855" s="2"/>
      <c r="D855" s="6"/>
    </row>
    <row r="856" spans="1:4" x14ac:dyDescent="0.3">
      <c r="A856" s="2"/>
      <c r="B856" s="2"/>
      <c r="C856" s="2"/>
      <c r="D856" s="6"/>
    </row>
    <row r="857" spans="1:4" x14ac:dyDescent="0.3">
      <c r="A857" s="2"/>
      <c r="B857" s="2"/>
      <c r="C857" s="2"/>
      <c r="D857" s="6"/>
    </row>
    <row r="858" spans="1:4" x14ac:dyDescent="0.3">
      <c r="A858" s="2"/>
      <c r="B858" s="2"/>
      <c r="C858" s="2"/>
      <c r="D858" s="6"/>
    </row>
    <row r="859" spans="1:4" x14ac:dyDescent="0.3">
      <c r="A859" s="2"/>
      <c r="B859" s="2"/>
      <c r="C859" s="2"/>
      <c r="D859" s="6"/>
    </row>
    <row r="860" spans="1:4" x14ac:dyDescent="0.3">
      <c r="A860" s="2"/>
      <c r="B860" s="2"/>
      <c r="C860" s="2"/>
      <c r="D860" s="6"/>
    </row>
    <row r="861" spans="1:4" x14ac:dyDescent="0.3">
      <c r="A861" s="2"/>
      <c r="B861" s="2"/>
      <c r="C861" s="2"/>
      <c r="D861" s="6"/>
    </row>
    <row r="862" spans="1:4" x14ac:dyDescent="0.3">
      <c r="A862" s="2"/>
      <c r="B862" s="2"/>
      <c r="C862" s="2"/>
      <c r="D862" s="6"/>
    </row>
    <row r="863" spans="1:4" x14ac:dyDescent="0.3">
      <c r="A863" s="2"/>
      <c r="B863" s="2"/>
      <c r="C863" s="2"/>
      <c r="D863" s="6"/>
    </row>
    <row r="864" spans="1:4" x14ac:dyDescent="0.3">
      <c r="A864" s="2"/>
      <c r="B864" s="2"/>
      <c r="C864" s="2"/>
      <c r="D864" s="6"/>
    </row>
    <row r="865" spans="1:4" x14ac:dyDescent="0.3">
      <c r="A865" s="2"/>
      <c r="B865" s="2"/>
      <c r="C865" s="2"/>
      <c r="D865" s="6"/>
    </row>
    <row r="866" spans="1:4" x14ac:dyDescent="0.3">
      <c r="A866" s="2"/>
      <c r="B866" s="2"/>
      <c r="C866" s="2"/>
      <c r="D866" s="6"/>
    </row>
    <row r="867" spans="1:4" x14ac:dyDescent="0.3">
      <c r="A867" s="2"/>
      <c r="B867" s="2"/>
      <c r="C867" s="2"/>
      <c r="D867" s="6"/>
    </row>
    <row r="868" spans="1:4" x14ac:dyDescent="0.3">
      <c r="A868" s="2"/>
      <c r="B868" s="2"/>
      <c r="C868" s="2"/>
      <c r="D868" s="6"/>
    </row>
    <row r="869" spans="1:4" x14ac:dyDescent="0.3">
      <c r="A869" s="2"/>
      <c r="B869" s="2"/>
      <c r="C869" s="2"/>
      <c r="D869" s="6"/>
    </row>
    <row r="870" spans="1:4" x14ac:dyDescent="0.3">
      <c r="A870" s="2"/>
      <c r="B870" s="2"/>
      <c r="C870" s="2"/>
      <c r="D870" s="6"/>
    </row>
    <row r="871" spans="1:4" x14ac:dyDescent="0.3">
      <c r="A871" s="2"/>
      <c r="B871" s="2"/>
      <c r="C871" s="2"/>
      <c r="D871" s="6"/>
    </row>
    <row r="872" spans="1:4" x14ac:dyDescent="0.3">
      <c r="A872" s="2"/>
      <c r="B872" s="2"/>
      <c r="C872" s="2"/>
      <c r="D872" s="6"/>
    </row>
    <row r="873" spans="1:4" x14ac:dyDescent="0.3">
      <c r="A873" s="2"/>
      <c r="B873" s="2"/>
      <c r="C873" s="2"/>
      <c r="D873" s="6"/>
    </row>
    <row r="874" spans="1:4" x14ac:dyDescent="0.3">
      <c r="A874" s="2"/>
      <c r="B874" s="2"/>
      <c r="C874" s="2"/>
      <c r="D874" s="6"/>
    </row>
    <row r="875" spans="1:4" x14ac:dyDescent="0.3">
      <c r="A875" s="2"/>
      <c r="B875" s="2"/>
      <c r="C875" s="2"/>
      <c r="D875" s="6"/>
    </row>
    <row r="876" spans="1:4" x14ac:dyDescent="0.3">
      <c r="A876" s="2"/>
      <c r="B876" s="2"/>
      <c r="C876" s="2"/>
      <c r="D876" s="6"/>
    </row>
    <row r="877" spans="1:4" x14ac:dyDescent="0.3">
      <c r="A877" s="2"/>
      <c r="B877" s="2"/>
      <c r="C877" s="2"/>
      <c r="D877" s="6"/>
    </row>
    <row r="878" spans="1:4" x14ac:dyDescent="0.3">
      <c r="A878" s="2"/>
      <c r="B878" s="2"/>
      <c r="C878" s="2"/>
      <c r="D878" s="6"/>
    </row>
    <row r="879" spans="1:4" x14ac:dyDescent="0.3">
      <c r="A879" s="2"/>
      <c r="B879" s="2"/>
      <c r="C879" s="2"/>
      <c r="D879" s="6"/>
    </row>
    <row r="880" spans="1:4" x14ac:dyDescent="0.3">
      <c r="A880" s="2"/>
      <c r="B880" s="2"/>
      <c r="C880" s="2"/>
      <c r="D880" s="6"/>
    </row>
    <row r="881" spans="1:4" x14ac:dyDescent="0.3">
      <c r="A881" s="2"/>
      <c r="B881" s="2"/>
      <c r="C881" s="2"/>
      <c r="D881" s="6"/>
    </row>
    <row r="882" spans="1:4" x14ac:dyDescent="0.3">
      <c r="A882" s="2"/>
      <c r="B882" s="2"/>
      <c r="C882" s="2"/>
      <c r="D882" s="6"/>
    </row>
    <row r="883" spans="1:4" x14ac:dyDescent="0.3">
      <c r="A883" s="2"/>
      <c r="B883" s="2"/>
      <c r="C883" s="2"/>
      <c r="D883" s="6"/>
    </row>
    <row r="884" spans="1:4" x14ac:dyDescent="0.3">
      <c r="A884" s="2"/>
      <c r="B884" s="2"/>
      <c r="C884" s="2"/>
      <c r="D884" s="6"/>
    </row>
    <row r="885" spans="1:4" x14ac:dyDescent="0.3">
      <c r="A885" s="2"/>
      <c r="B885" s="2"/>
      <c r="C885" s="2"/>
      <c r="D885" s="6"/>
    </row>
    <row r="886" spans="1:4" x14ac:dyDescent="0.3">
      <c r="A886" s="2"/>
      <c r="B886" s="2"/>
      <c r="C886" s="2"/>
      <c r="D886" s="6"/>
    </row>
    <row r="887" spans="1:4" x14ac:dyDescent="0.3">
      <c r="A887" s="2"/>
      <c r="B887" s="2"/>
      <c r="C887" s="2"/>
      <c r="D887" s="6"/>
    </row>
    <row r="888" spans="1:4" x14ac:dyDescent="0.3">
      <c r="A888" s="2"/>
      <c r="B888" s="2"/>
      <c r="C888" s="2"/>
      <c r="D888" s="6"/>
    </row>
    <row r="889" spans="1:4" x14ac:dyDescent="0.3">
      <c r="A889" s="2"/>
      <c r="B889" s="2"/>
      <c r="C889" s="2"/>
      <c r="D889" s="6"/>
    </row>
    <row r="890" spans="1:4" x14ac:dyDescent="0.3">
      <c r="A890" s="2"/>
      <c r="B890" s="2"/>
      <c r="C890" s="2"/>
      <c r="D890" s="6"/>
    </row>
    <row r="891" spans="1:4" x14ac:dyDescent="0.3">
      <c r="A891" s="2"/>
      <c r="B891" s="2"/>
      <c r="C891" s="2"/>
      <c r="D891" s="6"/>
    </row>
    <row r="892" spans="1:4" x14ac:dyDescent="0.3">
      <c r="A892" s="2"/>
      <c r="B892" s="2"/>
      <c r="C892" s="2"/>
      <c r="D892" s="6"/>
    </row>
    <row r="893" spans="1:4" x14ac:dyDescent="0.3">
      <c r="A893" s="2"/>
      <c r="B893" s="2"/>
      <c r="C893" s="2"/>
      <c r="D893" s="6"/>
    </row>
    <row r="894" spans="1:4" x14ac:dyDescent="0.3">
      <c r="A894" s="2"/>
      <c r="B894" s="2"/>
      <c r="C894" s="2"/>
      <c r="D894" s="6"/>
    </row>
    <row r="895" spans="1:4" x14ac:dyDescent="0.3">
      <c r="A895" s="2"/>
      <c r="B895" s="2"/>
      <c r="C895" s="2"/>
      <c r="D895" s="6"/>
    </row>
    <row r="896" spans="1:4" x14ac:dyDescent="0.3">
      <c r="A896" s="2"/>
      <c r="B896" s="2"/>
      <c r="C896" s="2"/>
      <c r="D896" s="6"/>
    </row>
    <row r="897" spans="1:4" x14ac:dyDescent="0.3">
      <c r="A897" s="2"/>
      <c r="B897" s="2"/>
      <c r="C897" s="2"/>
      <c r="D897" s="6"/>
    </row>
    <row r="898" spans="1:4" x14ac:dyDescent="0.3">
      <c r="A898" s="2"/>
      <c r="B898" s="2"/>
      <c r="C898" s="2"/>
      <c r="D898" s="6"/>
    </row>
    <row r="899" spans="1:4" x14ac:dyDescent="0.3">
      <c r="A899" s="2"/>
      <c r="B899" s="2"/>
      <c r="C899" s="2"/>
      <c r="D899" s="6"/>
    </row>
    <row r="900" spans="1:4" x14ac:dyDescent="0.3">
      <c r="A900" s="2"/>
      <c r="B900" s="2"/>
      <c r="C900" s="2"/>
      <c r="D900" s="6"/>
    </row>
    <row r="901" spans="1:4" x14ac:dyDescent="0.3">
      <c r="A901" s="2"/>
      <c r="B901" s="2"/>
      <c r="C901" s="2"/>
      <c r="D901" s="6"/>
    </row>
    <row r="902" spans="1:4" x14ac:dyDescent="0.3">
      <c r="A902" s="2"/>
      <c r="B902" s="2"/>
      <c r="C902" s="2"/>
      <c r="D902" s="6"/>
    </row>
    <row r="903" spans="1:4" x14ac:dyDescent="0.3">
      <c r="A903" s="2"/>
      <c r="B903" s="2"/>
      <c r="C903" s="2"/>
      <c r="D903" s="6"/>
    </row>
    <row r="904" spans="1:4" x14ac:dyDescent="0.3">
      <c r="A904" s="2"/>
      <c r="B904" s="2"/>
      <c r="C904" s="2"/>
      <c r="D904" s="6"/>
    </row>
    <row r="905" spans="1:4" x14ac:dyDescent="0.3">
      <c r="A905" s="2"/>
      <c r="B905" s="2"/>
      <c r="C905" s="2"/>
      <c r="D905" s="6"/>
    </row>
    <row r="906" spans="1:4" x14ac:dyDescent="0.3">
      <c r="A906" s="2"/>
      <c r="B906" s="2"/>
      <c r="C906" s="2"/>
      <c r="D906" s="6"/>
    </row>
    <row r="907" spans="1:4" x14ac:dyDescent="0.3">
      <c r="A907" s="2"/>
      <c r="B907" s="2"/>
      <c r="C907" s="2"/>
      <c r="D907" s="6"/>
    </row>
    <row r="908" spans="1:4" x14ac:dyDescent="0.3">
      <c r="A908" s="2"/>
      <c r="B908" s="2"/>
      <c r="C908" s="2"/>
      <c r="D908" s="6"/>
    </row>
    <row r="909" spans="1:4" x14ac:dyDescent="0.3">
      <c r="A909" s="2"/>
      <c r="B909" s="2"/>
      <c r="C909" s="2"/>
      <c r="D909" s="6"/>
    </row>
    <row r="910" spans="1:4" x14ac:dyDescent="0.3">
      <c r="A910" s="2"/>
      <c r="B910" s="2"/>
      <c r="C910" s="2"/>
      <c r="D910" s="6"/>
    </row>
    <row r="911" spans="1:4" x14ac:dyDescent="0.3">
      <c r="A911" s="2"/>
      <c r="B911" s="2"/>
      <c r="C911" s="2"/>
      <c r="D911" s="6"/>
    </row>
    <row r="912" spans="1:4" x14ac:dyDescent="0.3">
      <c r="A912" s="2"/>
      <c r="B912" s="2"/>
      <c r="C912" s="2"/>
      <c r="D912" s="6"/>
    </row>
    <row r="913" spans="1:4" x14ac:dyDescent="0.3">
      <c r="A913" s="2"/>
      <c r="B913" s="2"/>
      <c r="C913" s="2"/>
      <c r="D913" s="6"/>
    </row>
    <row r="914" spans="1:4" x14ac:dyDescent="0.3">
      <c r="A914" s="2"/>
      <c r="B914" s="2"/>
      <c r="C914" s="2"/>
      <c r="D914" s="6"/>
    </row>
    <row r="915" spans="1:4" x14ac:dyDescent="0.3">
      <c r="A915" s="2"/>
      <c r="B915" s="2"/>
      <c r="C915" s="2"/>
      <c r="D915" s="6"/>
    </row>
    <row r="916" spans="1:4" x14ac:dyDescent="0.3">
      <c r="A916" s="2"/>
      <c r="B916" s="2"/>
      <c r="C916" s="2"/>
      <c r="D916" s="6"/>
    </row>
    <row r="917" spans="1:4" x14ac:dyDescent="0.3">
      <c r="A917" s="2"/>
      <c r="B917" s="2"/>
      <c r="C917" s="2"/>
      <c r="D917" s="6"/>
    </row>
    <row r="918" spans="1:4" x14ac:dyDescent="0.3">
      <c r="A918" s="2"/>
      <c r="B918" s="2"/>
      <c r="C918" s="2"/>
      <c r="D918" s="6"/>
    </row>
    <row r="919" spans="1:4" x14ac:dyDescent="0.3">
      <c r="A919" s="2"/>
      <c r="B919" s="2"/>
      <c r="C919" s="2"/>
      <c r="D919" s="6"/>
    </row>
    <row r="920" spans="1:4" x14ac:dyDescent="0.3">
      <c r="A920" s="2"/>
      <c r="B920" s="2"/>
      <c r="C920" s="2"/>
      <c r="D920" s="6"/>
    </row>
    <row r="921" spans="1:4" x14ac:dyDescent="0.3">
      <c r="A921" s="2"/>
      <c r="B921" s="2"/>
      <c r="C921" s="2"/>
      <c r="D921" s="6"/>
    </row>
    <row r="922" spans="1:4" x14ac:dyDescent="0.3">
      <c r="A922" s="2"/>
      <c r="B922" s="2"/>
      <c r="C922" s="2"/>
      <c r="D922" s="6"/>
    </row>
    <row r="923" spans="1:4" x14ac:dyDescent="0.3">
      <c r="A923" s="2"/>
      <c r="B923" s="2"/>
      <c r="C923" s="2"/>
      <c r="D923" s="6"/>
    </row>
    <row r="924" spans="1:4" x14ac:dyDescent="0.3">
      <c r="A924" s="2"/>
      <c r="B924" s="2"/>
      <c r="C924" s="2"/>
      <c r="D924" s="6"/>
    </row>
    <row r="925" spans="1:4" x14ac:dyDescent="0.3">
      <c r="A925" s="2"/>
      <c r="B925" s="2"/>
      <c r="C925" s="2"/>
      <c r="D925" s="6"/>
    </row>
    <row r="926" spans="1:4" x14ac:dyDescent="0.3">
      <c r="A926" s="2"/>
      <c r="B926" s="2"/>
      <c r="C926" s="2"/>
      <c r="D926" s="6"/>
    </row>
    <row r="927" spans="1:4" x14ac:dyDescent="0.3">
      <c r="A927" s="2"/>
      <c r="B927" s="2"/>
      <c r="C927" s="2"/>
      <c r="D927" s="6"/>
    </row>
    <row r="928" spans="1:4" x14ac:dyDescent="0.3">
      <c r="A928" s="2"/>
      <c r="B928" s="2"/>
      <c r="C928" s="2"/>
      <c r="D928" s="6"/>
    </row>
    <row r="929" spans="1:4" x14ac:dyDescent="0.3">
      <c r="A929" s="2"/>
      <c r="B929" s="2"/>
      <c r="C929" s="2"/>
      <c r="D929" s="6"/>
    </row>
    <row r="930" spans="1:4" x14ac:dyDescent="0.3">
      <c r="A930" s="2"/>
      <c r="B930" s="2"/>
      <c r="C930" s="2"/>
      <c r="D930" s="6"/>
    </row>
    <row r="931" spans="1:4" x14ac:dyDescent="0.3">
      <c r="A931" s="2"/>
      <c r="B931" s="2"/>
      <c r="C931" s="2"/>
      <c r="D931" s="6"/>
    </row>
    <row r="932" spans="1:4" x14ac:dyDescent="0.3">
      <c r="A932" s="2"/>
      <c r="B932" s="2"/>
      <c r="C932" s="2"/>
      <c r="D932" s="6"/>
    </row>
    <row r="933" spans="1:4" x14ac:dyDescent="0.3">
      <c r="A933" s="2"/>
      <c r="B933" s="2"/>
      <c r="C933" s="2"/>
      <c r="D933" s="6"/>
    </row>
    <row r="934" spans="1:4" x14ac:dyDescent="0.3">
      <c r="A934" s="2"/>
      <c r="B934" s="2"/>
      <c r="C934" s="2"/>
      <c r="D934" s="6"/>
    </row>
    <row r="935" spans="1:4" x14ac:dyDescent="0.3">
      <c r="A935" s="2"/>
      <c r="B935" s="2"/>
      <c r="C935" s="2"/>
      <c r="D935" s="6"/>
    </row>
    <row r="936" spans="1:4" x14ac:dyDescent="0.3">
      <c r="A936" s="2"/>
      <c r="B936" s="2"/>
      <c r="C936" s="2"/>
      <c r="D936" s="6"/>
    </row>
    <row r="937" spans="1:4" x14ac:dyDescent="0.3">
      <c r="A937" s="2"/>
      <c r="B937" s="2"/>
      <c r="C937" s="2"/>
      <c r="D937" s="6"/>
    </row>
    <row r="938" spans="1:4" x14ac:dyDescent="0.3">
      <c r="A938" s="2"/>
      <c r="B938" s="2"/>
      <c r="C938" s="2"/>
      <c r="D938" s="6"/>
    </row>
    <row r="939" spans="1:4" x14ac:dyDescent="0.3">
      <c r="A939" s="2"/>
      <c r="B939" s="2"/>
      <c r="C939" s="2"/>
      <c r="D939" s="6"/>
    </row>
    <row r="940" spans="1:4" x14ac:dyDescent="0.3">
      <c r="A940" s="2"/>
      <c r="B940" s="2"/>
      <c r="C940" s="2"/>
      <c r="D940" s="6"/>
    </row>
    <row r="941" spans="1:4" x14ac:dyDescent="0.3">
      <c r="A941" s="2"/>
      <c r="B941" s="2"/>
      <c r="C941" s="2"/>
      <c r="D941" s="6"/>
    </row>
    <row r="942" spans="1:4" x14ac:dyDescent="0.3">
      <c r="A942" s="2"/>
      <c r="B942" s="2"/>
      <c r="C942" s="2"/>
      <c r="D942" s="6"/>
    </row>
    <row r="943" spans="1:4" x14ac:dyDescent="0.3">
      <c r="A943" s="2"/>
      <c r="B943" s="2"/>
      <c r="C943" s="2"/>
      <c r="D943" s="6"/>
    </row>
    <row r="944" spans="1:4" x14ac:dyDescent="0.3">
      <c r="A944" s="2"/>
      <c r="B944" s="2"/>
      <c r="C944" s="2"/>
      <c r="D944" s="6"/>
    </row>
    <row r="945" spans="1:4" x14ac:dyDescent="0.3">
      <c r="A945" s="2"/>
      <c r="B945" s="2"/>
      <c r="C945" s="2"/>
      <c r="D945" s="6"/>
    </row>
    <row r="946" spans="1:4" x14ac:dyDescent="0.3">
      <c r="A946" s="2"/>
      <c r="B946" s="2"/>
      <c r="C946" s="2"/>
      <c r="D946" s="6"/>
    </row>
    <row r="947" spans="1:4" x14ac:dyDescent="0.3">
      <c r="A947" s="2"/>
      <c r="B947" s="2"/>
      <c r="C947" s="2"/>
      <c r="D947" s="6"/>
    </row>
    <row r="948" spans="1:4" x14ac:dyDescent="0.3">
      <c r="A948" s="2"/>
      <c r="B948" s="2"/>
      <c r="C948" s="2"/>
      <c r="D948" s="6"/>
    </row>
    <row r="949" spans="1:4" x14ac:dyDescent="0.3">
      <c r="A949" s="2"/>
      <c r="B949" s="2"/>
      <c r="C949" s="2"/>
      <c r="D949" s="6"/>
    </row>
    <row r="950" spans="1:4" x14ac:dyDescent="0.3">
      <c r="A950" s="2"/>
      <c r="B950" s="2"/>
      <c r="C950" s="2"/>
      <c r="D950" s="6"/>
    </row>
    <row r="951" spans="1:4" x14ac:dyDescent="0.3">
      <c r="A951" s="2"/>
      <c r="B951" s="2"/>
      <c r="C951" s="2"/>
      <c r="D951" s="6"/>
    </row>
    <row r="952" spans="1:4" x14ac:dyDescent="0.3">
      <c r="A952" s="2"/>
      <c r="B952" s="2"/>
      <c r="C952" s="2"/>
      <c r="D952" s="6"/>
    </row>
    <row r="953" spans="1:4" x14ac:dyDescent="0.3">
      <c r="A953" s="2"/>
      <c r="B953" s="2"/>
      <c r="C953" s="2"/>
      <c r="D953" s="6"/>
    </row>
    <row r="954" spans="1:4" x14ac:dyDescent="0.3">
      <c r="A954" s="2"/>
      <c r="B954" s="2"/>
      <c r="C954" s="2"/>
      <c r="D954" s="6"/>
    </row>
    <row r="955" spans="1:4" x14ac:dyDescent="0.3">
      <c r="A955" s="2"/>
      <c r="B955" s="2"/>
      <c r="C955" s="2"/>
      <c r="D955" s="6"/>
    </row>
    <row r="956" spans="1:4" x14ac:dyDescent="0.3">
      <c r="A956" s="2"/>
      <c r="B956" s="2"/>
      <c r="C956" s="2"/>
      <c r="D956" s="6"/>
    </row>
    <row r="957" spans="1:4" x14ac:dyDescent="0.3">
      <c r="A957" s="2"/>
      <c r="B957" s="2"/>
      <c r="C957" s="2"/>
      <c r="D957" s="6"/>
    </row>
    <row r="958" spans="1:4" x14ac:dyDescent="0.3">
      <c r="A958" s="2"/>
      <c r="B958" s="2"/>
      <c r="C958" s="2"/>
      <c r="D958" s="6"/>
    </row>
    <row r="959" spans="1:4" x14ac:dyDescent="0.3">
      <c r="A959" s="2"/>
      <c r="B959" s="2"/>
      <c r="C959" s="2"/>
      <c r="D959" s="6"/>
    </row>
    <row r="960" spans="1:4" x14ac:dyDescent="0.3">
      <c r="A960" s="2"/>
      <c r="B960" s="2"/>
      <c r="C960" s="2"/>
      <c r="D960" s="6"/>
    </row>
    <row r="961" spans="1:4" x14ac:dyDescent="0.3">
      <c r="A961" s="2"/>
      <c r="B961" s="2"/>
      <c r="C961" s="2"/>
      <c r="D961" s="6"/>
    </row>
    <row r="962" spans="1:4" x14ac:dyDescent="0.3">
      <c r="A962" s="2"/>
      <c r="B962" s="2"/>
      <c r="C962" s="2"/>
      <c r="D962" s="6"/>
    </row>
    <row r="963" spans="1:4" x14ac:dyDescent="0.3">
      <c r="A963" s="2"/>
      <c r="B963" s="2"/>
      <c r="C963" s="2"/>
      <c r="D963" s="6"/>
    </row>
    <row r="964" spans="1:4" x14ac:dyDescent="0.3">
      <c r="A964" s="2"/>
      <c r="B964" s="2"/>
      <c r="C964" s="2"/>
      <c r="D964" s="6"/>
    </row>
    <row r="965" spans="1:4" x14ac:dyDescent="0.3">
      <c r="A965" s="2"/>
      <c r="B965" s="2"/>
      <c r="C965" s="2"/>
      <c r="D965" s="6"/>
    </row>
    <row r="966" spans="1:4" x14ac:dyDescent="0.3">
      <c r="A966" s="2"/>
      <c r="B966" s="2"/>
      <c r="C966" s="2"/>
      <c r="D966" s="6"/>
    </row>
    <row r="967" spans="1:4" x14ac:dyDescent="0.3">
      <c r="A967" s="2"/>
      <c r="B967" s="2"/>
      <c r="C967" s="2"/>
      <c r="D967" s="6"/>
    </row>
    <row r="968" spans="1:4" x14ac:dyDescent="0.3">
      <c r="A968" s="2"/>
      <c r="B968" s="2"/>
      <c r="C968" s="2"/>
      <c r="D968" s="6"/>
    </row>
    <row r="969" spans="1:4" x14ac:dyDescent="0.3">
      <c r="A969" s="2"/>
      <c r="B969" s="2"/>
      <c r="C969" s="2"/>
      <c r="D969" s="6"/>
    </row>
    <row r="970" spans="1:4" x14ac:dyDescent="0.3">
      <c r="A970" s="2"/>
      <c r="B970" s="2"/>
      <c r="C970" s="2"/>
      <c r="D970" s="6"/>
    </row>
    <row r="971" spans="1:4" x14ac:dyDescent="0.3">
      <c r="A971" s="2"/>
      <c r="B971" s="2"/>
      <c r="C971" s="2"/>
      <c r="D971" s="6"/>
    </row>
    <row r="972" spans="1:4" x14ac:dyDescent="0.3">
      <c r="A972" s="2"/>
      <c r="B972" s="2"/>
      <c r="C972" s="2"/>
      <c r="D972" s="6"/>
    </row>
    <row r="973" spans="1:4" x14ac:dyDescent="0.3">
      <c r="A973" s="2"/>
      <c r="B973" s="2"/>
      <c r="C973" s="2"/>
      <c r="D973" s="6"/>
    </row>
    <row r="974" spans="1:4" x14ac:dyDescent="0.3">
      <c r="A974" s="2"/>
      <c r="B974" s="2"/>
      <c r="C974" s="2"/>
      <c r="D974" s="6"/>
    </row>
    <row r="975" spans="1:4" x14ac:dyDescent="0.3">
      <c r="A975" s="2"/>
      <c r="B975" s="2"/>
      <c r="C975" s="2"/>
      <c r="D975" s="6"/>
    </row>
    <row r="976" spans="1:4" x14ac:dyDescent="0.3">
      <c r="A976" s="2"/>
      <c r="B976" s="2"/>
      <c r="C976" s="2"/>
      <c r="D976" s="6"/>
    </row>
    <row r="977" spans="1:4" x14ac:dyDescent="0.3">
      <c r="A977" s="2"/>
      <c r="B977" s="2"/>
      <c r="C977" s="2"/>
      <c r="D977" s="6"/>
    </row>
    <row r="978" spans="1:4" x14ac:dyDescent="0.3">
      <c r="A978" s="2"/>
      <c r="B978" s="2"/>
      <c r="C978" s="2"/>
      <c r="D978" s="6"/>
    </row>
    <row r="979" spans="1:4" x14ac:dyDescent="0.3">
      <c r="A979" s="2"/>
      <c r="B979" s="2"/>
      <c r="C979" s="2"/>
      <c r="D979" s="6"/>
    </row>
    <row r="980" spans="1:4" x14ac:dyDescent="0.3">
      <c r="A980" s="2"/>
      <c r="B980" s="2"/>
      <c r="C980" s="2"/>
      <c r="D980" s="6"/>
    </row>
    <row r="981" spans="1:4" x14ac:dyDescent="0.3">
      <c r="A981" s="2"/>
      <c r="B981" s="2"/>
      <c r="C981" s="2"/>
      <c r="D981" s="6"/>
    </row>
    <row r="982" spans="1:4" x14ac:dyDescent="0.3">
      <c r="A982" s="2"/>
      <c r="B982" s="2"/>
      <c r="C982" s="2"/>
      <c r="D982" s="6"/>
    </row>
    <row r="983" spans="1:4" x14ac:dyDescent="0.3">
      <c r="A983" s="2"/>
      <c r="B983" s="2"/>
      <c r="C983" s="2"/>
      <c r="D983" s="6"/>
    </row>
    <row r="984" spans="1:4" x14ac:dyDescent="0.3">
      <c r="A984" s="2"/>
      <c r="B984" s="2"/>
      <c r="C984" s="2"/>
      <c r="D984" s="6"/>
    </row>
    <row r="985" spans="1:4" x14ac:dyDescent="0.3">
      <c r="A985" s="2"/>
      <c r="B985" s="2"/>
      <c r="C985" s="2"/>
      <c r="D985" s="6"/>
    </row>
    <row r="986" spans="1:4" x14ac:dyDescent="0.3">
      <c r="A986" s="2"/>
      <c r="B986" s="2"/>
      <c r="C986" s="2"/>
      <c r="D986" s="6"/>
    </row>
    <row r="987" spans="1:4" x14ac:dyDescent="0.3">
      <c r="A987" s="2"/>
      <c r="B987" s="2"/>
      <c r="C987" s="2"/>
      <c r="D987" s="6"/>
    </row>
    <row r="988" spans="1:4" x14ac:dyDescent="0.3">
      <c r="A988" s="2"/>
      <c r="B988" s="2"/>
      <c r="C988" s="2"/>
      <c r="D988" s="6"/>
    </row>
    <row r="989" spans="1:4" x14ac:dyDescent="0.3">
      <c r="A989" s="2"/>
      <c r="B989" s="2"/>
      <c r="C989" s="2"/>
      <c r="D989" s="6"/>
    </row>
    <row r="990" spans="1:4" x14ac:dyDescent="0.3">
      <c r="A990" s="2"/>
      <c r="B990" s="2"/>
      <c r="C990" s="2"/>
      <c r="D990" s="6"/>
    </row>
    <row r="991" spans="1:4" x14ac:dyDescent="0.3">
      <c r="A991" s="2"/>
      <c r="B991" s="2"/>
      <c r="C991" s="2"/>
      <c r="D991" s="6"/>
    </row>
    <row r="992" spans="1:4" x14ac:dyDescent="0.3">
      <c r="A992" s="2"/>
      <c r="B992" s="2"/>
      <c r="C992" s="2"/>
      <c r="D992" s="6"/>
    </row>
    <row r="993" spans="1:4" x14ac:dyDescent="0.3">
      <c r="A993" s="2"/>
      <c r="B993" s="2"/>
      <c r="C993" s="2"/>
      <c r="D993" s="6"/>
    </row>
    <row r="994" spans="1:4" x14ac:dyDescent="0.3">
      <c r="A994" s="2"/>
      <c r="B994" s="2"/>
      <c r="C994" s="2"/>
      <c r="D994" s="6"/>
    </row>
    <row r="995" spans="1:4" x14ac:dyDescent="0.3">
      <c r="A995" s="2"/>
      <c r="B995" s="2"/>
      <c r="C995" s="2"/>
      <c r="D995" s="6"/>
    </row>
    <row r="996" spans="1:4" x14ac:dyDescent="0.3">
      <c r="A996" s="2"/>
      <c r="B996" s="2"/>
      <c r="C996" s="2"/>
      <c r="D996" s="6"/>
    </row>
    <row r="997" spans="1:4" x14ac:dyDescent="0.3">
      <c r="A997" s="2"/>
      <c r="B997" s="2"/>
      <c r="C997" s="2"/>
      <c r="D997" s="6"/>
    </row>
    <row r="998" spans="1:4" x14ac:dyDescent="0.3">
      <c r="A998" s="2"/>
      <c r="B998" s="2"/>
      <c r="C998" s="2"/>
      <c r="D998" s="6"/>
    </row>
    <row r="999" spans="1:4" x14ac:dyDescent="0.3">
      <c r="A999" s="2"/>
      <c r="B999" s="2"/>
      <c r="C999" s="2"/>
      <c r="D999" s="6"/>
    </row>
    <row r="1000" spans="1:4" x14ac:dyDescent="0.3">
      <c r="A1000" s="2"/>
      <c r="B1000" s="2"/>
      <c r="C1000" s="2"/>
      <c r="D1000" s="6"/>
    </row>
    <row r="1001" spans="1:4" x14ac:dyDescent="0.3">
      <c r="A1001" s="2"/>
      <c r="B1001" s="2"/>
      <c r="C1001" s="2"/>
      <c r="D1001" s="6"/>
    </row>
    <row r="1002" spans="1:4" x14ac:dyDescent="0.3">
      <c r="A1002" s="2"/>
      <c r="B1002" s="2"/>
      <c r="C1002" s="2"/>
      <c r="D1002" s="6"/>
    </row>
    <row r="1003" spans="1:4" x14ac:dyDescent="0.3">
      <c r="A1003" s="2"/>
      <c r="B1003" s="2"/>
      <c r="C1003" s="2"/>
      <c r="D1003" s="6"/>
    </row>
    <row r="1004" spans="1:4" x14ac:dyDescent="0.3">
      <c r="A1004" s="2"/>
      <c r="B1004" s="2"/>
      <c r="C1004" s="2"/>
      <c r="D1004" s="6"/>
    </row>
    <row r="1005" spans="1:4" x14ac:dyDescent="0.3">
      <c r="A1005" s="2"/>
      <c r="B1005" s="2"/>
      <c r="C1005" s="2"/>
      <c r="D1005" s="6"/>
    </row>
    <row r="1006" spans="1:4" x14ac:dyDescent="0.3">
      <c r="A1006" s="2"/>
      <c r="B1006" s="2"/>
      <c r="C1006" s="2"/>
      <c r="D1006" s="6"/>
    </row>
    <row r="1007" spans="1:4" x14ac:dyDescent="0.3">
      <c r="A1007" s="2"/>
      <c r="B1007" s="2"/>
      <c r="C1007" s="2"/>
      <c r="D1007" s="6"/>
    </row>
    <row r="1008" spans="1:4" x14ac:dyDescent="0.3">
      <c r="A1008" s="2"/>
      <c r="B1008" s="2"/>
      <c r="C1008" s="2"/>
      <c r="D1008" s="6"/>
    </row>
    <row r="1009" spans="1:4" x14ac:dyDescent="0.3">
      <c r="A1009" s="2"/>
      <c r="B1009" s="2"/>
      <c r="C1009" s="2"/>
      <c r="D1009" s="6"/>
    </row>
    <row r="1010" spans="1:4" x14ac:dyDescent="0.3">
      <c r="A1010" s="2"/>
      <c r="B1010" s="37"/>
      <c r="C1010" s="2"/>
      <c r="D1010" s="6"/>
    </row>
    <row r="1011" spans="1:4" x14ac:dyDescent="0.3">
      <c r="A1011" s="2"/>
      <c r="B1011" s="2"/>
      <c r="C1011" s="2"/>
      <c r="D1011" s="6"/>
    </row>
    <row r="1012" spans="1:4" x14ac:dyDescent="0.3">
      <c r="A1012" s="2"/>
      <c r="B1012" s="2"/>
      <c r="C1012" s="2"/>
      <c r="D1012" s="6"/>
    </row>
    <row r="1013" spans="1:4" x14ac:dyDescent="0.3">
      <c r="A1013" s="2"/>
      <c r="B1013" s="2"/>
      <c r="C1013" s="2"/>
      <c r="D1013" s="6"/>
    </row>
    <row r="1014" spans="1:4" x14ac:dyDescent="0.3">
      <c r="A1014" s="2"/>
      <c r="B1014" s="2"/>
      <c r="C1014" s="2"/>
      <c r="D1014" s="6"/>
    </row>
    <row r="1015" spans="1:4" x14ac:dyDescent="0.3">
      <c r="A1015" s="2"/>
      <c r="B1015" s="2"/>
      <c r="C1015" s="2"/>
      <c r="D1015" s="6"/>
    </row>
    <row r="1016" spans="1:4" x14ac:dyDescent="0.3">
      <c r="A1016" s="2"/>
      <c r="B1016" s="2"/>
      <c r="C1016" s="2"/>
      <c r="D1016" s="6"/>
    </row>
    <row r="1017" spans="1:4" x14ac:dyDescent="0.3">
      <c r="A1017" s="2"/>
      <c r="B1017" s="2"/>
      <c r="C1017" s="2"/>
      <c r="D1017" s="6"/>
    </row>
    <row r="1018" spans="1:4" x14ac:dyDescent="0.3">
      <c r="A1018" s="2"/>
      <c r="B1018" s="2"/>
      <c r="C1018" s="2"/>
      <c r="D1018" s="6"/>
    </row>
    <row r="1019" spans="1:4" x14ac:dyDescent="0.3">
      <c r="A1019" s="2"/>
      <c r="B1019" s="2"/>
      <c r="C1019" s="2"/>
      <c r="D1019" s="6"/>
    </row>
    <row r="1020" spans="1:4" x14ac:dyDescent="0.3">
      <c r="A1020" s="2"/>
      <c r="B1020" s="2"/>
      <c r="C1020" s="2"/>
      <c r="D1020" s="6"/>
    </row>
    <row r="1021" spans="1:4" x14ac:dyDescent="0.3">
      <c r="A1021" s="2"/>
      <c r="B1021" s="2"/>
      <c r="C1021" s="2"/>
      <c r="D1021" s="6"/>
    </row>
    <row r="1022" spans="1:4" x14ac:dyDescent="0.3">
      <c r="A1022" s="2"/>
      <c r="B1022" s="2"/>
      <c r="C1022" s="2"/>
      <c r="D1022" s="6"/>
    </row>
    <row r="1023" spans="1:4" x14ac:dyDescent="0.3">
      <c r="A1023" s="2"/>
      <c r="B1023" s="2"/>
      <c r="C1023" s="2"/>
      <c r="D1023" s="6"/>
    </row>
    <row r="1024" spans="1:4" x14ac:dyDescent="0.3">
      <c r="A1024" s="2"/>
      <c r="B1024" s="2"/>
      <c r="C1024" s="2"/>
      <c r="D1024" s="6"/>
    </row>
    <row r="1025" spans="1:4" x14ac:dyDescent="0.3">
      <c r="A1025" s="2"/>
      <c r="B1025" s="2"/>
      <c r="C1025" s="2"/>
      <c r="D1025" s="6"/>
    </row>
    <row r="1026" spans="1:4" x14ac:dyDescent="0.3">
      <c r="A1026" s="2"/>
      <c r="B1026" s="2"/>
      <c r="C1026" s="2"/>
      <c r="D1026" s="6"/>
    </row>
    <row r="1027" spans="1:4" x14ac:dyDescent="0.3">
      <c r="A1027" s="2"/>
      <c r="B1027" s="2"/>
      <c r="C1027" s="2"/>
      <c r="D1027" s="6"/>
    </row>
    <row r="1028" spans="1:4" x14ac:dyDescent="0.3">
      <c r="A1028" s="2"/>
      <c r="B1028" s="2"/>
      <c r="C1028" s="2"/>
      <c r="D1028" s="6"/>
    </row>
    <row r="1029" spans="1:4" x14ac:dyDescent="0.3">
      <c r="A1029" s="2"/>
      <c r="B1029" s="2"/>
      <c r="C1029" s="2"/>
      <c r="D1029" s="6"/>
    </row>
    <row r="1030" spans="1:4" x14ac:dyDescent="0.3">
      <c r="A1030" s="2"/>
      <c r="B1030" s="2"/>
      <c r="C1030" s="2"/>
      <c r="D1030" s="6"/>
    </row>
    <row r="1031" spans="1:4" x14ac:dyDescent="0.3">
      <c r="A1031" s="2"/>
      <c r="B1031" s="2"/>
      <c r="C1031" s="2"/>
      <c r="D1031" s="6"/>
    </row>
    <row r="1032" spans="1:4" x14ac:dyDescent="0.3">
      <c r="A1032" s="2"/>
      <c r="B1032" s="2"/>
      <c r="C1032" s="2"/>
      <c r="D1032" s="6"/>
    </row>
    <row r="1033" spans="1:4" x14ac:dyDescent="0.3">
      <c r="A1033" s="2"/>
      <c r="B1033" s="2"/>
      <c r="C1033" s="2"/>
      <c r="D1033" s="6"/>
    </row>
    <row r="1034" spans="1:4" x14ac:dyDescent="0.3">
      <c r="A1034" s="2"/>
      <c r="B1034" s="2"/>
      <c r="C1034" s="2"/>
      <c r="D1034" s="6"/>
    </row>
    <row r="1035" spans="1:4" x14ac:dyDescent="0.3">
      <c r="A1035" s="2"/>
      <c r="B1035" s="2"/>
      <c r="C1035" s="2"/>
      <c r="D1035" s="6"/>
    </row>
    <row r="1036" spans="1:4" x14ac:dyDescent="0.3">
      <c r="A1036" s="2"/>
      <c r="B1036" s="2"/>
      <c r="C1036" s="2"/>
      <c r="D1036" s="6"/>
    </row>
    <row r="1037" spans="1:4" x14ac:dyDescent="0.3">
      <c r="A1037" s="2"/>
      <c r="B1037" s="2"/>
      <c r="C1037" s="2"/>
      <c r="D1037" s="6"/>
    </row>
    <row r="1038" spans="1:4" x14ac:dyDescent="0.3">
      <c r="A1038" s="2"/>
      <c r="B1038" s="2"/>
      <c r="C1038" s="2"/>
      <c r="D1038" s="6"/>
    </row>
    <row r="1039" spans="1:4" x14ac:dyDescent="0.3">
      <c r="A1039" s="2"/>
      <c r="B1039" s="2"/>
      <c r="C1039" s="2"/>
      <c r="D1039" s="6"/>
    </row>
    <row r="1040" spans="1:4" x14ac:dyDescent="0.3">
      <c r="A1040" s="2"/>
      <c r="B1040" s="2"/>
      <c r="C1040" s="2"/>
      <c r="D1040" s="6"/>
    </row>
    <row r="1041" spans="1:4" x14ac:dyDescent="0.3">
      <c r="A1041" s="2"/>
      <c r="B1041" s="2"/>
      <c r="C1041" s="2"/>
      <c r="D1041" s="6"/>
    </row>
    <row r="1042" spans="1:4" x14ac:dyDescent="0.3">
      <c r="A1042" s="2"/>
      <c r="B1042" s="2"/>
      <c r="C1042" s="2"/>
      <c r="D1042" s="6"/>
    </row>
    <row r="1043" spans="1:4" x14ac:dyDescent="0.3">
      <c r="A1043" s="2"/>
      <c r="B1043" s="2"/>
      <c r="C1043" s="2"/>
      <c r="D1043" s="6"/>
    </row>
    <row r="1044" spans="1:4" x14ac:dyDescent="0.3">
      <c r="A1044" s="2"/>
      <c r="B1044" s="2"/>
      <c r="C1044" s="2"/>
      <c r="D1044" s="6"/>
    </row>
    <row r="1045" spans="1:4" x14ac:dyDescent="0.3">
      <c r="A1045" s="2"/>
      <c r="B1045" s="2"/>
      <c r="C1045" s="2"/>
      <c r="D1045" s="6"/>
    </row>
    <row r="1046" spans="1:4" x14ac:dyDescent="0.3">
      <c r="A1046" s="2"/>
      <c r="B1046" s="2"/>
      <c r="C1046" s="2"/>
      <c r="D1046" s="6"/>
    </row>
    <row r="1047" spans="1:4" x14ac:dyDescent="0.3">
      <c r="A1047" s="2"/>
      <c r="B1047" s="2"/>
      <c r="C1047" s="2"/>
      <c r="D1047" s="6"/>
    </row>
    <row r="1048" spans="1:4" x14ac:dyDescent="0.3">
      <c r="A1048" s="2"/>
      <c r="B1048" s="2"/>
      <c r="C1048" s="2"/>
      <c r="D1048" s="6"/>
    </row>
    <row r="1049" spans="1:4" x14ac:dyDescent="0.3">
      <c r="A1049" s="2"/>
      <c r="B1049" s="2"/>
      <c r="C1049" s="2"/>
      <c r="D1049" s="6"/>
    </row>
    <row r="1050" spans="1:4" x14ac:dyDescent="0.3">
      <c r="A1050" s="2"/>
      <c r="B1050" s="2"/>
      <c r="C1050" s="2"/>
      <c r="D1050" s="6"/>
    </row>
    <row r="1051" spans="1:4" x14ac:dyDescent="0.3">
      <c r="A1051" s="2"/>
      <c r="B1051" s="2"/>
      <c r="C1051" s="2"/>
      <c r="D1051" s="6"/>
    </row>
    <row r="1052" spans="1:4" x14ac:dyDescent="0.3">
      <c r="A1052" s="2"/>
      <c r="B1052" s="2"/>
      <c r="C1052" s="2"/>
      <c r="D1052" s="6"/>
    </row>
    <row r="1053" spans="1:4" x14ac:dyDescent="0.3">
      <c r="A1053" s="2"/>
      <c r="B1053" s="2"/>
      <c r="C1053" s="2"/>
      <c r="D1053" s="6"/>
    </row>
    <row r="1054" spans="1:4" x14ac:dyDescent="0.3">
      <c r="A1054" s="2"/>
      <c r="B1054" s="2"/>
      <c r="C1054" s="2"/>
      <c r="D1054" s="6"/>
    </row>
    <row r="1055" spans="1:4" x14ac:dyDescent="0.3">
      <c r="A1055" s="2"/>
      <c r="B1055" s="2"/>
      <c r="C1055" s="2"/>
      <c r="D1055" s="6"/>
    </row>
    <row r="1056" spans="1:4" x14ac:dyDescent="0.3">
      <c r="A1056" s="2"/>
      <c r="B1056" s="2"/>
      <c r="C1056" s="2"/>
      <c r="D1056" s="6"/>
    </row>
    <row r="1057" spans="1:4" x14ac:dyDescent="0.3">
      <c r="A1057" s="2"/>
      <c r="B1057" s="2"/>
      <c r="C1057" s="2"/>
      <c r="D1057" s="6"/>
    </row>
    <row r="1058" spans="1:4" x14ac:dyDescent="0.3">
      <c r="A1058" s="2"/>
      <c r="B1058" s="2"/>
      <c r="C1058" s="2"/>
      <c r="D1058" s="6"/>
    </row>
    <row r="1059" spans="1:4" x14ac:dyDescent="0.3">
      <c r="A1059" s="2"/>
      <c r="B1059" s="2"/>
      <c r="C1059" s="2"/>
      <c r="D1059" s="6"/>
    </row>
    <row r="1060" spans="1:4" x14ac:dyDescent="0.3">
      <c r="A1060" s="2"/>
      <c r="B1060" s="2"/>
      <c r="C1060" s="2"/>
      <c r="D1060" s="6"/>
    </row>
    <row r="1061" spans="1:4" x14ac:dyDescent="0.3">
      <c r="A1061" s="2"/>
      <c r="B1061" s="2"/>
      <c r="C1061" s="2"/>
      <c r="D1061" s="6"/>
    </row>
    <row r="1062" spans="1:4" x14ac:dyDescent="0.3">
      <c r="A1062" s="2"/>
      <c r="B1062" s="2"/>
      <c r="C1062" s="2"/>
      <c r="D1062" s="6"/>
    </row>
    <row r="1063" spans="1:4" x14ac:dyDescent="0.3">
      <c r="A1063" s="2"/>
      <c r="B1063" s="2"/>
      <c r="C1063" s="2"/>
      <c r="D1063" s="6"/>
    </row>
    <row r="1064" spans="1:4" x14ac:dyDescent="0.3">
      <c r="A1064" s="2"/>
      <c r="B1064" s="2"/>
      <c r="C1064" s="2"/>
      <c r="D1064" s="6"/>
    </row>
    <row r="1065" spans="1:4" x14ac:dyDescent="0.3">
      <c r="A1065" s="2"/>
      <c r="B1065" s="2"/>
      <c r="C1065" s="2"/>
      <c r="D1065" s="6"/>
    </row>
    <row r="1066" spans="1:4" x14ac:dyDescent="0.3">
      <c r="A1066" s="2"/>
      <c r="B1066" s="2"/>
      <c r="C1066" s="2"/>
      <c r="D1066" s="6"/>
    </row>
    <row r="1067" spans="1:4" x14ac:dyDescent="0.3">
      <c r="A1067" s="2"/>
      <c r="B1067" s="2"/>
      <c r="C1067" s="2"/>
      <c r="D1067" s="6"/>
    </row>
    <row r="1068" spans="1:4" x14ac:dyDescent="0.3">
      <c r="A1068" s="2"/>
      <c r="B1068" s="2"/>
      <c r="C1068" s="2"/>
      <c r="D1068" s="6"/>
    </row>
    <row r="1069" spans="1:4" x14ac:dyDescent="0.3">
      <c r="A1069" s="2"/>
      <c r="B1069" s="2"/>
      <c r="C1069" s="2"/>
      <c r="D1069" s="6"/>
    </row>
    <row r="1070" spans="1:4" x14ac:dyDescent="0.3">
      <c r="A1070" s="2"/>
      <c r="B1070" s="2"/>
      <c r="C1070" s="2"/>
      <c r="D1070" s="6"/>
    </row>
    <row r="1071" spans="1:4" x14ac:dyDescent="0.3">
      <c r="A1071" s="2"/>
      <c r="B1071" s="2"/>
      <c r="C1071" s="2"/>
      <c r="D1071" s="6"/>
    </row>
    <row r="1072" spans="1:4" x14ac:dyDescent="0.3">
      <c r="A1072" s="2"/>
      <c r="B1072" s="2"/>
      <c r="C1072" s="2"/>
      <c r="D1072" s="6"/>
    </row>
    <row r="1073" spans="1:4" x14ac:dyDescent="0.3">
      <c r="A1073" s="2"/>
      <c r="B1073" s="2"/>
      <c r="C1073" s="2"/>
      <c r="D1073" s="6"/>
    </row>
    <row r="1074" spans="1:4" x14ac:dyDescent="0.3">
      <c r="A1074" s="2"/>
      <c r="B1074" s="2"/>
      <c r="C1074" s="2"/>
      <c r="D1074" s="6"/>
    </row>
    <row r="1075" spans="1:4" x14ac:dyDescent="0.3">
      <c r="A1075" s="2"/>
      <c r="B1075" s="2"/>
      <c r="C1075" s="2"/>
      <c r="D1075" s="6"/>
    </row>
    <row r="1076" spans="1:4" x14ac:dyDescent="0.3">
      <c r="A1076" s="2"/>
      <c r="B1076" s="2"/>
      <c r="C1076" s="2"/>
      <c r="D1076" s="6"/>
    </row>
    <row r="1077" spans="1:4" x14ac:dyDescent="0.3">
      <c r="A1077" s="2"/>
      <c r="B1077" s="2"/>
      <c r="C1077" s="2"/>
      <c r="D1077" s="6"/>
    </row>
    <row r="1078" spans="1:4" x14ac:dyDescent="0.3">
      <c r="A1078" s="2"/>
      <c r="B1078" s="2"/>
      <c r="C1078" s="2"/>
      <c r="D1078" s="6"/>
    </row>
    <row r="1079" spans="1:4" x14ac:dyDescent="0.3">
      <c r="A1079" s="2"/>
      <c r="B1079" s="2"/>
      <c r="C1079" s="2"/>
      <c r="D1079" s="6"/>
    </row>
    <row r="1080" spans="1:4" x14ac:dyDescent="0.3">
      <c r="A1080" s="2"/>
      <c r="B1080" s="2"/>
      <c r="C1080" s="2"/>
      <c r="D1080" s="6"/>
    </row>
    <row r="1081" spans="1:4" x14ac:dyDescent="0.3">
      <c r="A1081" s="2"/>
      <c r="B1081" s="2"/>
      <c r="C1081" s="2"/>
      <c r="D1081" s="6"/>
    </row>
    <row r="1082" spans="1:4" x14ac:dyDescent="0.3">
      <c r="A1082" s="2"/>
      <c r="B1082" s="2"/>
      <c r="C1082" s="2"/>
      <c r="D1082" s="6"/>
    </row>
    <row r="1083" spans="1:4" x14ac:dyDescent="0.3">
      <c r="A1083" s="2"/>
      <c r="B1083" s="2"/>
      <c r="C1083" s="2"/>
      <c r="D1083" s="6"/>
    </row>
    <row r="1084" spans="1:4" x14ac:dyDescent="0.3">
      <c r="A1084" s="2"/>
      <c r="B1084" s="2"/>
      <c r="C1084" s="2"/>
      <c r="D1084" s="6"/>
    </row>
    <row r="1085" spans="1:4" x14ac:dyDescent="0.3">
      <c r="A1085" s="2"/>
      <c r="B1085" s="2"/>
      <c r="C1085" s="2"/>
      <c r="D1085" s="6"/>
    </row>
    <row r="1086" spans="1:4" x14ac:dyDescent="0.3">
      <c r="A1086" s="2"/>
      <c r="B1086" s="2"/>
      <c r="C1086" s="2"/>
      <c r="D1086" s="6"/>
    </row>
    <row r="1087" spans="1:4" x14ac:dyDescent="0.3">
      <c r="A1087" s="2"/>
      <c r="B1087" s="2"/>
      <c r="C1087" s="2"/>
      <c r="D1087" s="6"/>
    </row>
    <row r="1088" spans="1:4" x14ac:dyDescent="0.3">
      <c r="A1088" s="2"/>
      <c r="B1088" s="2"/>
      <c r="C1088" s="2"/>
      <c r="D1088" s="6"/>
    </row>
    <row r="1089" spans="1:4" x14ac:dyDescent="0.3">
      <c r="A1089" s="2"/>
      <c r="B1089" s="2"/>
      <c r="C1089" s="2"/>
      <c r="D1089" s="6"/>
    </row>
    <row r="1090" spans="1:4" x14ac:dyDescent="0.3">
      <c r="A1090" s="2"/>
      <c r="B1090" s="2"/>
      <c r="C1090" s="2"/>
      <c r="D1090" s="6"/>
    </row>
    <row r="1091" spans="1:4" x14ac:dyDescent="0.3">
      <c r="A1091" s="2"/>
      <c r="B1091" s="2"/>
      <c r="C1091" s="2"/>
      <c r="D1091" s="6"/>
    </row>
    <row r="1092" spans="1:4" x14ac:dyDescent="0.3">
      <c r="A1092" s="2"/>
      <c r="B1092" s="2"/>
      <c r="C1092" s="2"/>
      <c r="D1092" s="6"/>
    </row>
    <row r="1093" spans="1:4" x14ac:dyDescent="0.3">
      <c r="A1093" s="2"/>
      <c r="B1093" s="2"/>
      <c r="C1093" s="2"/>
      <c r="D1093" s="6"/>
    </row>
    <row r="1094" spans="1:4" x14ac:dyDescent="0.3">
      <c r="A1094" s="2"/>
      <c r="B1094" s="2"/>
      <c r="C1094" s="2"/>
      <c r="D1094" s="6"/>
    </row>
    <row r="1095" spans="1:4" x14ac:dyDescent="0.3">
      <c r="A1095" s="2"/>
      <c r="B1095" s="2"/>
      <c r="C1095" s="2"/>
      <c r="D1095" s="6"/>
    </row>
    <row r="1096" spans="1:4" x14ac:dyDescent="0.3">
      <c r="A1096" s="2"/>
      <c r="B1096" s="2"/>
      <c r="C1096" s="2"/>
      <c r="D1096" s="6"/>
    </row>
    <row r="1097" spans="1:4" x14ac:dyDescent="0.3">
      <c r="A1097" s="2"/>
      <c r="B1097" s="2"/>
      <c r="C1097" s="2"/>
      <c r="D1097" s="6"/>
    </row>
    <row r="1098" spans="1:4" x14ac:dyDescent="0.3">
      <c r="A1098" s="2"/>
      <c r="B1098" s="2"/>
      <c r="C1098" s="2"/>
      <c r="D1098" s="6"/>
    </row>
    <row r="1099" spans="1:4" x14ac:dyDescent="0.3">
      <c r="A1099" s="2"/>
      <c r="B1099" s="2"/>
      <c r="C1099" s="2"/>
      <c r="D1099" s="6"/>
    </row>
    <row r="1100" spans="1:4" x14ac:dyDescent="0.3">
      <c r="A1100" s="2"/>
      <c r="B1100" s="2"/>
      <c r="C1100" s="2"/>
      <c r="D1100" s="6"/>
    </row>
    <row r="1101" spans="1:4" x14ac:dyDescent="0.3">
      <c r="A1101" s="2"/>
      <c r="B1101" s="2"/>
      <c r="C1101" s="2"/>
      <c r="D1101" s="6"/>
    </row>
    <row r="1102" spans="1:4" x14ac:dyDescent="0.3">
      <c r="A1102" s="2"/>
      <c r="B1102" s="2"/>
      <c r="C1102" s="2"/>
      <c r="D1102" s="6"/>
    </row>
    <row r="1103" spans="1:4" x14ac:dyDescent="0.3">
      <c r="A1103" s="2"/>
      <c r="B1103" s="2"/>
      <c r="C1103" s="2"/>
      <c r="D1103" s="6"/>
    </row>
    <row r="1104" spans="1:4" x14ac:dyDescent="0.3">
      <c r="A1104" s="2"/>
      <c r="B1104" s="2"/>
      <c r="C1104" s="2"/>
      <c r="D1104" s="6"/>
    </row>
    <row r="1105" spans="1:4" x14ac:dyDescent="0.3">
      <c r="A1105" s="2"/>
      <c r="B1105" s="2"/>
      <c r="C1105" s="2"/>
      <c r="D1105" s="6"/>
    </row>
    <row r="1106" spans="1:4" x14ac:dyDescent="0.3">
      <c r="A1106" s="2"/>
      <c r="B1106" s="2"/>
      <c r="C1106" s="2"/>
      <c r="D1106" s="6"/>
    </row>
    <row r="1107" spans="1:4" x14ac:dyDescent="0.3">
      <c r="A1107" s="2"/>
      <c r="B1107" s="2"/>
      <c r="C1107" s="2"/>
      <c r="D1107" s="6"/>
    </row>
    <row r="1108" spans="1:4" x14ac:dyDescent="0.3">
      <c r="A1108" s="2"/>
      <c r="B1108" s="2"/>
      <c r="C1108" s="2"/>
      <c r="D1108" s="6"/>
    </row>
    <row r="1109" spans="1:4" x14ac:dyDescent="0.3">
      <c r="A1109" s="2"/>
      <c r="B1109" s="2"/>
      <c r="C1109" s="2"/>
      <c r="D1109" s="6"/>
    </row>
    <row r="1110" spans="1:4" x14ac:dyDescent="0.3">
      <c r="A1110" s="2"/>
      <c r="B1110" s="2"/>
      <c r="C1110" s="2"/>
      <c r="D1110" s="6"/>
    </row>
    <row r="1111" spans="1:4" x14ac:dyDescent="0.3">
      <c r="A1111" s="2"/>
      <c r="B1111" s="2"/>
      <c r="C1111" s="2"/>
      <c r="D1111" s="6"/>
    </row>
    <row r="1112" spans="1:4" x14ac:dyDescent="0.3">
      <c r="A1112" s="2"/>
      <c r="B1112" s="2"/>
      <c r="C1112" s="2"/>
      <c r="D1112" s="6"/>
    </row>
    <row r="1113" spans="1:4" x14ac:dyDescent="0.3">
      <c r="A1113" s="2"/>
      <c r="B1113" s="2"/>
      <c r="C1113" s="2"/>
      <c r="D1113" s="6"/>
    </row>
    <row r="1114" spans="1:4" x14ac:dyDescent="0.3">
      <c r="A1114" s="2"/>
      <c r="B1114" s="2"/>
      <c r="C1114" s="2"/>
      <c r="D1114" s="6"/>
    </row>
    <row r="1115" spans="1:4" x14ac:dyDescent="0.3">
      <c r="A1115" s="2"/>
      <c r="B1115" s="2"/>
      <c r="C1115" s="2"/>
      <c r="D1115" s="6"/>
    </row>
    <row r="1116" spans="1:4" x14ac:dyDescent="0.3">
      <c r="A1116" s="2"/>
      <c r="B1116" s="2"/>
      <c r="C1116" s="2"/>
      <c r="D1116" s="6"/>
    </row>
    <row r="1117" spans="1:4" x14ac:dyDescent="0.3">
      <c r="A1117" s="2"/>
      <c r="B1117" s="2"/>
      <c r="C1117" s="2"/>
      <c r="D1117" s="6"/>
    </row>
    <row r="1118" spans="1:4" x14ac:dyDescent="0.3">
      <c r="A1118" s="2"/>
      <c r="B1118" s="2"/>
      <c r="C1118" s="2"/>
      <c r="D1118" s="6"/>
    </row>
    <row r="1119" spans="1:4" x14ac:dyDescent="0.3">
      <c r="A1119" s="2"/>
      <c r="B1119" s="2"/>
      <c r="C1119" s="2"/>
      <c r="D1119" s="6"/>
    </row>
    <row r="1120" spans="1:4" x14ac:dyDescent="0.3">
      <c r="A1120" s="2"/>
      <c r="B1120" s="2"/>
      <c r="C1120" s="2"/>
      <c r="D1120" s="6"/>
    </row>
    <row r="1121" spans="1:4" x14ac:dyDescent="0.3">
      <c r="A1121" s="2"/>
      <c r="B1121" s="2"/>
      <c r="C1121" s="2"/>
      <c r="D1121" s="6"/>
    </row>
    <row r="1122" spans="1:4" x14ac:dyDescent="0.3">
      <c r="A1122" s="2"/>
      <c r="B1122" s="2"/>
      <c r="C1122" s="2"/>
      <c r="D1122" s="6"/>
    </row>
    <row r="1123" spans="1:4" x14ac:dyDescent="0.3">
      <c r="A1123" s="2"/>
      <c r="B1123" s="2"/>
      <c r="C1123" s="2"/>
      <c r="D1123" s="6"/>
    </row>
    <row r="1124" spans="1:4" x14ac:dyDescent="0.3">
      <c r="A1124" s="2"/>
      <c r="B1124" s="2"/>
      <c r="C1124" s="2"/>
      <c r="D1124" s="6"/>
    </row>
    <row r="1125" spans="1:4" x14ac:dyDescent="0.3">
      <c r="A1125" s="2"/>
      <c r="B1125" s="2"/>
      <c r="C1125" s="2"/>
      <c r="D1125" s="6"/>
    </row>
    <row r="1126" spans="1:4" x14ac:dyDescent="0.3">
      <c r="A1126" s="2"/>
      <c r="B1126" s="2"/>
      <c r="C1126" s="2"/>
      <c r="D1126" s="6"/>
    </row>
    <row r="1127" spans="1:4" x14ac:dyDescent="0.3">
      <c r="A1127" s="2"/>
      <c r="B1127" s="2"/>
      <c r="C1127" s="2"/>
      <c r="D1127" s="6"/>
    </row>
    <row r="1128" spans="1:4" x14ac:dyDescent="0.3">
      <c r="A1128" s="2"/>
      <c r="B1128" s="2"/>
      <c r="C1128" s="2"/>
      <c r="D1128" s="6"/>
    </row>
    <row r="1129" spans="1:4" x14ac:dyDescent="0.3">
      <c r="A1129" s="2"/>
      <c r="B1129" s="2"/>
      <c r="C1129" s="2"/>
      <c r="D1129" s="6"/>
    </row>
    <row r="1130" spans="1:4" x14ac:dyDescent="0.3">
      <c r="A1130" s="2"/>
      <c r="B1130" s="2"/>
      <c r="C1130" s="2"/>
      <c r="D1130" s="6"/>
    </row>
    <row r="1131" spans="1:4" x14ac:dyDescent="0.3">
      <c r="A1131" s="2"/>
      <c r="B1131" s="2"/>
      <c r="C1131" s="2"/>
      <c r="D1131" s="6"/>
    </row>
    <row r="1132" spans="1:4" x14ac:dyDescent="0.3">
      <c r="A1132" s="2"/>
      <c r="B1132" s="2"/>
      <c r="C1132" s="2"/>
      <c r="D1132" s="6"/>
    </row>
    <row r="1133" spans="1:4" x14ac:dyDescent="0.3">
      <c r="A1133" s="2"/>
      <c r="B1133" s="2"/>
      <c r="C1133" s="2"/>
      <c r="D1133" s="6"/>
    </row>
    <row r="1134" spans="1:4" x14ac:dyDescent="0.3">
      <c r="A1134" s="2"/>
      <c r="B1134" s="2"/>
      <c r="C1134" s="2"/>
      <c r="D1134" s="6"/>
    </row>
    <row r="1135" spans="1:4" x14ac:dyDescent="0.3">
      <c r="A1135" s="2"/>
      <c r="B1135" s="2"/>
      <c r="C1135" s="2"/>
      <c r="D1135" s="6"/>
    </row>
    <row r="1136" spans="1:4" x14ac:dyDescent="0.3">
      <c r="A1136" s="2"/>
      <c r="B1136" s="2"/>
      <c r="C1136" s="2"/>
      <c r="D1136" s="6"/>
    </row>
    <row r="1137" spans="1:4" x14ac:dyDescent="0.3">
      <c r="A1137" s="2"/>
      <c r="B1137" s="2"/>
      <c r="C1137" s="2"/>
      <c r="D1137" s="6"/>
    </row>
    <row r="1138" spans="1:4" x14ac:dyDescent="0.3">
      <c r="A1138" s="2"/>
      <c r="B1138" s="2"/>
      <c r="C1138" s="2"/>
      <c r="D1138" s="6"/>
    </row>
    <row r="1139" spans="1:4" x14ac:dyDescent="0.3">
      <c r="A1139" s="2"/>
      <c r="B1139" s="2"/>
      <c r="C1139" s="2"/>
      <c r="D1139" s="6"/>
    </row>
    <row r="1140" spans="1:4" x14ac:dyDescent="0.3">
      <c r="A1140" s="2"/>
      <c r="B1140" s="2"/>
      <c r="C1140" s="2"/>
      <c r="D1140" s="6"/>
    </row>
    <row r="1141" spans="1:4" x14ac:dyDescent="0.3">
      <c r="A1141" s="2"/>
      <c r="B1141" s="2"/>
      <c r="C1141" s="2"/>
      <c r="D1141" s="6"/>
    </row>
    <row r="1142" spans="1:4" x14ac:dyDescent="0.3">
      <c r="A1142" s="2"/>
      <c r="B1142" s="2"/>
      <c r="C1142" s="2"/>
      <c r="D1142" s="6"/>
    </row>
    <row r="1143" spans="1:4" x14ac:dyDescent="0.3">
      <c r="A1143" s="2"/>
      <c r="B1143" s="2"/>
      <c r="C1143" s="2"/>
      <c r="D1143" s="6"/>
    </row>
    <row r="1144" spans="1:4" x14ac:dyDescent="0.3">
      <c r="A1144" s="2"/>
      <c r="B1144" s="2"/>
      <c r="C1144" s="2"/>
      <c r="D1144" s="6"/>
    </row>
    <row r="1145" spans="1:4" x14ac:dyDescent="0.3">
      <c r="A1145" s="2"/>
      <c r="B1145" s="2"/>
      <c r="C1145" s="2"/>
      <c r="D1145" s="6"/>
    </row>
    <row r="1146" spans="1:4" x14ac:dyDescent="0.3">
      <c r="A1146" s="2"/>
      <c r="B1146" s="2"/>
      <c r="C1146" s="2"/>
      <c r="D1146" s="6"/>
    </row>
    <row r="1147" spans="1:4" x14ac:dyDescent="0.3">
      <c r="A1147" s="2"/>
      <c r="B1147" s="2"/>
      <c r="C1147" s="2"/>
      <c r="D1147" s="6"/>
    </row>
    <row r="1148" spans="1:4" x14ac:dyDescent="0.3">
      <c r="A1148" s="2"/>
      <c r="B1148" s="2"/>
      <c r="C1148" s="2"/>
      <c r="D1148" s="6"/>
    </row>
    <row r="1149" spans="1:4" x14ac:dyDescent="0.3">
      <c r="A1149" s="2"/>
      <c r="B1149" s="2"/>
      <c r="C1149" s="2"/>
      <c r="D1149" s="6"/>
    </row>
    <row r="1150" spans="1:4" x14ac:dyDescent="0.3">
      <c r="A1150" s="2"/>
      <c r="B1150" s="2"/>
      <c r="C1150" s="2"/>
      <c r="D1150" s="6"/>
    </row>
    <row r="1151" spans="1:4" x14ac:dyDescent="0.3">
      <c r="A1151" s="2"/>
      <c r="B1151" s="2"/>
      <c r="C1151" s="2"/>
      <c r="D1151" s="6"/>
    </row>
    <row r="1152" spans="1:4" x14ac:dyDescent="0.3">
      <c r="A1152" s="2"/>
      <c r="B1152" s="2"/>
      <c r="C1152" s="2"/>
      <c r="D1152" s="6"/>
    </row>
    <row r="1153" spans="1:4" x14ac:dyDescent="0.3">
      <c r="A1153" s="2"/>
      <c r="B1153" s="2"/>
      <c r="C1153" s="2"/>
      <c r="D1153" s="6"/>
    </row>
    <row r="1154" spans="1:4" x14ac:dyDescent="0.3">
      <c r="A1154" s="2"/>
      <c r="B1154" s="2"/>
      <c r="C1154" s="2"/>
      <c r="D1154" s="6"/>
    </row>
    <row r="1155" spans="1:4" x14ac:dyDescent="0.3">
      <c r="A1155" s="2"/>
      <c r="B1155" s="2"/>
      <c r="C1155" s="2"/>
      <c r="D1155" s="6"/>
    </row>
    <row r="1156" spans="1:4" x14ac:dyDescent="0.3">
      <c r="A1156" s="2"/>
      <c r="B1156" s="2"/>
      <c r="C1156" s="2"/>
      <c r="D1156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E062-365D-47AF-8187-BC46B1F08251}">
  <dimension ref="A1:Y645"/>
  <sheetViews>
    <sheetView zoomScale="72" zoomScaleNormal="100" workbookViewId="0">
      <selection activeCell="H15" sqref="H15"/>
    </sheetView>
  </sheetViews>
  <sheetFormatPr defaultRowHeight="14.4" x14ac:dyDescent="0.3"/>
  <cols>
    <col min="1" max="1" width="52.77734375" bestFit="1" customWidth="1"/>
    <col min="2" max="2" width="10.77734375" bestFit="1" customWidth="1"/>
    <col min="3" max="3" width="7.77734375" bestFit="1" customWidth="1"/>
    <col min="4" max="4" width="7.5546875" bestFit="1" customWidth="1"/>
    <col min="6" max="6" width="51.33203125" bestFit="1" customWidth="1"/>
    <col min="7" max="7" width="8.77734375" customWidth="1"/>
    <col min="8" max="8" width="9.77734375" customWidth="1"/>
    <col min="9" max="15" width="7.88671875" bestFit="1" customWidth="1"/>
    <col min="16" max="16" width="11.77734375" bestFit="1" customWidth="1"/>
    <col min="17" max="25" width="7.88671875" bestFit="1" customWidth="1"/>
    <col min="26" max="27" width="8.77734375" bestFit="1" customWidth="1"/>
    <col min="28" max="30" width="7.77734375" bestFit="1" customWidth="1"/>
    <col min="31" max="31" width="10.77734375" bestFit="1" customWidth="1"/>
  </cols>
  <sheetData>
    <row r="1" spans="1:25" x14ac:dyDescent="0.3">
      <c r="A1" s="2" t="s">
        <v>253</v>
      </c>
      <c r="B1" s="2" t="s">
        <v>1</v>
      </c>
      <c r="C1" s="2" t="s">
        <v>101</v>
      </c>
      <c r="D1" s="3" t="s">
        <v>102</v>
      </c>
      <c r="F1" s="38" t="s">
        <v>283</v>
      </c>
      <c r="G1" s="38" t="s">
        <v>146</v>
      </c>
      <c r="H1" s="38" t="s">
        <v>147</v>
      </c>
      <c r="I1" s="38" t="s">
        <v>148</v>
      </c>
      <c r="J1" s="38" t="s">
        <v>149</v>
      </c>
      <c r="K1" s="38" t="s">
        <v>150</v>
      </c>
      <c r="L1" s="38" t="s">
        <v>151</v>
      </c>
      <c r="M1" s="38" t="s">
        <v>152</v>
      </c>
      <c r="N1" s="38" t="s">
        <v>153</v>
      </c>
      <c r="O1" s="38" t="s">
        <v>154</v>
      </c>
      <c r="P1" s="38" t="s">
        <v>155</v>
      </c>
      <c r="Q1" s="38" t="s">
        <v>156</v>
      </c>
      <c r="R1" s="38" t="s">
        <v>157</v>
      </c>
      <c r="S1" s="38" t="s">
        <v>158</v>
      </c>
      <c r="T1" s="38" t="s">
        <v>159</v>
      </c>
      <c r="U1" s="38" t="s">
        <v>160</v>
      </c>
      <c r="V1" s="38" t="s">
        <v>107</v>
      </c>
      <c r="W1" s="38" t="s">
        <v>113</v>
      </c>
      <c r="X1" s="38" t="s">
        <v>114</v>
      </c>
      <c r="Y1" s="38" t="s">
        <v>115</v>
      </c>
    </row>
    <row r="2" spans="1:25" x14ac:dyDescent="0.3">
      <c r="A2" s="2" t="s">
        <v>254</v>
      </c>
      <c r="B2" s="2" t="s">
        <v>132</v>
      </c>
      <c r="C2" s="2"/>
      <c r="D2" s="6"/>
      <c r="F2" s="40" t="s">
        <v>256</v>
      </c>
      <c r="G2" s="39">
        <v>84.3</v>
      </c>
      <c r="H2" s="39">
        <v>109</v>
      </c>
      <c r="I2" s="39">
        <v>126.5</v>
      </c>
      <c r="J2" s="39">
        <v>133.4</v>
      </c>
      <c r="K2" s="39">
        <v>135.6</v>
      </c>
      <c r="L2" s="39">
        <v>237.2</v>
      </c>
      <c r="M2" s="39">
        <v>250.2</v>
      </c>
      <c r="N2" s="39">
        <v>367.3</v>
      </c>
      <c r="O2" s="39">
        <v>499.3</v>
      </c>
      <c r="P2" s="39">
        <v>608.20000000000005</v>
      </c>
      <c r="Q2" s="39">
        <v>679.7</v>
      </c>
      <c r="R2" s="39">
        <v>656</v>
      </c>
      <c r="S2" s="39">
        <v>757</v>
      </c>
      <c r="T2" s="39">
        <v>789.8</v>
      </c>
      <c r="U2" s="39">
        <v>1049.5</v>
      </c>
      <c r="V2" s="39">
        <v>1094.9000000000001</v>
      </c>
      <c r="W2" s="39">
        <v>1426</v>
      </c>
      <c r="X2" s="39">
        <v>1131.0999999999999</v>
      </c>
      <c r="Y2" s="39">
        <v>1121.7</v>
      </c>
    </row>
    <row r="3" spans="1:25" x14ac:dyDescent="0.3">
      <c r="A3" s="2" t="s">
        <v>254</v>
      </c>
      <c r="B3" s="2" t="s">
        <v>146</v>
      </c>
      <c r="C3" s="2">
        <v>8004.8</v>
      </c>
      <c r="D3" s="6"/>
      <c r="F3" s="40" t="s">
        <v>270</v>
      </c>
      <c r="G3" s="39">
        <v>1001.8</v>
      </c>
      <c r="H3" s="39">
        <v>1114</v>
      </c>
      <c r="I3" s="39">
        <v>1109.8</v>
      </c>
      <c r="J3" s="39">
        <v>1105.5999999999999</v>
      </c>
      <c r="K3" s="39">
        <v>1110.0999999999999</v>
      </c>
      <c r="L3" s="39">
        <v>1156.5</v>
      </c>
      <c r="M3" s="39">
        <v>1220.3</v>
      </c>
      <c r="N3" s="39">
        <v>1596.7</v>
      </c>
      <c r="O3" s="39">
        <v>1637.1</v>
      </c>
      <c r="P3" s="39">
        <v>1711.8</v>
      </c>
      <c r="Q3" s="39">
        <v>1987.4</v>
      </c>
      <c r="R3" s="39">
        <v>2271.4</v>
      </c>
      <c r="S3" s="39">
        <v>2182.8000000000002</v>
      </c>
      <c r="T3" s="39">
        <v>2489.8000000000002</v>
      </c>
      <c r="U3" s="39">
        <v>2899.7</v>
      </c>
      <c r="V3" s="39">
        <v>2897.1</v>
      </c>
      <c r="W3" s="39">
        <v>3072.1</v>
      </c>
      <c r="X3" s="39">
        <v>3990.9</v>
      </c>
      <c r="Y3" s="39">
        <v>4918.1000000000004</v>
      </c>
    </row>
    <row r="4" spans="1:25" x14ac:dyDescent="0.3">
      <c r="A4" s="2" t="s">
        <v>254</v>
      </c>
      <c r="B4" s="2" t="s">
        <v>147</v>
      </c>
      <c r="C4" s="2">
        <v>9536.2000000000007</v>
      </c>
      <c r="D4" s="6"/>
      <c r="F4" s="40" t="s">
        <v>279</v>
      </c>
      <c r="G4" s="39">
        <v>434.4</v>
      </c>
      <c r="H4" s="39">
        <v>460</v>
      </c>
      <c r="I4" s="39">
        <v>461.5</v>
      </c>
      <c r="J4" s="39">
        <v>481.8</v>
      </c>
      <c r="K4" s="39">
        <v>729.4</v>
      </c>
      <c r="L4" s="39">
        <v>762.4</v>
      </c>
      <c r="M4" s="39">
        <v>995.4</v>
      </c>
      <c r="N4" s="39">
        <v>1002.8</v>
      </c>
      <c r="O4" s="39">
        <v>1157.5999999999999</v>
      </c>
      <c r="P4" s="39">
        <v>656.2</v>
      </c>
      <c r="Q4" s="39">
        <v>912.2</v>
      </c>
      <c r="R4" s="39">
        <v>1079.4000000000001</v>
      </c>
      <c r="S4" s="39">
        <v>1150.2</v>
      </c>
      <c r="T4" s="39">
        <v>1304.2</v>
      </c>
      <c r="U4" s="39">
        <v>1006.1</v>
      </c>
      <c r="V4" s="39">
        <v>1372.8</v>
      </c>
      <c r="W4" s="39">
        <v>1019.7</v>
      </c>
      <c r="X4" s="39">
        <v>1305.5</v>
      </c>
      <c r="Y4" s="39">
        <v>2056.4</v>
      </c>
    </row>
    <row r="5" spans="1:25" x14ac:dyDescent="0.3">
      <c r="A5" s="2" t="s">
        <v>254</v>
      </c>
      <c r="B5" s="2" t="s">
        <v>148</v>
      </c>
      <c r="C5" s="2">
        <v>9648.6</v>
      </c>
      <c r="D5" s="6"/>
      <c r="F5" s="40" t="s">
        <v>273</v>
      </c>
      <c r="G5" s="39">
        <v>1842.2</v>
      </c>
      <c r="H5" s="39">
        <v>2207</v>
      </c>
      <c r="I5" s="39">
        <v>2081.1</v>
      </c>
      <c r="J5" s="39">
        <v>2281.4</v>
      </c>
      <c r="K5" s="39">
        <v>3105.7</v>
      </c>
      <c r="L5" s="39">
        <v>3308.2</v>
      </c>
      <c r="M5" s="39">
        <v>3437</v>
      </c>
      <c r="N5" s="39">
        <v>4519.2</v>
      </c>
      <c r="O5" s="39">
        <v>4883.8999999999996</v>
      </c>
      <c r="P5" s="39">
        <v>4095.1</v>
      </c>
      <c r="Q5" s="39">
        <v>4674.5</v>
      </c>
      <c r="R5" s="39">
        <v>5432.3</v>
      </c>
      <c r="S5" s="39">
        <v>5013.3999999999996</v>
      </c>
      <c r="T5" s="39">
        <v>5116.7</v>
      </c>
      <c r="U5" s="39">
        <v>5433.4</v>
      </c>
      <c r="V5" s="39">
        <v>5093.6000000000004</v>
      </c>
      <c r="W5" s="39">
        <v>5075.3999999999996</v>
      </c>
      <c r="X5" s="39">
        <v>5670.3</v>
      </c>
      <c r="Y5" s="39">
        <v>6516.8</v>
      </c>
    </row>
    <row r="6" spans="1:25" x14ac:dyDescent="0.3">
      <c r="A6" s="2" t="s">
        <v>254</v>
      </c>
      <c r="B6" s="2" t="s">
        <v>149</v>
      </c>
      <c r="C6" s="2">
        <v>10342.6</v>
      </c>
      <c r="D6" s="6"/>
      <c r="F6" s="40" t="s">
        <v>271</v>
      </c>
      <c r="G6" s="39">
        <v>406.1</v>
      </c>
      <c r="H6" s="39">
        <v>464.2</v>
      </c>
      <c r="I6" s="39">
        <v>415.1</v>
      </c>
      <c r="J6" s="39">
        <v>405.9</v>
      </c>
      <c r="K6" s="39">
        <v>369</v>
      </c>
      <c r="L6" s="39">
        <v>373.8</v>
      </c>
      <c r="M6" s="39">
        <v>367.6</v>
      </c>
      <c r="N6" s="39">
        <v>458.4</v>
      </c>
      <c r="O6" s="39">
        <v>526.1</v>
      </c>
      <c r="P6" s="39">
        <v>430.7</v>
      </c>
      <c r="Q6" s="39">
        <v>458.5</v>
      </c>
      <c r="R6" s="39">
        <v>473.4</v>
      </c>
      <c r="S6" s="39">
        <v>557.20000000000005</v>
      </c>
      <c r="T6" s="39">
        <v>563.20000000000005</v>
      </c>
      <c r="U6" s="39">
        <v>520.79999999999995</v>
      </c>
      <c r="V6" s="39">
        <v>494.6</v>
      </c>
      <c r="W6" s="39">
        <v>529.79999999999995</v>
      </c>
      <c r="X6" s="39">
        <v>600.20000000000005</v>
      </c>
      <c r="Y6" s="39">
        <v>664.6</v>
      </c>
    </row>
    <row r="7" spans="1:25" x14ac:dyDescent="0.3">
      <c r="A7" s="2" t="s">
        <v>254</v>
      </c>
      <c r="B7" s="2" t="s">
        <v>150</v>
      </c>
      <c r="C7" s="2">
        <v>12403.8</v>
      </c>
      <c r="D7" s="6"/>
      <c r="F7" s="40" t="s">
        <v>261</v>
      </c>
      <c r="G7" s="39">
        <v>39.9</v>
      </c>
      <c r="H7" s="39">
        <v>26.6</v>
      </c>
      <c r="I7" s="39">
        <v>45.8</v>
      </c>
      <c r="J7" s="39">
        <v>57.1</v>
      </c>
      <c r="K7" s="39">
        <v>81</v>
      </c>
      <c r="L7" s="39">
        <v>62</v>
      </c>
      <c r="M7" s="39">
        <v>94.2</v>
      </c>
      <c r="N7" s="39">
        <v>144.80000000000001</v>
      </c>
      <c r="O7" s="39">
        <v>232.3</v>
      </c>
      <c r="P7" s="39">
        <v>134.30000000000001</v>
      </c>
      <c r="Q7" s="39">
        <v>165.4</v>
      </c>
      <c r="R7" s="39">
        <v>159.80000000000001</v>
      </c>
      <c r="S7" s="39">
        <v>173.8</v>
      </c>
      <c r="T7" s="39">
        <v>197.8</v>
      </c>
      <c r="U7" s="39">
        <v>60.2</v>
      </c>
      <c r="V7" s="39">
        <v>59.1</v>
      </c>
      <c r="W7" s="39">
        <v>60.7</v>
      </c>
      <c r="X7" s="39">
        <v>41.6</v>
      </c>
      <c r="Y7" s="39">
        <v>35.200000000000003</v>
      </c>
    </row>
    <row r="8" spans="1:25" x14ac:dyDescent="0.3">
      <c r="A8" s="2" t="s">
        <v>254</v>
      </c>
      <c r="B8" s="2" t="s">
        <v>151</v>
      </c>
      <c r="C8" s="2">
        <v>13793.6</v>
      </c>
      <c r="D8" s="6"/>
      <c r="F8" s="40" t="s">
        <v>265</v>
      </c>
      <c r="G8" s="39">
        <v>0.5</v>
      </c>
      <c r="H8" s="39">
        <v>22.6</v>
      </c>
      <c r="I8" s="39">
        <v>21.7</v>
      </c>
      <c r="J8" s="39">
        <v>22.3</v>
      </c>
      <c r="K8" s="39">
        <v>31.8</v>
      </c>
      <c r="L8" s="39">
        <v>23.2</v>
      </c>
      <c r="M8" s="39">
        <v>56.5</v>
      </c>
      <c r="N8" s="39">
        <v>23.1</v>
      </c>
      <c r="O8" s="39">
        <v>72.400000000000006</v>
      </c>
      <c r="P8" s="39">
        <v>93.8</v>
      </c>
      <c r="Q8" s="39">
        <v>67.5</v>
      </c>
      <c r="R8" s="39">
        <v>57.9</v>
      </c>
      <c r="S8" s="39">
        <v>131.5</v>
      </c>
      <c r="T8" s="39">
        <v>67.2</v>
      </c>
      <c r="U8" s="39">
        <v>104.6</v>
      </c>
      <c r="V8" s="39">
        <v>55.5</v>
      </c>
      <c r="W8" s="39">
        <v>61.9</v>
      </c>
      <c r="X8" s="39">
        <v>75</v>
      </c>
      <c r="Y8" s="39">
        <v>287.2</v>
      </c>
    </row>
    <row r="9" spans="1:25" x14ac:dyDescent="0.3">
      <c r="A9" s="2" t="s">
        <v>254</v>
      </c>
      <c r="B9" s="2" t="s">
        <v>152</v>
      </c>
      <c r="C9" s="2">
        <v>15558</v>
      </c>
      <c r="D9" s="6"/>
      <c r="F9" s="40" t="s">
        <v>262</v>
      </c>
      <c r="G9" s="39">
        <v>57.6</v>
      </c>
      <c r="H9" s="39">
        <v>91.3</v>
      </c>
      <c r="I9" s="39">
        <v>76</v>
      </c>
      <c r="J9" s="39">
        <v>62.5</v>
      </c>
      <c r="K9" s="39">
        <v>144.5</v>
      </c>
      <c r="L9" s="39">
        <v>86.6</v>
      </c>
      <c r="M9" s="39">
        <v>204.1</v>
      </c>
      <c r="N9" s="39">
        <v>214</v>
      </c>
      <c r="O9" s="39">
        <v>395.3</v>
      </c>
      <c r="P9" s="39">
        <v>265.3</v>
      </c>
      <c r="Q9" s="39">
        <v>556.29999999999995</v>
      </c>
      <c r="R9" s="39">
        <v>388.9</v>
      </c>
      <c r="S9" s="39">
        <v>509.2</v>
      </c>
      <c r="T9" s="39">
        <v>645.29999999999995</v>
      </c>
      <c r="U9" s="39">
        <v>412.8</v>
      </c>
      <c r="V9" s="39">
        <v>693.7</v>
      </c>
      <c r="W9" s="39">
        <v>526.5</v>
      </c>
      <c r="X9" s="39">
        <v>762.9</v>
      </c>
      <c r="Y9" s="39">
        <v>1120</v>
      </c>
    </row>
    <row r="10" spans="1:25" x14ac:dyDescent="0.3">
      <c r="A10" s="2" t="s">
        <v>254</v>
      </c>
      <c r="B10" s="2" t="s">
        <v>153</v>
      </c>
      <c r="C10" s="2">
        <v>19409.599999999999</v>
      </c>
      <c r="D10" s="6"/>
      <c r="F10" s="40" t="s">
        <v>272</v>
      </c>
      <c r="G10" s="39">
        <v>2145.6999999999998</v>
      </c>
      <c r="H10" s="39">
        <v>2751.3</v>
      </c>
      <c r="I10" s="39">
        <v>3025</v>
      </c>
      <c r="J10" s="39">
        <v>3365.5</v>
      </c>
      <c r="K10" s="39">
        <v>4041.9</v>
      </c>
      <c r="L10" s="39">
        <v>4525.1000000000004</v>
      </c>
      <c r="M10" s="39">
        <v>5020.7</v>
      </c>
      <c r="N10" s="39">
        <v>6239.2</v>
      </c>
      <c r="O10" s="39">
        <v>6735.3</v>
      </c>
      <c r="P10" s="39">
        <v>5770.7</v>
      </c>
      <c r="Q10" s="39">
        <v>6749.8</v>
      </c>
      <c r="R10" s="39">
        <v>7695.4</v>
      </c>
      <c r="S10" s="39">
        <v>7154.6</v>
      </c>
      <c r="T10" s="39">
        <v>7305.5</v>
      </c>
      <c r="U10" s="39">
        <v>8054.1</v>
      </c>
      <c r="V10" s="39">
        <v>8091.2</v>
      </c>
      <c r="W10" s="39">
        <v>9314.2000000000007</v>
      </c>
      <c r="X10" s="39">
        <v>10516.7</v>
      </c>
      <c r="Y10" s="39">
        <v>12011.8</v>
      </c>
    </row>
    <row r="11" spans="1:25" x14ac:dyDescent="0.3">
      <c r="A11" s="2" t="s">
        <v>254</v>
      </c>
      <c r="B11" s="2" t="s">
        <v>154</v>
      </c>
      <c r="C11" s="2">
        <v>23637</v>
      </c>
      <c r="D11" s="6"/>
      <c r="F11" s="40" t="s">
        <v>267</v>
      </c>
      <c r="G11" s="39">
        <v>20.100000000000001</v>
      </c>
      <c r="H11" s="39">
        <v>15.7</v>
      </c>
      <c r="I11" s="39">
        <v>11.5</v>
      </c>
      <c r="J11" s="39">
        <v>17.7</v>
      </c>
      <c r="K11" s="39">
        <v>28</v>
      </c>
      <c r="L11" s="39">
        <v>28</v>
      </c>
      <c r="M11" s="39">
        <v>35.6</v>
      </c>
      <c r="N11" s="39">
        <v>48.9</v>
      </c>
      <c r="O11" s="39">
        <v>89.7</v>
      </c>
      <c r="P11" s="39">
        <v>73.400000000000006</v>
      </c>
      <c r="Q11" s="39">
        <v>85.7</v>
      </c>
      <c r="R11" s="39">
        <v>150</v>
      </c>
      <c r="S11" s="39">
        <v>140.80000000000001</v>
      </c>
      <c r="T11" s="39">
        <v>118.4</v>
      </c>
      <c r="U11" s="39">
        <v>72.5</v>
      </c>
      <c r="V11" s="39">
        <v>52</v>
      </c>
      <c r="W11" s="39">
        <v>69</v>
      </c>
      <c r="X11" s="39">
        <v>42.1</v>
      </c>
      <c r="Y11" s="39">
        <v>32.799999999999997</v>
      </c>
    </row>
    <row r="12" spans="1:25" x14ac:dyDescent="0.3">
      <c r="A12" s="2" t="s">
        <v>254</v>
      </c>
      <c r="B12" s="2" t="s">
        <v>155</v>
      </c>
      <c r="C12" s="2">
        <v>19469.2</v>
      </c>
      <c r="D12" s="6"/>
      <c r="F12" s="40" t="s">
        <v>257</v>
      </c>
      <c r="G12" s="39">
        <v>288.89999999999998</v>
      </c>
      <c r="H12" s="39">
        <v>357.5</v>
      </c>
      <c r="I12" s="39">
        <v>464.9</v>
      </c>
      <c r="J12" s="39">
        <v>453.8</v>
      </c>
      <c r="K12" s="39">
        <v>499.9</v>
      </c>
      <c r="L12" s="39">
        <v>622.6</v>
      </c>
      <c r="M12" s="39">
        <v>825.8</v>
      </c>
      <c r="N12" s="39">
        <v>892.7</v>
      </c>
      <c r="O12" s="39">
        <v>1065.2</v>
      </c>
      <c r="P12" s="39">
        <v>1121.2</v>
      </c>
      <c r="Q12" s="39">
        <v>1048.5</v>
      </c>
      <c r="R12" s="39">
        <v>1103.3</v>
      </c>
      <c r="S12" s="39">
        <v>1293.2</v>
      </c>
      <c r="T12" s="39">
        <v>1411</v>
      </c>
      <c r="U12" s="39">
        <v>1132.0999999999999</v>
      </c>
      <c r="V12" s="39">
        <v>1059.4000000000001</v>
      </c>
      <c r="W12" s="39">
        <v>950.5</v>
      </c>
      <c r="X12" s="39">
        <v>954.3</v>
      </c>
      <c r="Y12" s="39">
        <v>1313.3</v>
      </c>
    </row>
    <row r="13" spans="1:25" x14ac:dyDescent="0.3">
      <c r="A13" s="2" t="s">
        <v>254</v>
      </c>
      <c r="B13" s="2" t="s">
        <v>156</v>
      </c>
      <c r="C13" s="2">
        <v>23519</v>
      </c>
      <c r="D13" s="6"/>
      <c r="F13" s="40" t="s">
        <v>258</v>
      </c>
      <c r="G13" s="39">
        <v>34.799999999999997</v>
      </c>
      <c r="H13" s="39">
        <v>58.7</v>
      </c>
      <c r="I13" s="39">
        <v>72.2</v>
      </c>
      <c r="J13" s="39">
        <v>69.7</v>
      </c>
      <c r="K13" s="39">
        <v>92.4</v>
      </c>
      <c r="L13" s="39">
        <v>141.9</v>
      </c>
      <c r="M13" s="39">
        <v>144.6</v>
      </c>
      <c r="N13" s="39">
        <v>221.3</v>
      </c>
      <c r="O13" s="39">
        <v>286.5</v>
      </c>
      <c r="P13" s="39">
        <v>282.2</v>
      </c>
      <c r="Q13" s="39">
        <v>332.1</v>
      </c>
      <c r="R13" s="39">
        <v>336.7</v>
      </c>
      <c r="S13" s="39">
        <v>333</v>
      </c>
      <c r="T13" s="39">
        <v>312.10000000000002</v>
      </c>
      <c r="U13" s="39">
        <v>304.5</v>
      </c>
      <c r="V13" s="39">
        <v>353.3</v>
      </c>
      <c r="W13" s="39">
        <v>363.2</v>
      </c>
      <c r="X13" s="39">
        <v>448.3</v>
      </c>
      <c r="Y13" s="39">
        <v>602.29999999999995</v>
      </c>
    </row>
    <row r="14" spans="1:25" x14ac:dyDescent="0.3">
      <c r="A14" s="2" t="s">
        <v>254</v>
      </c>
      <c r="B14" s="2" t="s">
        <v>157</v>
      </c>
      <c r="C14" s="2">
        <v>25091.9</v>
      </c>
      <c r="D14" s="6"/>
      <c r="F14" s="40" t="s">
        <v>274</v>
      </c>
      <c r="G14" s="39">
        <v>280.7</v>
      </c>
      <c r="H14" s="39">
        <v>233.9</v>
      </c>
      <c r="I14" s="39">
        <v>211.7</v>
      </c>
      <c r="J14" s="39">
        <v>239.1</v>
      </c>
      <c r="K14" s="39">
        <v>271.3</v>
      </c>
      <c r="L14" s="39">
        <v>304.89999999999998</v>
      </c>
      <c r="M14" s="39">
        <v>310.39999999999998</v>
      </c>
      <c r="N14" s="39">
        <v>458.9</v>
      </c>
      <c r="O14" s="39">
        <v>516.70000000000005</v>
      </c>
      <c r="P14" s="39">
        <v>313.60000000000002</v>
      </c>
      <c r="Q14" s="39">
        <v>515.5</v>
      </c>
      <c r="R14" s="39">
        <v>587.20000000000005</v>
      </c>
      <c r="S14" s="39">
        <v>894.6</v>
      </c>
      <c r="T14" s="39">
        <v>989.7</v>
      </c>
      <c r="U14" s="39">
        <v>778.8</v>
      </c>
      <c r="V14" s="39">
        <v>469.3</v>
      </c>
      <c r="W14" s="39">
        <v>454</v>
      </c>
      <c r="X14" s="39">
        <v>603.79999999999995</v>
      </c>
      <c r="Y14" s="39">
        <v>960.1</v>
      </c>
    </row>
    <row r="15" spans="1:25" x14ac:dyDescent="0.3">
      <c r="A15" s="2" t="s">
        <v>254</v>
      </c>
      <c r="B15" s="2" t="s">
        <v>158</v>
      </c>
      <c r="C15" s="2">
        <v>26547.7</v>
      </c>
      <c r="D15" s="6"/>
      <c r="F15" s="40" t="s">
        <v>275</v>
      </c>
      <c r="G15" s="39">
        <v>14.7</v>
      </c>
      <c r="H15" s="39">
        <v>17.399999999999999</v>
      </c>
      <c r="I15" s="39">
        <v>17.2</v>
      </c>
      <c r="J15" s="39">
        <v>16.2</v>
      </c>
      <c r="K15" s="39">
        <v>15.9</v>
      </c>
      <c r="L15" s="39">
        <v>17.600000000000001</v>
      </c>
      <c r="M15" s="39">
        <v>25.4</v>
      </c>
      <c r="N15" s="39">
        <v>46.1</v>
      </c>
      <c r="O15" s="39">
        <v>104.6</v>
      </c>
      <c r="P15" s="39">
        <v>62.7</v>
      </c>
      <c r="Q15" s="39">
        <v>110.8</v>
      </c>
      <c r="R15" s="39">
        <v>120.1</v>
      </c>
      <c r="S15" s="39">
        <v>294.8</v>
      </c>
      <c r="T15" s="39">
        <v>134.30000000000001</v>
      </c>
      <c r="U15" s="39">
        <v>299.10000000000002</v>
      </c>
      <c r="V15" s="39">
        <v>331.3</v>
      </c>
      <c r="W15" s="39">
        <v>326.3</v>
      </c>
      <c r="X15" s="39">
        <v>384.3</v>
      </c>
      <c r="Y15" s="39">
        <v>434.5</v>
      </c>
    </row>
    <row r="16" spans="1:25" x14ac:dyDescent="0.3">
      <c r="A16" s="2" t="s">
        <v>254</v>
      </c>
      <c r="B16" s="2" t="s">
        <v>159</v>
      </c>
      <c r="C16" s="2">
        <v>27701.200000000001</v>
      </c>
      <c r="D16" s="6"/>
      <c r="F16" s="40" t="s">
        <v>276</v>
      </c>
      <c r="G16" s="39">
        <v>175.7</v>
      </c>
      <c r="H16" s="39">
        <v>226.3</v>
      </c>
      <c r="I16" s="39">
        <v>241.6</v>
      </c>
      <c r="J16" s="39">
        <v>337.3</v>
      </c>
      <c r="K16" s="39">
        <v>370.9</v>
      </c>
      <c r="L16" s="39">
        <v>394</v>
      </c>
      <c r="M16" s="39">
        <v>452.4</v>
      </c>
      <c r="N16" s="39">
        <v>835.5</v>
      </c>
      <c r="O16" s="39">
        <v>1099.4000000000001</v>
      </c>
      <c r="P16" s="39">
        <v>925.5</v>
      </c>
      <c r="Q16" s="39">
        <v>1181</v>
      </c>
      <c r="R16" s="39">
        <v>702.2</v>
      </c>
      <c r="S16" s="39">
        <v>825.9</v>
      </c>
      <c r="T16" s="39">
        <v>1046.8</v>
      </c>
      <c r="U16" s="39">
        <v>1207.0999999999999</v>
      </c>
      <c r="V16" s="39">
        <v>860.4</v>
      </c>
      <c r="W16" s="39">
        <v>508.9</v>
      </c>
      <c r="X16" s="39">
        <v>788.1</v>
      </c>
      <c r="Y16" s="39">
        <v>727.5</v>
      </c>
    </row>
    <row r="17" spans="1:25" x14ac:dyDescent="0.3">
      <c r="A17" s="2" t="s">
        <v>254</v>
      </c>
      <c r="B17" s="2" t="s">
        <v>160</v>
      </c>
      <c r="C17" s="2">
        <v>28406.7</v>
      </c>
      <c r="D17" s="6"/>
      <c r="F17" s="40" t="s">
        <v>277</v>
      </c>
      <c r="G17" s="39">
        <v>28.3</v>
      </c>
      <c r="H17" s="39">
        <v>18.899999999999999</v>
      </c>
      <c r="I17" s="39">
        <v>26.1</v>
      </c>
      <c r="J17" s="39">
        <v>29.4</v>
      </c>
      <c r="K17" s="39">
        <v>34.299999999999997</v>
      </c>
      <c r="L17" s="39">
        <v>46.8</v>
      </c>
      <c r="M17" s="39">
        <v>29</v>
      </c>
      <c r="N17" s="39">
        <v>28.2</v>
      </c>
      <c r="O17" s="39">
        <v>62.1</v>
      </c>
      <c r="P17" s="39">
        <v>56.4</v>
      </c>
      <c r="Q17" s="39">
        <v>44.9</v>
      </c>
      <c r="R17" s="39">
        <v>66.7</v>
      </c>
      <c r="S17" s="39">
        <v>45.6</v>
      </c>
      <c r="T17" s="39">
        <v>52.6</v>
      </c>
      <c r="U17" s="39">
        <v>54.3</v>
      </c>
      <c r="V17" s="39">
        <v>30</v>
      </c>
      <c r="W17" s="39">
        <v>50.6</v>
      </c>
      <c r="X17" s="39">
        <v>80.900000000000006</v>
      </c>
      <c r="Y17" s="39">
        <v>52.7</v>
      </c>
    </row>
    <row r="18" spans="1:25" x14ac:dyDescent="0.3">
      <c r="A18" s="2" t="s">
        <v>254</v>
      </c>
      <c r="B18" s="2" t="s">
        <v>107</v>
      </c>
      <c r="C18" s="2">
        <v>27607.200000000001</v>
      </c>
      <c r="D18" s="6"/>
      <c r="F18" s="40" t="s">
        <v>278</v>
      </c>
      <c r="G18" s="39">
        <v>70.8</v>
      </c>
      <c r="H18" s="39">
        <v>50.8</v>
      </c>
      <c r="I18" s="39">
        <v>123.8</v>
      </c>
      <c r="J18" s="39">
        <v>218.2</v>
      </c>
      <c r="K18" s="39">
        <v>49.1</v>
      </c>
      <c r="L18" s="39">
        <v>62.2</v>
      </c>
      <c r="M18" s="39">
        <v>343.8</v>
      </c>
      <c r="N18" s="39">
        <v>336.4</v>
      </c>
      <c r="O18" s="39">
        <v>557.9</v>
      </c>
      <c r="P18" s="39">
        <v>179.7</v>
      </c>
      <c r="Q18" s="39">
        <v>377.5</v>
      </c>
      <c r="R18" s="39">
        <v>308.2</v>
      </c>
      <c r="S18" s="39">
        <v>1168.8</v>
      </c>
      <c r="T18" s="39">
        <v>1101.5</v>
      </c>
      <c r="U18" s="39">
        <v>466.3</v>
      </c>
      <c r="V18" s="39">
        <v>248.4</v>
      </c>
      <c r="W18" s="39">
        <v>381.8</v>
      </c>
      <c r="X18" s="39">
        <v>742.2</v>
      </c>
      <c r="Y18" s="39">
        <v>399.7</v>
      </c>
    </row>
    <row r="19" spans="1:25" x14ac:dyDescent="0.3">
      <c r="A19" s="2" t="s">
        <v>254</v>
      </c>
      <c r="B19" s="2" t="s">
        <v>113</v>
      </c>
      <c r="C19" s="2">
        <v>29145.599999999999</v>
      </c>
      <c r="D19" s="6"/>
      <c r="F19" s="40" t="s">
        <v>266</v>
      </c>
      <c r="G19" s="39">
        <v>149.1</v>
      </c>
      <c r="H19" s="39">
        <v>118.3</v>
      </c>
      <c r="I19" s="39">
        <v>114.8</v>
      </c>
      <c r="J19" s="39">
        <v>59.7</v>
      </c>
      <c r="K19" s="39">
        <v>107</v>
      </c>
      <c r="L19" s="39">
        <v>126.7</v>
      </c>
      <c r="M19" s="39">
        <v>174.4</v>
      </c>
      <c r="N19" s="39">
        <v>180.5</v>
      </c>
      <c r="O19" s="39">
        <v>728.3</v>
      </c>
      <c r="P19" s="39">
        <v>321.2</v>
      </c>
      <c r="Q19" s="39">
        <v>439.8</v>
      </c>
      <c r="R19" s="39">
        <v>188.4</v>
      </c>
      <c r="S19" s="39">
        <v>284</v>
      </c>
      <c r="T19" s="39">
        <v>139.30000000000001</v>
      </c>
      <c r="U19" s="39">
        <v>253.4</v>
      </c>
      <c r="V19" s="39">
        <v>201.5</v>
      </c>
      <c r="W19" s="39">
        <v>281.2</v>
      </c>
      <c r="X19" s="39">
        <v>250.6</v>
      </c>
      <c r="Y19" s="39">
        <v>236.9</v>
      </c>
    </row>
    <row r="20" spans="1:25" x14ac:dyDescent="0.3">
      <c r="A20" s="2" t="s">
        <v>254</v>
      </c>
      <c r="B20" s="2" t="s">
        <v>114</v>
      </c>
      <c r="C20" s="2">
        <v>34426.6</v>
      </c>
      <c r="D20" s="6"/>
      <c r="F20" s="40" t="s">
        <v>254</v>
      </c>
      <c r="G20" s="39">
        <v>8004.8</v>
      </c>
      <c r="H20" s="39">
        <v>9536.2000000000007</v>
      </c>
      <c r="I20" s="39">
        <v>9648.6</v>
      </c>
      <c r="J20" s="39">
        <v>10342.6</v>
      </c>
      <c r="K20" s="39">
        <v>12403.8</v>
      </c>
      <c r="L20" s="39">
        <v>13793.6</v>
      </c>
      <c r="M20" s="39">
        <v>15558</v>
      </c>
      <c r="N20" s="39">
        <v>19409.599999999999</v>
      </c>
      <c r="O20" s="39">
        <v>23637</v>
      </c>
      <c r="P20" s="39">
        <v>19469.2</v>
      </c>
      <c r="Q20" s="39">
        <v>23519</v>
      </c>
      <c r="R20" s="39">
        <v>25091.9</v>
      </c>
      <c r="S20" s="39">
        <v>26547.7</v>
      </c>
      <c r="T20" s="39">
        <v>27701.200000000001</v>
      </c>
      <c r="U20" s="39">
        <v>28406.7</v>
      </c>
      <c r="V20" s="39">
        <v>27607.200000000001</v>
      </c>
      <c r="W20" s="39">
        <v>29145.599999999999</v>
      </c>
      <c r="X20" s="39">
        <v>34426.6</v>
      </c>
      <c r="Y20" s="39">
        <v>40987.4</v>
      </c>
    </row>
    <row r="21" spans="1:25" x14ac:dyDescent="0.3">
      <c r="A21" s="2" t="s">
        <v>254</v>
      </c>
      <c r="B21" s="2" t="s">
        <v>115</v>
      </c>
      <c r="C21" s="2">
        <v>40987.4</v>
      </c>
      <c r="D21" s="6"/>
      <c r="F21" s="40" t="s">
        <v>282</v>
      </c>
      <c r="G21" s="41">
        <f>SUM(G3:G6,G10)/G20</f>
        <v>0.7283379972016788</v>
      </c>
      <c r="H21" s="41">
        <f>SUM(H3:H6,H10)/H20</f>
        <v>0.73367798494159098</v>
      </c>
      <c r="I21" s="41">
        <f t="shared" ref="I21:N21" si="0">SUM(I3:I5,I10,I12)/I20</f>
        <v>0.7402421076632878</v>
      </c>
      <c r="J21" s="41">
        <f t="shared" si="0"/>
        <v>0.74334306654032833</v>
      </c>
      <c r="K21" s="41">
        <f t="shared" si="0"/>
        <v>0.76484625679227336</v>
      </c>
      <c r="L21" s="41">
        <f t="shared" si="0"/>
        <v>0.75214592274678116</v>
      </c>
      <c r="M21" s="41">
        <f t="shared" si="0"/>
        <v>0.73911813857822339</v>
      </c>
      <c r="N21" s="41">
        <f t="shared" si="0"/>
        <v>0.73420369301788813</v>
      </c>
      <c r="O21" s="41">
        <f>SUM(O3:O5,O10,O16)/O20</f>
        <v>0.65631425307780167</v>
      </c>
      <c r="P21" s="41">
        <f>SUM(P3,P5,P10,P12,P16)/P20</f>
        <v>0.6997873564399153</v>
      </c>
      <c r="Q21" s="41">
        <f>SUM(Q3,Q5,Q10,Q12,Q16)/Q20</f>
        <v>0.66504528253752293</v>
      </c>
      <c r="R21" s="41">
        <f>SUM(R3:R5,R10,R12)/R20</f>
        <v>0.70069624061948266</v>
      </c>
      <c r="S21" s="41">
        <f>SUM(S3,S5,S10,S12,S18)/S20</f>
        <v>0.6333053334187142</v>
      </c>
      <c r="T21" s="41">
        <f>SUM(T3:T5,T10,T12)/T20</f>
        <v>0.63633344403852543</v>
      </c>
      <c r="U21" s="41">
        <f>SUM(U3,U5,U10,U12,U16)/U20</f>
        <v>0.65922476035583133</v>
      </c>
      <c r="V21" s="41">
        <f>SUM(V2:V5,V10)/V20</f>
        <v>0.67191167521516137</v>
      </c>
      <c r="W21" s="41">
        <f>SUM(W2:W5,W10)/W20</f>
        <v>0.6830327733860343</v>
      </c>
      <c r="X21" s="41">
        <f>SUM(X2:X5,X10)/X20</f>
        <v>0.65689031156140898</v>
      </c>
      <c r="Y21" s="41">
        <f>SUM(Y3:Y5,Y10,Y12)/Y20</f>
        <v>0.65425960173126363</v>
      </c>
    </row>
    <row r="22" spans="1:25" x14ac:dyDescent="0.3">
      <c r="A22" s="2" t="s">
        <v>254</v>
      </c>
      <c r="B22" s="2" t="s">
        <v>116</v>
      </c>
      <c r="C22" s="2">
        <v>43855.4</v>
      </c>
      <c r="D22" s="6"/>
    </row>
    <row r="23" spans="1:25" x14ac:dyDescent="0.3">
      <c r="A23" s="2" t="s">
        <v>254</v>
      </c>
      <c r="B23" s="2" t="s">
        <v>117</v>
      </c>
      <c r="C23" s="2">
        <v>38705.9</v>
      </c>
      <c r="D23" s="6"/>
    </row>
    <row r="24" spans="1:25" x14ac:dyDescent="0.3">
      <c r="A24" s="2" t="s">
        <v>254</v>
      </c>
      <c r="B24" s="2" t="s">
        <v>118</v>
      </c>
      <c r="C24" s="2">
        <v>46654.2</v>
      </c>
      <c r="D24" s="6"/>
    </row>
    <row r="25" spans="1:25" x14ac:dyDescent="0.3">
      <c r="A25" s="2" t="s">
        <v>255</v>
      </c>
      <c r="B25" s="2" t="s">
        <v>132</v>
      </c>
      <c r="C25" s="2"/>
      <c r="D25" s="6"/>
    </row>
    <row r="26" spans="1:25" x14ac:dyDescent="0.3">
      <c r="A26" s="2" t="s">
        <v>255</v>
      </c>
      <c r="B26" s="2" t="s">
        <v>146</v>
      </c>
      <c r="C26" s="2">
        <v>520.9</v>
      </c>
      <c r="D26" s="6">
        <f>Table5_110[[#This Row],[Value]]/C3</f>
        <v>6.5073455926444132E-2</v>
      </c>
    </row>
    <row r="27" spans="1:25" x14ac:dyDescent="0.3">
      <c r="A27" s="2" t="s">
        <v>255</v>
      </c>
      <c r="B27" s="2" t="s">
        <v>147</v>
      </c>
      <c r="C27" s="2">
        <v>670.5</v>
      </c>
      <c r="D27" s="6">
        <f>Table5_110[[#This Row],[Value]]/C4</f>
        <v>7.0311025356011816E-2</v>
      </c>
    </row>
    <row r="28" spans="1:25" x14ac:dyDescent="0.3">
      <c r="A28" s="2" t="s">
        <v>255</v>
      </c>
      <c r="B28" s="2" t="s">
        <v>148</v>
      </c>
      <c r="C28" s="2">
        <v>810.9</v>
      </c>
      <c r="D28" s="6">
        <f>Table5_110[[#This Row],[Value]]/C5</f>
        <v>8.4043280890491873E-2</v>
      </c>
    </row>
    <row r="29" spans="1:25" x14ac:dyDescent="0.3">
      <c r="A29" s="2" t="s">
        <v>255</v>
      </c>
      <c r="B29" s="2" t="s">
        <v>149</v>
      </c>
      <c r="C29" s="2">
        <v>798.2</v>
      </c>
      <c r="D29" s="6">
        <f>Table5_110[[#This Row],[Value]]/C6</f>
        <v>7.7175951888306615E-2</v>
      </c>
    </row>
    <row r="30" spans="1:25" x14ac:dyDescent="0.3">
      <c r="A30" s="2" t="s">
        <v>255</v>
      </c>
      <c r="B30" s="2" t="s">
        <v>150</v>
      </c>
      <c r="C30" s="2">
        <v>888.1</v>
      </c>
      <c r="D30" s="6">
        <f>Table5_110[[#This Row],[Value]]/C7</f>
        <v>7.1599026104903346E-2</v>
      </c>
    </row>
    <row r="31" spans="1:25" x14ac:dyDescent="0.3">
      <c r="A31" s="2" t="s">
        <v>255</v>
      </c>
      <c r="B31" s="2" t="s">
        <v>151</v>
      </c>
      <c r="C31" s="2">
        <v>1241.9000000000001</v>
      </c>
      <c r="D31" s="6">
        <f>Table5_110[[#This Row],[Value]]/C8</f>
        <v>9.0034508757684734E-2</v>
      </c>
    </row>
    <row r="32" spans="1:25" x14ac:dyDescent="0.3">
      <c r="A32" s="2" t="s">
        <v>255</v>
      </c>
      <c r="B32" s="2" t="s">
        <v>152</v>
      </c>
      <c r="C32" s="2">
        <v>1518</v>
      </c>
      <c r="D32" s="6">
        <f>Table5_110[[#This Row],[Value]]/C9</f>
        <v>9.7570381797146166E-2</v>
      </c>
    </row>
    <row r="33" spans="1:4" x14ac:dyDescent="0.3">
      <c r="A33" s="2" t="s">
        <v>255</v>
      </c>
      <c r="B33" s="2" t="s">
        <v>153</v>
      </c>
      <c r="C33" s="2">
        <v>1892.9</v>
      </c>
      <c r="D33" s="6">
        <f>Table5_110[[#This Row],[Value]]/C10</f>
        <v>9.7523905696150368E-2</v>
      </c>
    </row>
    <row r="34" spans="1:4" x14ac:dyDescent="0.3">
      <c r="A34" s="2" t="s">
        <v>255</v>
      </c>
      <c r="B34" s="2" t="s">
        <v>154</v>
      </c>
      <c r="C34" s="2">
        <v>2428.1999999999998</v>
      </c>
      <c r="D34" s="6">
        <f>Table5_110[[#This Row],[Value]]/C11</f>
        <v>0.10272877268688919</v>
      </c>
    </row>
    <row r="35" spans="1:4" x14ac:dyDescent="0.3">
      <c r="A35" s="2" t="s">
        <v>255</v>
      </c>
      <c r="B35" s="2" t="s">
        <v>155</v>
      </c>
      <c r="C35" s="2">
        <v>2554</v>
      </c>
      <c r="D35" s="6">
        <f>Table5_110[[#This Row],[Value]]/C12</f>
        <v>0.13118155856429642</v>
      </c>
    </row>
    <row r="36" spans="1:4" x14ac:dyDescent="0.3">
      <c r="A36" s="2" t="s">
        <v>255</v>
      </c>
      <c r="B36" s="2" t="s">
        <v>156</v>
      </c>
      <c r="C36" s="2">
        <v>2759.2</v>
      </c>
      <c r="D36" s="6">
        <f>Table5_110[[#This Row],[Value]]/C13</f>
        <v>0.11731791317658063</v>
      </c>
    </row>
    <row r="37" spans="1:4" x14ac:dyDescent="0.3">
      <c r="A37" s="2" t="s">
        <v>255</v>
      </c>
      <c r="B37" s="2" t="s">
        <v>157</v>
      </c>
      <c r="C37" s="2">
        <v>2844</v>
      </c>
      <c r="D37" s="6">
        <f>Table5_110[[#This Row],[Value]]/C14</f>
        <v>0.11334334984596622</v>
      </c>
    </row>
    <row r="38" spans="1:4" x14ac:dyDescent="0.3">
      <c r="A38" s="2" t="s">
        <v>255</v>
      </c>
      <c r="B38" s="2" t="s">
        <v>158</v>
      </c>
      <c r="C38" s="2">
        <v>3163.4</v>
      </c>
      <c r="D38" s="6">
        <f>Table5_110[[#This Row],[Value]]/C15</f>
        <v>0.11915909852830942</v>
      </c>
    </row>
    <row r="39" spans="1:4" x14ac:dyDescent="0.3">
      <c r="A39" s="2" t="s">
        <v>255</v>
      </c>
      <c r="B39" s="2" t="s">
        <v>159</v>
      </c>
      <c r="C39" s="2">
        <v>3314.7</v>
      </c>
      <c r="D39" s="6">
        <f>Table5_110[[#This Row],[Value]]/C16</f>
        <v>0.1196590761411058</v>
      </c>
    </row>
    <row r="40" spans="1:4" x14ac:dyDescent="0.3">
      <c r="A40" s="2" t="s">
        <v>255</v>
      </c>
      <c r="B40" s="2" t="s">
        <v>160</v>
      </c>
      <c r="C40" s="2">
        <v>3341.5</v>
      </c>
      <c r="D40" s="6">
        <f>Table5_110[[#This Row],[Value]]/C17</f>
        <v>0.11763069979969513</v>
      </c>
    </row>
    <row r="41" spans="1:4" x14ac:dyDescent="0.3">
      <c r="A41" s="2" t="s">
        <v>255</v>
      </c>
      <c r="B41" s="2" t="s">
        <v>107</v>
      </c>
      <c r="C41" s="2">
        <v>3358.9</v>
      </c>
      <c r="D41" s="6">
        <f>Table5_110[[#This Row],[Value]]/C18</f>
        <v>0.12166753600510012</v>
      </c>
    </row>
    <row r="42" spans="1:4" x14ac:dyDescent="0.3">
      <c r="A42" s="2" t="s">
        <v>255</v>
      </c>
      <c r="B42" s="2" t="s">
        <v>113</v>
      </c>
      <c r="C42" s="2">
        <v>3554.1</v>
      </c>
      <c r="D42" s="6">
        <f>Table5_110[[#This Row],[Value]]/C19</f>
        <v>0.1219429347826087</v>
      </c>
    </row>
    <row r="43" spans="1:4" x14ac:dyDescent="0.3">
      <c r="A43" s="2" t="s">
        <v>255</v>
      </c>
      <c r="B43" s="2" t="s">
        <v>114</v>
      </c>
      <c r="C43" s="2">
        <v>3534.2</v>
      </c>
      <c r="D43" s="6">
        <f>Table5_110[[#This Row],[Value]]/C20</f>
        <v>0.10265899043181725</v>
      </c>
    </row>
    <row r="44" spans="1:4" x14ac:dyDescent="0.3">
      <c r="A44" s="2" t="s">
        <v>255</v>
      </c>
      <c r="B44" s="2" t="s">
        <v>115</v>
      </c>
      <c r="C44" s="2">
        <v>4300.2</v>
      </c>
      <c r="D44" s="6">
        <f>Table5_110[[#This Row],[Value]]/C21</f>
        <v>0.10491516905195254</v>
      </c>
    </row>
    <row r="45" spans="1:4" x14ac:dyDescent="0.3">
      <c r="A45" s="2" t="s">
        <v>255</v>
      </c>
      <c r="B45" s="2" t="s">
        <v>116</v>
      </c>
      <c r="C45" s="2">
        <v>4702.2</v>
      </c>
      <c r="D45" s="6">
        <f>Table5_110[[#This Row],[Value]]/C22</f>
        <v>0.10722054752664438</v>
      </c>
    </row>
    <row r="46" spans="1:4" x14ac:dyDescent="0.3">
      <c r="A46" s="2" t="s">
        <v>255</v>
      </c>
      <c r="B46" s="2" t="s">
        <v>117</v>
      </c>
      <c r="C46" s="2">
        <v>3902.5</v>
      </c>
      <c r="D46" s="6">
        <f>Table5_110[[#This Row],[Value]]/C23</f>
        <v>0.10082442211652487</v>
      </c>
    </row>
    <row r="47" spans="1:4" x14ac:dyDescent="0.3">
      <c r="A47" s="2" t="s">
        <v>255</v>
      </c>
      <c r="B47" s="2" t="s">
        <v>118</v>
      </c>
      <c r="C47" s="2">
        <v>4765.6000000000004</v>
      </c>
      <c r="D47" s="6">
        <f>Table5_110[[#This Row],[Value]]/C24</f>
        <v>0.10214728791834392</v>
      </c>
    </row>
    <row r="48" spans="1:4" x14ac:dyDescent="0.3">
      <c r="A48" s="2" t="s">
        <v>256</v>
      </c>
      <c r="B48" s="2" t="s">
        <v>132</v>
      </c>
      <c r="C48" s="2"/>
      <c r="D48" s="6"/>
    </row>
    <row r="49" spans="1:4" x14ac:dyDescent="0.3">
      <c r="A49" s="2" t="s">
        <v>256</v>
      </c>
      <c r="B49" s="2" t="s">
        <v>146</v>
      </c>
      <c r="C49" s="2">
        <v>84.3</v>
      </c>
      <c r="D49" s="6">
        <f>Table5_110[[#This Row],[Value]]/C3</f>
        <v>1.0531181291225265E-2</v>
      </c>
    </row>
    <row r="50" spans="1:4" x14ac:dyDescent="0.3">
      <c r="A50" s="2" t="s">
        <v>256</v>
      </c>
      <c r="B50" s="2" t="s">
        <v>147</v>
      </c>
      <c r="C50" s="2">
        <v>109</v>
      </c>
      <c r="D50" s="6">
        <f>Table5_110[[#This Row],[Value]]/C4</f>
        <v>1.1430129401648455E-2</v>
      </c>
    </row>
    <row r="51" spans="1:4" x14ac:dyDescent="0.3">
      <c r="A51" s="2" t="s">
        <v>256</v>
      </c>
      <c r="B51" s="2" t="s">
        <v>148</v>
      </c>
      <c r="C51" s="2">
        <v>126.5</v>
      </c>
      <c r="D51" s="6">
        <f>Table5_110[[#This Row],[Value]]/C5</f>
        <v>1.3110710362125074E-2</v>
      </c>
    </row>
    <row r="52" spans="1:4" x14ac:dyDescent="0.3">
      <c r="A52" s="2" t="s">
        <v>256</v>
      </c>
      <c r="B52" s="2" t="s">
        <v>149</v>
      </c>
      <c r="C52" s="2">
        <v>133.4</v>
      </c>
      <c r="D52" s="6">
        <f>Table5_110[[#This Row],[Value]]/C6</f>
        <v>1.2898110726509775E-2</v>
      </c>
    </row>
    <row r="53" spans="1:4" x14ac:dyDescent="0.3">
      <c r="A53" s="2" t="s">
        <v>256</v>
      </c>
      <c r="B53" s="2" t="s">
        <v>150</v>
      </c>
      <c r="C53" s="2">
        <v>135.6</v>
      </c>
      <c r="D53" s="6">
        <f>Table5_110[[#This Row],[Value]]/C7</f>
        <v>1.0932133700962609E-2</v>
      </c>
    </row>
    <row r="54" spans="1:4" x14ac:dyDescent="0.3">
      <c r="A54" s="2" t="s">
        <v>256</v>
      </c>
      <c r="B54" s="2" t="s">
        <v>151</v>
      </c>
      <c r="C54" s="2">
        <v>237.2</v>
      </c>
      <c r="D54" s="6">
        <f>Table5_110[[#This Row],[Value]]/C8</f>
        <v>1.7196380930286508E-2</v>
      </c>
    </row>
    <row r="55" spans="1:4" x14ac:dyDescent="0.3">
      <c r="A55" s="2" t="s">
        <v>256</v>
      </c>
      <c r="B55" s="2" t="s">
        <v>152</v>
      </c>
      <c r="C55" s="2">
        <v>250.2</v>
      </c>
      <c r="D55" s="6">
        <f>Table5_110[[#This Row],[Value]]/C9</f>
        <v>1.6081758580794445E-2</v>
      </c>
    </row>
    <row r="56" spans="1:4" x14ac:dyDescent="0.3">
      <c r="A56" s="2" t="s">
        <v>256</v>
      </c>
      <c r="B56" s="2" t="s">
        <v>153</v>
      </c>
      <c r="C56" s="2">
        <v>367.3</v>
      </c>
      <c r="D56" s="6">
        <f>Table5_110[[#This Row],[Value]]/C10</f>
        <v>1.8923625422471356E-2</v>
      </c>
    </row>
    <row r="57" spans="1:4" x14ac:dyDescent="0.3">
      <c r="A57" s="2" t="s">
        <v>256</v>
      </c>
      <c r="B57" s="2" t="s">
        <v>154</v>
      </c>
      <c r="C57" s="2">
        <v>499.3</v>
      </c>
      <c r="D57" s="6">
        <f>Table5_110[[#This Row],[Value]]/C11</f>
        <v>2.112366205525236E-2</v>
      </c>
    </row>
    <row r="58" spans="1:4" x14ac:dyDescent="0.3">
      <c r="A58" s="2" t="s">
        <v>256</v>
      </c>
      <c r="B58" s="2" t="s">
        <v>155</v>
      </c>
      <c r="C58" s="2">
        <v>608.20000000000005</v>
      </c>
      <c r="D58" s="6">
        <f>Table5_110[[#This Row],[Value]]/C12</f>
        <v>3.1239085324512566E-2</v>
      </c>
    </row>
    <row r="59" spans="1:4" x14ac:dyDescent="0.3">
      <c r="A59" s="2" t="s">
        <v>256</v>
      </c>
      <c r="B59" s="2" t="s">
        <v>156</v>
      </c>
      <c r="C59" s="2">
        <v>679.7</v>
      </c>
      <c r="D59" s="6">
        <f>Table5_110[[#This Row],[Value]]/C13</f>
        <v>2.8900038266933121E-2</v>
      </c>
    </row>
    <row r="60" spans="1:4" x14ac:dyDescent="0.3">
      <c r="A60" s="2" t="s">
        <v>256</v>
      </c>
      <c r="B60" s="2" t="s">
        <v>157</v>
      </c>
      <c r="C60" s="2">
        <v>656</v>
      </c>
      <c r="D60" s="6">
        <f>Table5_110[[#This Row],[Value]]/C14</f>
        <v>2.6143895041826244E-2</v>
      </c>
    </row>
    <row r="61" spans="1:4" x14ac:dyDescent="0.3">
      <c r="A61" s="2" t="s">
        <v>256</v>
      </c>
      <c r="B61" s="2" t="s">
        <v>158</v>
      </c>
      <c r="C61" s="2">
        <v>757</v>
      </c>
      <c r="D61" s="6">
        <f>Table5_110[[#This Row],[Value]]/C15</f>
        <v>2.8514711255588996E-2</v>
      </c>
    </row>
    <row r="62" spans="1:4" x14ac:dyDescent="0.3">
      <c r="A62" s="2" t="s">
        <v>256</v>
      </c>
      <c r="B62" s="2" t="s">
        <v>159</v>
      </c>
      <c r="C62" s="2">
        <v>789.8</v>
      </c>
      <c r="D62" s="6">
        <f>Table5_110[[#This Row],[Value]]/C16</f>
        <v>2.8511400228148957E-2</v>
      </c>
    </row>
    <row r="63" spans="1:4" x14ac:dyDescent="0.3">
      <c r="A63" s="2" t="s">
        <v>256</v>
      </c>
      <c r="B63" s="2" t="s">
        <v>160</v>
      </c>
      <c r="C63" s="2">
        <v>1049.5</v>
      </c>
      <c r="D63" s="6">
        <f>Table5_110[[#This Row],[Value]]/C17</f>
        <v>3.6945509334065554E-2</v>
      </c>
    </row>
    <row r="64" spans="1:4" x14ac:dyDescent="0.3">
      <c r="A64" s="2" t="s">
        <v>256</v>
      </c>
      <c r="B64" s="2" t="s">
        <v>107</v>
      </c>
      <c r="C64" s="2">
        <v>1094.9000000000001</v>
      </c>
      <c r="D64" s="6">
        <f>Table5_110[[#This Row],[Value]]/C18</f>
        <v>3.9659943782781308E-2</v>
      </c>
    </row>
    <row r="65" spans="1:4" x14ac:dyDescent="0.3">
      <c r="A65" s="2" t="s">
        <v>256</v>
      </c>
      <c r="B65" s="2" t="s">
        <v>113</v>
      </c>
      <c r="C65" s="2">
        <v>1426</v>
      </c>
      <c r="D65" s="6">
        <f>Table5_110[[#This Row],[Value]]/C19</f>
        <v>4.892676767676768E-2</v>
      </c>
    </row>
    <row r="66" spans="1:4" x14ac:dyDescent="0.3">
      <c r="A66" s="2" t="s">
        <v>256</v>
      </c>
      <c r="B66" s="2" t="s">
        <v>114</v>
      </c>
      <c r="C66" s="2">
        <v>1131.0999999999999</v>
      </c>
      <c r="D66" s="6">
        <f>Table5_110[[#This Row],[Value]]/C20</f>
        <v>3.2855408317986674E-2</v>
      </c>
    </row>
    <row r="67" spans="1:4" x14ac:dyDescent="0.3">
      <c r="A67" s="2" t="s">
        <v>256</v>
      </c>
      <c r="B67" s="2" t="s">
        <v>115</v>
      </c>
      <c r="C67" s="2">
        <v>1121.7</v>
      </c>
      <c r="D67" s="6">
        <f>Table5_110[[#This Row],[Value]]/C21</f>
        <v>2.7366946915393511E-2</v>
      </c>
    </row>
    <row r="68" spans="1:4" x14ac:dyDescent="0.3">
      <c r="A68" s="2" t="s">
        <v>256</v>
      </c>
      <c r="B68" s="2" t="s">
        <v>116</v>
      </c>
      <c r="C68" s="2"/>
      <c r="D68" s="6"/>
    </row>
    <row r="69" spans="1:4" x14ac:dyDescent="0.3">
      <c r="A69" s="2" t="s">
        <v>256</v>
      </c>
      <c r="B69" s="2" t="s">
        <v>117</v>
      </c>
      <c r="C69" s="2"/>
      <c r="D69" s="6"/>
    </row>
    <row r="70" spans="1:4" x14ac:dyDescent="0.3">
      <c r="A70" s="2" t="s">
        <v>256</v>
      </c>
      <c r="B70" s="2" t="s">
        <v>118</v>
      </c>
      <c r="C70" s="2"/>
      <c r="D70" s="6"/>
    </row>
    <row r="71" spans="1:4" x14ac:dyDescent="0.3">
      <c r="A71" s="2" t="s">
        <v>257</v>
      </c>
      <c r="B71" s="2" t="s">
        <v>132</v>
      </c>
      <c r="C71" s="2"/>
      <c r="D71" s="6"/>
    </row>
    <row r="72" spans="1:4" x14ac:dyDescent="0.3">
      <c r="A72" s="2" t="s">
        <v>257</v>
      </c>
      <c r="B72" s="2" t="s">
        <v>146</v>
      </c>
      <c r="C72" s="2">
        <v>288.89999999999998</v>
      </c>
      <c r="D72" s="6">
        <f>Table5_110[[#This Row],[Value]]/C3</f>
        <v>3.6090845492704374E-2</v>
      </c>
    </row>
    <row r="73" spans="1:4" x14ac:dyDescent="0.3">
      <c r="A73" s="2" t="s">
        <v>257</v>
      </c>
      <c r="B73" s="2" t="s">
        <v>147</v>
      </c>
      <c r="C73" s="2">
        <v>357.5</v>
      </c>
      <c r="D73" s="6">
        <f>Table5_110[[#This Row],[Value]]/C4</f>
        <v>3.7488727165957088E-2</v>
      </c>
    </row>
    <row r="74" spans="1:4" x14ac:dyDescent="0.3">
      <c r="A74" s="2" t="s">
        <v>257</v>
      </c>
      <c r="B74" s="2" t="s">
        <v>148</v>
      </c>
      <c r="C74" s="2">
        <v>464.9</v>
      </c>
      <c r="D74" s="6">
        <f>Table5_110[[#This Row],[Value]]/C5</f>
        <v>4.8183156105548984E-2</v>
      </c>
    </row>
    <row r="75" spans="1:4" x14ac:dyDescent="0.3">
      <c r="A75" s="2" t="s">
        <v>257</v>
      </c>
      <c r="B75" s="2" t="s">
        <v>149</v>
      </c>
      <c r="C75" s="2">
        <v>453.8</v>
      </c>
      <c r="D75" s="6">
        <f>Table5_110[[#This Row],[Value]]/C6</f>
        <v>4.3876781466942551E-2</v>
      </c>
    </row>
    <row r="76" spans="1:4" x14ac:dyDescent="0.3">
      <c r="A76" s="2" t="s">
        <v>257</v>
      </c>
      <c r="B76" s="2" t="s">
        <v>150</v>
      </c>
      <c r="C76" s="2">
        <v>499.9</v>
      </c>
      <c r="D76" s="6">
        <f>Table5_110[[#This Row],[Value]]/C7</f>
        <v>4.0302165465421889E-2</v>
      </c>
    </row>
    <row r="77" spans="1:4" x14ac:dyDescent="0.3">
      <c r="A77" s="2" t="s">
        <v>257</v>
      </c>
      <c r="B77" s="2" t="s">
        <v>151</v>
      </c>
      <c r="C77" s="2">
        <v>622.6</v>
      </c>
      <c r="D77" s="6">
        <f>Table5_110[[#This Row],[Value]]/C8</f>
        <v>4.513687507249739E-2</v>
      </c>
    </row>
    <row r="78" spans="1:4" x14ac:dyDescent="0.3">
      <c r="A78" s="2" t="s">
        <v>257</v>
      </c>
      <c r="B78" s="2" t="s">
        <v>152</v>
      </c>
      <c r="C78" s="2">
        <v>825.8</v>
      </c>
      <c r="D78" s="6">
        <f>Table5_110[[#This Row],[Value]]/C9</f>
        <v>5.3078801902558169E-2</v>
      </c>
    </row>
    <row r="79" spans="1:4" x14ac:dyDescent="0.3">
      <c r="A79" s="2" t="s">
        <v>257</v>
      </c>
      <c r="B79" s="2" t="s">
        <v>153</v>
      </c>
      <c r="C79" s="2">
        <v>892.7</v>
      </c>
      <c r="D79" s="6">
        <f>Table5_110[[#This Row],[Value]]/C10</f>
        <v>4.5992704641002399E-2</v>
      </c>
    </row>
    <row r="80" spans="1:4" x14ac:dyDescent="0.3">
      <c r="A80" s="2" t="s">
        <v>257</v>
      </c>
      <c r="B80" s="2" t="s">
        <v>154</v>
      </c>
      <c r="C80" s="2">
        <v>1065.2</v>
      </c>
      <c r="D80" s="6">
        <f>Table5_110[[#This Row],[Value]]/C11</f>
        <v>4.5064940559292638E-2</v>
      </c>
    </row>
    <row r="81" spans="1:4" x14ac:dyDescent="0.3">
      <c r="A81" s="2" t="s">
        <v>257</v>
      </c>
      <c r="B81" s="2" t="s">
        <v>155</v>
      </c>
      <c r="C81" s="2">
        <v>1121.2</v>
      </c>
      <c r="D81" s="6">
        <f>Table5_110[[#This Row],[Value]]/C12</f>
        <v>5.7588396030653542E-2</v>
      </c>
    </row>
    <row r="82" spans="1:4" x14ac:dyDescent="0.3">
      <c r="A82" s="2" t="s">
        <v>257</v>
      </c>
      <c r="B82" s="2" t="s">
        <v>156</v>
      </c>
      <c r="C82" s="2">
        <v>1048.5</v>
      </c>
      <c r="D82" s="6">
        <f>Table5_110[[#This Row],[Value]]/C13</f>
        <v>4.4580977082358947E-2</v>
      </c>
    </row>
    <row r="83" spans="1:4" x14ac:dyDescent="0.3">
      <c r="A83" s="2" t="s">
        <v>257</v>
      </c>
      <c r="B83" s="2" t="s">
        <v>157</v>
      </c>
      <c r="C83" s="2">
        <v>1103.3</v>
      </c>
      <c r="D83" s="6">
        <f>Table5_110[[#This Row],[Value]]/C14</f>
        <v>4.397036493848612E-2</v>
      </c>
    </row>
    <row r="84" spans="1:4" x14ac:dyDescent="0.3">
      <c r="A84" s="2" t="s">
        <v>257</v>
      </c>
      <c r="B84" s="2" t="s">
        <v>158</v>
      </c>
      <c r="C84" s="2">
        <v>1293.2</v>
      </c>
      <c r="D84" s="6">
        <f>Table5_110[[#This Row],[Value]]/C15</f>
        <v>4.871231782790976E-2</v>
      </c>
    </row>
    <row r="85" spans="1:4" x14ac:dyDescent="0.3">
      <c r="A85" s="2" t="s">
        <v>257</v>
      </c>
      <c r="B85" s="2" t="s">
        <v>159</v>
      </c>
      <c r="C85" s="2">
        <v>1411</v>
      </c>
      <c r="D85" s="6">
        <f>Table5_110[[#This Row],[Value]]/C16</f>
        <v>5.0936421526865262E-2</v>
      </c>
    </row>
    <row r="86" spans="1:4" x14ac:dyDescent="0.3">
      <c r="A86" s="2" t="s">
        <v>257</v>
      </c>
      <c r="B86" s="2" t="s">
        <v>160</v>
      </c>
      <c r="C86" s="2">
        <v>1132.0999999999999</v>
      </c>
      <c r="D86" s="6">
        <f>Table5_110[[#This Row],[Value]]/C17</f>
        <v>3.9853274051544173E-2</v>
      </c>
    </row>
    <row r="87" spans="1:4" x14ac:dyDescent="0.3">
      <c r="A87" s="2" t="s">
        <v>257</v>
      </c>
      <c r="B87" s="2" t="s">
        <v>107</v>
      </c>
      <c r="C87" s="2">
        <v>1059.4000000000001</v>
      </c>
      <c r="D87" s="6">
        <f>Table5_110[[#This Row],[Value]]/C18</f>
        <v>3.8374047349966675E-2</v>
      </c>
    </row>
    <row r="88" spans="1:4" x14ac:dyDescent="0.3">
      <c r="A88" s="2" t="s">
        <v>257</v>
      </c>
      <c r="B88" s="2" t="s">
        <v>113</v>
      </c>
      <c r="C88" s="2">
        <v>950.5</v>
      </c>
      <c r="D88" s="6">
        <f>Table5_110[[#This Row],[Value]]/C19</f>
        <v>3.2612126701800616E-2</v>
      </c>
    </row>
    <row r="89" spans="1:4" x14ac:dyDescent="0.3">
      <c r="A89" s="2" t="s">
        <v>257</v>
      </c>
      <c r="B89" s="2" t="s">
        <v>114</v>
      </c>
      <c r="C89" s="2">
        <v>954.3</v>
      </c>
      <c r="D89" s="6">
        <f>Table5_110[[#This Row],[Value]]/C20</f>
        <v>2.7719844538815916E-2</v>
      </c>
    </row>
    <row r="90" spans="1:4" x14ac:dyDescent="0.3">
      <c r="A90" s="2" t="s">
        <v>257</v>
      </c>
      <c r="B90" s="2" t="s">
        <v>115</v>
      </c>
      <c r="C90" s="2">
        <v>1313.3</v>
      </c>
      <c r="D90" s="6">
        <f>Table5_110[[#This Row],[Value]]/C21</f>
        <v>3.2041554233740124E-2</v>
      </c>
    </row>
    <row r="91" spans="1:4" x14ac:dyDescent="0.3">
      <c r="A91" s="2" t="s">
        <v>257</v>
      </c>
      <c r="B91" s="2" t="s">
        <v>116</v>
      </c>
      <c r="C91" s="2"/>
      <c r="D91" s="6"/>
    </row>
    <row r="92" spans="1:4" x14ac:dyDescent="0.3">
      <c r="A92" s="2" t="s">
        <v>257</v>
      </c>
      <c r="B92" s="2" t="s">
        <v>117</v>
      </c>
      <c r="C92" s="2"/>
      <c r="D92" s="6"/>
    </row>
    <row r="93" spans="1:4" x14ac:dyDescent="0.3">
      <c r="A93" s="2" t="s">
        <v>257</v>
      </c>
      <c r="B93" s="2" t="s">
        <v>118</v>
      </c>
      <c r="C93" s="2"/>
      <c r="D93" s="6"/>
    </row>
    <row r="94" spans="1:4" x14ac:dyDescent="0.3">
      <c r="A94" s="2" t="s">
        <v>258</v>
      </c>
      <c r="B94" s="2" t="s">
        <v>132</v>
      </c>
      <c r="C94" s="2"/>
      <c r="D94" s="6"/>
    </row>
    <row r="95" spans="1:4" x14ac:dyDescent="0.3">
      <c r="A95" s="2" t="s">
        <v>258</v>
      </c>
      <c r="B95" s="2" t="s">
        <v>146</v>
      </c>
      <c r="C95" s="2">
        <v>34.799999999999997</v>
      </c>
      <c r="D95" s="6">
        <f>Table5_110[[#This Row],[Value]]/C3</f>
        <v>4.3473915650609632E-3</v>
      </c>
    </row>
    <row r="96" spans="1:4" x14ac:dyDescent="0.3">
      <c r="A96" s="2" t="s">
        <v>258</v>
      </c>
      <c r="B96" s="2" t="s">
        <v>147</v>
      </c>
      <c r="C96" s="2">
        <v>58.7</v>
      </c>
      <c r="D96" s="6">
        <f>Table5_110[[#This Row],[Value]]/C4</f>
        <v>6.1554917052914155E-3</v>
      </c>
    </row>
    <row r="97" spans="1:4" x14ac:dyDescent="0.3">
      <c r="A97" s="2" t="s">
        <v>258</v>
      </c>
      <c r="B97" s="2" t="s">
        <v>148</v>
      </c>
      <c r="C97" s="2">
        <v>72.2</v>
      </c>
      <c r="D97" s="6">
        <f>Table5_110[[#This Row],[Value]]/C5</f>
        <v>7.4829508944302802E-3</v>
      </c>
    </row>
    <row r="98" spans="1:4" x14ac:dyDescent="0.3">
      <c r="A98" s="2" t="s">
        <v>258</v>
      </c>
      <c r="B98" s="2" t="s">
        <v>149</v>
      </c>
      <c r="C98" s="2">
        <v>69.7</v>
      </c>
      <c r="D98" s="6">
        <f>Table5_110[[#This Row],[Value]]/C6</f>
        <v>6.7391178233712993E-3</v>
      </c>
    </row>
    <row r="99" spans="1:4" x14ac:dyDescent="0.3">
      <c r="A99" s="2" t="s">
        <v>258</v>
      </c>
      <c r="B99" s="2" t="s">
        <v>150</v>
      </c>
      <c r="C99" s="2">
        <v>92.4</v>
      </c>
      <c r="D99" s="6">
        <f>Table5_110[[#This Row],[Value]]/C7</f>
        <v>7.4493300440187692E-3</v>
      </c>
    </row>
    <row r="100" spans="1:4" x14ac:dyDescent="0.3">
      <c r="A100" s="2" t="s">
        <v>258</v>
      </c>
      <c r="B100" s="2" t="s">
        <v>151</v>
      </c>
      <c r="C100" s="2">
        <v>141.9</v>
      </c>
      <c r="D100" s="6">
        <f>Table5_110[[#This Row],[Value]]/C8</f>
        <v>1.0287379654332443E-2</v>
      </c>
    </row>
    <row r="101" spans="1:4" x14ac:dyDescent="0.3">
      <c r="A101" s="2" t="s">
        <v>258</v>
      </c>
      <c r="B101" s="2" t="s">
        <v>152</v>
      </c>
      <c r="C101" s="2">
        <v>144.6</v>
      </c>
      <c r="D101" s="6">
        <f>Table5_110[[#This Row],[Value]]/C9</f>
        <v>9.2942537601234092E-3</v>
      </c>
    </row>
    <row r="102" spans="1:4" x14ac:dyDescent="0.3">
      <c r="A102" s="2" t="s">
        <v>258</v>
      </c>
      <c r="B102" s="2" t="s">
        <v>153</v>
      </c>
      <c r="C102" s="2">
        <v>221.3</v>
      </c>
      <c r="D102" s="6">
        <f>Table5_110[[#This Row],[Value]]/C10</f>
        <v>1.1401574478608525E-2</v>
      </c>
    </row>
    <row r="103" spans="1:4" x14ac:dyDescent="0.3">
      <c r="A103" s="2" t="s">
        <v>258</v>
      </c>
      <c r="B103" s="2" t="s">
        <v>154</v>
      </c>
      <c r="C103" s="2">
        <v>286.5</v>
      </c>
      <c r="D103" s="6">
        <f>Table5_110[[#This Row],[Value]]/C11</f>
        <v>1.2120827516182257E-2</v>
      </c>
    </row>
    <row r="104" spans="1:4" x14ac:dyDescent="0.3">
      <c r="A104" s="2" t="s">
        <v>258</v>
      </c>
      <c r="B104" s="2" t="s">
        <v>155</v>
      </c>
      <c r="C104" s="2">
        <v>282.2</v>
      </c>
      <c r="D104" s="6">
        <f>Table5_110[[#This Row],[Value]]/C12</f>
        <v>1.4494689047315759E-2</v>
      </c>
    </row>
    <row r="105" spans="1:4" x14ac:dyDescent="0.3">
      <c r="A105" s="2" t="s">
        <v>258</v>
      </c>
      <c r="B105" s="2" t="s">
        <v>156</v>
      </c>
      <c r="C105" s="2">
        <v>332.1</v>
      </c>
      <c r="D105" s="6">
        <f>Table5_110[[#This Row],[Value]]/C13</f>
        <v>1.4120498320506825E-2</v>
      </c>
    </row>
    <row r="106" spans="1:4" x14ac:dyDescent="0.3">
      <c r="A106" s="2" t="s">
        <v>258</v>
      </c>
      <c r="B106" s="2" t="s">
        <v>157</v>
      </c>
      <c r="C106" s="2">
        <v>336.7</v>
      </c>
      <c r="D106" s="6">
        <f>Table5_110[[#This Row],[Value]]/C14</f>
        <v>1.3418672958205634E-2</v>
      </c>
    </row>
    <row r="107" spans="1:4" x14ac:dyDescent="0.3">
      <c r="A107" s="2" t="s">
        <v>258</v>
      </c>
      <c r="B107" s="2" t="s">
        <v>158</v>
      </c>
      <c r="C107" s="2">
        <v>333</v>
      </c>
      <c r="D107" s="6">
        <f>Table5_110[[#This Row],[Value]]/C15</f>
        <v>1.2543459508733337E-2</v>
      </c>
    </row>
    <row r="108" spans="1:4" x14ac:dyDescent="0.3">
      <c r="A108" s="2" t="s">
        <v>258</v>
      </c>
      <c r="B108" s="2" t="s">
        <v>159</v>
      </c>
      <c r="C108" s="2">
        <v>312.10000000000002</v>
      </c>
      <c r="D108" s="6">
        <f>Table5_110[[#This Row],[Value]]/C16</f>
        <v>1.1266659928089758E-2</v>
      </c>
    </row>
    <row r="109" spans="1:4" x14ac:dyDescent="0.3">
      <c r="A109" s="2" t="s">
        <v>258</v>
      </c>
      <c r="B109" s="2" t="s">
        <v>160</v>
      </c>
      <c r="C109" s="2">
        <v>304.5</v>
      </c>
      <c r="D109" s="6">
        <f>Table5_110[[#This Row],[Value]]/C17</f>
        <v>1.0719302136467804E-2</v>
      </c>
    </row>
    <row r="110" spans="1:4" x14ac:dyDescent="0.3">
      <c r="A110" s="2" t="s">
        <v>258</v>
      </c>
      <c r="B110" s="2" t="s">
        <v>107</v>
      </c>
      <c r="C110" s="2">
        <v>353.3</v>
      </c>
      <c r="D110" s="6">
        <f>Table5_110[[#This Row],[Value]]/C18</f>
        <v>1.2797386189110088E-2</v>
      </c>
    </row>
    <row r="111" spans="1:4" x14ac:dyDescent="0.3">
      <c r="A111" s="2" t="s">
        <v>258</v>
      </c>
      <c r="B111" s="2" t="s">
        <v>113</v>
      </c>
      <c r="C111" s="2">
        <v>363.2</v>
      </c>
      <c r="D111" s="6">
        <f>Table5_110[[#This Row],[Value]]/C19</f>
        <v>1.246157224418094E-2</v>
      </c>
    </row>
    <row r="112" spans="1:4" x14ac:dyDescent="0.3">
      <c r="A112" s="2" t="s">
        <v>258</v>
      </c>
      <c r="B112" s="2" t="s">
        <v>114</v>
      </c>
      <c r="C112" s="2">
        <v>448.3</v>
      </c>
      <c r="D112" s="6">
        <f>Table5_110[[#This Row],[Value]]/C20</f>
        <v>1.3021907478519518E-2</v>
      </c>
    </row>
    <row r="113" spans="1:4" x14ac:dyDescent="0.3">
      <c r="A113" s="2" t="s">
        <v>258</v>
      </c>
      <c r="B113" s="2" t="s">
        <v>115</v>
      </c>
      <c r="C113" s="2">
        <v>602.29999999999995</v>
      </c>
      <c r="D113" s="6">
        <f>Table5_110[[#This Row],[Value]]/C21</f>
        <v>1.4694759853028002E-2</v>
      </c>
    </row>
    <row r="114" spans="1:4" x14ac:dyDescent="0.3">
      <c r="A114" s="2" t="s">
        <v>258</v>
      </c>
      <c r="B114" s="2" t="s">
        <v>116</v>
      </c>
      <c r="C114" s="2"/>
      <c r="D114" s="6"/>
    </row>
    <row r="115" spans="1:4" x14ac:dyDescent="0.3">
      <c r="A115" s="2" t="s">
        <v>258</v>
      </c>
      <c r="B115" s="2" t="s">
        <v>117</v>
      </c>
      <c r="C115" s="2"/>
      <c r="D115" s="6"/>
    </row>
    <row r="116" spans="1:4" x14ac:dyDescent="0.3">
      <c r="A116" s="2" t="s">
        <v>258</v>
      </c>
      <c r="B116" s="2" t="s">
        <v>118</v>
      </c>
      <c r="C116" s="2"/>
      <c r="D116" s="6"/>
    </row>
    <row r="117" spans="1:4" x14ac:dyDescent="0.3">
      <c r="A117" s="2" t="s">
        <v>259</v>
      </c>
      <c r="B117" s="2" t="s">
        <v>132</v>
      </c>
      <c r="C117" s="2"/>
      <c r="D117" s="6"/>
    </row>
    <row r="118" spans="1:4" x14ac:dyDescent="0.3">
      <c r="A118" s="2" t="s">
        <v>259</v>
      </c>
      <c r="B118" s="2" t="s">
        <v>146</v>
      </c>
      <c r="C118" s="2">
        <v>112.9</v>
      </c>
      <c r="D118" s="6">
        <f>Table5_110[[#This Row],[Value]]/C3</f>
        <v>1.4104037577453528E-2</v>
      </c>
    </row>
    <row r="119" spans="1:4" x14ac:dyDescent="0.3">
      <c r="A119" s="2" t="s">
        <v>259</v>
      </c>
      <c r="B119" s="2" t="s">
        <v>147</v>
      </c>
      <c r="C119" s="2">
        <v>145.30000000000001</v>
      </c>
      <c r="D119" s="6">
        <f>Table5_110[[#This Row],[Value]]/C4</f>
        <v>1.5236677083114868E-2</v>
      </c>
    </row>
    <row r="120" spans="1:4" x14ac:dyDescent="0.3">
      <c r="A120" s="2" t="s">
        <v>259</v>
      </c>
      <c r="B120" s="2" t="s">
        <v>148</v>
      </c>
      <c r="C120" s="2">
        <v>147.30000000000001</v>
      </c>
      <c r="D120" s="6">
        <f>Table5_110[[#This Row],[Value]]/C5</f>
        <v>1.526646352838754E-2</v>
      </c>
    </row>
    <row r="121" spans="1:4" x14ac:dyDescent="0.3">
      <c r="A121" s="2" t="s">
        <v>259</v>
      </c>
      <c r="B121" s="2" t="s">
        <v>149</v>
      </c>
      <c r="C121" s="2">
        <v>141.30000000000001</v>
      </c>
      <c r="D121" s="6">
        <f>Table5_110[[#This Row],[Value]]/C6</f>
        <v>1.3661941871482994E-2</v>
      </c>
    </row>
    <row r="122" spans="1:4" x14ac:dyDescent="0.3">
      <c r="A122" s="2" t="s">
        <v>259</v>
      </c>
      <c r="B122" s="2" t="s">
        <v>150</v>
      </c>
      <c r="C122" s="2">
        <v>160.19999999999999</v>
      </c>
      <c r="D122" s="6">
        <f>Table5_110[[#This Row],[Value]]/C7</f>
        <v>1.2915396894500072E-2</v>
      </c>
    </row>
    <row r="123" spans="1:4" x14ac:dyDescent="0.3">
      <c r="A123" s="2" t="s">
        <v>259</v>
      </c>
      <c r="B123" s="2" t="s">
        <v>151</v>
      </c>
      <c r="C123" s="2">
        <v>240.2</v>
      </c>
      <c r="D123" s="6">
        <f>Table5_110[[#This Row],[Value]]/C8</f>
        <v>1.741387310056838E-2</v>
      </c>
    </row>
    <row r="124" spans="1:4" x14ac:dyDescent="0.3">
      <c r="A124" s="2" t="s">
        <v>259</v>
      </c>
      <c r="B124" s="2" t="s">
        <v>152</v>
      </c>
      <c r="C124" s="2">
        <v>297.39999999999998</v>
      </c>
      <c r="D124" s="6">
        <f>Table5_110[[#This Row],[Value]]/C9</f>
        <v>1.9115567553670137E-2</v>
      </c>
    </row>
    <row r="125" spans="1:4" x14ac:dyDescent="0.3">
      <c r="A125" s="2" t="s">
        <v>259</v>
      </c>
      <c r="B125" s="2" t="s">
        <v>153</v>
      </c>
      <c r="C125" s="2">
        <v>411.6</v>
      </c>
      <c r="D125" s="6">
        <f>Table5_110[[#This Row],[Value]]/C10</f>
        <v>2.1206001154068094E-2</v>
      </c>
    </row>
    <row r="126" spans="1:4" x14ac:dyDescent="0.3">
      <c r="A126" s="2" t="s">
        <v>259</v>
      </c>
      <c r="B126" s="2" t="s">
        <v>154</v>
      </c>
      <c r="C126" s="2">
        <v>577.20000000000005</v>
      </c>
      <c r="D126" s="6">
        <f>Table5_110[[#This Row],[Value]]/C11</f>
        <v>2.441934255616195E-2</v>
      </c>
    </row>
    <row r="127" spans="1:4" x14ac:dyDescent="0.3">
      <c r="A127" s="2" t="s">
        <v>259</v>
      </c>
      <c r="B127" s="2" t="s">
        <v>155</v>
      </c>
      <c r="C127" s="2">
        <v>542.4</v>
      </c>
      <c r="D127" s="6">
        <f>Table5_110[[#This Row],[Value]]/C12</f>
        <v>2.7859388161814557E-2</v>
      </c>
    </row>
    <row r="128" spans="1:4" x14ac:dyDescent="0.3">
      <c r="A128" s="2" t="s">
        <v>259</v>
      </c>
      <c r="B128" s="2" t="s">
        <v>156</v>
      </c>
      <c r="C128" s="2">
        <v>689.9</v>
      </c>
      <c r="D128" s="6">
        <f>Table5_110[[#This Row],[Value]]/C13</f>
        <v>2.9333730175602705E-2</v>
      </c>
    </row>
    <row r="129" spans="1:4" x14ac:dyDescent="0.3">
      <c r="A129" s="2" t="s">
        <v>259</v>
      </c>
      <c r="B129" s="2" t="s">
        <v>157</v>
      </c>
      <c r="C129" s="2">
        <v>748</v>
      </c>
      <c r="D129" s="6">
        <f>Table5_110[[#This Row],[Value]]/C14</f>
        <v>2.981041690744822E-2</v>
      </c>
    </row>
    <row r="130" spans="1:4" x14ac:dyDescent="0.3">
      <c r="A130" s="2" t="s">
        <v>259</v>
      </c>
      <c r="B130" s="2" t="s">
        <v>158</v>
      </c>
      <c r="C130" s="2">
        <v>780.2</v>
      </c>
      <c r="D130" s="6">
        <f>Table5_110[[#This Row],[Value]]/C15</f>
        <v>2.9388609936077326E-2</v>
      </c>
    </row>
    <row r="131" spans="1:4" x14ac:dyDescent="0.3">
      <c r="A131" s="2" t="s">
        <v>259</v>
      </c>
      <c r="B131" s="2" t="s">
        <v>159</v>
      </c>
      <c r="C131" s="2">
        <v>801.9</v>
      </c>
      <c r="D131" s="6">
        <f>Table5_110[[#This Row],[Value]]/C16</f>
        <v>2.8948204409917258E-2</v>
      </c>
    </row>
    <row r="132" spans="1:4" x14ac:dyDescent="0.3">
      <c r="A132" s="2" t="s">
        <v>259</v>
      </c>
      <c r="B132" s="2" t="s">
        <v>160</v>
      </c>
      <c r="C132" s="2">
        <v>855.4</v>
      </c>
      <c r="D132" s="6">
        <f>Table5_110[[#This Row],[Value]]/C17</f>
        <v>3.0112614277617602E-2</v>
      </c>
    </row>
    <row r="133" spans="1:4" x14ac:dyDescent="0.3">
      <c r="A133" s="2" t="s">
        <v>259</v>
      </c>
      <c r="B133" s="2" t="s">
        <v>107</v>
      </c>
      <c r="C133" s="2">
        <v>851.3</v>
      </c>
      <c r="D133" s="6">
        <f>Table5_110[[#This Row],[Value]]/C18</f>
        <v>3.0836158683242049E-2</v>
      </c>
    </row>
    <row r="134" spans="1:4" x14ac:dyDescent="0.3">
      <c r="A134" s="2" t="s">
        <v>259</v>
      </c>
      <c r="B134" s="2" t="s">
        <v>113</v>
      </c>
      <c r="C134" s="2">
        <v>814.4</v>
      </c>
      <c r="D134" s="6">
        <f>Table5_110[[#This Row],[Value]]/C19</f>
        <v>2.7942468159859464E-2</v>
      </c>
    </row>
    <row r="135" spans="1:4" x14ac:dyDescent="0.3">
      <c r="A135" s="2" t="s">
        <v>259</v>
      </c>
      <c r="B135" s="2" t="s">
        <v>114</v>
      </c>
      <c r="C135" s="2">
        <v>1000.5</v>
      </c>
      <c r="D135" s="6">
        <f>Table5_110[[#This Row],[Value]]/C20</f>
        <v>2.9061830096495152E-2</v>
      </c>
    </row>
    <row r="136" spans="1:4" x14ac:dyDescent="0.3">
      <c r="A136" s="2" t="s">
        <v>259</v>
      </c>
      <c r="B136" s="2" t="s">
        <v>115</v>
      </c>
      <c r="C136" s="2">
        <v>1262.9000000000001</v>
      </c>
      <c r="D136" s="6">
        <f>Table5_110[[#This Row],[Value]]/C21</f>
        <v>3.0811908049790913E-2</v>
      </c>
    </row>
    <row r="137" spans="1:4" x14ac:dyDescent="0.3">
      <c r="A137" s="2" t="s">
        <v>259</v>
      </c>
      <c r="B137" s="2" t="s">
        <v>116</v>
      </c>
      <c r="C137" s="2"/>
      <c r="D137" s="6"/>
    </row>
    <row r="138" spans="1:4" x14ac:dyDescent="0.3">
      <c r="A138" s="2" t="s">
        <v>259</v>
      </c>
      <c r="B138" s="2" t="s">
        <v>117</v>
      </c>
      <c r="C138" s="2"/>
      <c r="D138" s="6"/>
    </row>
    <row r="139" spans="1:4" x14ac:dyDescent="0.3">
      <c r="A139" s="2" t="s">
        <v>259</v>
      </c>
      <c r="B139" s="2" t="s">
        <v>118</v>
      </c>
      <c r="C139" s="2"/>
      <c r="D139" s="6"/>
    </row>
    <row r="140" spans="1:4" x14ac:dyDescent="0.3">
      <c r="A140" s="2" t="s">
        <v>260</v>
      </c>
      <c r="B140" s="2" t="s">
        <v>132</v>
      </c>
      <c r="C140" s="2"/>
      <c r="D140" s="6"/>
    </row>
    <row r="141" spans="1:4" x14ac:dyDescent="0.3">
      <c r="A141" s="2" t="s">
        <v>260</v>
      </c>
      <c r="B141" s="2" t="s">
        <v>146</v>
      </c>
      <c r="C141" s="2">
        <v>158.30000000000001</v>
      </c>
      <c r="D141" s="6">
        <f>Table5_110[[#This Row],[Value]]/C3</f>
        <v>1.9775634619228464E-2</v>
      </c>
    </row>
    <row r="142" spans="1:4" x14ac:dyDescent="0.3">
      <c r="A142" s="2" t="s">
        <v>260</v>
      </c>
      <c r="B142" s="2" t="s">
        <v>147</v>
      </c>
      <c r="C142" s="2">
        <v>155.80000000000001</v>
      </c>
      <c r="D142" s="6">
        <f>Table5_110[[#This Row],[Value]]/C4</f>
        <v>1.6337744594282839E-2</v>
      </c>
    </row>
    <row r="143" spans="1:4" x14ac:dyDescent="0.3">
      <c r="A143" s="2" t="s">
        <v>260</v>
      </c>
      <c r="B143" s="2" t="s">
        <v>148</v>
      </c>
      <c r="C143" s="2">
        <v>160.4</v>
      </c>
      <c r="D143" s="6">
        <f>Table5_110[[#This Row],[Value]]/C5</f>
        <v>1.6624173455216301E-2</v>
      </c>
    </row>
    <row r="144" spans="1:4" x14ac:dyDescent="0.3">
      <c r="A144" s="2" t="s">
        <v>260</v>
      </c>
      <c r="B144" s="2" t="s">
        <v>149</v>
      </c>
      <c r="C144" s="2">
        <v>153.1</v>
      </c>
      <c r="D144" s="6">
        <f>Table5_110[[#This Row],[Value]]/C6</f>
        <v>1.4802854214607544E-2</v>
      </c>
    </row>
    <row r="145" spans="1:4" x14ac:dyDescent="0.3">
      <c r="A145" s="2" t="s">
        <v>260</v>
      </c>
      <c r="B145" s="2" t="s">
        <v>150</v>
      </c>
      <c r="C145" s="2">
        <v>258.60000000000002</v>
      </c>
      <c r="D145" s="6">
        <f>Table5_110[[#This Row],[Value]]/C7</f>
        <v>2.0848449668649932E-2</v>
      </c>
    </row>
    <row r="146" spans="1:4" x14ac:dyDescent="0.3">
      <c r="A146" s="2" t="s">
        <v>260</v>
      </c>
      <c r="B146" s="2" t="s">
        <v>151</v>
      </c>
      <c r="C146" s="2">
        <v>238.8</v>
      </c>
      <c r="D146" s="6">
        <f>Table5_110[[#This Row],[Value]]/C8</f>
        <v>1.731237675443684E-2</v>
      </c>
    </row>
    <row r="147" spans="1:4" x14ac:dyDescent="0.3">
      <c r="A147" s="2" t="s">
        <v>260</v>
      </c>
      <c r="B147" s="2" t="s">
        <v>152</v>
      </c>
      <c r="C147" s="2">
        <v>500.3</v>
      </c>
      <c r="D147" s="6">
        <f>Table5_110[[#This Row],[Value]]/C9</f>
        <v>3.2157089600205684E-2</v>
      </c>
    </row>
    <row r="148" spans="1:4" x14ac:dyDescent="0.3">
      <c r="A148" s="2" t="s">
        <v>260</v>
      </c>
      <c r="B148" s="2" t="s">
        <v>153</v>
      </c>
      <c r="C148" s="2">
        <v>435.2</v>
      </c>
      <c r="D148" s="6">
        <f>Table5_110[[#This Row],[Value]]/C10</f>
        <v>2.2421894320336328E-2</v>
      </c>
    </row>
    <row r="149" spans="1:4" x14ac:dyDescent="0.3">
      <c r="A149" s="2" t="s">
        <v>260</v>
      </c>
      <c r="B149" s="2" t="s">
        <v>154</v>
      </c>
      <c r="C149" s="2">
        <v>679.9</v>
      </c>
      <c r="D149" s="6">
        <f>Table5_110[[#This Row],[Value]]/C11</f>
        <v>2.8764225578542114E-2</v>
      </c>
    </row>
    <row r="150" spans="1:4" x14ac:dyDescent="0.3">
      <c r="A150" s="2" t="s">
        <v>260</v>
      </c>
      <c r="B150" s="2" t="s">
        <v>155</v>
      </c>
      <c r="C150" s="2">
        <v>505.3</v>
      </c>
      <c r="D150" s="6">
        <f>Table5_110[[#This Row],[Value]]/C12</f>
        <v>2.5953814229655044E-2</v>
      </c>
    </row>
    <row r="151" spans="1:4" x14ac:dyDescent="0.3">
      <c r="A151" s="2" t="s">
        <v>260</v>
      </c>
      <c r="B151" s="2" t="s">
        <v>156</v>
      </c>
      <c r="C151" s="2">
        <v>784.2</v>
      </c>
      <c r="D151" s="6">
        <f>Table5_110[[#This Row],[Value]]/C13</f>
        <v>3.3343254390067606E-2</v>
      </c>
    </row>
    <row r="152" spans="1:4" x14ac:dyDescent="0.3">
      <c r="A152" s="2" t="s">
        <v>260</v>
      </c>
      <c r="B152" s="2" t="s">
        <v>157</v>
      </c>
      <c r="C152" s="2">
        <v>610.29999999999995</v>
      </c>
      <c r="D152" s="6">
        <f>Table5_110[[#This Row],[Value]]/C14</f>
        <v>2.4322590158577066E-2</v>
      </c>
    </row>
    <row r="153" spans="1:4" x14ac:dyDescent="0.3">
      <c r="A153" s="2" t="s">
        <v>260</v>
      </c>
      <c r="B153" s="2" t="s">
        <v>158</v>
      </c>
      <c r="C153" s="2">
        <v>758.2</v>
      </c>
      <c r="D153" s="6">
        <f>Table5_110[[#This Row],[Value]]/C15</f>
        <v>2.8559912911476325E-2</v>
      </c>
    </row>
    <row r="154" spans="1:4" x14ac:dyDescent="0.3">
      <c r="A154" s="2" t="s">
        <v>260</v>
      </c>
      <c r="B154" s="2" t="s">
        <v>159</v>
      </c>
      <c r="C154" s="2">
        <v>950.1</v>
      </c>
      <c r="D154" s="6">
        <f>Table5_110[[#This Row],[Value]]/C16</f>
        <v>3.4298153148600061E-2</v>
      </c>
    </row>
    <row r="155" spans="1:4" x14ac:dyDescent="0.3">
      <c r="A155" s="2" t="s">
        <v>260</v>
      </c>
      <c r="B155" s="2" t="s">
        <v>160</v>
      </c>
      <c r="C155" s="2">
        <v>570.5</v>
      </c>
      <c r="D155" s="6">
        <f>Table5_110[[#This Row],[Value]]/C17</f>
        <v>2.0083290209704049E-2</v>
      </c>
    </row>
    <row r="156" spans="1:4" x14ac:dyDescent="0.3">
      <c r="A156" s="2" t="s">
        <v>260</v>
      </c>
      <c r="B156" s="2" t="s">
        <v>107</v>
      </c>
      <c r="C156" s="2">
        <v>849.3</v>
      </c>
      <c r="D156" s="6">
        <f>Table5_110[[#This Row],[Value]]/C18</f>
        <v>3.0763713813787705E-2</v>
      </c>
    </row>
    <row r="157" spans="1:4" x14ac:dyDescent="0.3">
      <c r="A157" s="2" t="s">
        <v>260</v>
      </c>
      <c r="B157" s="2" t="s">
        <v>113</v>
      </c>
      <c r="C157" s="2">
        <v>708.3</v>
      </c>
      <c r="D157" s="6">
        <f>Table5_110[[#This Row],[Value]]/C19</f>
        <v>2.4302124505928852E-2</v>
      </c>
    </row>
    <row r="158" spans="1:4" x14ac:dyDescent="0.3">
      <c r="A158" s="2" t="s">
        <v>260</v>
      </c>
      <c r="B158" s="2" t="s">
        <v>114</v>
      </c>
      <c r="C158" s="2">
        <v>970</v>
      </c>
      <c r="D158" s="6">
        <f>Table5_110[[#This Row],[Value]]/C20</f>
        <v>2.8175887249975311E-2</v>
      </c>
    </row>
    <row r="159" spans="1:4" x14ac:dyDescent="0.3">
      <c r="A159" s="2" t="s">
        <v>260</v>
      </c>
      <c r="B159" s="2" t="s">
        <v>115</v>
      </c>
      <c r="C159" s="2">
        <v>1381.4</v>
      </c>
      <c r="D159" s="6">
        <f>Table5_110[[#This Row],[Value]]/C21</f>
        <v>3.3703040446576266E-2</v>
      </c>
    </row>
    <row r="160" spans="1:4" x14ac:dyDescent="0.3">
      <c r="A160" s="2" t="s">
        <v>260</v>
      </c>
      <c r="B160" s="2" t="s">
        <v>116</v>
      </c>
      <c r="C160" s="2">
        <v>1170</v>
      </c>
      <c r="D160" s="6">
        <f>Table5_110[[#This Row],[Value]]/C22</f>
        <v>2.6678584621278107E-2</v>
      </c>
    </row>
    <row r="161" spans="1:4" x14ac:dyDescent="0.3">
      <c r="A161" s="2" t="s">
        <v>260</v>
      </c>
      <c r="B161" s="2" t="s">
        <v>117</v>
      </c>
      <c r="C161" s="2">
        <v>1280.5999999999999</v>
      </c>
      <c r="D161" s="6">
        <f>Table5_110[[#This Row],[Value]]/C23</f>
        <v>3.3085395249819793E-2</v>
      </c>
    </row>
    <row r="162" spans="1:4" x14ac:dyDescent="0.3">
      <c r="A162" s="2" t="s">
        <v>260</v>
      </c>
      <c r="B162" s="2" t="s">
        <v>118</v>
      </c>
      <c r="C162" s="2">
        <v>1633.7</v>
      </c>
      <c r="D162" s="6">
        <f>Table5_110[[#This Row],[Value]]/C24</f>
        <v>3.5017211740850776E-2</v>
      </c>
    </row>
    <row r="163" spans="1:4" x14ac:dyDescent="0.3">
      <c r="A163" s="2" t="s">
        <v>261</v>
      </c>
      <c r="B163" s="2" t="s">
        <v>132</v>
      </c>
      <c r="C163" s="2"/>
      <c r="D163" s="6"/>
    </row>
    <row r="164" spans="1:4" x14ac:dyDescent="0.3">
      <c r="A164" s="2" t="s">
        <v>261</v>
      </c>
      <c r="B164" s="2" t="s">
        <v>146</v>
      </c>
      <c r="C164" s="2">
        <v>39.9</v>
      </c>
      <c r="D164" s="6">
        <f>Table5_110[[#This Row],[Value]]/C3</f>
        <v>4.9845092944233458E-3</v>
      </c>
    </row>
    <row r="165" spans="1:4" x14ac:dyDescent="0.3">
      <c r="A165" s="2" t="s">
        <v>261</v>
      </c>
      <c r="B165" s="2" t="s">
        <v>147</v>
      </c>
      <c r="C165" s="2">
        <v>26.6</v>
      </c>
      <c r="D165" s="6">
        <f>Table5_110[[#This Row],[Value]]/C4</f>
        <v>2.7893710282921916E-3</v>
      </c>
    </row>
    <row r="166" spans="1:4" x14ac:dyDescent="0.3">
      <c r="A166" s="2" t="s">
        <v>261</v>
      </c>
      <c r="B166" s="2" t="s">
        <v>148</v>
      </c>
      <c r="C166" s="2">
        <v>45.8</v>
      </c>
      <c r="D166" s="6">
        <f>Table5_110[[#This Row],[Value]]/C5</f>
        <v>4.7468026449433076E-3</v>
      </c>
    </row>
    <row r="167" spans="1:4" x14ac:dyDescent="0.3">
      <c r="A167" s="2" t="s">
        <v>261</v>
      </c>
      <c r="B167" s="2" t="s">
        <v>149</v>
      </c>
      <c r="C167" s="2">
        <v>57.1</v>
      </c>
      <c r="D167" s="6">
        <f>Table5_110[[#This Row],[Value]]/C6</f>
        <v>5.5208554908823702E-3</v>
      </c>
    </row>
    <row r="168" spans="1:4" x14ac:dyDescent="0.3">
      <c r="A168" s="2" t="s">
        <v>261</v>
      </c>
      <c r="B168" s="2" t="s">
        <v>150</v>
      </c>
      <c r="C168" s="2">
        <v>81</v>
      </c>
      <c r="D168" s="6">
        <f>Table5_110[[#This Row],[Value]]/C7</f>
        <v>6.5302568567697002E-3</v>
      </c>
    </row>
    <row r="169" spans="1:4" x14ac:dyDescent="0.3">
      <c r="A169" s="2" t="s">
        <v>261</v>
      </c>
      <c r="B169" s="2" t="s">
        <v>151</v>
      </c>
      <c r="C169" s="2">
        <v>62</v>
      </c>
      <c r="D169" s="6">
        <f>Table5_110[[#This Row],[Value]]/C8</f>
        <v>4.4948381858253101E-3</v>
      </c>
    </row>
    <row r="170" spans="1:4" x14ac:dyDescent="0.3">
      <c r="A170" s="2" t="s">
        <v>261</v>
      </c>
      <c r="B170" s="2" t="s">
        <v>152</v>
      </c>
      <c r="C170" s="2">
        <v>94.2</v>
      </c>
      <c r="D170" s="6">
        <f>Table5_110[[#This Row],[Value]]/C9</f>
        <v>6.0547628229849597E-3</v>
      </c>
    </row>
    <row r="171" spans="1:4" x14ac:dyDescent="0.3">
      <c r="A171" s="2" t="s">
        <v>261</v>
      </c>
      <c r="B171" s="2" t="s">
        <v>153</v>
      </c>
      <c r="C171" s="2">
        <v>144.80000000000001</v>
      </c>
      <c r="D171" s="6">
        <f>Table5_110[[#This Row],[Value]]/C10</f>
        <v>7.4602258676119042E-3</v>
      </c>
    </row>
    <row r="172" spans="1:4" x14ac:dyDescent="0.3">
      <c r="A172" s="2" t="s">
        <v>261</v>
      </c>
      <c r="B172" s="2" t="s">
        <v>154</v>
      </c>
      <c r="C172" s="2">
        <v>232.3</v>
      </c>
      <c r="D172" s="6">
        <f>Table5_110[[#This Row],[Value]]/C11</f>
        <v>9.8278123281296276E-3</v>
      </c>
    </row>
    <row r="173" spans="1:4" x14ac:dyDescent="0.3">
      <c r="A173" s="2" t="s">
        <v>261</v>
      </c>
      <c r="B173" s="2" t="s">
        <v>155</v>
      </c>
      <c r="C173" s="2">
        <v>134.30000000000001</v>
      </c>
      <c r="D173" s="6">
        <f>Table5_110[[#This Row],[Value]]/C12</f>
        <v>6.89807490805991E-3</v>
      </c>
    </row>
    <row r="174" spans="1:4" x14ac:dyDescent="0.3">
      <c r="A174" s="2" t="s">
        <v>261</v>
      </c>
      <c r="B174" s="2" t="s">
        <v>156</v>
      </c>
      <c r="C174" s="2">
        <v>165.4</v>
      </c>
      <c r="D174" s="6">
        <f>Table5_110[[#This Row],[Value]]/C13</f>
        <v>7.0326119307793705E-3</v>
      </c>
    </row>
    <row r="175" spans="1:4" x14ac:dyDescent="0.3">
      <c r="A175" s="2" t="s">
        <v>261</v>
      </c>
      <c r="B175" s="2" t="s">
        <v>157</v>
      </c>
      <c r="C175" s="2">
        <v>159.80000000000001</v>
      </c>
      <c r="D175" s="6">
        <f>Table5_110[[#This Row],[Value]]/C14</f>
        <v>6.3685890665912109E-3</v>
      </c>
    </row>
    <row r="176" spans="1:4" x14ac:dyDescent="0.3">
      <c r="A176" s="2" t="s">
        <v>261</v>
      </c>
      <c r="B176" s="2" t="s">
        <v>158</v>
      </c>
      <c r="C176" s="2">
        <v>173.8</v>
      </c>
      <c r="D176" s="6">
        <f>Table5_110[[#This Row],[Value]]/C15</f>
        <v>6.5467064943479101E-3</v>
      </c>
    </row>
    <row r="177" spans="1:4" x14ac:dyDescent="0.3">
      <c r="A177" s="2" t="s">
        <v>261</v>
      </c>
      <c r="B177" s="2" t="s">
        <v>159</v>
      </c>
      <c r="C177" s="2">
        <v>197.8</v>
      </c>
      <c r="D177" s="6">
        <f>Table5_110[[#This Row],[Value]]/C16</f>
        <v>7.1404848887412819E-3</v>
      </c>
    </row>
    <row r="178" spans="1:4" x14ac:dyDescent="0.3">
      <c r="A178" s="2" t="s">
        <v>261</v>
      </c>
      <c r="B178" s="2" t="s">
        <v>160</v>
      </c>
      <c r="C178" s="2">
        <v>60.2</v>
      </c>
      <c r="D178" s="6">
        <f>Table5_110[[#This Row],[Value]]/C17</f>
        <v>2.1192183534166236E-3</v>
      </c>
    </row>
    <row r="179" spans="1:4" x14ac:dyDescent="0.3">
      <c r="A179" s="2" t="s">
        <v>261</v>
      </c>
      <c r="B179" s="2" t="s">
        <v>107</v>
      </c>
      <c r="C179" s="2">
        <v>59.1</v>
      </c>
      <c r="D179" s="6">
        <f>Table5_110[[#This Row],[Value]]/C18</f>
        <v>2.1407458923759018E-3</v>
      </c>
    </row>
    <row r="180" spans="1:4" x14ac:dyDescent="0.3">
      <c r="A180" s="2" t="s">
        <v>261</v>
      </c>
      <c r="B180" s="2" t="s">
        <v>113</v>
      </c>
      <c r="C180" s="2">
        <v>60.7</v>
      </c>
      <c r="D180" s="6">
        <f>Table5_110[[#This Row],[Value]]/C19</f>
        <v>2.082647123407993E-3</v>
      </c>
    </row>
    <row r="181" spans="1:4" x14ac:dyDescent="0.3">
      <c r="A181" s="2" t="s">
        <v>261</v>
      </c>
      <c r="B181" s="2" t="s">
        <v>114</v>
      </c>
      <c r="C181" s="2">
        <v>41.6</v>
      </c>
      <c r="D181" s="6">
        <f>Table5_110[[#This Row],[Value]]/C20</f>
        <v>1.2083679480401784E-3</v>
      </c>
    </row>
    <row r="182" spans="1:4" x14ac:dyDescent="0.3">
      <c r="A182" s="2" t="s">
        <v>261</v>
      </c>
      <c r="B182" s="2" t="s">
        <v>115</v>
      </c>
      <c r="C182" s="2">
        <v>35.200000000000003</v>
      </c>
      <c r="D182" s="6">
        <f>Table5_110[[#This Row],[Value]]/C21</f>
        <v>8.5880050942484763E-4</v>
      </c>
    </row>
    <row r="183" spans="1:4" x14ac:dyDescent="0.3">
      <c r="A183" s="2" t="s">
        <v>261</v>
      </c>
      <c r="B183" s="2" t="s">
        <v>116</v>
      </c>
      <c r="C183" s="2"/>
      <c r="D183" s="6"/>
    </row>
    <row r="184" spans="1:4" x14ac:dyDescent="0.3">
      <c r="A184" s="2" t="s">
        <v>261</v>
      </c>
      <c r="B184" s="2" t="s">
        <v>117</v>
      </c>
      <c r="C184" s="2"/>
      <c r="D184" s="6"/>
    </row>
    <row r="185" spans="1:4" x14ac:dyDescent="0.3">
      <c r="A185" s="2" t="s">
        <v>261</v>
      </c>
      <c r="B185" s="2" t="s">
        <v>118</v>
      </c>
      <c r="C185" s="2"/>
      <c r="D185" s="6"/>
    </row>
    <row r="186" spans="1:4" x14ac:dyDescent="0.3">
      <c r="A186" s="2" t="s">
        <v>262</v>
      </c>
      <c r="B186" s="2" t="s">
        <v>132</v>
      </c>
      <c r="C186" s="2"/>
      <c r="D186" s="6"/>
    </row>
    <row r="187" spans="1:4" x14ac:dyDescent="0.3">
      <c r="A187" s="2" t="s">
        <v>262</v>
      </c>
      <c r="B187" s="2" t="s">
        <v>146</v>
      </c>
      <c r="C187" s="2">
        <v>57.6</v>
      </c>
      <c r="D187" s="6">
        <f>Table5_110[[#This Row],[Value]]/C3</f>
        <v>7.1956825904457324E-3</v>
      </c>
    </row>
    <row r="188" spans="1:4" x14ac:dyDescent="0.3">
      <c r="A188" s="2" t="s">
        <v>262</v>
      </c>
      <c r="B188" s="2" t="s">
        <v>147</v>
      </c>
      <c r="C188" s="2">
        <v>91.3</v>
      </c>
      <c r="D188" s="6">
        <f>Table5_110[[#This Row],[Value]]/C4</f>
        <v>9.5740441685367335E-3</v>
      </c>
    </row>
    <row r="189" spans="1:4" x14ac:dyDescent="0.3">
      <c r="A189" s="2" t="s">
        <v>262</v>
      </c>
      <c r="B189" s="2" t="s">
        <v>148</v>
      </c>
      <c r="C189" s="2">
        <v>76</v>
      </c>
      <c r="D189" s="6">
        <f>Table5_110[[#This Row],[Value]]/C5</f>
        <v>7.8767904151897678E-3</v>
      </c>
    </row>
    <row r="190" spans="1:4" x14ac:dyDescent="0.3">
      <c r="A190" s="2" t="s">
        <v>262</v>
      </c>
      <c r="B190" s="2" t="s">
        <v>149</v>
      </c>
      <c r="C190" s="2">
        <v>62.5</v>
      </c>
      <c r="D190" s="6">
        <f>Table5_110[[#This Row],[Value]]/C6</f>
        <v>6.0429679190919109E-3</v>
      </c>
    </row>
    <row r="191" spans="1:4" x14ac:dyDescent="0.3">
      <c r="A191" s="2" t="s">
        <v>262</v>
      </c>
      <c r="B191" s="2" t="s">
        <v>150</v>
      </c>
      <c r="C191" s="2">
        <v>144.5</v>
      </c>
      <c r="D191" s="6">
        <f>Table5_110[[#This Row],[Value]]/C7</f>
        <v>1.1649655750657057E-2</v>
      </c>
    </row>
    <row r="192" spans="1:4" x14ac:dyDescent="0.3">
      <c r="A192" s="2" t="s">
        <v>262</v>
      </c>
      <c r="B192" s="2" t="s">
        <v>151</v>
      </c>
      <c r="C192" s="2">
        <v>86.6</v>
      </c>
      <c r="D192" s="6">
        <f>Table5_110[[#This Row],[Value]]/C8</f>
        <v>6.2782739821366429E-3</v>
      </c>
    </row>
    <row r="193" spans="1:4" x14ac:dyDescent="0.3">
      <c r="A193" s="2" t="s">
        <v>262</v>
      </c>
      <c r="B193" s="2" t="s">
        <v>152</v>
      </c>
      <c r="C193" s="2">
        <v>204.1</v>
      </c>
      <c r="D193" s="6">
        <f>Table5_110[[#This Row],[Value]]/C9</f>
        <v>1.3118652783134078E-2</v>
      </c>
    </row>
    <row r="194" spans="1:4" x14ac:dyDescent="0.3">
      <c r="A194" s="2" t="s">
        <v>262</v>
      </c>
      <c r="B194" s="2" t="s">
        <v>153</v>
      </c>
      <c r="C194" s="2">
        <v>214</v>
      </c>
      <c r="D194" s="6">
        <f>Table5_110[[#This Row],[Value]]/C10</f>
        <v>1.1025471931415383E-2</v>
      </c>
    </row>
    <row r="195" spans="1:4" x14ac:dyDescent="0.3">
      <c r="A195" s="2" t="s">
        <v>262</v>
      </c>
      <c r="B195" s="2" t="s">
        <v>154</v>
      </c>
      <c r="C195" s="2">
        <v>395.3</v>
      </c>
      <c r="D195" s="6">
        <f>Table5_110[[#This Row],[Value]]/C11</f>
        <v>1.6723780513601558E-2</v>
      </c>
    </row>
    <row r="196" spans="1:4" x14ac:dyDescent="0.3">
      <c r="A196" s="2" t="s">
        <v>262</v>
      </c>
      <c r="B196" s="2" t="s">
        <v>155</v>
      </c>
      <c r="C196" s="2">
        <v>265.3</v>
      </c>
      <c r="D196" s="6">
        <f>Table5_110[[#This Row],[Value]]/C12</f>
        <v>1.3626651326197276E-2</v>
      </c>
    </row>
    <row r="197" spans="1:4" x14ac:dyDescent="0.3">
      <c r="A197" s="2" t="s">
        <v>262</v>
      </c>
      <c r="B197" s="2" t="s">
        <v>156</v>
      </c>
      <c r="C197" s="2">
        <v>556.29999999999995</v>
      </c>
      <c r="D197" s="6">
        <f>Table5_110[[#This Row],[Value]]/C13</f>
        <v>2.3653216548322632E-2</v>
      </c>
    </row>
    <row r="198" spans="1:4" x14ac:dyDescent="0.3">
      <c r="A198" s="2" t="s">
        <v>262</v>
      </c>
      <c r="B198" s="2" t="s">
        <v>157</v>
      </c>
      <c r="C198" s="2">
        <v>388.9</v>
      </c>
      <c r="D198" s="6">
        <f>Table5_110[[#This Row],[Value]]/C14</f>
        <v>1.549902558196071E-2</v>
      </c>
    </row>
    <row r="199" spans="1:4" x14ac:dyDescent="0.3">
      <c r="A199" s="2" t="s">
        <v>262</v>
      </c>
      <c r="B199" s="2" t="s">
        <v>158</v>
      </c>
      <c r="C199" s="2">
        <v>509.2</v>
      </c>
      <c r="D199" s="6">
        <f>Table5_110[[#This Row],[Value]]/C15</f>
        <v>1.91805693148559E-2</v>
      </c>
    </row>
    <row r="200" spans="1:4" x14ac:dyDescent="0.3">
      <c r="A200" s="2" t="s">
        <v>262</v>
      </c>
      <c r="B200" s="2" t="s">
        <v>159</v>
      </c>
      <c r="C200" s="2">
        <v>645.29999999999995</v>
      </c>
      <c r="D200" s="6">
        <f>Table5_110[[#This Row],[Value]]/C16</f>
        <v>2.3295019710337456E-2</v>
      </c>
    </row>
    <row r="201" spans="1:4" x14ac:dyDescent="0.3">
      <c r="A201" s="2" t="s">
        <v>262</v>
      </c>
      <c r="B201" s="2" t="s">
        <v>160</v>
      </c>
      <c r="C201" s="2">
        <v>412.8</v>
      </c>
      <c r="D201" s="6">
        <f>Table5_110[[#This Row],[Value]]/C17</f>
        <v>1.4531782994856848E-2</v>
      </c>
    </row>
    <row r="202" spans="1:4" x14ac:dyDescent="0.3">
      <c r="A202" s="2" t="s">
        <v>262</v>
      </c>
      <c r="B202" s="2" t="s">
        <v>107</v>
      </c>
      <c r="C202" s="2">
        <v>693.7</v>
      </c>
      <c r="D202" s="6">
        <f>Table5_110[[#This Row],[Value]]/C18</f>
        <v>2.5127502970239649E-2</v>
      </c>
    </row>
    <row r="203" spans="1:4" x14ac:dyDescent="0.3">
      <c r="A203" s="2" t="s">
        <v>262</v>
      </c>
      <c r="B203" s="2" t="s">
        <v>113</v>
      </c>
      <c r="C203" s="2">
        <v>526.5</v>
      </c>
      <c r="D203" s="6">
        <f>Table5_110[[#This Row],[Value]]/C19</f>
        <v>1.806447628458498E-2</v>
      </c>
    </row>
    <row r="204" spans="1:4" x14ac:dyDescent="0.3">
      <c r="A204" s="2" t="s">
        <v>262</v>
      </c>
      <c r="B204" s="2" t="s">
        <v>114</v>
      </c>
      <c r="C204" s="2">
        <v>762.9</v>
      </c>
      <c r="D204" s="6">
        <f>Table5_110[[#This Row],[Value]]/C20</f>
        <v>2.2160190085573364E-2</v>
      </c>
    </row>
    <row r="205" spans="1:4" x14ac:dyDescent="0.3">
      <c r="A205" s="2" t="s">
        <v>262</v>
      </c>
      <c r="B205" s="2" t="s">
        <v>115</v>
      </c>
      <c r="C205" s="2">
        <v>1120</v>
      </c>
      <c r="D205" s="6">
        <f>Table5_110[[#This Row],[Value]]/C21</f>
        <v>2.732547075442697E-2</v>
      </c>
    </row>
    <row r="206" spans="1:4" x14ac:dyDescent="0.3">
      <c r="A206" s="2" t="s">
        <v>262</v>
      </c>
      <c r="B206" s="2" t="s">
        <v>116</v>
      </c>
      <c r="C206" s="2"/>
      <c r="D206" s="6"/>
    </row>
    <row r="207" spans="1:4" x14ac:dyDescent="0.3">
      <c r="A207" s="2" t="s">
        <v>262</v>
      </c>
      <c r="B207" s="2" t="s">
        <v>117</v>
      </c>
      <c r="C207" s="2"/>
      <c r="D207" s="6"/>
    </row>
    <row r="208" spans="1:4" x14ac:dyDescent="0.3">
      <c r="A208" s="2" t="s">
        <v>262</v>
      </c>
      <c r="B208" s="2" t="s">
        <v>118</v>
      </c>
      <c r="C208" s="2"/>
      <c r="D208" s="6"/>
    </row>
    <row r="209" spans="1:4" x14ac:dyDescent="0.3">
      <c r="A209" s="2" t="s">
        <v>263</v>
      </c>
      <c r="B209" s="2" t="s">
        <v>132</v>
      </c>
      <c r="C209" s="2"/>
      <c r="D209" s="6"/>
    </row>
    <row r="210" spans="1:4" x14ac:dyDescent="0.3">
      <c r="A210" s="2" t="s">
        <v>263</v>
      </c>
      <c r="B210" s="2" t="s">
        <v>146</v>
      </c>
      <c r="C210" s="2">
        <v>60.8</v>
      </c>
      <c r="D210" s="6">
        <f>Table5_110[[#This Row],[Value]]/C3</f>
        <v>7.5954427343593841E-3</v>
      </c>
    </row>
    <row r="211" spans="1:4" x14ac:dyDescent="0.3">
      <c r="A211" s="2" t="s">
        <v>263</v>
      </c>
      <c r="B211" s="2" t="s">
        <v>147</v>
      </c>
      <c r="C211" s="2">
        <v>37.9</v>
      </c>
      <c r="D211" s="6">
        <f>Table5_110[[#This Row],[Value]]/C4</f>
        <v>3.9743293974539122E-3</v>
      </c>
    </row>
    <row r="212" spans="1:4" x14ac:dyDescent="0.3">
      <c r="A212" s="2" t="s">
        <v>263</v>
      </c>
      <c r="B212" s="2" t="s">
        <v>148</v>
      </c>
      <c r="C212" s="2">
        <v>38.5</v>
      </c>
      <c r="D212" s="6">
        <f>Table5_110[[#This Row],[Value]]/C5</f>
        <v>3.9902161971685007E-3</v>
      </c>
    </row>
    <row r="213" spans="1:4" x14ac:dyDescent="0.3">
      <c r="A213" s="2" t="s">
        <v>263</v>
      </c>
      <c r="B213" s="2" t="s">
        <v>149</v>
      </c>
      <c r="C213" s="2">
        <v>33.5</v>
      </c>
      <c r="D213" s="6">
        <f>Table5_110[[#This Row],[Value]]/C6</f>
        <v>3.239030804633264E-3</v>
      </c>
    </row>
    <row r="214" spans="1:4" x14ac:dyDescent="0.3">
      <c r="A214" s="2" t="s">
        <v>263</v>
      </c>
      <c r="B214" s="2" t="s">
        <v>150</v>
      </c>
      <c r="C214" s="2">
        <v>33.1</v>
      </c>
      <c r="D214" s="6">
        <f>Table5_110[[#This Row],[Value]]/C7</f>
        <v>2.668537061223174E-3</v>
      </c>
    </row>
    <row r="215" spans="1:4" x14ac:dyDescent="0.3">
      <c r="A215" s="2" t="s">
        <v>263</v>
      </c>
      <c r="B215" s="2" t="s">
        <v>151</v>
      </c>
      <c r="C215" s="2">
        <v>90.2</v>
      </c>
      <c r="D215" s="6">
        <f>Table5_110[[#This Row],[Value]]/C8</f>
        <v>6.5392645864748872E-3</v>
      </c>
    </row>
    <row r="216" spans="1:4" x14ac:dyDescent="0.3">
      <c r="A216" s="2" t="s">
        <v>263</v>
      </c>
      <c r="B216" s="2" t="s">
        <v>152</v>
      </c>
      <c r="C216" s="2">
        <v>202</v>
      </c>
      <c r="D216" s="6">
        <f>Table5_110[[#This Row],[Value]]/C9</f>
        <v>1.2983673994086644E-2</v>
      </c>
    </row>
    <row r="217" spans="1:4" x14ac:dyDescent="0.3">
      <c r="A217" s="2" t="s">
        <v>263</v>
      </c>
      <c r="B217" s="2" t="s">
        <v>153</v>
      </c>
      <c r="C217" s="2">
        <v>76.400000000000006</v>
      </c>
      <c r="D217" s="6">
        <f>Table5_110[[#This Row],[Value]]/C10</f>
        <v>3.9361965213090431E-3</v>
      </c>
    </row>
    <row r="218" spans="1:4" x14ac:dyDescent="0.3">
      <c r="A218" s="2" t="s">
        <v>263</v>
      </c>
      <c r="B218" s="2" t="s">
        <v>154</v>
      </c>
      <c r="C218" s="2">
        <v>52.3</v>
      </c>
      <c r="D218" s="6">
        <f>Table5_110[[#This Row],[Value]]/C11</f>
        <v>2.2126327368109317E-3</v>
      </c>
    </row>
    <row r="219" spans="1:4" x14ac:dyDescent="0.3">
      <c r="A219" s="2" t="s">
        <v>263</v>
      </c>
      <c r="B219" s="2" t="s">
        <v>155</v>
      </c>
      <c r="C219" s="2">
        <v>105.7</v>
      </c>
      <c r="D219" s="6">
        <f>Table5_110[[#This Row],[Value]]/C12</f>
        <v>5.4290879953978587E-3</v>
      </c>
    </row>
    <row r="220" spans="1:4" x14ac:dyDescent="0.3">
      <c r="A220" s="2" t="s">
        <v>263</v>
      </c>
      <c r="B220" s="2" t="s">
        <v>156</v>
      </c>
      <c r="C220" s="2">
        <v>62.5</v>
      </c>
      <c r="D220" s="6">
        <f>Table5_110[[#This Row],[Value]]/C13</f>
        <v>2.6574259109656021E-3</v>
      </c>
    </row>
    <row r="221" spans="1:4" x14ac:dyDescent="0.3">
      <c r="A221" s="2" t="s">
        <v>263</v>
      </c>
      <c r="B221" s="2" t="s">
        <v>157</v>
      </c>
      <c r="C221" s="2">
        <v>61.6</v>
      </c>
      <c r="D221" s="6">
        <f>Table5_110[[#This Row],[Value]]/C14</f>
        <v>2.4549755100251474E-3</v>
      </c>
    </row>
    <row r="222" spans="1:4" x14ac:dyDescent="0.3">
      <c r="A222" s="2" t="s">
        <v>263</v>
      </c>
      <c r="B222" s="2" t="s">
        <v>158</v>
      </c>
      <c r="C222" s="2">
        <v>75.2</v>
      </c>
      <c r="D222" s="6">
        <f>Table5_110[[#This Row],[Value]]/C15</f>
        <v>2.8326371022725132E-3</v>
      </c>
    </row>
    <row r="223" spans="1:4" x14ac:dyDescent="0.3">
      <c r="A223" s="2" t="s">
        <v>263</v>
      </c>
      <c r="B223" s="2" t="s">
        <v>159</v>
      </c>
      <c r="C223" s="2">
        <v>107</v>
      </c>
      <c r="D223" s="6">
        <f>Table5_110[[#This Row],[Value]]/C16</f>
        <v>3.8626485495213202E-3</v>
      </c>
    </row>
    <row r="224" spans="1:4" x14ac:dyDescent="0.3">
      <c r="A224" s="2" t="s">
        <v>263</v>
      </c>
      <c r="B224" s="2" t="s">
        <v>160</v>
      </c>
      <c r="C224" s="2">
        <v>97.5</v>
      </c>
      <c r="D224" s="6">
        <f>Table5_110[[#This Row],[Value]]/C17</f>
        <v>3.4322888614305778E-3</v>
      </c>
    </row>
    <row r="225" spans="1:4" x14ac:dyDescent="0.3">
      <c r="A225" s="2" t="s">
        <v>263</v>
      </c>
      <c r="B225" s="2" t="s">
        <v>107</v>
      </c>
      <c r="C225" s="2">
        <v>96.6</v>
      </c>
      <c r="D225" s="6">
        <f>Table5_110[[#This Row],[Value]]/C18</f>
        <v>3.499087194644875E-3</v>
      </c>
    </row>
    <row r="226" spans="1:4" x14ac:dyDescent="0.3">
      <c r="A226" s="2" t="s">
        <v>263</v>
      </c>
      <c r="B226" s="2" t="s">
        <v>113</v>
      </c>
      <c r="C226" s="2">
        <v>121.1</v>
      </c>
      <c r="D226" s="6">
        <f>Table5_110[[#This Row],[Value]]/C19</f>
        <v>4.1550010979358809E-3</v>
      </c>
    </row>
    <row r="227" spans="1:4" x14ac:dyDescent="0.3">
      <c r="A227" s="2" t="s">
        <v>263</v>
      </c>
      <c r="B227" s="2" t="s">
        <v>114</v>
      </c>
      <c r="C227" s="2">
        <v>164.9</v>
      </c>
      <c r="D227" s="6">
        <f>Table5_110[[#This Row],[Value]]/C20</f>
        <v>4.7899008324958029E-3</v>
      </c>
    </row>
    <row r="228" spans="1:4" x14ac:dyDescent="0.3">
      <c r="A228" s="2" t="s">
        <v>263</v>
      </c>
      <c r="B228" s="2" t="s">
        <v>115</v>
      </c>
      <c r="C228" s="2">
        <v>226.2</v>
      </c>
      <c r="D228" s="6">
        <f>Table5_110[[#This Row],[Value]]/C21</f>
        <v>5.5187691827244464E-3</v>
      </c>
    </row>
    <row r="229" spans="1:4" x14ac:dyDescent="0.3">
      <c r="A229" s="2" t="s">
        <v>263</v>
      </c>
      <c r="B229" s="2" t="s">
        <v>116</v>
      </c>
      <c r="C229" s="2"/>
      <c r="D229" s="6"/>
    </row>
    <row r="230" spans="1:4" x14ac:dyDescent="0.3">
      <c r="A230" s="2" t="s">
        <v>263</v>
      </c>
      <c r="B230" s="2" t="s">
        <v>117</v>
      </c>
      <c r="C230" s="2"/>
      <c r="D230" s="6"/>
    </row>
    <row r="231" spans="1:4" x14ac:dyDescent="0.3">
      <c r="A231" s="2" t="s">
        <v>263</v>
      </c>
      <c r="B231" s="2" t="s">
        <v>118</v>
      </c>
      <c r="C231" s="2"/>
      <c r="D231" s="6"/>
    </row>
    <row r="232" spans="1:4" x14ac:dyDescent="0.3">
      <c r="A232" s="2" t="s">
        <v>264</v>
      </c>
      <c r="B232" s="2" t="s">
        <v>132</v>
      </c>
      <c r="C232" s="2"/>
      <c r="D232" s="6"/>
    </row>
    <row r="233" spans="1:4" x14ac:dyDescent="0.3">
      <c r="A233" s="2" t="s">
        <v>264</v>
      </c>
      <c r="B233" s="2" t="s">
        <v>146</v>
      </c>
      <c r="C233" s="2">
        <v>434.6</v>
      </c>
      <c r="D233" s="6">
        <f>Table5_110[[#This Row],[Value]]/C3</f>
        <v>5.429242454527284E-2</v>
      </c>
    </row>
    <row r="234" spans="1:4" x14ac:dyDescent="0.3">
      <c r="A234" s="2" t="s">
        <v>264</v>
      </c>
      <c r="B234" s="2" t="s">
        <v>147</v>
      </c>
      <c r="C234" s="2">
        <v>484.9</v>
      </c>
      <c r="D234" s="6">
        <f>Table5_110[[#This Row],[Value]]/C4</f>
        <v>5.0848346301461789E-2</v>
      </c>
    </row>
    <row r="235" spans="1:4" x14ac:dyDescent="0.3">
      <c r="A235" s="2" t="s">
        <v>264</v>
      </c>
      <c r="B235" s="2" t="s">
        <v>148</v>
      </c>
      <c r="C235" s="2">
        <v>482.6</v>
      </c>
      <c r="D235" s="6">
        <f>Table5_110[[#This Row],[Value]]/C5</f>
        <v>5.0017619136455027E-2</v>
      </c>
    </row>
    <row r="236" spans="1:4" x14ac:dyDescent="0.3">
      <c r="A236" s="2" t="s">
        <v>264</v>
      </c>
      <c r="B236" s="2" t="s">
        <v>149</v>
      </c>
      <c r="C236" s="2">
        <v>313</v>
      </c>
      <c r="D236" s="6">
        <f>Table5_110[[#This Row],[Value]]/C6</f>
        <v>3.026318333881229E-2</v>
      </c>
    </row>
    <row r="237" spans="1:4" x14ac:dyDescent="0.3">
      <c r="A237" s="2" t="s">
        <v>264</v>
      </c>
      <c r="B237" s="2" t="s">
        <v>150</v>
      </c>
      <c r="C237" s="2">
        <v>377.8</v>
      </c>
      <c r="D237" s="6">
        <f>Table5_110[[#This Row],[Value]]/C7</f>
        <v>3.045840790725423E-2</v>
      </c>
    </row>
    <row r="238" spans="1:4" x14ac:dyDescent="0.3">
      <c r="A238" s="2" t="s">
        <v>264</v>
      </c>
      <c r="B238" s="2" t="s">
        <v>151</v>
      </c>
      <c r="C238" s="2">
        <v>365.8</v>
      </c>
      <c r="D238" s="6">
        <f>Table5_110[[#This Row],[Value]]/C8</f>
        <v>2.651954529636933E-2</v>
      </c>
    </row>
    <row r="239" spans="1:4" x14ac:dyDescent="0.3">
      <c r="A239" s="2" t="s">
        <v>264</v>
      </c>
      <c r="B239" s="2" t="s">
        <v>152</v>
      </c>
      <c r="C239" s="2">
        <v>427.8</v>
      </c>
      <c r="D239" s="6">
        <f>Table5_110[[#This Row],[Value]]/C9</f>
        <v>2.7497107597377557E-2</v>
      </c>
    </row>
    <row r="240" spans="1:4" x14ac:dyDescent="0.3">
      <c r="A240" s="2" t="s">
        <v>264</v>
      </c>
      <c r="B240" s="2" t="s">
        <v>153</v>
      </c>
      <c r="C240" s="2">
        <v>604.4</v>
      </c>
      <c r="D240" s="6">
        <f>Table5_110[[#This Row],[Value]]/C10</f>
        <v>3.1139230071717091E-2</v>
      </c>
    </row>
    <row r="241" spans="1:4" x14ac:dyDescent="0.3">
      <c r="A241" s="2" t="s">
        <v>264</v>
      </c>
      <c r="B241" s="2" t="s">
        <v>154</v>
      </c>
      <c r="C241" s="2">
        <v>1761.6</v>
      </c>
      <c r="D241" s="6">
        <f>Table5_110[[#This Row],[Value]]/C11</f>
        <v>7.4527224267038963E-2</v>
      </c>
    </row>
    <row r="242" spans="1:4" x14ac:dyDescent="0.3">
      <c r="A242" s="2" t="s">
        <v>264</v>
      </c>
      <c r="B242" s="2" t="s">
        <v>155</v>
      </c>
      <c r="C242" s="2">
        <v>972.1</v>
      </c>
      <c r="D242" s="6">
        <f>Table5_110[[#This Row],[Value]]/C12</f>
        <v>4.9930146076880406E-2</v>
      </c>
    </row>
    <row r="243" spans="1:4" x14ac:dyDescent="0.3">
      <c r="A243" s="2" t="s">
        <v>264</v>
      </c>
      <c r="B243" s="2" t="s">
        <v>156</v>
      </c>
      <c r="C243" s="2">
        <v>1175.9000000000001</v>
      </c>
      <c r="D243" s="6">
        <f>Table5_110[[#This Row],[Value]]/C13</f>
        <v>4.9997874059271231E-2</v>
      </c>
    </row>
    <row r="244" spans="1:4" x14ac:dyDescent="0.3">
      <c r="A244" s="2" t="s">
        <v>264</v>
      </c>
      <c r="B244" s="2" t="s">
        <v>157</v>
      </c>
      <c r="C244" s="2">
        <v>942.7</v>
      </c>
      <c r="D244" s="6">
        <f>Table5_110[[#This Row],[Value]]/C14</f>
        <v>3.7569893073063416E-2</v>
      </c>
    </row>
    <row r="245" spans="1:4" x14ac:dyDescent="0.3">
      <c r="A245" s="2" t="s">
        <v>264</v>
      </c>
      <c r="B245" s="2" t="s">
        <v>158</v>
      </c>
      <c r="C245" s="2">
        <v>1114.7</v>
      </c>
      <c r="D245" s="6">
        <f>Table5_110[[#This Row],[Value]]/C15</f>
        <v>4.1988571514669823E-2</v>
      </c>
    </row>
    <row r="246" spans="1:4" x14ac:dyDescent="0.3">
      <c r="A246" s="2" t="s">
        <v>264</v>
      </c>
      <c r="B246" s="2" t="s">
        <v>159</v>
      </c>
      <c r="C246" s="2">
        <v>978.4</v>
      </c>
      <c r="D246" s="6">
        <f>Table5_110[[#This Row],[Value]]/C16</f>
        <v>3.5319769540669718E-2</v>
      </c>
    </row>
    <row r="247" spans="1:4" x14ac:dyDescent="0.3">
      <c r="A247" s="2" t="s">
        <v>264</v>
      </c>
      <c r="B247" s="2" t="s">
        <v>160</v>
      </c>
      <c r="C247" s="2">
        <v>1275.8</v>
      </c>
      <c r="D247" s="6">
        <f>Table5_110[[#This Row],[Value]]/C17</f>
        <v>4.4911939788852627E-2</v>
      </c>
    </row>
    <row r="248" spans="1:4" x14ac:dyDescent="0.3">
      <c r="A248" s="2" t="s">
        <v>264</v>
      </c>
      <c r="B248" s="2" t="s">
        <v>107</v>
      </c>
      <c r="C248" s="2">
        <v>1028.4000000000001</v>
      </c>
      <c r="D248" s="6">
        <f>Table5_110[[#This Row],[Value]]/C18</f>
        <v>3.7251151873424329E-2</v>
      </c>
    </row>
    <row r="249" spans="1:4" x14ac:dyDescent="0.3">
      <c r="A249" s="2" t="s">
        <v>264</v>
      </c>
      <c r="B249" s="2" t="s">
        <v>113</v>
      </c>
      <c r="C249" s="2">
        <v>1130.5999999999999</v>
      </c>
      <c r="D249" s="6">
        <f>Table5_110[[#This Row],[Value]]/C19</f>
        <v>3.879144707949056E-2</v>
      </c>
    </row>
    <row r="250" spans="1:4" x14ac:dyDescent="0.3">
      <c r="A250" s="2" t="s">
        <v>264</v>
      </c>
      <c r="B250" s="2" t="s">
        <v>114</v>
      </c>
      <c r="C250" s="2">
        <v>1404.7</v>
      </c>
      <c r="D250" s="6">
        <f>Table5_110[[#This Row],[Value]]/C20</f>
        <v>4.0802751360866307E-2</v>
      </c>
    </row>
    <row r="251" spans="1:4" x14ac:dyDescent="0.3">
      <c r="A251" s="2" t="s">
        <v>264</v>
      </c>
      <c r="B251" s="2" t="s">
        <v>115</v>
      </c>
      <c r="C251" s="2">
        <v>1877.6</v>
      </c>
      <c r="D251" s="6">
        <f>Table5_110[[#This Row],[Value]]/C21</f>
        <v>4.5809199900457211E-2</v>
      </c>
    </row>
    <row r="252" spans="1:4" x14ac:dyDescent="0.3">
      <c r="A252" s="2" t="s">
        <v>264</v>
      </c>
      <c r="B252" s="2" t="s">
        <v>116</v>
      </c>
      <c r="C252" s="2">
        <v>1750.6</v>
      </c>
      <c r="D252" s="6">
        <f>Table5_110[[#This Row],[Value]]/C22</f>
        <v>3.9917547211973894E-2</v>
      </c>
    </row>
    <row r="253" spans="1:4" x14ac:dyDescent="0.3">
      <c r="A253" s="2" t="s">
        <v>264</v>
      </c>
      <c r="B253" s="2" t="s">
        <v>117</v>
      </c>
      <c r="C253" s="2">
        <v>1511.8</v>
      </c>
      <c r="D253" s="6">
        <f>Table5_110[[#This Row],[Value]]/C23</f>
        <v>3.9058644806088991E-2</v>
      </c>
    </row>
    <row r="254" spans="1:4" x14ac:dyDescent="0.3">
      <c r="A254" s="2" t="s">
        <v>264</v>
      </c>
      <c r="B254" s="2" t="s">
        <v>118</v>
      </c>
      <c r="C254" s="2">
        <v>2199.1999999999998</v>
      </c>
      <c r="D254" s="6">
        <f>Table5_110[[#This Row],[Value]]/C24</f>
        <v>4.7138306947713177E-2</v>
      </c>
    </row>
    <row r="255" spans="1:4" x14ac:dyDescent="0.3">
      <c r="A255" s="2" t="s">
        <v>265</v>
      </c>
      <c r="B255" s="2" t="s">
        <v>132</v>
      </c>
      <c r="C255" s="2"/>
      <c r="D255" s="6"/>
    </row>
    <row r="256" spans="1:4" x14ac:dyDescent="0.3">
      <c r="A256" s="2" t="s">
        <v>265</v>
      </c>
      <c r="B256" s="2" t="s">
        <v>146</v>
      </c>
      <c r="C256" s="2">
        <v>0.5</v>
      </c>
      <c r="D256" s="6">
        <f>Table5_110[[#This Row],[Value]]/C3</f>
        <v>6.2462522486508092E-5</v>
      </c>
    </row>
    <row r="257" spans="1:4" x14ac:dyDescent="0.3">
      <c r="A257" s="2" t="s">
        <v>265</v>
      </c>
      <c r="B257" s="2" t="s">
        <v>147</v>
      </c>
      <c r="C257" s="2">
        <v>22.6</v>
      </c>
      <c r="D257" s="6">
        <f>Table5_110[[#This Row],[Value]]/C4</f>
        <v>2.3699167383234411E-3</v>
      </c>
    </row>
    <row r="258" spans="1:4" x14ac:dyDescent="0.3">
      <c r="A258" s="2" t="s">
        <v>265</v>
      </c>
      <c r="B258" s="2" t="s">
        <v>148</v>
      </c>
      <c r="C258" s="2">
        <v>21.7</v>
      </c>
      <c r="D258" s="6">
        <f>Table5_110[[#This Row],[Value]]/C5</f>
        <v>2.2490309474949731E-3</v>
      </c>
    </row>
    <row r="259" spans="1:4" x14ac:dyDescent="0.3">
      <c r="A259" s="2" t="s">
        <v>265</v>
      </c>
      <c r="B259" s="2" t="s">
        <v>149</v>
      </c>
      <c r="C259" s="2">
        <v>22.3</v>
      </c>
      <c r="D259" s="6">
        <f>Table5_110[[#This Row],[Value]]/C6</f>
        <v>2.1561309535319938E-3</v>
      </c>
    </row>
    <row r="260" spans="1:4" x14ac:dyDescent="0.3">
      <c r="A260" s="2" t="s">
        <v>265</v>
      </c>
      <c r="B260" s="2" t="s">
        <v>150</v>
      </c>
      <c r="C260" s="2">
        <v>31.8</v>
      </c>
      <c r="D260" s="6">
        <f>Table5_110[[#This Row],[Value]]/C7</f>
        <v>2.5637304696947711E-3</v>
      </c>
    </row>
    <row r="261" spans="1:4" x14ac:dyDescent="0.3">
      <c r="A261" s="2" t="s">
        <v>265</v>
      </c>
      <c r="B261" s="2" t="s">
        <v>151</v>
      </c>
      <c r="C261" s="2">
        <v>23.2</v>
      </c>
      <c r="D261" s="6">
        <f>Table5_110[[#This Row],[Value]]/C8</f>
        <v>1.6819394501797935E-3</v>
      </c>
    </row>
    <row r="262" spans="1:4" x14ac:dyDescent="0.3">
      <c r="A262" s="2" t="s">
        <v>265</v>
      </c>
      <c r="B262" s="2" t="s">
        <v>152</v>
      </c>
      <c r="C262" s="2">
        <v>56.5</v>
      </c>
      <c r="D262" s="6">
        <f>Table5_110[[#This Row],[Value]]/C9</f>
        <v>3.6315721815143335E-3</v>
      </c>
    </row>
    <row r="263" spans="1:4" x14ac:dyDescent="0.3">
      <c r="A263" s="2" t="s">
        <v>265</v>
      </c>
      <c r="B263" s="2" t="s">
        <v>153</v>
      </c>
      <c r="C263" s="2">
        <v>23.1</v>
      </c>
      <c r="D263" s="6">
        <f>Table5_110[[#This Row],[Value]]/C10</f>
        <v>1.1901327178303522E-3</v>
      </c>
    </row>
    <row r="264" spans="1:4" x14ac:dyDescent="0.3">
      <c r="A264" s="2" t="s">
        <v>265</v>
      </c>
      <c r="B264" s="2" t="s">
        <v>154</v>
      </c>
      <c r="C264" s="2">
        <v>72.400000000000006</v>
      </c>
      <c r="D264" s="6">
        <f>Table5_110[[#This Row],[Value]]/C11</f>
        <v>3.0629944578415198E-3</v>
      </c>
    </row>
    <row r="265" spans="1:4" x14ac:dyDescent="0.3">
      <c r="A265" s="2" t="s">
        <v>265</v>
      </c>
      <c r="B265" s="2" t="s">
        <v>155</v>
      </c>
      <c r="C265" s="2">
        <v>93.8</v>
      </c>
      <c r="D265" s="6">
        <f>Table5_110[[#This Row],[Value]]/C12</f>
        <v>4.8178661681014109E-3</v>
      </c>
    </row>
    <row r="266" spans="1:4" x14ac:dyDescent="0.3">
      <c r="A266" s="2" t="s">
        <v>265</v>
      </c>
      <c r="B266" s="2" t="s">
        <v>156</v>
      </c>
      <c r="C266" s="2">
        <v>67.5</v>
      </c>
      <c r="D266" s="6">
        <f>Table5_110[[#This Row],[Value]]/C13</f>
        <v>2.8700199838428506E-3</v>
      </c>
    </row>
    <row r="267" spans="1:4" x14ac:dyDescent="0.3">
      <c r="A267" s="2" t="s">
        <v>265</v>
      </c>
      <c r="B267" s="2" t="s">
        <v>157</v>
      </c>
      <c r="C267" s="2">
        <v>57.9</v>
      </c>
      <c r="D267" s="6">
        <f>Table5_110[[#This Row],[Value]]/C14</f>
        <v>2.3075175654294808E-3</v>
      </c>
    </row>
    <row r="268" spans="1:4" x14ac:dyDescent="0.3">
      <c r="A268" s="2" t="s">
        <v>265</v>
      </c>
      <c r="B268" s="2" t="s">
        <v>158</v>
      </c>
      <c r="C268" s="2">
        <v>131.5</v>
      </c>
      <c r="D268" s="6">
        <f>Table5_110[[#This Row],[Value]]/C15</f>
        <v>4.9533481243196203E-3</v>
      </c>
    </row>
    <row r="269" spans="1:4" x14ac:dyDescent="0.3">
      <c r="A269" s="2" t="s">
        <v>265</v>
      </c>
      <c r="B269" s="2" t="s">
        <v>159</v>
      </c>
      <c r="C269" s="2">
        <v>67.2</v>
      </c>
      <c r="D269" s="6">
        <f>Table5_110[[#This Row],[Value]]/C16</f>
        <v>2.4258876871760069E-3</v>
      </c>
    </row>
    <row r="270" spans="1:4" x14ac:dyDescent="0.3">
      <c r="A270" s="2" t="s">
        <v>265</v>
      </c>
      <c r="B270" s="2" t="s">
        <v>160</v>
      </c>
      <c r="C270" s="2">
        <v>104.6</v>
      </c>
      <c r="D270" s="6">
        <f>Table5_110[[#This Row],[Value]]/C17</f>
        <v>3.6822298964680864E-3</v>
      </c>
    </row>
    <row r="271" spans="1:4" x14ac:dyDescent="0.3">
      <c r="A271" s="2" t="s">
        <v>265</v>
      </c>
      <c r="B271" s="2" t="s">
        <v>107</v>
      </c>
      <c r="C271" s="2">
        <v>55.5</v>
      </c>
      <c r="D271" s="6">
        <f>Table5_110[[#This Row],[Value]]/C18</f>
        <v>2.0103451273580804E-3</v>
      </c>
    </row>
    <row r="272" spans="1:4" x14ac:dyDescent="0.3">
      <c r="A272" s="2" t="s">
        <v>265</v>
      </c>
      <c r="B272" s="2" t="s">
        <v>113</v>
      </c>
      <c r="C272" s="2">
        <v>61.9</v>
      </c>
      <c r="D272" s="6">
        <f>Table5_110[[#This Row],[Value]]/C19</f>
        <v>2.1238197189284145E-3</v>
      </c>
    </row>
    <row r="273" spans="1:4" x14ac:dyDescent="0.3">
      <c r="A273" s="2" t="s">
        <v>265</v>
      </c>
      <c r="B273" s="2" t="s">
        <v>114</v>
      </c>
      <c r="C273" s="2">
        <v>75</v>
      </c>
      <c r="D273" s="6">
        <f>Table5_110[[#This Row],[Value]]/C20</f>
        <v>2.1785479832455139E-3</v>
      </c>
    </row>
    <row r="274" spans="1:4" x14ac:dyDescent="0.3">
      <c r="A274" s="2" t="s">
        <v>265</v>
      </c>
      <c r="B274" s="2" t="s">
        <v>115</v>
      </c>
      <c r="C274" s="2">
        <v>287.2</v>
      </c>
      <c r="D274" s="6">
        <f>Table5_110[[#This Row],[Value]]/C21</f>
        <v>7.0070314291709153E-3</v>
      </c>
    </row>
    <row r="275" spans="1:4" x14ac:dyDescent="0.3">
      <c r="A275" s="2" t="s">
        <v>265</v>
      </c>
      <c r="B275" s="2" t="s">
        <v>116</v>
      </c>
      <c r="C275" s="2"/>
      <c r="D275" s="6"/>
    </row>
    <row r="276" spans="1:4" x14ac:dyDescent="0.3">
      <c r="A276" s="2" t="s">
        <v>265</v>
      </c>
      <c r="B276" s="2" t="s">
        <v>117</v>
      </c>
      <c r="C276" s="2"/>
      <c r="D276" s="6"/>
    </row>
    <row r="277" spans="1:4" x14ac:dyDescent="0.3">
      <c r="A277" s="2" t="s">
        <v>265</v>
      </c>
      <c r="B277" s="2" t="s">
        <v>118</v>
      </c>
      <c r="C277" s="2"/>
      <c r="D277" s="6"/>
    </row>
    <row r="278" spans="1:4" x14ac:dyDescent="0.3">
      <c r="A278" s="2" t="s">
        <v>266</v>
      </c>
      <c r="B278" s="2" t="s">
        <v>132</v>
      </c>
      <c r="C278" s="2"/>
      <c r="D278" s="6"/>
    </row>
    <row r="279" spans="1:4" x14ac:dyDescent="0.3">
      <c r="A279" s="2" t="s">
        <v>266</v>
      </c>
      <c r="B279" s="2" t="s">
        <v>146</v>
      </c>
      <c r="C279" s="2">
        <v>149.1</v>
      </c>
      <c r="D279" s="6">
        <f>Table5_110[[#This Row],[Value]]/C3</f>
        <v>1.8626324205476712E-2</v>
      </c>
    </row>
    <row r="280" spans="1:4" x14ac:dyDescent="0.3">
      <c r="A280" s="2" t="s">
        <v>266</v>
      </c>
      <c r="B280" s="2" t="s">
        <v>147</v>
      </c>
      <c r="C280" s="2">
        <v>118.3</v>
      </c>
      <c r="D280" s="6">
        <f>Table5_110[[#This Row],[Value]]/C4</f>
        <v>1.24053606258258E-2</v>
      </c>
    </row>
    <row r="281" spans="1:4" x14ac:dyDescent="0.3">
      <c r="A281" s="2" t="s">
        <v>266</v>
      </c>
      <c r="B281" s="2" t="s">
        <v>148</v>
      </c>
      <c r="C281" s="2">
        <v>114.8</v>
      </c>
      <c r="D281" s="6">
        <f>Table5_110[[#This Row],[Value]]/C5</f>
        <v>1.1898099206102439E-2</v>
      </c>
    </row>
    <row r="282" spans="1:4" x14ac:dyDescent="0.3">
      <c r="A282" s="2" t="s">
        <v>266</v>
      </c>
      <c r="B282" s="2" t="s">
        <v>149</v>
      </c>
      <c r="C282" s="2">
        <v>59.7</v>
      </c>
      <c r="D282" s="6">
        <f>Table5_110[[#This Row],[Value]]/C6</f>
        <v>5.772242956316594E-3</v>
      </c>
    </row>
    <row r="283" spans="1:4" x14ac:dyDescent="0.3">
      <c r="A283" s="2" t="s">
        <v>266</v>
      </c>
      <c r="B283" s="2" t="s">
        <v>150</v>
      </c>
      <c r="C283" s="2">
        <v>107</v>
      </c>
      <c r="D283" s="6">
        <f>Table5_110[[#This Row],[Value]]/C7</f>
        <v>8.6263886873377514E-3</v>
      </c>
    </row>
    <row r="284" spans="1:4" x14ac:dyDescent="0.3">
      <c r="A284" s="2" t="s">
        <v>266</v>
      </c>
      <c r="B284" s="2" t="s">
        <v>151</v>
      </c>
      <c r="C284" s="2">
        <v>126.7</v>
      </c>
      <c r="D284" s="6">
        <f>Table5_110[[#This Row],[Value]]/C8</f>
        <v>9.1854193249043033E-3</v>
      </c>
    </row>
    <row r="285" spans="1:4" x14ac:dyDescent="0.3">
      <c r="A285" s="2" t="s">
        <v>266</v>
      </c>
      <c r="B285" s="2" t="s">
        <v>152</v>
      </c>
      <c r="C285" s="2">
        <v>174.4</v>
      </c>
      <c r="D285" s="6">
        <f>Table5_110[[#This Row],[Value]]/C9</f>
        <v>1.1209667052320351E-2</v>
      </c>
    </row>
    <row r="286" spans="1:4" x14ac:dyDescent="0.3">
      <c r="A286" s="2" t="s">
        <v>266</v>
      </c>
      <c r="B286" s="2" t="s">
        <v>153</v>
      </c>
      <c r="C286" s="2">
        <v>180.5</v>
      </c>
      <c r="D286" s="6">
        <f>Table5_110[[#This Row],[Value]]/C10</f>
        <v>9.2995218860769929E-3</v>
      </c>
    </row>
    <row r="287" spans="1:4" x14ac:dyDescent="0.3">
      <c r="A287" s="2" t="s">
        <v>266</v>
      </c>
      <c r="B287" s="2" t="s">
        <v>154</v>
      </c>
      <c r="C287" s="2">
        <v>728.3</v>
      </c>
      <c r="D287" s="6">
        <f>Table5_110[[#This Row],[Value]]/C11</f>
        <v>3.081186275754114E-2</v>
      </c>
    </row>
    <row r="288" spans="1:4" x14ac:dyDescent="0.3">
      <c r="A288" s="2" t="s">
        <v>266</v>
      </c>
      <c r="B288" s="2" t="s">
        <v>155</v>
      </c>
      <c r="C288" s="2">
        <v>321.2</v>
      </c>
      <c r="D288" s="6">
        <f>Table5_110[[#This Row],[Value]]/C12</f>
        <v>1.6497853019127647E-2</v>
      </c>
    </row>
    <row r="289" spans="1:4" x14ac:dyDescent="0.3">
      <c r="A289" s="2" t="s">
        <v>266</v>
      </c>
      <c r="B289" s="2" t="s">
        <v>156</v>
      </c>
      <c r="C289" s="2">
        <v>439.8</v>
      </c>
      <c r="D289" s="6">
        <f>Table5_110[[#This Row],[Value]]/C13</f>
        <v>1.869977465028275E-2</v>
      </c>
    </row>
    <row r="290" spans="1:4" x14ac:dyDescent="0.3">
      <c r="A290" s="2" t="s">
        <v>266</v>
      </c>
      <c r="B290" s="2" t="s">
        <v>157</v>
      </c>
      <c r="C290" s="2">
        <v>188.4</v>
      </c>
      <c r="D290" s="6">
        <f>Table5_110[[#This Row],[Value]]/C14</f>
        <v>7.508399124817172E-3</v>
      </c>
    </row>
    <row r="291" spans="1:4" x14ac:dyDescent="0.3">
      <c r="A291" s="2" t="s">
        <v>266</v>
      </c>
      <c r="B291" s="2" t="s">
        <v>158</v>
      </c>
      <c r="C291" s="2">
        <v>284</v>
      </c>
      <c r="D291" s="6">
        <f>Table5_110[[#This Row],[Value]]/C15</f>
        <v>1.0697725226667469E-2</v>
      </c>
    </row>
    <row r="292" spans="1:4" x14ac:dyDescent="0.3">
      <c r="A292" s="2" t="s">
        <v>266</v>
      </c>
      <c r="B292" s="2" t="s">
        <v>159</v>
      </c>
      <c r="C292" s="2">
        <v>139.30000000000001</v>
      </c>
      <c r="D292" s="6">
        <f>Table5_110[[#This Row],[Value]]/C16</f>
        <v>5.0286630182085979E-3</v>
      </c>
    </row>
    <row r="293" spans="1:4" x14ac:dyDescent="0.3">
      <c r="A293" s="2" t="s">
        <v>266</v>
      </c>
      <c r="B293" s="2" t="s">
        <v>160</v>
      </c>
      <c r="C293" s="2">
        <v>253.4</v>
      </c>
      <c r="D293" s="6">
        <f>Table5_110[[#This Row],[Value]]/C17</f>
        <v>8.9204307434513682E-3</v>
      </c>
    </row>
    <row r="294" spans="1:4" x14ac:dyDescent="0.3">
      <c r="A294" s="2" t="s">
        <v>266</v>
      </c>
      <c r="B294" s="2" t="s">
        <v>107</v>
      </c>
      <c r="C294" s="2">
        <v>201.5</v>
      </c>
      <c r="D294" s="6">
        <f>Table5_110[[#This Row],[Value]]/C18</f>
        <v>7.2988205975252829E-3</v>
      </c>
    </row>
    <row r="295" spans="1:4" x14ac:dyDescent="0.3">
      <c r="A295" s="2" t="s">
        <v>266</v>
      </c>
      <c r="B295" s="2" t="s">
        <v>113</v>
      </c>
      <c r="C295" s="2">
        <v>281.2</v>
      </c>
      <c r="D295" s="6">
        <f>Table5_110[[#This Row],[Value]]/C19</f>
        <v>9.6481115502854639E-3</v>
      </c>
    </row>
    <row r="296" spans="1:4" x14ac:dyDescent="0.3">
      <c r="A296" s="2" t="s">
        <v>266</v>
      </c>
      <c r="B296" s="2" t="s">
        <v>114</v>
      </c>
      <c r="C296" s="2">
        <v>250.6</v>
      </c>
      <c r="D296" s="6">
        <f>Table5_110[[#This Row],[Value]]/C20</f>
        <v>7.2792549946843433E-3</v>
      </c>
    </row>
    <row r="297" spans="1:4" x14ac:dyDescent="0.3">
      <c r="A297" s="2" t="s">
        <v>266</v>
      </c>
      <c r="B297" s="2" t="s">
        <v>115</v>
      </c>
      <c r="C297" s="2">
        <v>236.9</v>
      </c>
      <c r="D297" s="6">
        <f>Table5_110[[#This Row],[Value]]/C21</f>
        <v>5.7798250193962048E-3</v>
      </c>
    </row>
    <row r="298" spans="1:4" x14ac:dyDescent="0.3">
      <c r="A298" s="2" t="s">
        <v>266</v>
      </c>
      <c r="B298" s="2" t="s">
        <v>116</v>
      </c>
      <c r="C298" s="2"/>
      <c r="D298" s="6"/>
    </row>
    <row r="299" spans="1:4" x14ac:dyDescent="0.3">
      <c r="A299" s="2" t="s">
        <v>266</v>
      </c>
      <c r="B299" s="2" t="s">
        <v>117</v>
      </c>
      <c r="C299" s="2"/>
      <c r="D299" s="6"/>
    </row>
    <row r="300" spans="1:4" x14ac:dyDescent="0.3">
      <c r="A300" s="2" t="s">
        <v>266</v>
      </c>
      <c r="B300" s="2" t="s">
        <v>118</v>
      </c>
      <c r="C300" s="2"/>
      <c r="D300" s="6"/>
    </row>
    <row r="301" spans="1:4" x14ac:dyDescent="0.3">
      <c r="A301" s="2" t="s">
        <v>267</v>
      </c>
      <c r="B301" s="2" t="s">
        <v>132</v>
      </c>
      <c r="C301" s="2"/>
      <c r="D301" s="6"/>
    </row>
    <row r="302" spans="1:4" x14ac:dyDescent="0.3">
      <c r="A302" s="2" t="s">
        <v>267</v>
      </c>
      <c r="B302" s="2" t="s">
        <v>146</v>
      </c>
      <c r="C302" s="2">
        <v>20.100000000000001</v>
      </c>
      <c r="D302" s="6">
        <f>Table5_110[[#This Row],[Value]]/C3</f>
        <v>2.5109934039576256E-3</v>
      </c>
    </row>
    <row r="303" spans="1:4" x14ac:dyDescent="0.3">
      <c r="A303" s="2" t="s">
        <v>267</v>
      </c>
      <c r="B303" s="2" t="s">
        <v>147</v>
      </c>
      <c r="C303" s="2">
        <v>15.7</v>
      </c>
      <c r="D303" s="6">
        <f>Table5_110[[#This Row],[Value]]/C4</f>
        <v>1.646358088127346E-3</v>
      </c>
    </row>
    <row r="304" spans="1:4" x14ac:dyDescent="0.3">
      <c r="A304" s="2" t="s">
        <v>267</v>
      </c>
      <c r="B304" s="2" t="s">
        <v>148</v>
      </c>
      <c r="C304" s="2">
        <v>11.5</v>
      </c>
      <c r="D304" s="6">
        <f>Table5_110[[#This Row],[Value]]/C5</f>
        <v>1.1918827601931886E-3</v>
      </c>
    </row>
    <row r="305" spans="1:4" x14ac:dyDescent="0.3">
      <c r="A305" s="2" t="s">
        <v>267</v>
      </c>
      <c r="B305" s="2" t="s">
        <v>149</v>
      </c>
      <c r="C305" s="2">
        <v>17.7</v>
      </c>
      <c r="D305" s="6">
        <f>Table5_110[[#This Row],[Value]]/C6</f>
        <v>1.7113685146868292E-3</v>
      </c>
    </row>
    <row r="306" spans="1:4" x14ac:dyDescent="0.3">
      <c r="A306" s="2" t="s">
        <v>267</v>
      </c>
      <c r="B306" s="2" t="s">
        <v>150</v>
      </c>
      <c r="C306" s="2">
        <v>28</v>
      </c>
      <c r="D306" s="6">
        <f>Table5_110[[#This Row],[Value]]/C7</f>
        <v>2.2573727406117483E-3</v>
      </c>
    </row>
    <row r="307" spans="1:4" x14ac:dyDescent="0.3">
      <c r="A307" s="2" t="s">
        <v>267</v>
      </c>
      <c r="B307" s="2" t="s">
        <v>151</v>
      </c>
      <c r="C307" s="2">
        <v>28</v>
      </c>
      <c r="D307" s="6">
        <f>Table5_110[[#This Row],[Value]]/C8</f>
        <v>2.0299269226307852E-3</v>
      </c>
    </row>
    <row r="308" spans="1:4" x14ac:dyDescent="0.3">
      <c r="A308" s="2" t="s">
        <v>267</v>
      </c>
      <c r="B308" s="2" t="s">
        <v>152</v>
      </c>
      <c r="C308" s="2">
        <v>35.6</v>
      </c>
      <c r="D308" s="6">
        <f>Table5_110[[#This Row],[Value]]/C9</f>
        <v>2.2882118524231907E-3</v>
      </c>
    </row>
    <row r="309" spans="1:4" x14ac:dyDescent="0.3">
      <c r="A309" s="2" t="s">
        <v>267</v>
      </c>
      <c r="B309" s="2" t="s">
        <v>153</v>
      </c>
      <c r="C309" s="2">
        <v>48.9</v>
      </c>
      <c r="D309" s="6">
        <f>Table5_110[[#This Row],[Value]]/C10</f>
        <v>2.5193718572252906E-3</v>
      </c>
    </row>
    <row r="310" spans="1:4" x14ac:dyDescent="0.3">
      <c r="A310" s="2" t="s">
        <v>267</v>
      </c>
      <c r="B310" s="2" t="s">
        <v>154</v>
      </c>
      <c r="C310" s="2">
        <v>89.7</v>
      </c>
      <c r="D310" s="6">
        <f>Table5_110[[#This Row],[Value]]/C11</f>
        <v>3.7948978296738164E-3</v>
      </c>
    </row>
    <row r="311" spans="1:4" x14ac:dyDescent="0.3">
      <c r="A311" s="2" t="s">
        <v>267</v>
      </c>
      <c r="B311" s="2" t="s">
        <v>155</v>
      </c>
      <c r="C311" s="2">
        <v>73.400000000000006</v>
      </c>
      <c r="D311" s="6">
        <f>Table5_110[[#This Row],[Value]]/C12</f>
        <v>3.7700573213075013E-3</v>
      </c>
    </row>
    <row r="312" spans="1:4" x14ac:dyDescent="0.3">
      <c r="A312" s="2" t="s">
        <v>267</v>
      </c>
      <c r="B312" s="2" t="s">
        <v>156</v>
      </c>
      <c r="C312" s="2">
        <v>85.7</v>
      </c>
      <c r="D312" s="6">
        <f>Table5_110[[#This Row],[Value]]/C13</f>
        <v>3.6438624091160339E-3</v>
      </c>
    </row>
    <row r="313" spans="1:4" x14ac:dyDescent="0.3">
      <c r="A313" s="2" t="s">
        <v>267</v>
      </c>
      <c r="B313" s="2" t="s">
        <v>157</v>
      </c>
      <c r="C313" s="2">
        <v>150</v>
      </c>
      <c r="D313" s="6">
        <f>Table5_110[[#This Row],[Value]]/C14</f>
        <v>5.9780247809053918E-3</v>
      </c>
    </row>
    <row r="314" spans="1:4" x14ac:dyDescent="0.3">
      <c r="A314" s="2" t="s">
        <v>267</v>
      </c>
      <c r="B314" s="2" t="s">
        <v>158</v>
      </c>
      <c r="C314" s="2">
        <v>140.80000000000001</v>
      </c>
      <c r="D314" s="6">
        <f>Table5_110[[#This Row],[Value]]/C15</f>
        <v>5.3036609574464077E-3</v>
      </c>
    </row>
    <row r="315" spans="1:4" x14ac:dyDescent="0.3">
      <c r="A315" s="2" t="s">
        <v>267</v>
      </c>
      <c r="B315" s="2" t="s">
        <v>159</v>
      </c>
      <c r="C315" s="2">
        <v>118.4</v>
      </c>
      <c r="D315" s="6">
        <f>Table5_110[[#This Row],[Value]]/C16</f>
        <v>4.2741830678815363E-3</v>
      </c>
    </row>
    <row r="316" spans="1:4" x14ac:dyDescent="0.3">
      <c r="A316" s="2" t="s">
        <v>267</v>
      </c>
      <c r="B316" s="2" t="s">
        <v>160</v>
      </c>
      <c r="C316" s="2">
        <v>72.5</v>
      </c>
      <c r="D316" s="6">
        <f>Table5_110[[#This Row],[Value]]/C17</f>
        <v>2.5522147943970964E-3</v>
      </c>
    </row>
    <row r="317" spans="1:4" x14ac:dyDescent="0.3">
      <c r="A317" s="2" t="s">
        <v>267</v>
      </c>
      <c r="B317" s="2" t="s">
        <v>107</v>
      </c>
      <c r="C317" s="2">
        <v>52</v>
      </c>
      <c r="D317" s="6">
        <f>Table5_110[[#This Row],[Value]]/C18</f>
        <v>1.8835666058129763E-3</v>
      </c>
    </row>
    <row r="318" spans="1:4" x14ac:dyDescent="0.3">
      <c r="A318" s="2" t="s">
        <v>267</v>
      </c>
      <c r="B318" s="2" t="s">
        <v>113</v>
      </c>
      <c r="C318" s="2">
        <v>69</v>
      </c>
      <c r="D318" s="6">
        <f>Table5_110[[#This Row],[Value]]/C19</f>
        <v>2.3674242424242425E-3</v>
      </c>
    </row>
    <row r="319" spans="1:4" x14ac:dyDescent="0.3">
      <c r="A319" s="2" t="s">
        <v>267</v>
      </c>
      <c r="B319" s="2" t="s">
        <v>114</v>
      </c>
      <c r="C319" s="2">
        <v>42.1</v>
      </c>
      <c r="D319" s="6">
        <f>Table5_110[[#This Row],[Value]]/C20</f>
        <v>1.2228916012618151E-3</v>
      </c>
    </row>
    <row r="320" spans="1:4" x14ac:dyDescent="0.3">
      <c r="A320" s="2" t="s">
        <v>267</v>
      </c>
      <c r="B320" s="2" t="s">
        <v>115</v>
      </c>
      <c r="C320" s="2">
        <v>32.799999999999997</v>
      </c>
      <c r="D320" s="6">
        <f>Table5_110[[#This Row],[Value]]/C21</f>
        <v>8.0024592923678972E-4</v>
      </c>
    </row>
    <row r="321" spans="1:4" x14ac:dyDescent="0.3">
      <c r="A321" s="2" t="s">
        <v>267</v>
      </c>
      <c r="B321" s="2" t="s">
        <v>116</v>
      </c>
      <c r="C321" s="2"/>
      <c r="D321" s="6"/>
    </row>
    <row r="322" spans="1:4" x14ac:dyDescent="0.3">
      <c r="A322" s="2" t="s">
        <v>267</v>
      </c>
      <c r="B322" s="2" t="s">
        <v>117</v>
      </c>
      <c r="C322" s="2"/>
      <c r="D322" s="6"/>
    </row>
    <row r="323" spans="1:4" x14ac:dyDescent="0.3">
      <c r="A323" s="2" t="s">
        <v>267</v>
      </c>
      <c r="B323" s="2" t="s">
        <v>118</v>
      </c>
      <c r="C323" s="2"/>
      <c r="D323" s="6"/>
    </row>
    <row r="324" spans="1:4" x14ac:dyDescent="0.3">
      <c r="A324" s="2" t="s">
        <v>268</v>
      </c>
      <c r="B324" s="2" t="s">
        <v>132</v>
      </c>
      <c r="C324" s="2"/>
      <c r="D324" s="6"/>
    </row>
    <row r="325" spans="1:4" x14ac:dyDescent="0.3">
      <c r="A325" s="2" t="s">
        <v>268</v>
      </c>
      <c r="B325" s="2" t="s">
        <v>146</v>
      </c>
      <c r="C325" s="2">
        <v>264.89999999999998</v>
      </c>
      <c r="D325" s="6">
        <f>Table5_110[[#This Row],[Value]]/C3</f>
        <v>3.3092644413351982E-2</v>
      </c>
    </row>
    <row r="326" spans="1:4" x14ac:dyDescent="0.3">
      <c r="A326" s="2" t="s">
        <v>268</v>
      </c>
      <c r="B326" s="2" t="s">
        <v>147</v>
      </c>
      <c r="C326" s="2">
        <v>328.3</v>
      </c>
      <c r="D326" s="6">
        <f>Table5_110[[#This Row],[Value]]/C4</f>
        <v>3.4426710849185208E-2</v>
      </c>
    </row>
    <row r="327" spans="1:4" x14ac:dyDescent="0.3">
      <c r="A327" s="2" t="s">
        <v>268</v>
      </c>
      <c r="B327" s="2" t="s">
        <v>148</v>
      </c>
      <c r="C327" s="2">
        <v>334.6</v>
      </c>
      <c r="D327" s="6">
        <f>Table5_110[[#This Row],[Value]]/C5</f>
        <v>3.4678606222664429E-2</v>
      </c>
    </row>
    <row r="328" spans="1:4" x14ac:dyDescent="0.3">
      <c r="A328" s="2" t="s">
        <v>268</v>
      </c>
      <c r="B328" s="2" t="s">
        <v>149</v>
      </c>
      <c r="C328" s="2">
        <v>213.3</v>
      </c>
      <c r="D328" s="6">
        <f>Table5_110[[#This Row],[Value]]/C6</f>
        <v>2.0623440914276876E-2</v>
      </c>
    </row>
    <row r="329" spans="1:4" x14ac:dyDescent="0.3">
      <c r="A329" s="2" t="s">
        <v>268</v>
      </c>
      <c r="B329" s="2" t="s">
        <v>150</v>
      </c>
      <c r="C329" s="2">
        <v>211</v>
      </c>
      <c r="D329" s="6">
        <f>Table5_110[[#This Row],[Value]]/C7</f>
        <v>1.701091600960996E-2</v>
      </c>
    </row>
    <row r="330" spans="1:4" x14ac:dyDescent="0.3">
      <c r="A330" s="2" t="s">
        <v>268</v>
      </c>
      <c r="B330" s="2" t="s">
        <v>151</v>
      </c>
      <c r="C330" s="2">
        <v>187.9</v>
      </c>
      <c r="D330" s="6">
        <f>Table5_110[[#This Row],[Value]]/C8</f>
        <v>1.3622259598654448E-2</v>
      </c>
    </row>
    <row r="331" spans="1:4" x14ac:dyDescent="0.3">
      <c r="A331" s="2" t="s">
        <v>268</v>
      </c>
      <c r="B331" s="2" t="s">
        <v>152</v>
      </c>
      <c r="C331" s="2">
        <v>161.30000000000001</v>
      </c>
      <c r="D331" s="6">
        <f>Table5_110[[#This Row],[Value]]/C9</f>
        <v>1.0367656511119682E-2</v>
      </c>
    </row>
    <row r="332" spans="1:4" x14ac:dyDescent="0.3">
      <c r="A332" s="2" t="s">
        <v>268</v>
      </c>
      <c r="B332" s="2" t="s">
        <v>153</v>
      </c>
      <c r="C332" s="2">
        <v>351.9</v>
      </c>
      <c r="D332" s="6">
        <f>Table5_110[[#This Row],[Value]]/C10</f>
        <v>1.8130203610584452E-2</v>
      </c>
    </row>
    <row r="333" spans="1:4" x14ac:dyDescent="0.3">
      <c r="A333" s="2" t="s">
        <v>268</v>
      </c>
      <c r="B333" s="2" t="s">
        <v>154</v>
      </c>
      <c r="C333" s="2">
        <v>871.2</v>
      </c>
      <c r="D333" s="6">
        <f>Table5_110[[#This Row],[Value]]/C11</f>
        <v>3.6857469221982485E-2</v>
      </c>
    </row>
    <row r="334" spans="1:4" x14ac:dyDescent="0.3">
      <c r="A334" s="2" t="s">
        <v>268</v>
      </c>
      <c r="B334" s="2" t="s">
        <v>155</v>
      </c>
      <c r="C334" s="2">
        <v>438.7</v>
      </c>
      <c r="D334" s="6">
        <f>Table5_110[[#This Row],[Value]]/C12</f>
        <v>2.2533026523945513E-2</v>
      </c>
    </row>
    <row r="335" spans="1:4" x14ac:dyDescent="0.3">
      <c r="A335" s="2" t="s">
        <v>268</v>
      </c>
      <c r="B335" s="2" t="s">
        <v>156</v>
      </c>
      <c r="C335" s="2">
        <v>582.9</v>
      </c>
      <c r="D335" s="6">
        <f>Table5_110[[#This Row],[Value]]/C13</f>
        <v>2.4784217016029592E-2</v>
      </c>
    </row>
    <row r="336" spans="1:4" x14ac:dyDescent="0.3">
      <c r="A336" s="2" t="s">
        <v>268</v>
      </c>
      <c r="B336" s="2" t="s">
        <v>157</v>
      </c>
      <c r="C336" s="2">
        <v>546.4</v>
      </c>
      <c r="D336" s="6">
        <f>Table5_110[[#This Row],[Value]]/C14</f>
        <v>2.1775951601911373E-2</v>
      </c>
    </row>
    <row r="337" spans="1:4" x14ac:dyDescent="0.3">
      <c r="A337" s="2" t="s">
        <v>268</v>
      </c>
      <c r="B337" s="2" t="s">
        <v>158</v>
      </c>
      <c r="C337" s="2">
        <v>558.4</v>
      </c>
      <c r="D337" s="6">
        <f>Table5_110[[#This Row],[Value]]/C15</f>
        <v>2.1033837206236319E-2</v>
      </c>
    </row>
    <row r="338" spans="1:4" x14ac:dyDescent="0.3">
      <c r="A338" s="2" t="s">
        <v>268</v>
      </c>
      <c r="B338" s="2" t="s">
        <v>159</v>
      </c>
      <c r="C338" s="2">
        <v>653.5</v>
      </c>
      <c r="D338" s="6">
        <f>Table5_110[[#This Row],[Value]]/C16</f>
        <v>2.3591035767403578E-2</v>
      </c>
    </row>
    <row r="339" spans="1:4" x14ac:dyDescent="0.3">
      <c r="A339" s="2" t="s">
        <v>268</v>
      </c>
      <c r="B339" s="2" t="s">
        <v>160</v>
      </c>
      <c r="C339" s="2">
        <v>845.3</v>
      </c>
      <c r="D339" s="6">
        <f>Table5_110[[#This Row],[Value]]/C17</f>
        <v>2.9757064354536074E-2</v>
      </c>
    </row>
    <row r="340" spans="1:4" x14ac:dyDescent="0.3">
      <c r="A340" s="2" t="s">
        <v>268</v>
      </c>
      <c r="B340" s="2" t="s">
        <v>107</v>
      </c>
      <c r="C340" s="2">
        <v>719.8</v>
      </c>
      <c r="D340" s="6">
        <f>Table5_110[[#This Row],[Value]]/C18</f>
        <v>2.6072908516618851E-2</v>
      </c>
    </row>
    <row r="341" spans="1:4" x14ac:dyDescent="0.3">
      <c r="A341" s="2" t="s">
        <v>268</v>
      </c>
      <c r="B341" s="2" t="s">
        <v>113</v>
      </c>
      <c r="C341" s="2">
        <v>718.5</v>
      </c>
      <c r="D341" s="6">
        <f>Table5_110[[#This Row],[Value]]/C19</f>
        <v>2.465209156785244E-2</v>
      </c>
    </row>
    <row r="342" spans="1:4" x14ac:dyDescent="0.3">
      <c r="A342" s="2" t="s">
        <v>268</v>
      </c>
      <c r="B342" s="2" t="s">
        <v>114</v>
      </c>
      <c r="C342" s="2">
        <v>574.5</v>
      </c>
      <c r="D342" s="6">
        <f>Table5_110[[#This Row],[Value]]/C20</f>
        <v>1.6687677551660635E-2</v>
      </c>
    </row>
    <row r="343" spans="1:4" x14ac:dyDescent="0.3">
      <c r="A343" s="2" t="s">
        <v>268</v>
      </c>
      <c r="B343" s="2" t="s">
        <v>115</v>
      </c>
      <c r="C343" s="2">
        <v>1320.7</v>
      </c>
      <c r="D343" s="6">
        <f>Table5_110[[#This Row],[Value]]/C21</f>
        <v>3.2222097522653301E-2</v>
      </c>
    </row>
    <row r="344" spans="1:4" x14ac:dyDescent="0.3">
      <c r="A344" s="2" t="s">
        <v>268</v>
      </c>
      <c r="B344" s="2" t="s">
        <v>116</v>
      </c>
      <c r="C344" s="2"/>
      <c r="D344" s="6"/>
    </row>
    <row r="345" spans="1:4" x14ac:dyDescent="0.3">
      <c r="A345" s="2" t="s">
        <v>268</v>
      </c>
      <c r="B345" s="2" t="s">
        <v>117</v>
      </c>
      <c r="C345" s="2"/>
      <c r="D345" s="6"/>
    </row>
    <row r="346" spans="1:4" x14ac:dyDescent="0.3">
      <c r="A346" s="2" t="s">
        <v>268</v>
      </c>
      <c r="B346" s="2" t="s">
        <v>118</v>
      </c>
      <c r="C346" s="2"/>
      <c r="D346" s="6"/>
    </row>
    <row r="347" spans="1:4" x14ac:dyDescent="0.3">
      <c r="A347" s="2" t="s">
        <v>269</v>
      </c>
      <c r="B347" s="2" t="s">
        <v>132</v>
      </c>
      <c r="C347" s="2"/>
      <c r="D347" s="6"/>
    </row>
    <row r="348" spans="1:4" x14ac:dyDescent="0.3">
      <c r="A348" s="2" t="s">
        <v>269</v>
      </c>
      <c r="B348" s="2" t="s">
        <v>146</v>
      </c>
      <c r="C348" s="2">
        <v>6595</v>
      </c>
      <c r="D348" s="6">
        <f>Table5_110[[#This Row],[Value]]/C3</f>
        <v>0.8238806715970417</v>
      </c>
    </row>
    <row r="349" spans="1:4" x14ac:dyDescent="0.3">
      <c r="A349" s="2" t="s">
        <v>269</v>
      </c>
      <c r="B349" s="2" t="s">
        <v>147</v>
      </c>
      <c r="C349" s="2">
        <v>7789.5</v>
      </c>
      <c r="D349" s="6">
        <f>Table5_110[[#This Row],[Value]]/C4</f>
        <v>0.81683479792789571</v>
      </c>
    </row>
    <row r="350" spans="1:4" x14ac:dyDescent="0.3">
      <c r="A350" s="2" t="s">
        <v>269</v>
      </c>
      <c r="B350" s="2" t="s">
        <v>148</v>
      </c>
      <c r="C350" s="2">
        <v>7920.3</v>
      </c>
      <c r="D350" s="6">
        <f>Table5_110[[#This Row],[Value]]/C5</f>
        <v>0.82087556743983581</v>
      </c>
    </row>
    <row r="351" spans="1:4" x14ac:dyDescent="0.3">
      <c r="A351" s="2" t="s">
        <v>269</v>
      </c>
      <c r="B351" s="2" t="s">
        <v>149</v>
      </c>
      <c r="C351" s="2">
        <v>8717.7999999999993</v>
      </c>
      <c r="D351" s="6">
        <f>Table5_110[[#This Row],[Value]]/C6</f>
        <v>0.84290217160095127</v>
      </c>
    </row>
    <row r="352" spans="1:4" x14ac:dyDescent="0.3">
      <c r="A352" s="2" t="s">
        <v>269</v>
      </c>
      <c r="B352" s="2" t="s">
        <v>150</v>
      </c>
      <c r="C352" s="2">
        <v>10380.299999999999</v>
      </c>
      <c r="D352" s="6">
        <f>Table5_110[[#This Row],[Value]]/C7</f>
        <v>0.83686450926329026</v>
      </c>
    </row>
    <row r="353" spans="1:4" x14ac:dyDescent="0.3">
      <c r="A353" s="2" t="s">
        <v>269</v>
      </c>
      <c r="B353" s="2" t="s">
        <v>151</v>
      </c>
      <c r="C353" s="2">
        <v>11295.2</v>
      </c>
      <c r="D353" s="6">
        <f>Table5_110[[#This Row],[Value]]/C8</f>
        <v>0.81887252058925886</v>
      </c>
    </row>
    <row r="354" spans="1:4" x14ac:dyDescent="0.3">
      <c r="A354" s="2" t="s">
        <v>269</v>
      </c>
      <c r="B354" s="2" t="s">
        <v>152</v>
      </c>
      <c r="C354" s="2">
        <v>12540.4</v>
      </c>
      <c r="D354" s="6">
        <f>Table5_110[[#This Row],[Value]]/C9</f>
        <v>0.80604190770021855</v>
      </c>
    </row>
    <row r="355" spans="1:4" x14ac:dyDescent="0.3">
      <c r="A355" s="2" t="s">
        <v>269</v>
      </c>
      <c r="B355" s="2" t="s">
        <v>153</v>
      </c>
      <c r="C355" s="2">
        <v>16017</v>
      </c>
      <c r="D355" s="6">
        <f>Table5_110[[#This Row],[Value]]/C10</f>
        <v>0.82521020525925326</v>
      </c>
    </row>
    <row r="356" spans="1:4" x14ac:dyDescent="0.3">
      <c r="A356" s="2" t="s">
        <v>269</v>
      </c>
      <c r="B356" s="2" t="s">
        <v>154</v>
      </c>
      <c r="C356" s="2">
        <v>18035.400000000001</v>
      </c>
      <c r="D356" s="6">
        <f>Table5_110[[#This Row],[Value]]/C11</f>
        <v>0.7630156111181623</v>
      </c>
    </row>
    <row r="357" spans="1:4" x14ac:dyDescent="0.3">
      <c r="A357" s="2" t="s">
        <v>269</v>
      </c>
      <c r="B357" s="2" t="s">
        <v>155</v>
      </c>
      <c r="C357" s="2">
        <v>14821.5</v>
      </c>
      <c r="D357" s="6">
        <f>Table5_110[[#This Row],[Value]]/C12</f>
        <v>0.7612793540566638</v>
      </c>
    </row>
    <row r="358" spans="1:4" x14ac:dyDescent="0.3">
      <c r="A358" s="2" t="s">
        <v>269</v>
      </c>
      <c r="B358" s="2" t="s">
        <v>156</v>
      </c>
      <c r="C358" s="2">
        <v>17956</v>
      </c>
      <c r="D358" s="6">
        <f>Table5_110[[#This Row],[Value]]/C13</f>
        <v>0.76346783451677369</v>
      </c>
    </row>
    <row r="359" spans="1:4" x14ac:dyDescent="0.3">
      <c r="A359" s="2" t="s">
        <v>269</v>
      </c>
      <c r="B359" s="2" t="s">
        <v>157</v>
      </c>
      <c r="C359" s="2">
        <v>19760.3</v>
      </c>
      <c r="D359" s="6">
        <f>Table5_110[[#This Row],[Value]]/C14</f>
        <v>0.78751708718749869</v>
      </c>
    </row>
    <row r="360" spans="1:4" x14ac:dyDescent="0.3">
      <c r="A360" s="2" t="s">
        <v>269</v>
      </c>
      <c r="B360" s="2" t="s">
        <v>158</v>
      </c>
      <c r="C360" s="2">
        <v>20413.099999999999</v>
      </c>
      <c r="D360" s="6">
        <f>Table5_110[[#This Row],[Value]]/C15</f>
        <v>0.76892160149466804</v>
      </c>
    </row>
    <row r="361" spans="1:4" x14ac:dyDescent="0.3">
      <c r="A361" s="2" t="s">
        <v>269</v>
      </c>
      <c r="B361" s="2" t="s">
        <v>159</v>
      </c>
      <c r="C361" s="2">
        <v>21292.799999999999</v>
      </c>
      <c r="D361" s="6">
        <f>Table5_110[[#This Row],[Value]]/C16</f>
        <v>0.76865984145091182</v>
      </c>
    </row>
    <row r="362" spans="1:4" x14ac:dyDescent="0.3">
      <c r="A362" s="2" t="s">
        <v>269</v>
      </c>
      <c r="B362" s="2" t="s">
        <v>160</v>
      </c>
      <c r="C362" s="2">
        <v>21928.400000000001</v>
      </c>
      <c r="D362" s="6">
        <f>Table5_110[[#This Row],[Value]]/C17</f>
        <v>0.7719446468614799</v>
      </c>
    </row>
    <row r="363" spans="1:4" x14ac:dyDescent="0.3">
      <c r="A363" s="2" t="s">
        <v>269</v>
      </c>
      <c r="B363" s="2" t="s">
        <v>107</v>
      </c>
      <c r="C363" s="2">
        <v>21113.7</v>
      </c>
      <c r="D363" s="6">
        <f>Table5_110[[#This Row],[Value]]/C18</f>
        <v>0.76478962009910456</v>
      </c>
    </row>
    <row r="364" spans="1:4" x14ac:dyDescent="0.3">
      <c r="A364" s="2" t="s">
        <v>269</v>
      </c>
      <c r="B364" s="2" t="s">
        <v>113</v>
      </c>
      <c r="C364" s="2">
        <v>22282</v>
      </c>
      <c r="D364" s="6">
        <f>Table5_110[[#This Row],[Value]]/C19</f>
        <v>0.76450647782169523</v>
      </c>
    </row>
    <row r="365" spans="1:4" x14ac:dyDescent="0.3">
      <c r="A365" s="2" t="s">
        <v>269</v>
      </c>
      <c r="B365" s="2" t="s">
        <v>114</v>
      </c>
      <c r="C365" s="2">
        <v>26852.7</v>
      </c>
      <c r="D365" s="6">
        <f>Table5_110[[#This Row],[Value]]/C20</f>
        <v>0.77999860572929081</v>
      </c>
    </row>
    <row r="366" spans="1:4" x14ac:dyDescent="0.3">
      <c r="A366" s="2" t="s">
        <v>269</v>
      </c>
      <c r="B366" s="2" t="s">
        <v>115</v>
      </c>
      <c r="C366" s="2">
        <v>31093.599999999999</v>
      </c>
      <c r="D366" s="6">
        <f>Table5_110[[#This Row],[Value]]/C21</f>
        <v>0.75861362272308064</v>
      </c>
    </row>
    <row r="367" spans="1:4" x14ac:dyDescent="0.3">
      <c r="A367" s="2" t="s">
        <v>269</v>
      </c>
      <c r="B367" s="2" t="s">
        <v>116</v>
      </c>
      <c r="C367" s="2">
        <v>33320.199999999997</v>
      </c>
      <c r="D367" s="6">
        <f>Table5_110[[#This Row],[Value]]/C22</f>
        <v>0.75977416692129129</v>
      </c>
    </row>
    <row r="368" spans="1:4" x14ac:dyDescent="0.3">
      <c r="A368" s="2" t="s">
        <v>269</v>
      </c>
      <c r="B368" s="2" t="s">
        <v>117</v>
      </c>
      <c r="C368" s="2">
        <v>29713.1</v>
      </c>
      <c r="D368" s="6">
        <f>Table5_110[[#This Row],[Value]]/C23</f>
        <v>0.76766332781307234</v>
      </c>
    </row>
    <row r="369" spans="1:4" x14ac:dyDescent="0.3">
      <c r="A369" s="2" t="s">
        <v>269</v>
      </c>
      <c r="B369" s="2" t="s">
        <v>118</v>
      </c>
      <c r="C369" s="2">
        <v>35042.6</v>
      </c>
      <c r="D369" s="6">
        <f>Table5_110[[#This Row],[Value]]/C24</f>
        <v>0.75111351175242536</v>
      </c>
    </row>
    <row r="370" spans="1:4" x14ac:dyDescent="0.3">
      <c r="A370" s="2" t="s">
        <v>270</v>
      </c>
      <c r="B370" s="2" t="s">
        <v>132</v>
      </c>
      <c r="C370" s="2"/>
      <c r="D370" s="6"/>
    </row>
    <row r="371" spans="1:4" x14ac:dyDescent="0.3">
      <c r="A371" s="2" t="s">
        <v>270</v>
      </c>
      <c r="B371" s="2" t="s">
        <v>146</v>
      </c>
      <c r="C371" s="2">
        <v>1001.8</v>
      </c>
      <c r="D371" s="6">
        <f>Table5_110[[#This Row],[Value]]/C3</f>
        <v>0.12514991005396761</v>
      </c>
    </row>
    <row r="372" spans="1:4" x14ac:dyDescent="0.3">
      <c r="A372" s="2" t="s">
        <v>270</v>
      </c>
      <c r="B372" s="2" t="s">
        <v>147</v>
      </c>
      <c r="C372" s="2">
        <v>1114</v>
      </c>
      <c r="D372" s="6">
        <f>Table5_110[[#This Row],[Value]]/C4</f>
        <v>0.11681801975629705</v>
      </c>
    </row>
    <row r="373" spans="1:4" x14ac:dyDescent="0.3">
      <c r="A373" s="2" t="s">
        <v>270</v>
      </c>
      <c r="B373" s="2" t="s">
        <v>148</v>
      </c>
      <c r="C373" s="2">
        <v>1109.8</v>
      </c>
      <c r="D373" s="6">
        <f>Table5_110[[#This Row],[Value]]/C5</f>
        <v>0.11502186845760005</v>
      </c>
    </row>
    <row r="374" spans="1:4" x14ac:dyDescent="0.3">
      <c r="A374" s="2" t="s">
        <v>270</v>
      </c>
      <c r="B374" s="2" t="s">
        <v>149</v>
      </c>
      <c r="C374" s="2">
        <v>1105.5999999999999</v>
      </c>
      <c r="D374" s="6">
        <f>Table5_110[[#This Row],[Value]]/C6</f>
        <v>0.10689768530156826</v>
      </c>
    </row>
    <row r="375" spans="1:4" x14ac:dyDescent="0.3">
      <c r="A375" s="2" t="s">
        <v>270</v>
      </c>
      <c r="B375" s="2" t="s">
        <v>150</v>
      </c>
      <c r="C375" s="2">
        <v>1110.0999999999999</v>
      </c>
      <c r="D375" s="6">
        <f>Table5_110[[#This Row],[Value]]/C7</f>
        <v>8.9496767119753629E-2</v>
      </c>
    </row>
    <row r="376" spans="1:4" x14ac:dyDescent="0.3">
      <c r="A376" s="2" t="s">
        <v>270</v>
      </c>
      <c r="B376" s="2" t="s">
        <v>151</v>
      </c>
      <c r="C376" s="2">
        <v>1156.5</v>
      </c>
      <c r="D376" s="6">
        <f>Table5_110[[#This Row],[Value]]/C8</f>
        <v>8.3843231643660823E-2</v>
      </c>
    </row>
    <row r="377" spans="1:4" x14ac:dyDescent="0.3">
      <c r="A377" s="2" t="s">
        <v>270</v>
      </c>
      <c r="B377" s="2" t="s">
        <v>152</v>
      </c>
      <c r="C377" s="2">
        <v>1220.3</v>
      </c>
      <c r="D377" s="6">
        <f>Table5_110[[#This Row],[Value]]/C9</f>
        <v>7.8435531559326394E-2</v>
      </c>
    </row>
    <row r="378" spans="1:4" x14ac:dyDescent="0.3">
      <c r="A378" s="2" t="s">
        <v>270</v>
      </c>
      <c r="B378" s="2" t="s">
        <v>153</v>
      </c>
      <c r="C378" s="2">
        <v>1596.7</v>
      </c>
      <c r="D378" s="6">
        <f>Table5_110[[#This Row],[Value]]/C10</f>
        <v>8.2263416041546467E-2</v>
      </c>
    </row>
    <row r="379" spans="1:4" x14ac:dyDescent="0.3">
      <c r="A379" s="2" t="s">
        <v>270</v>
      </c>
      <c r="B379" s="2" t="s">
        <v>154</v>
      </c>
      <c r="C379" s="2">
        <v>1637.1</v>
      </c>
      <c r="D379" s="6">
        <f>Table5_110[[#This Row],[Value]]/C11</f>
        <v>6.9260058383043527E-2</v>
      </c>
    </row>
    <row r="380" spans="1:4" x14ac:dyDescent="0.3">
      <c r="A380" s="2" t="s">
        <v>270</v>
      </c>
      <c r="B380" s="2" t="s">
        <v>155</v>
      </c>
      <c r="C380" s="2">
        <v>1711.8</v>
      </c>
      <c r="D380" s="6">
        <f>Table5_110[[#This Row],[Value]]/C12</f>
        <v>8.7923489408912536E-2</v>
      </c>
    </row>
    <row r="381" spans="1:4" x14ac:dyDescent="0.3">
      <c r="A381" s="2" t="s">
        <v>270</v>
      </c>
      <c r="B381" s="2" t="s">
        <v>156</v>
      </c>
      <c r="C381" s="2">
        <v>1987.4</v>
      </c>
      <c r="D381" s="6">
        <f>Table5_110[[#This Row],[Value]]/C13</f>
        <v>8.4501892087248606E-2</v>
      </c>
    </row>
    <row r="382" spans="1:4" x14ac:dyDescent="0.3">
      <c r="A382" s="2" t="s">
        <v>270</v>
      </c>
      <c r="B382" s="2" t="s">
        <v>157</v>
      </c>
      <c r="C382" s="2">
        <v>2271.4</v>
      </c>
      <c r="D382" s="6">
        <f>Table5_110[[#This Row],[Value]]/C14</f>
        <v>9.0523236582323377E-2</v>
      </c>
    </row>
    <row r="383" spans="1:4" x14ac:dyDescent="0.3">
      <c r="A383" s="2" t="s">
        <v>270</v>
      </c>
      <c r="B383" s="2" t="s">
        <v>158</v>
      </c>
      <c r="C383" s="2">
        <v>2182.8000000000002</v>
      </c>
      <c r="D383" s="6">
        <f>Table5_110[[#This Row],[Value]]/C15</f>
        <v>8.2221812059048438E-2</v>
      </c>
    </row>
    <row r="384" spans="1:4" x14ac:dyDescent="0.3">
      <c r="A384" s="2" t="s">
        <v>270</v>
      </c>
      <c r="B384" s="2" t="s">
        <v>159</v>
      </c>
      <c r="C384" s="2">
        <v>2489.8000000000002</v>
      </c>
      <c r="D384" s="6">
        <f>Table5_110[[#This Row],[Value]]/C16</f>
        <v>8.9880582790637237E-2</v>
      </c>
    </row>
    <row r="385" spans="1:4" x14ac:dyDescent="0.3">
      <c r="A385" s="2" t="s">
        <v>270</v>
      </c>
      <c r="B385" s="2" t="s">
        <v>160</v>
      </c>
      <c r="C385" s="2">
        <v>2899.7</v>
      </c>
      <c r="D385" s="6">
        <f>Table5_110[[#This Row],[Value]]/C17</f>
        <v>0.10207803088707945</v>
      </c>
    </row>
    <row r="386" spans="1:4" x14ac:dyDescent="0.3">
      <c r="A386" s="2" t="s">
        <v>270</v>
      </c>
      <c r="B386" s="2" t="s">
        <v>107</v>
      </c>
      <c r="C386" s="2">
        <v>2897.1</v>
      </c>
      <c r="D386" s="6">
        <f>Table5_110[[#This Row],[Value]]/C18</f>
        <v>0.1049400156480918</v>
      </c>
    </row>
    <row r="387" spans="1:4" x14ac:dyDescent="0.3">
      <c r="A387" s="2" t="s">
        <v>270</v>
      </c>
      <c r="B387" s="2" t="s">
        <v>113</v>
      </c>
      <c r="C387" s="2">
        <v>3072.1</v>
      </c>
      <c r="D387" s="6">
        <f>Table5_110[[#This Row],[Value]]/C19</f>
        <v>0.10540527558190602</v>
      </c>
    </row>
    <row r="388" spans="1:4" x14ac:dyDescent="0.3">
      <c r="A388" s="2" t="s">
        <v>270</v>
      </c>
      <c r="B388" s="2" t="s">
        <v>114</v>
      </c>
      <c r="C388" s="2">
        <v>3990.9</v>
      </c>
      <c r="D388" s="6">
        <f>Table5_110[[#This Row],[Value]]/C20</f>
        <v>0.11592489528446027</v>
      </c>
    </row>
    <row r="389" spans="1:4" x14ac:dyDescent="0.3">
      <c r="A389" s="2" t="s">
        <v>270</v>
      </c>
      <c r="B389" s="2" t="s">
        <v>115</v>
      </c>
      <c r="C389" s="2">
        <v>4918.1000000000004</v>
      </c>
      <c r="D389" s="6">
        <f>Table5_110[[#This Row],[Value]]/C21</f>
        <v>0.11999053367620294</v>
      </c>
    </row>
    <row r="390" spans="1:4" x14ac:dyDescent="0.3">
      <c r="A390" s="2" t="s">
        <v>270</v>
      </c>
      <c r="B390" s="2" t="s">
        <v>116</v>
      </c>
      <c r="C390" s="2"/>
      <c r="D390" s="6"/>
    </row>
    <row r="391" spans="1:4" x14ac:dyDescent="0.3">
      <c r="A391" s="2" t="s">
        <v>270</v>
      </c>
      <c r="B391" s="2" t="s">
        <v>117</v>
      </c>
      <c r="C391" s="2"/>
      <c r="D391" s="6"/>
    </row>
    <row r="392" spans="1:4" x14ac:dyDescent="0.3">
      <c r="A392" s="2" t="s">
        <v>270</v>
      </c>
      <c r="B392" s="2" t="s">
        <v>118</v>
      </c>
      <c r="C392" s="2"/>
      <c r="D392" s="6"/>
    </row>
    <row r="393" spans="1:4" x14ac:dyDescent="0.3">
      <c r="A393" s="2" t="s">
        <v>271</v>
      </c>
      <c r="B393" s="2" t="s">
        <v>132</v>
      </c>
      <c r="C393" s="2"/>
      <c r="D393" s="6"/>
    </row>
    <row r="394" spans="1:4" x14ac:dyDescent="0.3">
      <c r="A394" s="2" t="s">
        <v>271</v>
      </c>
      <c r="B394" s="2" t="s">
        <v>146</v>
      </c>
      <c r="C394" s="2">
        <v>406.1</v>
      </c>
      <c r="D394" s="6">
        <f>Table5_110[[#This Row],[Value]]/C3</f>
        <v>5.0732060763541878E-2</v>
      </c>
    </row>
    <row r="395" spans="1:4" x14ac:dyDescent="0.3">
      <c r="A395" s="2" t="s">
        <v>271</v>
      </c>
      <c r="B395" s="2" t="s">
        <v>147</v>
      </c>
      <c r="C395" s="2">
        <v>464.2</v>
      </c>
      <c r="D395" s="6">
        <f>Table5_110[[#This Row],[Value]]/C4</f>
        <v>4.867767035087351E-2</v>
      </c>
    </row>
    <row r="396" spans="1:4" x14ac:dyDescent="0.3">
      <c r="A396" s="2" t="s">
        <v>271</v>
      </c>
      <c r="B396" s="2" t="s">
        <v>148</v>
      </c>
      <c r="C396" s="2">
        <v>415.1</v>
      </c>
      <c r="D396" s="6">
        <f>Table5_110[[#This Row],[Value]]/C5</f>
        <v>4.3021785544016748E-2</v>
      </c>
    </row>
    <row r="397" spans="1:4" x14ac:dyDescent="0.3">
      <c r="A397" s="2" t="s">
        <v>271</v>
      </c>
      <c r="B397" s="2" t="s">
        <v>149</v>
      </c>
      <c r="C397" s="2">
        <v>405.9</v>
      </c>
      <c r="D397" s="6">
        <f>Table5_110[[#This Row],[Value]]/C6</f>
        <v>3.9245450853750502E-2</v>
      </c>
    </row>
    <row r="398" spans="1:4" x14ac:dyDescent="0.3">
      <c r="A398" s="2" t="s">
        <v>271</v>
      </c>
      <c r="B398" s="2" t="s">
        <v>150</v>
      </c>
      <c r="C398" s="2">
        <v>369</v>
      </c>
      <c r="D398" s="6">
        <f>Table5_110[[#This Row],[Value]]/C7</f>
        <v>2.9748947903061967E-2</v>
      </c>
    </row>
    <row r="399" spans="1:4" x14ac:dyDescent="0.3">
      <c r="A399" s="2" t="s">
        <v>271</v>
      </c>
      <c r="B399" s="2" t="s">
        <v>151</v>
      </c>
      <c r="C399" s="2">
        <v>373.8</v>
      </c>
      <c r="D399" s="6">
        <f>Table5_110[[#This Row],[Value]]/C8</f>
        <v>2.7099524417120983E-2</v>
      </c>
    </row>
    <row r="400" spans="1:4" x14ac:dyDescent="0.3">
      <c r="A400" s="2" t="s">
        <v>271</v>
      </c>
      <c r="B400" s="2" t="s">
        <v>152</v>
      </c>
      <c r="C400" s="2">
        <v>367.6</v>
      </c>
      <c r="D400" s="6">
        <f>Table5_110[[#This Row],[Value]]/C9</f>
        <v>2.3627715644684407E-2</v>
      </c>
    </row>
    <row r="401" spans="1:4" x14ac:dyDescent="0.3">
      <c r="A401" s="2" t="s">
        <v>271</v>
      </c>
      <c r="B401" s="2" t="s">
        <v>153</v>
      </c>
      <c r="C401" s="2">
        <v>458.4</v>
      </c>
      <c r="D401" s="6">
        <f>Table5_110[[#This Row],[Value]]/C10</f>
        <v>2.3617179127854257E-2</v>
      </c>
    </row>
    <row r="402" spans="1:4" x14ac:dyDescent="0.3">
      <c r="A402" s="2" t="s">
        <v>271</v>
      </c>
      <c r="B402" s="2" t="s">
        <v>154</v>
      </c>
      <c r="C402" s="2">
        <v>526.1</v>
      </c>
      <c r="D402" s="6">
        <f>Table5_110[[#This Row],[Value]]/C11</f>
        <v>2.2257477683293142E-2</v>
      </c>
    </row>
    <row r="403" spans="1:4" x14ac:dyDescent="0.3">
      <c r="A403" s="2" t="s">
        <v>271</v>
      </c>
      <c r="B403" s="2" t="s">
        <v>155</v>
      </c>
      <c r="C403" s="2">
        <v>430.7</v>
      </c>
      <c r="D403" s="6">
        <f>Table5_110[[#This Row],[Value]]/C12</f>
        <v>2.2122121093830254E-2</v>
      </c>
    </row>
    <row r="404" spans="1:4" x14ac:dyDescent="0.3">
      <c r="A404" s="2" t="s">
        <v>271</v>
      </c>
      <c r="B404" s="2" t="s">
        <v>156</v>
      </c>
      <c r="C404" s="2">
        <v>458.5</v>
      </c>
      <c r="D404" s="6">
        <f>Table5_110[[#This Row],[Value]]/C13</f>
        <v>1.9494876482843659E-2</v>
      </c>
    </row>
    <row r="405" spans="1:4" x14ac:dyDescent="0.3">
      <c r="A405" s="2" t="s">
        <v>271</v>
      </c>
      <c r="B405" s="2" t="s">
        <v>157</v>
      </c>
      <c r="C405" s="2">
        <v>473.4</v>
      </c>
      <c r="D405" s="6">
        <f>Table5_110[[#This Row],[Value]]/C14</f>
        <v>1.8866646208537414E-2</v>
      </c>
    </row>
    <row r="406" spans="1:4" x14ac:dyDescent="0.3">
      <c r="A406" s="2" t="s">
        <v>271</v>
      </c>
      <c r="B406" s="2" t="s">
        <v>158</v>
      </c>
      <c r="C406" s="2">
        <v>557.20000000000005</v>
      </c>
      <c r="D406" s="6">
        <f>Table5_110[[#This Row],[Value]]/C15</f>
        <v>2.0988635550348994E-2</v>
      </c>
    </row>
    <row r="407" spans="1:4" x14ac:dyDescent="0.3">
      <c r="A407" s="2" t="s">
        <v>271</v>
      </c>
      <c r="B407" s="2" t="s">
        <v>159</v>
      </c>
      <c r="C407" s="2">
        <v>563.20000000000005</v>
      </c>
      <c r="D407" s="6">
        <f>Table5_110[[#This Row],[Value]]/C16</f>
        <v>2.033124918776082E-2</v>
      </c>
    </row>
    <row r="408" spans="1:4" x14ac:dyDescent="0.3">
      <c r="A408" s="2" t="s">
        <v>271</v>
      </c>
      <c r="B408" s="2" t="s">
        <v>160</v>
      </c>
      <c r="C408" s="2">
        <v>520.79999999999995</v>
      </c>
      <c r="D408" s="6">
        <f>Table5_110[[#This Row],[Value]]/C17</f>
        <v>1.8333702964441485E-2</v>
      </c>
    </row>
    <row r="409" spans="1:4" x14ac:dyDescent="0.3">
      <c r="A409" s="2" t="s">
        <v>271</v>
      </c>
      <c r="B409" s="2" t="s">
        <v>107</v>
      </c>
      <c r="C409" s="2">
        <v>494.6</v>
      </c>
      <c r="D409" s="6">
        <f>Table5_110[[#This Row],[Value]]/C18</f>
        <v>1.7915616216059579E-2</v>
      </c>
    </row>
    <row r="410" spans="1:4" x14ac:dyDescent="0.3">
      <c r="A410" s="2" t="s">
        <v>271</v>
      </c>
      <c r="B410" s="2" t="s">
        <v>113</v>
      </c>
      <c r="C410" s="2">
        <v>529.79999999999995</v>
      </c>
      <c r="D410" s="6">
        <f>Table5_110[[#This Row],[Value]]/C19</f>
        <v>1.817770092226614E-2</v>
      </c>
    </row>
    <row r="411" spans="1:4" x14ac:dyDescent="0.3">
      <c r="A411" s="2" t="s">
        <v>271</v>
      </c>
      <c r="B411" s="2" t="s">
        <v>114</v>
      </c>
      <c r="C411" s="2">
        <v>600.20000000000005</v>
      </c>
      <c r="D411" s="6">
        <f>Table5_110[[#This Row],[Value]]/C20</f>
        <v>1.7434193327252767E-2</v>
      </c>
    </row>
    <row r="412" spans="1:4" x14ac:dyDescent="0.3">
      <c r="A412" s="2" t="s">
        <v>271</v>
      </c>
      <c r="B412" s="2" t="s">
        <v>115</v>
      </c>
      <c r="C412" s="2">
        <v>664.6</v>
      </c>
      <c r="D412" s="6">
        <f>Table5_110[[#This Row],[Value]]/C21</f>
        <v>1.6214739163743004E-2</v>
      </c>
    </row>
    <row r="413" spans="1:4" x14ac:dyDescent="0.3">
      <c r="A413" s="2" t="s">
        <v>271</v>
      </c>
      <c r="B413" s="2" t="s">
        <v>116</v>
      </c>
      <c r="C413" s="2"/>
      <c r="D413" s="6"/>
    </row>
    <row r="414" spans="1:4" x14ac:dyDescent="0.3">
      <c r="A414" s="2" t="s">
        <v>271</v>
      </c>
      <c r="B414" s="2" t="s">
        <v>117</v>
      </c>
      <c r="C414" s="2"/>
      <c r="D414" s="6"/>
    </row>
    <row r="415" spans="1:4" x14ac:dyDescent="0.3">
      <c r="A415" s="2" t="s">
        <v>271</v>
      </c>
      <c r="B415" s="2" t="s">
        <v>118</v>
      </c>
      <c r="C415" s="2"/>
      <c r="D415" s="6"/>
    </row>
    <row r="416" spans="1:4" x14ac:dyDescent="0.3">
      <c r="A416" s="2" t="s">
        <v>272</v>
      </c>
      <c r="B416" s="2" t="s">
        <v>132</v>
      </c>
      <c r="C416" s="2"/>
      <c r="D416" s="6"/>
    </row>
    <row r="417" spans="1:4" x14ac:dyDescent="0.3">
      <c r="A417" s="2" t="s">
        <v>272</v>
      </c>
      <c r="B417" s="2" t="s">
        <v>146</v>
      </c>
      <c r="C417" s="2">
        <v>2145.6999999999998</v>
      </c>
      <c r="D417" s="6">
        <f>Table5_110[[#This Row],[Value]]/C3</f>
        <v>0.26805166899860083</v>
      </c>
    </row>
    <row r="418" spans="1:4" x14ac:dyDescent="0.3">
      <c r="A418" s="2" t="s">
        <v>272</v>
      </c>
      <c r="B418" s="2" t="s">
        <v>147</v>
      </c>
      <c r="C418" s="2">
        <v>2751.3</v>
      </c>
      <c r="D418" s="6">
        <f>Table5_110[[#This Row],[Value]]/C4</f>
        <v>0.28851114699775593</v>
      </c>
    </row>
    <row r="419" spans="1:4" x14ac:dyDescent="0.3">
      <c r="A419" s="2" t="s">
        <v>272</v>
      </c>
      <c r="B419" s="2" t="s">
        <v>148</v>
      </c>
      <c r="C419" s="2">
        <v>3025</v>
      </c>
      <c r="D419" s="6">
        <f>Table5_110[[#This Row],[Value]]/C5</f>
        <v>0.31351698692038221</v>
      </c>
    </row>
    <row r="420" spans="1:4" x14ac:dyDescent="0.3">
      <c r="A420" s="2" t="s">
        <v>272</v>
      </c>
      <c r="B420" s="2" t="s">
        <v>149</v>
      </c>
      <c r="C420" s="2">
        <v>3365.5</v>
      </c>
      <c r="D420" s="6">
        <f>Table5_110[[#This Row],[Value]]/C6</f>
        <v>0.32540173650726123</v>
      </c>
    </row>
    <row r="421" spans="1:4" x14ac:dyDescent="0.3">
      <c r="A421" s="2" t="s">
        <v>272</v>
      </c>
      <c r="B421" s="2" t="s">
        <v>150</v>
      </c>
      <c r="C421" s="2">
        <v>4041.9</v>
      </c>
      <c r="D421" s="6">
        <f>Table5_110[[#This Row],[Value]]/C7</f>
        <v>0.32585981715280804</v>
      </c>
    </row>
    <row r="422" spans="1:4" x14ac:dyDescent="0.3">
      <c r="A422" s="2" t="s">
        <v>272</v>
      </c>
      <c r="B422" s="2" t="s">
        <v>151</v>
      </c>
      <c r="C422" s="2">
        <v>4525.1000000000004</v>
      </c>
      <c r="D422" s="6">
        <f>Table5_110[[#This Row],[Value]]/C8</f>
        <v>0.3280579399141631</v>
      </c>
    </row>
    <row r="423" spans="1:4" x14ac:dyDescent="0.3">
      <c r="A423" s="2" t="s">
        <v>272</v>
      </c>
      <c r="B423" s="2" t="s">
        <v>152</v>
      </c>
      <c r="C423" s="2">
        <v>5020.7</v>
      </c>
      <c r="D423" s="6">
        <f>Table5_110[[#This Row],[Value]]/C9</f>
        <v>0.32270857436688521</v>
      </c>
    </row>
    <row r="424" spans="1:4" x14ac:dyDescent="0.3">
      <c r="A424" s="2" t="s">
        <v>272</v>
      </c>
      <c r="B424" s="2" t="s">
        <v>153</v>
      </c>
      <c r="C424" s="2">
        <v>6239.2</v>
      </c>
      <c r="D424" s="6">
        <f>Table5_110[[#This Row],[Value]]/C10</f>
        <v>0.32144917978732174</v>
      </c>
    </row>
    <row r="425" spans="1:4" x14ac:dyDescent="0.3">
      <c r="A425" s="2" t="s">
        <v>272</v>
      </c>
      <c r="B425" s="2" t="s">
        <v>154</v>
      </c>
      <c r="C425" s="2">
        <v>6735.3</v>
      </c>
      <c r="D425" s="6">
        <f>Table5_110[[#This Row],[Value]]/C11</f>
        <v>0.28494732834116004</v>
      </c>
    </row>
    <row r="426" spans="1:4" x14ac:dyDescent="0.3">
      <c r="A426" s="2" t="s">
        <v>272</v>
      </c>
      <c r="B426" s="2" t="s">
        <v>155</v>
      </c>
      <c r="C426" s="2">
        <v>5770.7</v>
      </c>
      <c r="D426" s="6">
        <f>Table5_110[[#This Row],[Value]]/C12</f>
        <v>0.29640149569576563</v>
      </c>
    </row>
    <row r="427" spans="1:4" x14ac:dyDescent="0.3">
      <c r="A427" s="2" t="s">
        <v>272</v>
      </c>
      <c r="B427" s="2" t="s">
        <v>156</v>
      </c>
      <c r="C427" s="2">
        <v>6749.8</v>
      </c>
      <c r="D427" s="6">
        <f>Table5_110[[#This Row],[Value]]/C13</f>
        <v>0.28699349462136997</v>
      </c>
    </row>
    <row r="428" spans="1:4" x14ac:dyDescent="0.3">
      <c r="A428" s="2" t="s">
        <v>272</v>
      </c>
      <c r="B428" s="2" t="s">
        <v>157</v>
      </c>
      <c r="C428" s="2">
        <v>7695.4</v>
      </c>
      <c r="D428" s="6">
        <f>Table5_110[[#This Row],[Value]]/C14</f>
        <v>0.3066886126598623</v>
      </c>
    </row>
    <row r="429" spans="1:4" x14ac:dyDescent="0.3">
      <c r="A429" s="2" t="s">
        <v>272</v>
      </c>
      <c r="B429" s="2" t="s">
        <v>158</v>
      </c>
      <c r="C429" s="2">
        <v>7154.6</v>
      </c>
      <c r="D429" s="6">
        <f>Table5_110[[#This Row],[Value]]/C15</f>
        <v>0.26949980600956014</v>
      </c>
    </row>
    <row r="430" spans="1:4" x14ac:dyDescent="0.3">
      <c r="A430" s="2" t="s">
        <v>272</v>
      </c>
      <c r="B430" s="2" t="s">
        <v>159</v>
      </c>
      <c r="C430" s="2">
        <v>7305.5</v>
      </c>
      <c r="D430" s="6">
        <f>Table5_110[[#This Row],[Value]]/C16</f>
        <v>0.26372503718250473</v>
      </c>
    </row>
    <row r="431" spans="1:4" x14ac:dyDescent="0.3">
      <c r="A431" s="2" t="s">
        <v>272</v>
      </c>
      <c r="B431" s="2" t="s">
        <v>160</v>
      </c>
      <c r="C431" s="2">
        <v>8054.1</v>
      </c>
      <c r="D431" s="6">
        <f>Table5_110[[#This Row],[Value]]/C17</f>
        <v>0.28352818173177458</v>
      </c>
    </row>
    <row r="432" spans="1:4" x14ac:dyDescent="0.3">
      <c r="A432" s="2" t="s">
        <v>272</v>
      </c>
      <c r="B432" s="2" t="s">
        <v>107</v>
      </c>
      <c r="C432" s="2">
        <v>8091.2</v>
      </c>
      <c r="D432" s="6">
        <f>Table5_110[[#This Row],[Value]]/C18</f>
        <v>0.29308296386449911</v>
      </c>
    </row>
    <row r="433" spans="1:4" x14ac:dyDescent="0.3">
      <c r="A433" s="2" t="s">
        <v>272</v>
      </c>
      <c r="B433" s="2" t="s">
        <v>113</v>
      </c>
      <c r="C433" s="2">
        <v>9314.2000000000007</v>
      </c>
      <c r="D433" s="6">
        <f>Table5_110[[#This Row],[Value]]/C19</f>
        <v>0.31957482433025913</v>
      </c>
    </row>
    <row r="434" spans="1:4" x14ac:dyDescent="0.3">
      <c r="A434" s="2" t="s">
        <v>272</v>
      </c>
      <c r="B434" s="2" t="s">
        <v>114</v>
      </c>
      <c r="C434" s="2">
        <v>10516.7</v>
      </c>
      <c r="D434" s="6">
        <f>Table5_110[[#This Row],[Value]]/C20</f>
        <v>0.30548180767197464</v>
      </c>
    </row>
    <row r="435" spans="1:4" x14ac:dyDescent="0.3">
      <c r="A435" s="2" t="s">
        <v>272</v>
      </c>
      <c r="B435" s="2" t="s">
        <v>115</v>
      </c>
      <c r="C435" s="2">
        <v>12011.8</v>
      </c>
      <c r="D435" s="6">
        <f>Table5_110[[#This Row],[Value]]/C21</f>
        <v>0.29306079429288023</v>
      </c>
    </row>
    <row r="436" spans="1:4" x14ac:dyDescent="0.3">
      <c r="A436" s="2" t="s">
        <v>272</v>
      </c>
      <c r="B436" s="2" t="s">
        <v>116</v>
      </c>
      <c r="C436" s="2"/>
      <c r="D436" s="6"/>
    </row>
    <row r="437" spans="1:4" x14ac:dyDescent="0.3">
      <c r="A437" s="2" t="s">
        <v>272</v>
      </c>
      <c r="B437" s="2" t="s">
        <v>117</v>
      </c>
      <c r="C437" s="2"/>
      <c r="D437" s="6"/>
    </row>
    <row r="438" spans="1:4" x14ac:dyDescent="0.3">
      <c r="A438" s="2" t="s">
        <v>272</v>
      </c>
      <c r="B438" s="2" t="s">
        <v>118</v>
      </c>
      <c r="C438" s="2"/>
      <c r="D438" s="6"/>
    </row>
    <row r="439" spans="1:4" x14ac:dyDescent="0.3">
      <c r="A439" s="2" t="s">
        <v>273</v>
      </c>
      <c r="B439" s="2" t="s">
        <v>132</v>
      </c>
      <c r="C439" s="2"/>
      <c r="D439" s="6"/>
    </row>
    <row r="440" spans="1:4" x14ac:dyDescent="0.3">
      <c r="A440" s="2" t="s">
        <v>273</v>
      </c>
      <c r="B440" s="2" t="s">
        <v>146</v>
      </c>
      <c r="C440" s="2">
        <v>1842.2</v>
      </c>
      <c r="D440" s="6">
        <f>Table5_110[[#This Row],[Value]]/C3</f>
        <v>0.23013691784929044</v>
      </c>
    </row>
    <row r="441" spans="1:4" x14ac:dyDescent="0.3">
      <c r="A441" s="2" t="s">
        <v>273</v>
      </c>
      <c r="B441" s="2" t="s">
        <v>147</v>
      </c>
      <c r="C441" s="2">
        <v>2207</v>
      </c>
      <c r="D441" s="6">
        <f>Table5_110[[#This Row],[Value]]/C4</f>
        <v>0.23143390449025816</v>
      </c>
    </row>
    <row r="442" spans="1:4" x14ac:dyDescent="0.3">
      <c r="A442" s="2" t="s">
        <v>273</v>
      </c>
      <c r="B442" s="2" t="s">
        <v>148</v>
      </c>
      <c r="C442" s="2">
        <v>2081.1</v>
      </c>
      <c r="D442" s="6">
        <f>Table5_110[[#This Row],[Value]]/C5</f>
        <v>0.21568932280330824</v>
      </c>
    </row>
    <row r="443" spans="1:4" x14ac:dyDescent="0.3">
      <c r="A443" s="2" t="s">
        <v>273</v>
      </c>
      <c r="B443" s="2" t="s">
        <v>149</v>
      </c>
      <c r="C443" s="2">
        <v>2281.4</v>
      </c>
      <c r="D443" s="6">
        <f>Table5_110[[#This Row],[Value]]/C6</f>
        <v>0.22058283216986058</v>
      </c>
    </row>
    <row r="444" spans="1:4" x14ac:dyDescent="0.3">
      <c r="A444" s="2" t="s">
        <v>273</v>
      </c>
      <c r="B444" s="2" t="s">
        <v>150</v>
      </c>
      <c r="C444" s="2">
        <v>3105.7</v>
      </c>
      <c r="D444" s="6">
        <f>Table5_110[[#This Row],[Value]]/C7</f>
        <v>0.25038294716135379</v>
      </c>
    </row>
    <row r="445" spans="1:4" x14ac:dyDescent="0.3">
      <c r="A445" s="2" t="s">
        <v>273</v>
      </c>
      <c r="B445" s="2" t="s">
        <v>151</v>
      </c>
      <c r="C445" s="2">
        <v>3308.2</v>
      </c>
      <c r="D445" s="6">
        <f>Table5_110[[#This Row],[Value]]/C8</f>
        <v>0.23983586590882727</v>
      </c>
    </row>
    <row r="446" spans="1:4" x14ac:dyDescent="0.3">
      <c r="A446" s="2" t="s">
        <v>273</v>
      </c>
      <c r="B446" s="2" t="s">
        <v>152</v>
      </c>
      <c r="C446" s="2">
        <v>3437</v>
      </c>
      <c r="D446" s="6">
        <f>Table5_110[[#This Row],[Value]]/C9</f>
        <v>0.22091528474096928</v>
      </c>
    </row>
    <row r="447" spans="1:4" x14ac:dyDescent="0.3">
      <c r="A447" s="2" t="s">
        <v>273</v>
      </c>
      <c r="B447" s="2" t="s">
        <v>153</v>
      </c>
      <c r="C447" s="2">
        <v>4519.2</v>
      </c>
      <c r="D447" s="6">
        <f>Table5_110[[#This Row],[Value]]/C10</f>
        <v>0.2328332371609925</v>
      </c>
    </row>
    <row r="448" spans="1:4" x14ac:dyDescent="0.3">
      <c r="A448" s="2" t="s">
        <v>273</v>
      </c>
      <c r="B448" s="2" t="s">
        <v>154</v>
      </c>
      <c r="C448" s="2">
        <v>4883.8999999999996</v>
      </c>
      <c r="D448" s="6">
        <f>Table5_110[[#This Row],[Value]]/C11</f>
        <v>0.20662097558911874</v>
      </c>
    </row>
    <row r="449" spans="1:4" x14ac:dyDescent="0.3">
      <c r="A449" s="2" t="s">
        <v>273</v>
      </c>
      <c r="B449" s="2" t="s">
        <v>155</v>
      </c>
      <c r="C449" s="2">
        <v>4095.1</v>
      </c>
      <c r="D449" s="6">
        <f>Table5_110[[#This Row],[Value]]/C12</f>
        <v>0.21033735335812462</v>
      </c>
    </row>
    <row r="450" spans="1:4" x14ac:dyDescent="0.3">
      <c r="A450" s="2" t="s">
        <v>273</v>
      </c>
      <c r="B450" s="2" t="s">
        <v>156</v>
      </c>
      <c r="C450" s="2">
        <v>4674.5</v>
      </c>
      <c r="D450" s="6">
        <f>Table5_110[[#This Row],[Value]]/C13</f>
        <v>0.19875419873293931</v>
      </c>
    </row>
    <row r="451" spans="1:4" x14ac:dyDescent="0.3">
      <c r="A451" s="2" t="s">
        <v>273</v>
      </c>
      <c r="B451" s="2" t="s">
        <v>157</v>
      </c>
      <c r="C451" s="2">
        <v>5432.3</v>
      </c>
      <c r="D451" s="6">
        <f>Table5_110[[#This Row],[Value]]/C14</f>
        <v>0.21649616011541573</v>
      </c>
    </row>
    <row r="452" spans="1:4" x14ac:dyDescent="0.3">
      <c r="A452" s="2" t="s">
        <v>273</v>
      </c>
      <c r="B452" s="2" t="s">
        <v>158</v>
      </c>
      <c r="C452" s="2">
        <v>5013.3999999999996</v>
      </c>
      <c r="D452" s="6">
        <f>Table5_110[[#This Row],[Value]]/C15</f>
        <v>0.18884498468793906</v>
      </c>
    </row>
    <row r="453" spans="1:4" x14ac:dyDescent="0.3">
      <c r="A453" s="2" t="s">
        <v>273</v>
      </c>
      <c r="B453" s="2" t="s">
        <v>159</v>
      </c>
      <c r="C453" s="2">
        <v>5116.7</v>
      </c>
      <c r="D453" s="6">
        <f>Table5_110[[#This Row],[Value]]/C16</f>
        <v>0.18471040965734337</v>
      </c>
    </row>
    <row r="454" spans="1:4" x14ac:dyDescent="0.3">
      <c r="A454" s="2" t="s">
        <v>273</v>
      </c>
      <c r="B454" s="2" t="s">
        <v>160</v>
      </c>
      <c r="C454" s="2">
        <v>5433.4</v>
      </c>
      <c r="D454" s="6">
        <f>Table5_110[[#This Row],[Value]]/C17</f>
        <v>0.19127177743278873</v>
      </c>
    </row>
    <row r="455" spans="1:4" x14ac:dyDescent="0.3">
      <c r="A455" s="2" t="s">
        <v>273</v>
      </c>
      <c r="B455" s="2" t="s">
        <v>107</v>
      </c>
      <c r="C455" s="2">
        <v>5093.6000000000004</v>
      </c>
      <c r="D455" s="6">
        <f>Table5_110[[#This Row],[Value]]/C18</f>
        <v>0.18450259352632647</v>
      </c>
    </row>
    <row r="456" spans="1:4" x14ac:dyDescent="0.3">
      <c r="A456" s="2" t="s">
        <v>273</v>
      </c>
      <c r="B456" s="2" t="s">
        <v>113</v>
      </c>
      <c r="C456" s="2">
        <v>5075.3999999999996</v>
      </c>
      <c r="D456" s="6">
        <f>Table5_110[[#This Row],[Value]]/C19</f>
        <v>0.1741394927536232</v>
      </c>
    </row>
    <row r="457" spans="1:4" x14ac:dyDescent="0.3">
      <c r="A457" s="2" t="s">
        <v>273</v>
      </c>
      <c r="B457" s="2" t="s">
        <v>114</v>
      </c>
      <c r="C457" s="2">
        <v>5670.3</v>
      </c>
      <c r="D457" s="6">
        <f>Table5_110[[#This Row],[Value]]/C20</f>
        <v>0.16470694172529382</v>
      </c>
    </row>
    <row r="458" spans="1:4" x14ac:dyDescent="0.3">
      <c r="A458" s="2" t="s">
        <v>273</v>
      </c>
      <c r="B458" s="2" t="s">
        <v>115</v>
      </c>
      <c r="C458" s="2">
        <v>6516.8</v>
      </c>
      <c r="D458" s="6">
        <f>Table5_110[[#This Row],[Value]]/C21</f>
        <v>0.15899520340397294</v>
      </c>
    </row>
    <row r="459" spans="1:4" x14ac:dyDescent="0.3">
      <c r="A459" s="2" t="s">
        <v>273</v>
      </c>
      <c r="B459" s="2" t="s">
        <v>116</v>
      </c>
      <c r="C459" s="2"/>
      <c r="D459" s="6"/>
    </row>
    <row r="460" spans="1:4" x14ac:dyDescent="0.3">
      <c r="A460" s="2" t="s">
        <v>273</v>
      </c>
      <c r="B460" s="2" t="s">
        <v>117</v>
      </c>
      <c r="C460" s="2"/>
      <c r="D460" s="6"/>
    </row>
    <row r="461" spans="1:4" x14ac:dyDescent="0.3">
      <c r="A461" s="2" t="s">
        <v>273</v>
      </c>
      <c r="B461" s="2" t="s">
        <v>118</v>
      </c>
      <c r="C461" s="2"/>
      <c r="D461" s="6"/>
    </row>
    <row r="462" spans="1:4" x14ac:dyDescent="0.3">
      <c r="A462" s="2" t="s">
        <v>274</v>
      </c>
      <c r="B462" s="2" t="s">
        <v>132</v>
      </c>
      <c r="C462" s="2"/>
      <c r="D462" s="6"/>
    </row>
    <row r="463" spans="1:4" x14ac:dyDescent="0.3">
      <c r="A463" s="2" t="s">
        <v>274</v>
      </c>
      <c r="B463" s="2" t="s">
        <v>146</v>
      </c>
      <c r="C463" s="2">
        <v>280.7</v>
      </c>
      <c r="D463" s="6">
        <f>Table5_110[[#This Row],[Value]]/C3</f>
        <v>3.5066460123925641E-2</v>
      </c>
    </row>
    <row r="464" spans="1:4" x14ac:dyDescent="0.3">
      <c r="A464" s="2" t="s">
        <v>274</v>
      </c>
      <c r="B464" s="2" t="s">
        <v>147</v>
      </c>
      <c r="C464" s="2">
        <v>233.9</v>
      </c>
      <c r="D464" s="6">
        <f>Table5_110[[#This Row],[Value]]/C4</f>
        <v>2.4527589605922693E-2</v>
      </c>
    </row>
    <row r="465" spans="1:4" x14ac:dyDescent="0.3">
      <c r="A465" s="2" t="s">
        <v>274</v>
      </c>
      <c r="B465" s="2" t="s">
        <v>148</v>
      </c>
      <c r="C465" s="2">
        <v>211.7</v>
      </c>
      <c r="D465" s="6">
        <f>Table5_110[[#This Row],[Value]]/C5</f>
        <v>2.1941006985469393E-2</v>
      </c>
    </row>
    <row r="466" spans="1:4" x14ac:dyDescent="0.3">
      <c r="A466" s="2" t="s">
        <v>274</v>
      </c>
      <c r="B466" s="2" t="s">
        <v>149</v>
      </c>
      <c r="C466" s="2">
        <v>239.1</v>
      </c>
      <c r="D466" s="6">
        <f>Table5_110[[#This Row],[Value]]/C6</f>
        <v>2.3117978071278012E-2</v>
      </c>
    </row>
    <row r="467" spans="1:4" x14ac:dyDescent="0.3">
      <c r="A467" s="2" t="s">
        <v>274</v>
      </c>
      <c r="B467" s="2" t="s">
        <v>150</v>
      </c>
      <c r="C467" s="2">
        <v>271.3</v>
      </c>
      <c r="D467" s="6">
        <f>Table5_110[[#This Row],[Value]]/C7</f>
        <v>2.1872329447427404E-2</v>
      </c>
    </row>
    <row r="468" spans="1:4" x14ac:dyDescent="0.3">
      <c r="A468" s="2" t="s">
        <v>274</v>
      </c>
      <c r="B468" s="2" t="s">
        <v>151</v>
      </c>
      <c r="C468" s="2">
        <v>304.89999999999998</v>
      </c>
      <c r="D468" s="6">
        <f>Table5_110[[#This Row],[Value]]/C8</f>
        <v>2.210445423964737E-2</v>
      </c>
    </row>
    <row r="469" spans="1:4" x14ac:dyDescent="0.3">
      <c r="A469" s="2" t="s">
        <v>274</v>
      </c>
      <c r="B469" s="2" t="s">
        <v>152</v>
      </c>
      <c r="C469" s="2">
        <v>310.39999999999998</v>
      </c>
      <c r="D469" s="6">
        <f>Table5_110[[#This Row],[Value]]/C9</f>
        <v>1.9951150533487592E-2</v>
      </c>
    </row>
    <row r="470" spans="1:4" x14ac:dyDescent="0.3">
      <c r="A470" s="2" t="s">
        <v>274</v>
      </c>
      <c r="B470" s="2" t="s">
        <v>153</v>
      </c>
      <c r="C470" s="2">
        <v>458.9</v>
      </c>
      <c r="D470" s="6">
        <f>Table5_110[[#This Row],[Value]]/C10</f>
        <v>2.3642939576292144E-2</v>
      </c>
    </row>
    <row r="471" spans="1:4" x14ac:dyDescent="0.3">
      <c r="A471" s="2" t="s">
        <v>274</v>
      </c>
      <c r="B471" s="2" t="s">
        <v>154</v>
      </c>
      <c r="C471" s="2">
        <v>516.70000000000005</v>
      </c>
      <c r="D471" s="6">
        <f>Table5_110[[#This Row],[Value]]/C11</f>
        <v>2.1859796082413167E-2</v>
      </c>
    </row>
    <row r="472" spans="1:4" x14ac:dyDescent="0.3">
      <c r="A472" s="2" t="s">
        <v>274</v>
      </c>
      <c r="B472" s="2" t="s">
        <v>155</v>
      </c>
      <c r="C472" s="2">
        <v>313.60000000000002</v>
      </c>
      <c r="D472" s="6">
        <f>Table5_110[[#This Row],[Value]]/C12</f>
        <v>1.6107492860518151E-2</v>
      </c>
    </row>
    <row r="473" spans="1:4" x14ac:dyDescent="0.3">
      <c r="A473" s="2" t="s">
        <v>274</v>
      </c>
      <c r="B473" s="2" t="s">
        <v>156</v>
      </c>
      <c r="C473" s="2">
        <v>515.5</v>
      </c>
      <c r="D473" s="6">
        <f>Table5_110[[#This Row],[Value]]/C13</f>
        <v>2.1918448913644289E-2</v>
      </c>
    </row>
    <row r="474" spans="1:4" x14ac:dyDescent="0.3">
      <c r="A474" s="2" t="s">
        <v>274</v>
      </c>
      <c r="B474" s="2" t="s">
        <v>157</v>
      </c>
      <c r="C474" s="2">
        <v>587.20000000000005</v>
      </c>
      <c r="D474" s="6">
        <f>Table5_110[[#This Row],[Value]]/C14</f>
        <v>2.3401974342317642E-2</v>
      </c>
    </row>
    <row r="475" spans="1:4" x14ac:dyDescent="0.3">
      <c r="A475" s="2" t="s">
        <v>274</v>
      </c>
      <c r="B475" s="2" t="s">
        <v>158</v>
      </c>
      <c r="C475" s="2">
        <v>894.6</v>
      </c>
      <c r="D475" s="6">
        <f>Table5_110[[#This Row],[Value]]/C15</f>
        <v>3.3697834464002534E-2</v>
      </c>
    </row>
    <row r="476" spans="1:4" x14ac:dyDescent="0.3">
      <c r="A476" s="2" t="s">
        <v>274</v>
      </c>
      <c r="B476" s="2" t="s">
        <v>159</v>
      </c>
      <c r="C476" s="2">
        <v>989.7</v>
      </c>
      <c r="D476" s="6">
        <f>Table5_110[[#This Row],[Value]]/C16</f>
        <v>3.5727694107114495E-2</v>
      </c>
    </row>
    <row r="477" spans="1:4" x14ac:dyDescent="0.3">
      <c r="A477" s="2" t="s">
        <v>274</v>
      </c>
      <c r="B477" s="2" t="s">
        <v>160</v>
      </c>
      <c r="C477" s="2">
        <v>778.8</v>
      </c>
      <c r="D477" s="6">
        <f>Table5_110[[#This Row],[Value]]/C17</f>
        <v>2.7416067336227014E-2</v>
      </c>
    </row>
    <row r="478" spans="1:4" x14ac:dyDescent="0.3">
      <c r="A478" s="2" t="s">
        <v>274</v>
      </c>
      <c r="B478" s="2" t="s">
        <v>107</v>
      </c>
      <c r="C478" s="2">
        <v>469.3</v>
      </c>
      <c r="D478" s="6">
        <f>Table5_110[[#This Row],[Value]]/C18</f>
        <v>1.6999188617462111E-2</v>
      </c>
    </row>
    <row r="479" spans="1:4" x14ac:dyDescent="0.3">
      <c r="A479" s="2" t="s">
        <v>274</v>
      </c>
      <c r="B479" s="2" t="s">
        <v>113</v>
      </c>
      <c r="C479" s="2">
        <v>454</v>
      </c>
      <c r="D479" s="6">
        <f>Table5_110[[#This Row],[Value]]/C19</f>
        <v>1.5576965305226176E-2</v>
      </c>
    </row>
    <row r="480" spans="1:4" x14ac:dyDescent="0.3">
      <c r="A480" s="2" t="s">
        <v>274</v>
      </c>
      <c r="B480" s="2" t="s">
        <v>114</v>
      </c>
      <c r="C480" s="2">
        <v>603.79999999999995</v>
      </c>
      <c r="D480" s="6">
        <f>Table5_110[[#This Row],[Value]]/C20</f>
        <v>1.7538763630448546E-2</v>
      </c>
    </row>
    <row r="481" spans="1:4" x14ac:dyDescent="0.3">
      <c r="A481" s="2" t="s">
        <v>274</v>
      </c>
      <c r="B481" s="2" t="s">
        <v>115</v>
      </c>
      <c r="C481" s="2">
        <v>960.1</v>
      </c>
      <c r="D481" s="6">
        <f>Table5_110[[#This Row],[Value]]/C21</f>
        <v>2.3424271849397618E-2</v>
      </c>
    </row>
    <row r="482" spans="1:4" x14ac:dyDescent="0.3">
      <c r="A482" s="2" t="s">
        <v>274</v>
      </c>
      <c r="B482" s="2" t="s">
        <v>116</v>
      </c>
      <c r="C482" s="2"/>
      <c r="D482" s="6"/>
    </row>
    <row r="483" spans="1:4" x14ac:dyDescent="0.3">
      <c r="A483" s="2" t="s">
        <v>274</v>
      </c>
      <c r="B483" s="2" t="s">
        <v>117</v>
      </c>
      <c r="C483" s="2"/>
      <c r="D483" s="6"/>
    </row>
    <row r="484" spans="1:4" x14ac:dyDescent="0.3">
      <c r="A484" s="2" t="s">
        <v>274</v>
      </c>
      <c r="B484" s="2" t="s">
        <v>118</v>
      </c>
      <c r="C484" s="2"/>
      <c r="D484" s="6"/>
    </row>
    <row r="485" spans="1:4" x14ac:dyDescent="0.3">
      <c r="A485" s="2" t="s">
        <v>275</v>
      </c>
      <c r="B485" s="2" t="s">
        <v>132</v>
      </c>
      <c r="C485" s="2"/>
      <c r="D485" s="6"/>
    </row>
    <row r="486" spans="1:4" x14ac:dyDescent="0.3">
      <c r="A486" s="2" t="s">
        <v>275</v>
      </c>
      <c r="B486" s="2" t="s">
        <v>146</v>
      </c>
      <c r="C486" s="2">
        <v>14.7</v>
      </c>
      <c r="D486" s="6">
        <f>Table5_110[[#This Row],[Value]]/C3</f>
        <v>1.8363981611033379E-3</v>
      </c>
    </row>
    <row r="487" spans="1:4" x14ac:dyDescent="0.3">
      <c r="A487" s="2" t="s">
        <v>275</v>
      </c>
      <c r="B487" s="2" t="s">
        <v>147</v>
      </c>
      <c r="C487" s="2">
        <v>17.399999999999999</v>
      </c>
      <c r="D487" s="6">
        <f>Table5_110[[#This Row],[Value]]/C4</f>
        <v>1.8246261613640651E-3</v>
      </c>
    </row>
    <row r="488" spans="1:4" x14ac:dyDescent="0.3">
      <c r="A488" s="2" t="s">
        <v>275</v>
      </c>
      <c r="B488" s="2" t="s">
        <v>148</v>
      </c>
      <c r="C488" s="2">
        <v>17.2</v>
      </c>
      <c r="D488" s="6">
        <f>Table5_110[[#This Row],[Value]]/C5</f>
        <v>1.7826420413324211E-3</v>
      </c>
    </row>
    <row r="489" spans="1:4" x14ac:dyDescent="0.3">
      <c r="A489" s="2" t="s">
        <v>275</v>
      </c>
      <c r="B489" s="2" t="s">
        <v>149</v>
      </c>
      <c r="C489" s="2">
        <v>16.2</v>
      </c>
      <c r="D489" s="6">
        <f>Table5_110[[#This Row],[Value]]/C6</f>
        <v>1.5663372846286233E-3</v>
      </c>
    </row>
    <row r="490" spans="1:4" x14ac:dyDescent="0.3">
      <c r="A490" s="2" t="s">
        <v>275</v>
      </c>
      <c r="B490" s="2" t="s">
        <v>150</v>
      </c>
      <c r="C490" s="2">
        <v>15.9</v>
      </c>
      <c r="D490" s="6">
        <f>Table5_110[[#This Row],[Value]]/C7</f>
        <v>1.2818652348473855E-3</v>
      </c>
    </row>
    <row r="491" spans="1:4" x14ac:dyDescent="0.3">
      <c r="A491" s="2" t="s">
        <v>275</v>
      </c>
      <c r="B491" s="2" t="s">
        <v>151</v>
      </c>
      <c r="C491" s="2">
        <v>17.600000000000001</v>
      </c>
      <c r="D491" s="6">
        <f>Table5_110[[#This Row],[Value]]/C8</f>
        <v>1.2759540656536365E-3</v>
      </c>
    </row>
    <row r="492" spans="1:4" x14ac:dyDescent="0.3">
      <c r="A492" s="2" t="s">
        <v>275</v>
      </c>
      <c r="B492" s="2" t="s">
        <v>152</v>
      </c>
      <c r="C492" s="2">
        <v>25.4</v>
      </c>
      <c r="D492" s="6">
        <f>Table5_110[[#This Row],[Value]]/C9</f>
        <v>1.6326005913356472E-3</v>
      </c>
    </row>
    <row r="493" spans="1:4" x14ac:dyDescent="0.3">
      <c r="A493" s="2" t="s">
        <v>275</v>
      </c>
      <c r="B493" s="2" t="s">
        <v>153</v>
      </c>
      <c r="C493" s="2">
        <v>46.1</v>
      </c>
      <c r="D493" s="6">
        <f>Table5_110[[#This Row],[Value]]/C10</f>
        <v>2.3751133459731268E-3</v>
      </c>
    </row>
    <row r="494" spans="1:4" x14ac:dyDescent="0.3">
      <c r="A494" s="2" t="s">
        <v>275</v>
      </c>
      <c r="B494" s="2" t="s">
        <v>154</v>
      </c>
      <c r="C494" s="2">
        <v>104.6</v>
      </c>
      <c r="D494" s="6">
        <f>Table5_110[[#This Row],[Value]]/C11</f>
        <v>4.4252654736218634E-3</v>
      </c>
    </row>
    <row r="495" spans="1:4" x14ac:dyDescent="0.3">
      <c r="A495" s="2" t="s">
        <v>275</v>
      </c>
      <c r="B495" s="2" t="s">
        <v>155</v>
      </c>
      <c r="C495" s="2">
        <v>62.7</v>
      </c>
      <c r="D495" s="6">
        <f>Table5_110[[#This Row],[Value]]/C12</f>
        <v>3.2204713085283421E-3</v>
      </c>
    </row>
    <row r="496" spans="1:4" x14ac:dyDescent="0.3">
      <c r="A496" s="2" t="s">
        <v>275</v>
      </c>
      <c r="B496" s="2" t="s">
        <v>156</v>
      </c>
      <c r="C496" s="2">
        <v>110.8</v>
      </c>
      <c r="D496" s="6">
        <f>Table5_110[[#This Row],[Value]]/C13</f>
        <v>4.7110846549598198E-3</v>
      </c>
    </row>
    <row r="497" spans="1:4" x14ac:dyDescent="0.3">
      <c r="A497" s="2" t="s">
        <v>275</v>
      </c>
      <c r="B497" s="2" t="s">
        <v>157</v>
      </c>
      <c r="C497" s="2">
        <v>120.1</v>
      </c>
      <c r="D497" s="6">
        <f>Table5_110[[#This Row],[Value]]/C14</f>
        <v>4.7864051745782499E-3</v>
      </c>
    </row>
    <row r="498" spans="1:4" x14ac:dyDescent="0.3">
      <c r="A498" s="2" t="s">
        <v>275</v>
      </c>
      <c r="B498" s="2" t="s">
        <v>158</v>
      </c>
      <c r="C498" s="2">
        <v>294.8</v>
      </c>
      <c r="D498" s="6">
        <f>Table5_110[[#This Row],[Value]]/C15</f>
        <v>1.1104540129653416E-2</v>
      </c>
    </row>
    <row r="499" spans="1:4" x14ac:dyDescent="0.3">
      <c r="A499" s="2" t="s">
        <v>275</v>
      </c>
      <c r="B499" s="2" t="s">
        <v>159</v>
      </c>
      <c r="C499" s="2">
        <v>134.30000000000001</v>
      </c>
      <c r="D499" s="6">
        <f>Table5_110[[#This Row],[Value]]/C16</f>
        <v>4.8481654224365733E-3</v>
      </c>
    </row>
    <row r="500" spans="1:4" x14ac:dyDescent="0.3">
      <c r="A500" s="2" t="s">
        <v>275</v>
      </c>
      <c r="B500" s="2" t="s">
        <v>160</v>
      </c>
      <c r="C500" s="2">
        <v>299.10000000000002</v>
      </c>
      <c r="D500" s="6">
        <f>Table5_110[[#This Row],[Value]]/C17</f>
        <v>1.0529206137988573E-2</v>
      </c>
    </row>
    <row r="501" spans="1:4" x14ac:dyDescent="0.3">
      <c r="A501" s="2" t="s">
        <v>275</v>
      </c>
      <c r="B501" s="2" t="s">
        <v>107</v>
      </c>
      <c r="C501" s="2">
        <v>331.3</v>
      </c>
      <c r="D501" s="6">
        <f>Table5_110[[#This Row],[Value]]/C18</f>
        <v>1.200049262511229E-2</v>
      </c>
    </row>
    <row r="502" spans="1:4" x14ac:dyDescent="0.3">
      <c r="A502" s="2" t="s">
        <v>275</v>
      </c>
      <c r="B502" s="2" t="s">
        <v>113</v>
      </c>
      <c r="C502" s="2">
        <v>326.3</v>
      </c>
      <c r="D502" s="6">
        <f>Table5_110[[#This Row],[Value]]/C19</f>
        <v>1.1195514931927976E-2</v>
      </c>
    </row>
    <row r="503" spans="1:4" x14ac:dyDescent="0.3">
      <c r="A503" s="2" t="s">
        <v>275</v>
      </c>
      <c r="B503" s="2" t="s">
        <v>114</v>
      </c>
      <c r="C503" s="2">
        <v>384.3</v>
      </c>
      <c r="D503" s="6">
        <f>Table5_110[[#This Row],[Value]]/C20</f>
        <v>1.1162879866150013E-2</v>
      </c>
    </row>
    <row r="504" spans="1:4" x14ac:dyDescent="0.3">
      <c r="A504" s="2" t="s">
        <v>275</v>
      </c>
      <c r="B504" s="2" t="s">
        <v>115</v>
      </c>
      <c r="C504" s="2">
        <v>434.5</v>
      </c>
      <c r="D504" s="6">
        <f>Table5_110[[#This Row],[Value]]/C21</f>
        <v>1.0600818788212963E-2</v>
      </c>
    </row>
    <row r="505" spans="1:4" x14ac:dyDescent="0.3">
      <c r="A505" s="2" t="s">
        <v>275</v>
      </c>
      <c r="B505" s="2" t="s">
        <v>116</v>
      </c>
      <c r="C505" s="2"/>
      <c r="D505" s="6"/>
    </row>
    <row r="506" spans="1:4" x14ac:dyDescent="0.3">
      <c r="A506" s="2" t="s">
        <v>275</v>
      </c>
      <c r="B506" s="2" t="s">
        <v>117</v>
      </c>
      <c r="C506" s="2"/>
      <c r="D506" s="6"/>
    </row>
    <row r="507" spans="1:4" x14ac:dyDescent="0.3">
      <c r="A507" s="2" t="s">
        <v>275</v>
      </c>
      <c r="B507" s="2" t="s">
        <v>118</v>
      </c>
      <c r="C507" s="2"/>
      <c r="D507" s="6"/>
    </row>
    <row r="508" spans="1:4" x14ac:dyDescent="0.3">
      <c r="A508" s="2" t="s">
        <v>276</v>
      </c>
      <c r="B508" s="2" t="s">
        <v>132</v>
      </c>
      <c r="C508" s="2"/>
      <c r="D508" s="6"/>
    </row>
    <row r="509" spans="1:4" x14ac:dyDescent="0.3">
      <c r="A509" s="2" t="s">
        <v>276</v>
      </c>
      <c r="B509" s="2" t="s">
        <v>146</v>
      </c>
      <c r="C509" s="2">
        <v>175.7</v>
      </c>
      <c r="D509" s="6">
        <f>Table5_110[[#This Row],[Value]]/C3</f>
        <v>2.1949330401758942E-2</v>
      </c>
    </row>
    <row r="510" spans="1:4" x14ac:dyDescent="0.3">
      <c r="A510" s="2" t="s">
        <v>276</v>
      </c>
      <c r="B510" s="2" t="s">
        <v>147</v>
      </c>
      <c r="C510" s="2">
        <v>226.3</v>
      </c>
      <c r="D510" s="6">
        <f>Table5_110[[#This Row],[Value]]/C4</f>
        <v>2.3730626454982067E-2</v>
      </c>
    </row>
    <row r="511" spans="1:4" x14ac:dyDescent="0.3">
      <c r="A511" s="2" t="s">
        <v>276</v>
      </c>
      <c r="B511" s="2" t="s">
        <v>148</v>
      </c>
      <c r="C511" s="2">
        <v>241.6</v>
      </c>
      <c r="D511" s="6">
        <f>Table5_110[[#This Row],[Value]]/C5</f>
        <v>2.5039902161971682E-2</v>
      </c>
    </row>
    <row r="512" spans="1:4" x14ac:dyDescent="0.3">
      <c r="A512" s="2" t="s">
        <v>276</v>
      </c>
      <c r="B512" s="2" t="s">
        <v>149</v>
      </c>
      <c r="C512" s="2">
        <v>337.3</v>
      </c>
      <c r="D512" s="6">
        <f>Table5_110[[#This Row],[Value]]/C6</f>
        <v>3.2612689265755224E-2</v>
      </c>
    </row>
    <row r="513" spans="1:4" x14ac:dyDescent="0.3">
      <c r="A513" s="2" t="s">
        <v>276</v>
      </c>
      <c r="B513" s="2" t="s">
        <v>150</v>
      </c>
      <c r="C513" s="2">
        <v>370.9</v>
      </c>
      <c r="D513" s="6">
        <f>Table5_110[[#This Row],[Value]]/C7</f>
        <v>2.9902126767603475E-2</v>
      </c>
    </row>
    <row r="514" spans="1:4" x14ac:dyDescent="0.3">
      <c r="A514" s="2" t="s">
        <v>276</v>
      </c>
      <c r="B514" s="2" t="s">
        <v>151</v>
      </c>
      <c r="C514" s="2">
        <v>394</v>
      </c>
      <c r="D514" s="6">
        <f>Table5_110[[#This Row],[Value]]/C8</f>
        <v>2.8563971697018905E-2</v>
      </c>
    </row>
    <row r="515" spans="1:4" x14ac:dyDescent="0.3">
      <c r="A515" s="2" t="s">
        <v>276</v>
      </c>
      <c r="B515" s="2" t="s">
        <v>152</v>
      </c>
      <c r="C515" s="2">
        <v>452.4</v>
      </c>
      <c r="D515" s="6">
        <f>Table5_110[[#This Row],[Value]]/C9</f>
        <v>2.907828769764751E-2</v>
      </c>
    </row>
    <row r="516" spans="1:4" x14ac:dyDescent="0.3">
      <c r="A516" s="2" t="s">
        <v>276</v>
      </c>
      <c r="B516" s="2" t="s">
        <v>153</v>
      </c>
      <c r="C516" s="2">
        <v>835.5</v>
      </c>
      <c r="D516" s="6">
        <f>Table5_110[[#This Row],[Value]]/C10</f>
        <v>4.3045709339708187E-2</v>
      </c>
    </row>
    <row r="517" spans="1:4" x14ac:dyDescent="0.3">
      <c r="A517" s="2" t="s">
        <v>276</v>
      </c>
      <c r="B517" s="2" t="s">
        <v>154</v>
      </c>
      <c r="C517" s="2">
        <v>1099.4000000000001</v>
      </c>
      <c r="D517" s="6">
        <f>Table5_110[[#This Row],[Value]]/C11</f>
        <v>4.6511824681643194E-2</v>
      </c>
    </row>
    <row r="518" spans="1:4" x14ac:dyDescent="0.3">
      <c r="A518" s="2" t="s">
        <v>276</v>
      </c>
      <c r="B518" s="2" t="s">
        <v>155</v>
      </c>
      <c r="C518" s="2">
        <v>925.5</v>
      </c>
      <c r="D518" s="6">
        <f>Table5_110[[#This Row],[Value]]/C12</f>
        <v>4.7536621946459023E-2</v>
      </c>
    </row>
    <row r="519" spans="1:4" x14ac:dyDescent="0.3">
      <c r="A519" s="2" t="s">
        <v>276</v>
      </c>
      <c r="B519" s="2" t="s">
        <v>156</v>
      </c>
      <c r="C519" s="2">
        <v>1181</v>
      </c>
      <c r="D519" s="6">
        <f>Table5_110[[#This Row],[Value]]/C13</f>
        <v>5.0214720013606023E-2</v>
      </c>
    </row>
    <row r="520" spans="1:4" x14ac:dyDescent="0.3">
      <c r="A520" s="2" t="s">
        <v>276</v>
      </c>
      <c r="B520" s="2" t="s">
        <v>157</v>
      </c>
      <c r="C520" s="2">
        <v>702.2</v>
      </c>
      <c r="D520" s="6">
        <f>Table5_110[[#This Row],[Value]]/C14</f>
        <v>2.7985126674345107E-2</v>
      </c>
    </row>
    <row r="521" spans="1:4" x14ac:dyDescent="0.3">
      <c r="A521" s="2" t="s">
        <v>276</v>
      </c>
      <c r="B521" s="2" t="s">
        <v>158</v>
      </c>
      <c r="C521" s="2">
        <v>825.9</v>
      </c>
      <c r="D521" s="6">
        <f>Table5_110[[#This Row],[Value]]/C15</f>
        <v>3.111003966445304E-2</v>
      </c>
    </row>
    <row r="522" spans="1:4" x14ac:dyDescent="0.3">
      <c r="A522" s="2" t="s">
        <v>276</v>
      </c>
      <c r="B522" s="2" t="s">
        <v>159</v>
      </c>
      <c r="C522" s="2">
        <v>1046.8</v>
      </c>
      <c r="D522" s="6">
        <f>Table5_110[[#This Row],[Value]]/C16</f>
        <v>3.7788976650831009E-2</v>
      </c>
    </row>
    <row r="523" spans="1:4" x14ac:dyDescent="0.3">
      <c r="A523" s="2" t="s">
        <v>276</v>
      </c>
      <c r="B523" s="2" t="s">
        <v>160</v>
      </c>
      <c r="C523" s="2">
        <v>1207.0999999999999</v>
      </c>
      <c r="D523" s="6">
        <f>Table5_110[[#This Row],[Value]]/C17</f>
        <v>4.2493496252644619E-2</v>
      </c>
    </row>
    <row r="524" spans="1:4" x14ac:dyDescent="0.3">
      <c r="A524" s="2" t="s">
        <v>276</v>
      </c>
      <c r="B524" s="2" t="s">
        <v>107</v>
      </c>
      <c r="C524" s="2">
        <v>860.4</v>
      </c>
      <c r="D524" s="6">
        <f>Table5_110[[#This Row],[Value]]/C18</f>
        <v>3.1165782839259321E-2</v>
      </c>
    </row>
    <row r="525" spans="1:4" x14ac:dyDescent="0.3">
      <c r="A525" s="2" t="s">
        <v>276</v>
      </c>
      <c r="B525" s="2" t="s">
        <v>113</v>
      </c>
      <c r="C525" s="2">
        <v>508.9</v>
      </c>
      <c r="D525" s="6">
        <f>Table5_110[[#This Row],[Value]]/C19</f>
        <v>1.7460611550285464E-2</v>
      </c>
    </row>
    <row r="526" spans="1:4" x14ac:dyDescent="0.3">
      <c r="A526" s="2" t="s">
        <v>276</v>
      </c>
      <c r="B526" s="2" t="s">
        <v>114</v>
      </c>
      <c r="C526" s="2">
        <v>788.1</v>
      </c>
      <c r="D526" s="6">
        <f>Table5_110[[#This Row],[Value]]/C20</f>
        <v>2.2892182207943861E-2</v>
      </c>
    </row>
    <row r="527" spans="1:4" x14ac:dyDescent="0.3">
      <c r="A527" s="2" t="s">
        <v>276</v>
      </c>
      <c r="B527" s="2" t="s">
        <v>115</v>
      </c>
      <c r="C527" s="2">
        <v>727.5</v>
      </c>
      <c r="D527" s="6">
        <f>Table5_110[[#This Row],[Value]]/C21</f>
        <v>1.7749357119505017E-2</v>
      </c>
    </row>
    <row r="528" spans="1:4" x14ac:dyDescent="0.3">
      <c r="A528" s="2" t="s">
        <v>276</v>
      </c>
      <c r="B528" s="2" t="s">
        <v>116</v>
      </c>
      <c r="C528" s="2"/>
      <c r="D528" s="6"/>
    </row>
    <row r="529" spans="1:4" x14ac:dyDescent="0.3">
      <c r="A529" s="2" t="s">
        <v>276</v>
      </c>
      <c r="B529" s="2" t="s">
        <v>117</v>
      </c>
      <c r="C529" s="2"/>
      <c r="D529" s="6"/>
    </row>
    <row r="530" spans="1:4" x14ac:dyDescent="0.3">
      <c r="A530" s="2" t="s">
        <v>276</v>
      </c>
      <c r="B530" s="2" t="s">
        <v>118</v>
      </c>
      <c r="C530" s="2"/>
      <c r="D530" s="6"/>
    </row>
    <row r="531" spans="1:4" x14ac:dyDescent="0.3">
      <c r="A531" s="2" t="s">
        <v>277</v>
      </c>
      <c r="B531" s="2" t="s">
        <v>132</v>
      </c>
      <c r="C531" s="2"/>
      <c r="D531" s="6"/>
    </row>
    <row r="532" spans="1:4" x14ac:dyDescent="0.3">
      <c r="A532" s="2" t="s">
        <v>277</v>
      </c>
      <c r="B532" s="2" t="s">
        <v>146</v>
      </c>
      <c r="C532" s="2">
        <v>28.3</v>
      </c>
      <c r="D532" s="6">
        <f>Table5_110[[#This Row],[Value]]/C3</f>
        <v>3.535378772736358E-3</v>
      </c>
    </row>
    <row r="533" spans="1:4" x14ac:dyDescent="0.3">
      <c r="A533" s="2" t="s">
        <v>277</v>
      </c>
      <c r="B533" s="2" t="s">
        <v>147</v>
      </c>
      <c r="C533" s="2">
        <v>18.899999999999999</v>
      </c>
      <c r="D533" s="6">
        <f>Table5_110[[#This Row],[Value]]/C4</f>
        <v>1.9819215201023464E-3</v>
      </c>
    </row>
    <row r="534" spans="1:4" x14ac:dyDescent="0.3">
      <c r="A534" s="2" t="s">
        <v>277</v>
      </c>
      <c r="B534" s="2" t="s">
        <v>148</v>
      </c>
      <c r="C534" s="2">
        <v>26.1</v>
      </c>
      <c r="D534" s="6">
        <f>Table5_110[[#This Row],[Value]]/C5</f>
        <v>2.7050556557428021E-3</v>
      </c>
    </row>
    <row r="535" spans="1:4" x14ac:dyDescent="0.3">
      <c r="A535" s="2" t="s">
        <v>277</v>
      </c>
      <c r="B535" s="2" t="s">
        <v>149</v>
      </c>
      <c r="C535" s="2">
        <v>29.4</v>
      </c>
      <c r="D535" s="6">
        <f>Table5_110[[#This Row],[Value]]/C6</f>
        <v>2.8426121091408348E-3</v>
      </c>
    </row>
    <row r="536" spans="1:4" x14ac:dyDescent="0.3">
      <c r="A536" s="2" t="s">
        <v>277</v>
      </c>
      <c r="B536" s="2" t="s">
        <v>150</v>
      </c>
      <c r="C536" s="2">
        <v>34.299999999999997</v>
      </c>
      <c r="D536" s="6">
        <f>Table5_110[[#This Row],[Value]]/C7</f>
        <v>2.765281607249391E-3</v>
      </c>
    </row>
    <row r="537" spans="1:4" x14ac:dyDescent="0.3">
      <c r="A537" s="2" t="s">
        <v>277</v>
      </c>
      <c r="B537" s="2" t="s">
        <v>151</v>
      </c>
      <c r="C537" s="2">
        <v>46.8</v>
      </c>
      <c r="D537" s="6">
        <f>Table5_110[[#This Row],[Value]]/C8</f>
        <v>3.3928778563971692E-3</v>
      </c>
    </row>
    <row r="538" spans="1:4" x14ac:dyDescent="0.3">
      <c r="A538" s="2" t="s">
        <v>277</v>
      </c>
      <c r="B538" s="2" t="s">
        <v>152</v>
      </c>
      <c r="C538" s="2">
        <v>29</v>
      </c>
      <c r="D538" s="6">
        <f>Table5_110[[#This Row],[Value]]/C9</f>
        <v>1.8639928011312508E-3</v>
      </c>
    </row>
    <row r="539" spans="1:4" x14ac:dyDescent="0.3">
      <c r="A539" s="2" t="s">
        <v>277</v>
      </c>
      <c r="B539" s="2" t="s">
        <v>153</v>
      </c>
      <c r="C539" s="2">
        <v>28.2</v>
      </c>
      <c r="D539" s="6">
        <f>Table5_110[[#This Row],[Value]]/C10</f>
        <v>1.4528892918967934E-3</v>
      </c>
    </row>
    <row r="540" spans="1:4" x14ac:dyDescent="0.3">
      <c r="A540" s="2" t="s">
        <v>277</v>
      </c>
      <c r="B540" s="2" t="s">
        <v>154</v>
      </c>
      <c r="C540" s="2">
        <v>62.1</v>
      </c>
      <c r="D540" s="6">
        <f>Table5_110[[#This Row],[Value]]/C11</f>
        <v>2.6272369590049499E-3</v>
      </c>
    </row>
    <row r="541" spans="1:4" x14ac:dyDescent="0.3">
      <c r="A541" s="2" t="s">
        <v>277</v>
      </c>
      <c r="B541" s="2" t="s">
        <v>155</v>
      </c>
      <c r="C541" s="2">
        <v>56.4</v>
      </c>
      <c r="D541" s="6">
        <f>Table5_110[[#This Row],[Value]]/C12</f>
        <v>2.8968832823125755E-3</v>
      </c>
    </row>
    <row r="542" spans="1:4" x14ac:dyDescent="0.3">
      <c r="A542" s="2" t="s">
        <v>277</v>
      </c>
      <c r="B542" s="2" t="s">
        <v>156</v>
      </c>
      <c r="C542" s="2">
        <v>44.9</v>
      </c>
      <c r="D542" s="6">
        <f>Table5_110[[#This Row],[Value]]/C13</f>
        <v>1.9090947744376885E-3</v>
      </c>
    </row>
    <row r="543" spans="1:4" x14ac:dyDescent="0.3">
      <c r="A543" s="2" t="s">
        <v>277</v>
      </c>
      <c r="B543" s="2" t="s">
        <v>157</v>
      </c>
      <c r="C543" s="2">
        <v>66.7</v>
      </c>
      <c r="D543" s="6">
        <f>Table5_110[[#This Row],[Value]]/C14</f>
        <v>2.658228352575931E-3</v>
      </c>
    </row>
    <row r="544" spans="1:4" x14ac:dyDescent="0.3">
      <c r="A544" s="2" t="s">
        <v>277</v>
      </c>
      <c r="B544" s="2" t="s">
        <v>158</v>
      </c>
      <c r="C544" s="2">
        <v>45.6</v>
      </c>
      <c r="D544" s="6">
        <f>Table5_110[[#This Row],[Value]]/C15</f>
        <v>1.717662923718439E-3</v>
      </c>
    </row>
    <row r="545" spans="1:4" x14ac:dyDescent="0.3">
      <c r="A545" s="2" t="s">
        <v>277</v>
      </c>
      <c r="B545" s="2" t="s">
        <v>159</v>
      </c>
      <c r="C545" s="2">
        <v>52.6</v>
      </c>
      <c r="D545" s="6">
        <f>Table5_110[[#This Row],[Value]]/C16</f>
        <v>1.8988347075216958E-3</v>
      </c>
    </row>
    <row r="546" spans="1:4" x14ac:dyDescent="0.3">
      <c r="A546" s="2" t="s">
        <v>277</v>
      </c>
      <c r="B546" s="2" t="s">
        <v>160</v>
      </c>
      <c r="C546" s="2">
        <v>54.3</v>
      </c>
      <c r="D546" s="6">
        <f>Table5_110[[#This Row],[Value]]/C17</f>
        <v>1.9115208735967218E-3</v>
      </c>
    </row>
    <row r="547" spans="1:4" x14ac:dyDescent="0.3">
      <c r="A547" s="2" t="s">
        <v>277</v>
      </c>
      <c r="B547" s="2" t="s">
        <v>107</v>
      </c>
      <c r="C547" s="2">
        <v>30</v>
      </c>
      <c r="D547" s="6">
        <f>Table5_110[[#This Row],[Value]]/C18</f>
        <v>1.0866730418151785E-3</v>
      </c>
    </row>
    <row r="548" spans="1:4" x14ac:dyDescent="0.3">
      <c r="A548" s="2" t="s">
        <v>277</v>
      </c>
      <c r="B548" s="2" t="s">
        <v>113</v>
      </c>
      <c r="C548" s="2">
        <v>50.6</v>
      </c>
      <c r="D548" s="6">
        <f>Table5_110[[#This Row],[Value]]/C19</f>
        <v>1.7361111111111112E-3</v>
      </c>
    </row>
    <row r="549" spans="1:4" x14ac:dyDescent="0.3">
      <c r="A549" s="2" t="s">
        <v>277</v>
      </c>
      <c r="B549" s="2" t="s">
        <v>114</v>
      </c>
      <c r="C549" s="2">
        <v>80.900000000000006</v>
      </c>
      <c r="D549" s="6">
        <f>Table5_110[[#This Row],[Value]]/C20</f>
        <v>2.3499270912608278E-3</v>
      </c>
    </row>
    <row r="550" spans="1:4" x14ac:dyDescent="0.3">
      <c r="A550" s="2" t="s">
        <v>277</v>
      </c>
      <c r="B550" s="2" t="s">
        <v>115</v>
      </c>
      <c r="C550" s="2">
        <v>52.7</v>
      </c>
      <c r="D550" s="6">
        <f>Table5_110[[#This Row],[Value]]/C21</f>
        <v>1.285760989962769E-3</v>
      </c>
    </row>
    <row r="551" spans="1:4" x14ac:dyDescent="0.3">
      <c r="A551" s="2" t="s">
        <v>277</v>
      </c>
      <c r="B551" s="2" t="s">
        <v>116</v>
      </c>
      <c r="C551" s="2"/>
      <c r="D551" s="6"/>
    </row>
    <row r="552" spans="1:4" x14ac:dyDescent="0.3">
      <c r="A552" s="2" t="s">
        <v>277</v>
      </c>
      <c r="B552" s="2" t="s">
        <v>117</v>
      </c>
      <c r="C552" s="2"/>
      <c r="D552" s="6"/>
    </row>
    <row r="553" spans="1:4" x14ac:dyDescent="0.3">
      <c r="A553" s="2" t="s">
        <v>277</v>
      </c>
      <c r="B553" s="2" t="s">
        <v>118</v>
      </c>
      <c r="C553" s="2"/>
      <c r="D553" s="6"/>
    </row>
    <row r="554" spans="1:4" x14ac:dyDescent="0.3">
      <c r="A554" s="2" t="s">
        <v>278</v>
      </c>
      <c r="B554" s="2" t="s">
        <v>132</v>
      </c>
      <c r="C554" s="2"/>
      <c r="D554" s="6"/>
    </row>
    <row r="555" spans="1:4" x14ac:dyDescent="0.3">
      <c r="A555" s="2" t="s">
        <v>278</v>
      </c>
      <c r="B555" s="2" t="s">
        <v>146</v>
      </c>
      <c r="C555" s="2">
        <v>70.8</v>
      </c>
      <c r="D555" s="6">
        <f>Table5_110[[#This Row],[Value]]/C3</f>
        <v>8.8446931840895464E-3</v>
      </c>
    </row>
    <row r="556" spans="1:4" x14ac:dyDescent="0.3">
      <c r="A556" s="2" t="s">
        <v>278</v>
      </c>
      <c r="B556" s="2" t="s">
        <v>147</v>
      </c>
      <c r="C556" s="2">
        <v>50.8</v>
      </c>
      <c r="D556" s="6">
        <f>Table5_110[[#This Row],[Value]]/C4</f>
        <v>5.3270694826031331E-3</v>
      </c>
    </row>
    <row r="557" spans="1:4" x14ac:dyDescent="0.3">
      <c r="A557" s="2" t="s">
        <v>278</v>
      </c>
      <c r="B557" s="2" t="s">
        <v>148</v>
      </c>
      <c r="C557" s="2">
        <v>123.8</v>
      </c>
      <c r="D557" s="6">
        <f>Table5_110[[#This Row],[Value]]/C5</f>
        <v>1.2830877018427543E-2</v>
      </c>
    </row>
    <row r="558" spans="1:4" x14ac:dyDescent="0.3">
      <c r="A558" s="2" t="s">
        <v>278</v>
      </c>
      <c r="B558" s="2" t="s">
        <v>149</v>
      </c>
      <c r="C558" s="2">
        <v>218.2</v>
      </c>
      <c r="D558" s="6">
        <f>Table5_110[[#This Row],[Value]]/C6</f>
        <v>2.1097209599133679E-2</v>
      </c>
    </row>
    <row r="559" spans="1:4" x14ac:dyDescent="0.3">
      <c r="A559" s="2" t="s">
        <v>278</v>
      </c>
      <c r="B559" s="2" t="s">
        <v>150</v>
      </c>
      <c r="C559" s="2">
        <v>49.1</v>
      </c>
      <c r="D559" s="6">
        <f>Table5_110[[#This Row],[Value]]/C7</f>
        <v>3.9584643415727441E-3</v>
      </c>
    </row>
    <row r="560" spans="1:4" x14ac:dyDescent="0.3">
      <c r="A560" s="2" t="s">
        <v>278</v>
      </c>
      <c r="B560" s="2" t="s">
        <v>151</v>
      </c>
      <c r="C560" s="2">
        <v>62.2</v>
      </c>
      <c r="D560" s="6">
        <f>Table5_110[[#This Row],[Value]]/C8</f>
        <v>4.5093376638441016E-3</v>
      </c>
    </row>
    <row r="561" spans="1:4" x14ac:dyDescent="0.3">
      <c r="A561" s="2" t="s">
        <v>278</v>
      </c>
      <c r="B561" s="2" t="s">
        <v>152</v>
      </c>
      <c r="C561" s="2">
        <v>343.8</v>
      </c>
      <c r="D561" s="6">
        <f>Table5_110[[#This Row],[Value]]/C9</f>
        <v>2.2097956035480138E-2</v>
      </c>
    </row>
    <row r="562" spans="1:4" x14ac:dyDescent="0.3">
      <c r="A562" s="2" t="s">
        <v>278</v>
      </c>
      <c r="B562" s="2" t="s">
        <v>153</v>
      </c>
      <c r="C562" s="2">
        <v>336.4</v>
      </c>
      <c r="D562" s="6">
        <f>Table5_110[[#This Row],[Value]]/C10</f>
        <v>1.7331629709009973E-2</v>
      </c>
    </row>
    <row r="563" spans="1:4" x14ac:dyDescent="0.3">
      <c r="A563" s="2" t="s">
        <v>278</v>
      </c>
      <c r="B563" s="2" t="s">
        <v>154</v>
      </c>
      <c r="C563" s="2">
        <v>557.9</v>
      </c>
      <c r="D563" s="6">
        <f>Table5_110[[#This Row],[Value]]/C11</f>
        <v>2.3602826077759445E-2</v>
      </c>
    </row>
    <row r="564" spans="1:4" x14ac:dyDescent="0.3">
      <c r="A564" s="2" t="s">
        <v>278</v>
      </c>
      <c r="B564" s="2" t="s">
        <v>155</v>
      </c>
      <c r="C564" s="2">
        <v>179.7</v>
      </c>
      <c r="D564" s="6">
        <f>Table5_110[[#This Row],[Value]]/C12</f>
        <v>9.2299632239640043E-3</v>
      </c>
    </row>
    <row r="565" spans="1:4" x14ac:dyDescent="0.3">
      <c r="A565" s="2" t="s">
        <v>278</v>
      </c>
      <c r="B565" s="2" t="s">
        <v>156</v>
      </c>
      <c r="C565" s="2">
        <v>377.5</v>
      </c>
      <c r="D565" s="6">
        <f>Table5_110[[#This Row],[Value]]/C13</f>
        <v>1.6050852502232239E-2</v>
      </c>
    </row>
    <row r="566" spans="1:4" x14ac:dyDescent="0.3">
      <c r="A566" s="2" t="s">
        <v>278</v>
      </c>
      <c r="B566" s="2" t="s">
        <v>157</v>
      </c>
      <c r="C566" s="2">
        <v>308.2</v>
      </c>
      <c r="D566" s="6">
        <f>Table5_110[[#This Row],[Value]]/C14</f>
        <v>1.2282848249833611E-2</v>
      </c>
    </row>
    <row r="567" spans="1:4" x14ac:dyDescent="0.3">
      <c r="A567" s="2" t="s">
        <v>278</v>
      </c>
      <c r="B567" s="2" t="s">
        <v>158</v>
      </c>
      <c r="C567" s="2">
        <v>1168.8</v>
      </c>
      <c r="D567" s="6">
        <f>Table5_110[[#This Row],[Value]]/C15</f>
        <v>4.4026412834256824E-2</v>
      </c>
    </row>
    <row r="568" spans="1:4" x14ac:dyDescent="0.3">
      <c r="A568" s="2" t="s">
        <v>278</v>
      </c>
      <c r="B568" s="2" t="s">
        <v>159</v>
      </c>
      <c r="C568" s="2">
        <v>1101.5</v>
      </c>
      <c r="D568" s="6">
        <f>Table5_110[[#This Row],[Value]]/C16</f>
        <v>3.9763620348576958E-2</v>
      </c>
    </row>
    <row r="569" spans="1:4" x14ac:dyDescent="0.3">
      <c r="A569" s="2" t="s">
        <v>278</v>
      </c>
      <c r="B569" s="2" t="s">
        <v>160</v>
      </c>
      <c r="C569" s="2">
        <v>466.3</v>
      </c>
      <c r="D569" s="6">
        <f>Table5_110[[#This Row],[Value]]/C17</f>
        <v>1.6415141498308496E-2</v>
      </c>
    </row>
    <row r="570" spans="1:4" x14ac:dyDescent="0.3">
      <c r="A570" s="2" t="s">
        <v>278</v>
      </c>
      <c r="B570" s="2" t="s">
        <v>107</v>
      </c>
      <c r="C570" s="2">
        <v>248.4</v>
      </c>
      <c r="D570" s="6">
        <f>Table5_110[[#This Row],[Value]]/C18</f>
        <v>8.9976527862296787E-3</v>
      </c>
    </row>
    <row r="571" spans="1:4" x14ac:dyDescent="0.3">
      <c r="A571" s="2" t="s">
        <v>278</v>
      </c>
      <c r="B571" s="2" t="s">
        <v>113</v>
      </c>
      <c r="C571" s="2">
        <v>381.8</v>
      </c>
      <c r="D571" s="6">
        <f>Table5_110[[#This Row],[Value]]/C19</f>
        <v>1.3099747474747476E-2</v>
      </c>
    </row>
    <row r="572" spans="1:4" x14ac:dyDescent="0.3">
      <c r="A572" s="2" t="s">
        <v>278</v>
      </c>
      <c r="B572" s="2" t="s">
        <v>114</v>
      </c>
      <c r="C572" s="2">
        <v>742.2</v>
      </c>
      <c r="D572" s="6">
        <f>Table5_110[[#This Row],[Value]]/C20</f>
        <v>2.1558910842197604E-2</v>
      </c>
    </row>
    <row r="573" spans="1:4" x14ac:dyDescent="0.3">
      <c r="A573" s="2" t="s">
        <v>278</v>
      </c>
      <c r="B573" s="2" t="s">
        <v>115</v>
      </c>
      <c r="C573" s="2">
        <v>399.7</v>
      </c>
      <c r="D573" s="6">
        <f>Table5_110[[#This Row],[Value]]/C21</f>
        <v>9.7517773754861245E-3</v>
      </c>
    </row>
    <row r="574" spans="1:4" x14ac:dyDescent="0.3">
      <c r="A574" s="2" t="s">
        <v>278</v>
      </c>
      <c r="B574" s="2" t="s">
        <v>116</v>
      </c>
      <c r="C574" s="2"/>
      <c r="D574" s="6"/>
    </row>
    <row r="575" spans="1:4" x14ac:dyDescent="0.3">
      <c r="A575" s="2" t="s">
        <v>278</v>
      </c>
      <c r="B575" s="2" t="s">
        <v>117</v>
      </c>
      <c r="C575" s="2"/>
      <c r="D575" s="6"/>
    </row>
    <row r="576" spans="1:4" x14ac:dyDescent="0.3">
      <c r="A576" s="2" t="s">
        <v>278</v>
      </c>
      <c r="B576" s="2" t="s">
        <v>118</v>
      </c>
      <c r="C576" s="2"/>
      <c r="D576" s="6"/>
    </row>
    <row r="577" spans="1:4" x14ac:dyDescent="0.3">
      <c r="A577" s="2" t="s">
        <v>279</v>
      </c>
      <c r="B577" s="2" t="s">
        <v>132</v>
      </c>
      <c r="C577" s="2"/>
      <c r="D577" s="6"/>
    </row>
    <row r="578" spans="1:4" x14ac:dyDescent="0.3">
      <c r="A578" s="2" t="s">
        <v>279</v>
      </c>
      <c r="B578" s="2" t="s">
        <v>146</v>
      </c>
      <c r="C578" s="2">
        <v>434.4</v>
      </c>
      <c r="D578" s="6">
        <f>Table5_110[[#This Row],[Value]]/C3</f>
        <v>5.4267439536278231E-2</v>
      </c>
    </row>
    <row r="579" spans="1:4" x14ac:dyDescent="0.3">
      <c r="A579" s="2" t="s">
        <v>279</v>
      </c>
      <c r="B579" s="2" t="s">
        <v>147</v>
      </c>
      <c r="C579" s="2">
        <v>460</v>
      </c>
      <c r="D579" s="6">
        <f>Table5_110[[#This Row],[Value]]/C4</f>
        <v>4.8237243346406319E-2</v>
      </c>
    </row>
    <row r="580" spans="1:4" x14ac:dyDescent="0.3">
      <c r="A580" s="2" t="s">
        <v>279</v>
      </c>
      <c r="B580" s="2" t="s">
        <v>148</v>
      </c>
      <c r="C580" s="2">
        <v>461.5</v>
      </c>
      <c r="D580" s="6">
        <f>Table5_110[[#This Row],[Value]]/C5</f>
        <v>4.7830773376448393E-2</v>
      </c>
    </row>
    <row r="581" spans="1:4" x14ac:dyDescent="0.3">
      <c r="A581" s="2" t="s">
        <v>279</v>
      </c>
      <c r="B581" s="2" t="s">
        <v>149</v>
      </c>
      <c r="C581" s="2">
        <v>481.8</v>
      </c>
      <c r="D581" s="6">
        <f>Table5_110[[#This Row],[Value]]/C6</f>
        <v>4.6584031094695721E-2</v>
      </c>
    </row>
    <row r="582" spans="1:4" x14ac:dyDescent="0.3">
      <c r="A582" s="2" t="s">
        <v>279</v>
      </c>
      <c r="B582" s="2" t="s">
        <v>150</v>
      </c>
      <c r="C582" s="2">
        <v>729.4</v>
      </c>
      <c r="D582" s="6">
        <f>Table5_110[[#This Row],[Value]]/C7</f>
        <v>5.8804559892936037E-2</v>
      </c>
    </row>
    <row r="583" spans="1:4" x14ac:dyDescent="0.3">
      <c r="A583" s="2" t="s">
        <v>279</v>
      </c>
      <c r="B583" s="2" t="s">
        <v>151</v>
      </c>
      <c r="C583" s="2">
        <v>762.4</v>
      </c>
      <c r="D583" s="6">
        <f>Table5_110[[#This Row],[Value]]/C8</f>
        <v>5.5272010207632519E-2</v>
      </c>
    </row>
    <row r="584" spans="1:4" x14ac:dyDescent="0.3">
      <c r="A584" s="2" t="s">
        <v>279</v>
      </c>
      <c r="B584" s="2" t="s">
        <v>152</v>
      </c>
      <c r="C584" s="2">
        <v>995.4</v>
      </c>
      <c r="D584" s="6">
        <f>Table5_110[[#This Row],[Value]]/C9</f>
        <v>6.3979946008484376E-2</v>
      </c>
    </row>
    <row r="585" spans="1:4" x14ac:dyDescent="0.3">
      <c r="A585" s="2" t="s">
        <v>279</v>
      </c>
      <c r="B585" s="2" t="s">
        <v>153</v>
      </c>
      <c r="C585" s="2">
        <v>1002.8</v>
      </c>
      <c r="D585" s="6">
        <f>Table5_110[[#This Row],[Value]]/C10</f>
        <v>5.1665155387024979E-2</v>
      </c>
    </row>
    <row r="586" spans="1:4" x14ac:dyDescent="0.3">
      <c r="A586" s="2" t="s">
        <v>279</v>
      </c>
      <c r="B586" s="2" t="s">
        <v>154</v>
      </c>
      <c r="C586" s="2">
        <v>1157.5999999999999</v>
      </c>
      <c r="D586" s="6">
        <f>Table5_110[[#This Row],[Value]]/C11</f>
        <v>4.8974066082836228E-2</v>
      </c>
    </row>
    <row r="587" spans="1:4" x14ac:dyDescent="0.3">
      <c r="A587" s="2" t="s">
        <v>279</v>
      </c>
      <c r="B587" s="2" t="s">
        <v>155</v>
      </c>
      <c r="C587" s="2">
        <v>656.2</v>
      </c>
      <c r="D587" s="6">
        <f>Table5_110[[#This Row],[Value]]/C12</f>
        <v>3.3704517905204116E-2</v>
      </c>
    </row>
    <row r="588" spans="1:4" x14ac:dyDescent="0.3">
      <c r="A588" s="2" t="s">
        <v>279</v>
      </c>
      <c r="B588" s="2" t="s">
        <v>156</v>
      </c>
      <c r="C588" s="2">
        <v>912.2</v>
      </c>
      <c r="D588" s="6">
        <f>Table5_110[[#This Row],[Value]]/C13</f>
        <v>3.878566265572516E-2</v>
      </c>
    </row>
    <row r="589" spans="1:4" x14ac:dyDescent="0.3">
      <c r="A589" s="2" t="s">
        <v>279</v>
      </c>
      <c r="B589" s="2" t="s">
        <v>157</v>
      </c>
      <c r="C589" s="2">
        <v>1079.4000000000001</v>
      </c>
      <c r="D589" s="6">
        <f>Table5_110[[#This Row],[Value]]/C14</f>
        <v>4.3017866323395201E-2</v>
      </c>
    </row>
    <row r="590" spans="1:4" x14ac:dyDescent="0.3">
      <c r="A590" s="2" t="s">
        <v>279</v>
      </c>
      <c r="B590" s="2" t="s">
        <v>158</v>
      </c>
      <c r="C590" s="2">
        <v>1150.2</v>
      </c>
      <c r="D590" s="6">
        <f>Table5_110[[#This Row],[Value]]/C15</f>
        <v>4.3325787168003255E-2</v>
      </c>
    </row>
    <row r="591" spans="1:4" x14ac:dyDescent="0.3">
      <c r="A591" s="2" t="s">
        <v>279</v>
      </c>
      <c r="B591" s="2" t="s">
        <v>159</v>
      </c>
      <c r="C591" s="2">
        <v>1304.2</v>
      </c>
      <c r="D591" s="6">
        <f>Table5_110[[#This Row],[Value]]/C16</f>
        <v>4.7080992881174823E-2</v>
      </c>
    </row>
    <row r="592" spans="1:4" x14ac:dyDescent="0.3">
      <c r="A592" s="2" t="s">
        <v>279</v>
      </c>
      <c r="B592" s="2" t="s">
        <v>160</v>
      </c>
      <c r="C592" s="2">
        <v>1006.1</v>
      </c>
      <c r="D592" s="6">
        <f>Table5_110[[#This Row],[Value]]/C17</f>
        <v>3.5417700753695429E-2</v>
      </c>
    </row>
    <row r="593" spans="1:4" x14ac:dyDescent="0.3">
      <c r="A593" s="2" t="s">
        <v>279</v>
      </c>
      <c r="B593" s="2" t="s">
        <v>107</v>
      </c>
      <c r="C593" s="2">
        <v>1372.8</v>
      </c>
      <c r="D593" s="6">
        <f>Table5_110[[#This Row],[Value]]/C18</f>
        <v>4.9726158393462574E-2</v>
      </c>
    </row>
    <row r="594" spans="1:4" x14ac:dyDescent="0.3">
      <c r="A594" s="2" t="s">
        <v>279</v>
      </c>
      <c r="B594" s="2" t="s">
        <v>113</v>
      </c>
      <c r="C594" s="2">
        <v>1019.7</v>
      </c>
      <c r="D594" s="6">
        <f>Table5_110[[#This Row],[Value]]/C19</f>
        <v>3.4986413043478264E-2</v>
      </c>
    </row>
    <row r="595" spans="1:4" x14ac:dyDescent="0.3">
      <c r="A595" s="2" t="s">
        <v>279</v>
      </c>
      <c r="B595" s="2" t="s">
        <v>114</v>
      </c>
      <c r="C595" s="2">
        <v>1305.5</v>
      </c>
      <c r="D595" s="6">
        <f>Table5_110[[#This Row],[Value]]/C20</f>
        <v>3.7921258561693573E-2</v>
      </c>
    </row>
    <row r="596" spans="1:4" x14ac:dyDescent="0.3">
      <c r="A596" s="2" t="s">
        <v>279</v>
      </c>
      <c r="B596" s="2" t="s">
        <v>115</v>
      </c>
      <c r="C596" s="2">
        <v>2056.4</v>
      </c>
      <c r="D596" s="6">
        <f>Table5_110[[#This Row],[Value]]/C21</f>
        <v>5.0171516124467519E-2</v>
      </c>
    </row>
    <row r="597" spans="1:4" x14ac:dyDescent="0.3">
      <c r="A597" s="2" t="s">
        <v>279</v>
      </c>
      <c r="B597" s="2" t="s">
        <v>116</v>
      </c>
      <c r="C597" s="2"/>
      <c r="D597" s="6"/>
    </row>
    <row r="598" spans="1:4" x14ac:dyDescent="0.3">
      <c r="A598" s="2" t="s">
        <v>279</v>
      </c>
      <c r="B598" s="2" t="s">
        <v>117</v>
      </c>
      <c r="C598" s="2"/>
      <c r="D598" s="6"/>
    </row>
    <row r="599" spans="1:4" x14ac:dyDescent="0.3">
      <c r="A599" s="2" t="s">
        <v>279</v>
      </c>
      <c r="B599" s="2" t="s">
        <v>118</v>
      </c>
      <c r="C599" s="2"/>
      <c r="D599" s="6"/>
    </row>
    <row r="600" spans="1:4" x14ac:dyDescent="0.3">
      <c r="A600" s="2" t="s">
        <v>280</v>
      </c>
      <c r="B600" s="2" t="s">
        <v>132</v>
      </c>
      <c r="C600" s="2"/>
      <c r="D600" s="6"/>
    </row>
    <row r="601" spans="1:4" x14ac:dyDescent="0.3">
      <c r="A601" s="2" t="s">
        <v>280</v>
      </c>
      <c r="B601" s="2" t="s">
        <v>146</v>
      </c>
      <c r="C601" s="2">
        <v>194.6</v>
      </c>
      <c r="D601" s="6">
        <f>Table5_110[[#This Row],[Value]]/C3</f>
        <v>2.4310413751748951E-2</v>
      </c>
    </row>
    <row r="602" spans="1:4" x14ac:dyDescent="0.3">
      <c r="A602" s="2" t="s">
        <v>280</v>
      </c>
      <c r="B602" s="2" t="s">
        <v>147</v>
      </c>
      <c r="C602" s="2">
        <v>245.7</v>
      </c>
      <c r="D602" s="6">
        <f>Table5_110[[#This Row],[Value]]/C4</f>
        <v>2.5764979761330506E-2</v>
      </c>
    </row>
    <row r="603" spans="1:4" x14ac:dyDescent="0.3">
      <c r="A603" s="2" t="s">
        <v>280</v>
      </c>
      <c r="B603" s="2" t="s">
        <v>148</v>
      </c>
      <c r="C603" s="2">
        <v>207.4</v>
      </c>
      <c r="D603" s="6">
        <f>Table5_110[[#This Row],[Value]]/C5</f>
        <v>2.149534647513629E-2</v>
      </c>
    </row>
    <row r="604" spans="1:4" x14ac:dyDescent="0.3">
      <c r="A604" s="2" t="s">
        <v>280</v>
      </c>
      <c r="B604" s="2" t="s">
        <v>149</v>
      </c>
      <c r="C604" s="2">
        <v>237.4</v>
      </c>
      <c r="D604" s="6">
        <f>Table5_110[[#This Row],[Value]]/C6</f>
        <v>2.2953609343878714E-2</v>
      </c>
    </row>
    <row r="605" spans="1:4" x14ac:dyDescent="0.3">
      <c r="A605" s="2" t="s">
        <v>280</v>
      </c>
      <c r="B605" s="2" t="s">
        <v>150</v>
      </c>
      <c r="C605" s="2">
        <v>282.7</v>
      </c>
      <c r="D605" s="6">
        <f>Table5_110[[#This Row],[Value]]/C7</f>
        <v>2.279140263467647E-2</v>
      </c>
    </row>
    <row r="606" spans="1:4" x14ac:dyDescent="0.3">
      <c r="A606" s="2" t="s">
        <v>280</v>
      </c>
      <c r="B606" s="2" t="s">
        <v>151</v>
      </c>
      <c r="C606" s="2">
        <v>343.7</v>
      </c>
      <c r="D606" s="6">
        <f>Table5_110[[#This Row],[Value]]/C8</f>
        <v>2.4917352975292888E-2</v>
      </c>
    </row>
    <row r="607" spans="1:4" x14ac:dyDescent="0.3">
      <c r="A607" s="2" t="s">
        <v>280</v>
      </c>
      <c r="B607" s="2" t="s">
        <v>152</v>
      </c>
      <c r="C607" s="2">
        <v>338.4</v>
      </c>
      <c r="D607" s="6">
        <f>Table5_110[[#This Row],[Value]]/C9</f>
        <v>2.1750867720786733E-2</v>
      </c>
    </row>
    <row r="608" spans="1:4" x14ac:dyDescent="0.3">
      <c r="A608" s="2" t="s">
        <v>280</v>
      </c>
      <c r="B608" s="2" t="s">
        <v>153</v>
      </c>
      <c r="C608" s="2">
        <v>495.6</v>
      </c>
      <c r="D608" s="6">
        <f>Table5_110[[#This Row],[Value]]/C10</f>
        <v>2.553375649163301E-2</v>
      </c>
    </row>
    <row r="609" spans="1:4" x14ac:dyDescent="0.3">
      <c r="A609" s="2" t="s">
        <v>280</v>
      </c>
      <c r="B609" s="2" t="s">
        <v>154</v>
      </c>
      <c r="C609" s="2">
        <v>754.7</v>
      </c>
      <c r="D609" s="6">
        <f>Table5_110[[#This Row],[Value]]/C11</f>
        <v>3.1928755764267888E-2</v>
      </c>
    </row>
    <row r="610" spans="1:4" x14ac:dyDescent="0.3">
      <c r="A610" s="2" t="s">
        <v>280</v>
      </c>
      <c r="B610" s="2" t="s">
        <v>155</v>
      </c>
      <c r="C610" s="2">
        <v>619.1</v>
      </c>
      <c r="D610" s="6">
        <f>Table5_110[[#This Row],[Value]]/C12</f>
        <v>3.1798943973044606E-2</v>
      </c>
    </row>
    <row r="611" spans="1:4" x14ac:dyDescent="0.3">
      <c r="A611" s="2" t="s">
        <v>280</v>
      </c>
      <c r="B611" s="2" t="s">
        <v>156</v>
      </c>
      <c r="C611" s="2">
        <v>943.9</v>
      </c>
      <c r="D611" s="6">
        <f>Table5_110[[#This Row],[Value]]/C13</f>
        <v>4.0133509077766909E-2</v>
      </c>
    </row>
    <row r="612" spans="1:4" x14ac:dyDescent="0.3">
      <c r="A612" s="2" t="s">
        <v>280</v>
      </c>
      <c r="B612" s="2" t="s">
        <v>157</v>
      </c>
      <c r="C612" s="2">
        <v>1024</v>
      </c>
      <c r="D612" s="6">
        <f>Table5_110[[#This Row],[Value]]/C14</f>
        <v>4.0809982504314141E-2</v>
      </c>
    </row>
    <row r="613" spans="1:4" x14ac:dyDescent="0.3">
      <c r="A613" s="2" t="s">
        <v>280</v>
      </c>
      <c r="B613" s="2" t="s">
        <v>158</v>
      </c>
      <c r="C613" s="2">
        <v>1125.2</v>
      </c>
      <c r="D613" s="6">
        <f>Table5_110[[#This Row],[Value]]/C15</f>
        <v>4.2384086003683936E-2</v>
      </c>
    </row>
    <row r="614" spans="1:4" x14ac:dyDescent="0.3">
      <c r="A614" s="2" t="s">
        <v>280</v>
      </c>
      <c r="B614" s="2" t="s">
        <v>159</v>
      </c>
      <c r="C614" s="2">
        <v>1188.5</v>
      </c>
      <c r="D614" s="6">
        <f>Table5_110[[#This Row],[Value]]/C16</f>
        <v>4.2904278515010177E-2</v>
      </c>
    </row>
    <row r="615" spans="1:4" x14ac:dyDescent="0.3">
      <c r="A615" s="2" t="s">
        <v>280</v>
      </c>
      <c r="B615" s="2" t="s">
        <v>160</v>
      </c>
      <c r="C615" s="2">
        <v>1208.7</v>
      </c>
      <c r="D615" s="6">
        <f>Table5_110[[#This Row],[Value]]/C17</f>
        <v>4.2549820992934764E-2</v>
      </c>
    </row>
    <row r="616" spans="1:4" x14ac:dyDescent="0.3">
      <c r="A616" s="2" t="s">
        <v>280</v>
      </c>
      <c r="B616" s="2" t="s">
        <v>107</v>
      </c>
      <c r="C616" s="2">
        <v>1225</v>
      </c>
      <c r="D616" s="6">
        <f>Table5_110[[#This Row],[Value]]/C18</f>
        <v>4.4372482540786462E-2</v>
      </c>
    </row>
    <row r="617" spans="1:4" x14ac:dyDescent="0.3">
      <c r="A617" s="2" t="s">
        <v>280</v>
      </c>
      <c r="B617" s="2" t="s">
        <v>113</v>
      </c>
      <c r="C617" s="2">
        <v>1549.2</v>
      </c>
      <c r="D617" s="6">
        <f>Table5_110[[#This Row],[Value]]/C19</f>
        <v>5.3153820816864296E-2</v>
      </c>
    </row>
    <row r="618" spans="1:4" x14ac:dyDescent="0.3">
      <c r="A618" s="2" t="s">
        <v>280</v>
      </c>
      <c r="B618" s="2" t="s">
        <v>114</v>
      </c>
      <c r="C618" s="2">
        <v>2169.8000000000002</v>
      </c>
      <c r="D618" s="6">
        <f>Table5_110[[#This Row],[Value]]/C20</f>
        <v>6.3026845520614883E-2</v>
      </c>
    </row>
    <row r="619" spans="1:4" x14ac:dyDescent="0.3">
      <c r="A619" s="2" t="s">
        <v>280</v>
      </c>
      <c r="B619" s="2" t="s">
        <v>115</v>
      </c>
      <c r="C619" s="2">
        <v>2350.1999999999998</v>
      </c>
      <c r="D619" s="6">
        <f>Table5_110[[#This Row],[Value]]/C21</f>
        <v>5.7339572649155589E-2</v>
      </c>
    </row>
    <row r="620" spans="1:4" x14ac:dyDescent="0.3">
      <c r="A620" s="2" t="s">
        <v>280</v>
      </c>
      <c r="B620" s="2" t="s">
        <v>116</v>
      </c>
      <c r="C620" s="2"/>
      <c r="D620" s="6"/>
    </row>
    <row r="621" spans="1:4" x14ac:dyDescent="0.3">
      <c r="A621" s="2" t="s">
        <v>280</v>
      </c>
      <c r="B621" s="2" t="s">
        <v>117</v>
      </c>
      <c r="C621" s="2"/>
      <c r="D621" s="6"/>
    </row>
    <row r="622" spans="1:4" x14ac:dyDescent="0.3">
      <c r="A622" s="2" t="s">
        <v>280</v>
      </c>
      <c r="B622" s="2" t="s">
        <v>118</v>
      </c>
      <c r="C622" s="2"/>
      <c r="D622" s="6"/>
    </row>
    <row r="623" spans="1:4" x14ac:dyDescent="0.3">
      <c r="A623" s="2" t="s">
        <v>281</v>
      </c>
      <c r="B623" s="2" t="s">
        <v>132</v>
      </c>
      <c r="C623" s="2"/>
      <c r="D623" s="6"/>
    </row>
    <row r="624" spans="1:4" x14ac:dyDescent="0.3">
      <c r="A624" s="2" t="s">
        <v>281</v>
      </c>
      <c r="B624" s="2" t="s">
        <v>146</v>
      </c>
      <c r="C624" s="2">
        <v>296</v>
      </c>
      <c r="D624" s="6">
        <f>Table5_110[[#This Row],[Value]]/C3</f>
        <v>3.6977813312012789E-2</v>
      </c>
    </row>
    <row r="625" spans="1:4" x14ac:dyDescent="0.3">
      <c r="A625" s="2" t="s">
        <v>281</v>
      </c>
      <c r="B625" s="2" t="s">
        <v>147</v>
      </c>
      <c r="C625" s="2">
        <v>435.5</v>
      </c>
      <c r="D625" s="6">
        <f>Table5_110[[#This Row],[Value]]/C4</f>
        <v>4.5668085820347724E-2</v>
      </c>
    </row>
    <row r="626" spans="1:4" x14ac:dyDescent="0.3">
      <c r="A626" s="2" t="s">
        <v>281</v>
      </c>
      <c r="B626" s="2" t="s">
        <v>148</v>
      </c>
      <c r="C626" s="2">
        <v>374.2</v>
      </c>
      <c r="D626" s="6">
        <f>Table5_110[[#This Row],[Value]]/C5</f>
        <v>3.8782828596894886E-2</v>
      </c>
    </row>
    <row r="627" spans="1:4" x14ac:dyDescent="0.3">
      <c r="A627" s="2" t="s">
        <v>281</v>
      </c>
      <c r="B627" s="2" t="s">
        <v>149</v>
      </c>
      <c r="C627" s="2">
        <v>360.5</v>
      </c>
      <c r="D627" s="6">
        <f>Table5_110[[#This Row],[Value]]/C6</f>
        <v>3.4855838957322145E-2</v>
      </c>
    </row>
    <row r="628" spans="1:4" x14ac:dyDescent="0.3">
      <c r="A628" s="2" t="s">
        <v>281</v>
      </c>
      <c r="B628" s="2" t="s">
        <v>150</v>
      </c>
      <c r="C628" s="2">
        <v>499</v>
      </c>
      <c r="D628" s="6">
        <f>Table5_110[[#This Row],[Value]]/C7</f>
        <v>4.0229607055902228E-2</v>
      </c>
    </row>
    <row r="629" spans="1:4" x14ac:dyDescent="0.3">
      <c r="A629" s="2" t="s">
        <v>281</v>
      </c>
      <c r="B629" s="2" t="s">
        <v>151</v>
      </c>
      <c r="C629" s="2">
        <v>651.9</v>
      </c>
      <c r="D629" s="6">
        <f>Table5_110[[#This Row],[Value]]/C8</f>
        <v>4.7261048602250319E-2</v>
      </c>
    </row>
    <row r="630" spans="1:4" x14ac:dyDescent="0.3">
      <c r="A630" s="2" t="s">
        <v>281</v>
      </c>
      <c r="B630" s="2" t="s">
        <v>152</v>
      </c>
      <c r="C630" s="2">
        <v>571.5</v>
      </c>
      <c r="D630" s="6">
        <f>Table5_110[[#This Row],[Value]]/C9</f>
        <v>3.6733513305052062E-2</v>
      </c>
    </row>
    <row r="631" spans="1:4" x14ac:dyDescent="0.3">
      <c r="A631" s="2" t="s">
        <v>281</v>
      </c>
      <c r="B631" s="2" t="s">
        <v>153</v>
      </c>
      <c r="C631" s="2">
        <v>460.1</v>
      </c>
      <c r="D631" s="6">
        <f>Table5_110[[#This Row],[Value]]/C10</f>
        <v>2.3704764652543075E-2</v>
      </c>
    </row>
    <row r="632" spans="1:4" x14ac:dyDescent="0.3">
      <c r="A632" s="2" t="s">
        <v>281</v>
      </c>
      <c r="B632" s="2" t="s">
        <v>154</v>
      </c>
      <c r="C632" s="2">
        <v>731.9</v>
      </c>
      <c r="D632" s="6">
        <f>Table5_110[[#This Row],[Value]]/C11</f>
        <v>3.0964166349367515E-2</v>
      </c>
    </row>
    <row r="633" spans="1:4" x14ac:dyDescent="0.3">
      <c r="A633" s="2" t="s">
        <v>281</v>
      </c>
      <c r="B633" s="2" t="s">
        <v>155</v>
      </c>
      <c r="C633" s="2">
        <v>616.29999999999995</v>
      </c>
      <c r="D633" s="6">
        <f>Table5_110[[#This Row],[Value]]/C12</f>
        <v>3.1655127072504258E-2</v>
      </c>
    </row>
    <row r="634" spans="1:4" x14ac:dyDescent="0.3">
      <c r="A634" s="2" t="s">
        <v>281</v>
      </c>
      <c r="B634" s="2" t="s">
        <v>156</v>
      </c>
      <c r="C634" s="2">
        <v>843.7</v>
      </c>
      <c r="D634" s="6">
        <f>Table5_110[[#This Row],[Value]]/C13</f>
        <v>3.5873123857306857E-2</v>
      </c>
    </row>
    <row r="635" spans="1:4" x14ac:dyDescent="0.3">
      <c r="A635" s="2" t="s">
        <v>281</v>
      </c>
      <c r="B635" s="2" t="s">
        <v>157</v>
      </c>
      <c r="C635" s="2">
        <v>934.6</v>
      </c>
      <c r="D635" s="6">
        <f>Table5_110[[#This Row],[Value]]/C14</f>
        <v>3.724707973489453E-2</v>
      </c>
    </row>
    <row r="636" spans="1:4" x14ac:dyDescent="0.3">
      <c r="A636" s="2" t="s">
        <v>281</v>
      </c>
      <c r="B636" s="2" t="s">
        <v>158</v>
      </c>
      <c r="C636" s="2">
        <v>1098.3</v>
      </c>
      <c r="D636" s="6">
        <f>Table5_110[[#This Row],[Value]]/C15</f>
        <v>4.1370815550876343E-2</v>
      </c>
    </row>
    <row r="637" spans="1:4" x14ac:dyDescent="0.3">
      <c r="A637" s="2" t="s">
        <v>281</v>
      </c>
      <c r="B637" s="2" t="s">
        <v>159</v>
      </c>
      <c r="C637" s="2">
        <v>1165.2</v>
      </c>
      <c r="D637" s="6">
        <f>Table5_110[[#This Row],[Value]]/C16</f>
        <v>4.2063159718712551E-2</v>
      </c>
    </row>
    <row r="638" spans="1:4" x14ac:dyDescent="0.3">
      <c r="A638" s="2" t="s">
        <v>281</v>
      </c>
      <c r="B638" s="2" t="s">
        <v>160</v>
      </c>
      <c r="C638" s="2">
        <v>1290.5</v>
      </c>
      <c r="D638" s="6">
        <f>Table5_110[[#This Row],[Value]]/C17</f>
        <v>4.5429423340268317E-2</v>
      </c>
    </row>
    <row r="639" spans="1:4" x14ac:dyDescent="0.3">
      <c r="A639" s="2" t="s">
        <v>281</v>
      </c>
      <c r="B639" s="2" t="s">
        <v>107</v>
      </c>
      <c r="C639" s="2">
        <v>1256.5</v>
      </c>
      <c r="D639" s="6">
        <f>Table5_110[[#This Row],[Value]]/C18</f>
        <v>4.5513489234692395E-2</v>
      </c>
    </row>
    <row r="640" spans="1:4" x14ac:dyDescent="0.3">
      <c r="A640" s="2" t="s">
        <v>281</v>
      </c>
      <c r="B640" s="2" t="s">
        <v>113</v>
      </c>
      <c r="C640" s="2">
        <v>1470.6</v>
      </c>
      <c r="D640" s="6">
        <f>Table5_110[[#This Row],[Value]]/C19</f>
        <v>5.045701581027668E-2</v>
      </c>
    </row>
    <row r="641" spans="1:4" x14ac:dyDescent="0.3">
      <c r="A641" s="2" t="s">
        <v>281</v>
      </c>
      <c r="B641" s="2" t="s">
        <v>114</v>
      </c>
      <c r="C641" s="2">
        <v>1665</v>
      </c>
      <c r="D641" s="6">
        <f>Table5_110[[#This Row],[Value]]/C20</f>
        <v>4.8363765228050408E-2</v>
      </c>
    </row>
    <row r="642" spans="1:4" x14ac:dyDescent="0.3">
      <c r="A642" s="2" t="s">
        <v>281</v>
      </c>
      <c r="B642" s="2" t="s">
        <v>115</v>
      </c>
      <c r="C642" s="2">
        <v>2334.6</v>
      </c>
      <c r="D642" s="6">
        <f>Table5_110[[#This Row],[Value]]/C21</f>
        <v>5.6958967877933211E-2</v>
      </c>
    </row>
    <row r="643" spans="1:4" x14ac:dyDescent="0.3">
      <c r="A643" s="2" t="s">
        <v>281</v>
      </c>
      <c r="B643" s="2" t="s">
        <v>116</v>
      </c>
      <c r="C643" s="2">
        <v>2912.4</v>
      </c>
      <c r="D643" s="6">
        <f>Table5_110[[#This Row],[Value]]/C22</f>
        <v>6.6409153718812272E-2</v>
      </c>
    </row>
    <row r="644" spans="1:4" x14ac:dyDescent="0.3">
      <c r="A644" s="2" t="s">
        <v>281</v>
      </c>
      <c r="B644" s="2" t="s">
        <v>117</v>
      </c>
      <c r="C644" s="2">
        <v>2297.9</v>
      </c>
      <c r="D644" s="6">
        <f>Table5_110[[#This Row],[Value]]/C23</f>
        <v>5.9368210014493918E-2</v>
      </c>
    </row>
    <row r="645" spans="1:4" x14ac:dyDescent="0.3">
      <c r="A645" s="2" t="s">
        <v>281</v>
      </c>
      <c r="B645" s="2" t="s">
        <v>118</v>
      </c>
      <c r="C645" s="2">
        <v>3013.2</v>
      </c>
      <c r="D645" s="6">
        <f>Table5_110[[#This Row],[Value]]/C24</f>
        <v>6.4585825070411662E-2</v>
      </c>
    </row>
  </sheetData>
  <conditionalFormatting sqref="G1:G1048576">
    <cfRule type="top10" priority="20" rank="5"/>
  </conditionalFormatting>
  <conditionalFormatting sqref="G2:G19">
    <cfRule type="top10" dxfId="21" priority="19" rank="5"/>
  </conditionalFormatting>
  <conditionalFormatting sqref="H2:H19">
    <cfRule type="top10" dxfId="20" priority="18" rank="5"/>
  </conditionalFormatting>
  <conditionalFormatting sqref="I2:I19">
    <cfRule type="top10" dxfId="19" priority="17" rank="5"/>
  </conditionalFormatting>
  <conditionalFormatting sqref="J2:J19">
    <cfRule type="top10" dxfId="18" priority="16" rank="5"/>
  </conditionalFormatting>
  <conditionalFormatting sqref="K2:K19">
    <cfRule type="top10" dxfId="17" priority="15" rank="5"/>
  </conditionalFormatting>
  <conditionalFormatting sqref="L2:L19">
    <cfRule type="top10" dxfId="16" priority="14" rank="5"/>
  </conditionalFormatting>
  <conditionalFormatting sqref="M2:M19">
    <cfRule type="top10" dxfId="15" priority="13" rank="5"/>
  </conditionalFormatting>
  <conditionalFormatting sqref="N2:N19">
    <cfRule type="top10" dxfId="14" priority="12" rank="5"/>
  </conditionalFormatting>
  <conditionalFormatting sqref="O2:O19">
    <cfRule type="top10" dxfId="13" priority="11" rank="5"/>
  </conditionalFormatting>
  <conditionalFormatting sqref="P2:P19">
    <cfRule type="top10" dxfId="12" priority="10" rank="5"/>
  </conditionalFormatting>
  <conditionalFormatting sqref="Q2:Q19">
    <cfRule type="top10" dxfId="11" priority="9" rank="5"/>
  </conditionalFormatting>
  <conditionalFormatting sqref="R2:R19">
    <cfRule type="top10" dxfId="10" priority="8" rank="5"/>
  </conditionalFormatting>
  <conditionalFormatting sqref="S2:S19">
    <cfRule type="top10" dxfId="9" priority="7" rank="5"/>
  </conditionalFormatting>
  <conditionalFormatting sqref="T2:T19">
    <cfRule type="top10" dxfId="8" priority="6" rank="5"/>
  </conditionalFormatting>
  <conditionalFormatting sqref="U2:U19">
    <cfRule type="top10" dxfId="7" priority="5" rank="5"/>
  </conditionalFormatting>
  <conditionalFormatting sqref="V2:V19">
    <cfRule type="top10" dxfId="6" priority="4" rank="5"/>
  </conditionalFormatting>
  <conditionalFormatting sqref="W2:W19">
    <cfRule type="top10" dxfId="5" priority="3" rank="5"/>
  </conditionalFormatting>
  <conditionalFormatting sqref="X2:X19">
    <cfRule type="top10" dxfId="4" priority="2" rank="5"/>
  </conditionalFormatting>
  <conditionalFormatting sqref="Y2:Y19">
    <cfRule type="top10" dxfId="3" priority="1" rank="5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07A25-4CC0-4E24-806B-4D078BA6951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DE5E10-677F-496E-9CDE-1F218321C3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Added Value By Sector</vt:lpstr>
      <vt:lpstr>National Account By Sector</vt:lpstr>
      <vt:lpstr>GDP</vt:lpstr>
      <vt:lpstr>Annual General Balance</vt:lpstr>
      <vt:lpstr>Population</vt:lpstr>
      <vt:lpstr>Unemployment</vt:lpstr>
      <vt:lpstr>Interest Rates</vt:lpstr>
      <vt:lpstr>Inflation</vt:lpstr>
      <vt:lpstr>Budget Deficit</vt:lpstr>
      <vt:lpstr>Exports by Country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Amine Bessaad</dc:creator>
  <cp:lastModifiedBy>Yassine Esaadi</cp:lastModifiedBy>
  <dcterms:created xsi:type="dcterms:W3CDTF">2015-06-05T18:17:20Z</dcterms:created>
  <dcterms:modified xsi:type="dcterms:W3CDTF">2025-12-31T09:54:22Z</dcterms:modified>
</cp:coreProperties>
</file>