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ptek Store\Downloads\"/>
    </mc:Choice>
  </mc:AlternateContent>
  <xr:revisionPtr revIDLastSave="0" documentId="13_ncr:1_{1824512C-D313-44EA-B1B6-7BFC434F684B}" xr6:coauthVersionLast="47" xr6:coauthVersionMax="47" xr10:uidLastSave="{00000000-0000-0000-0000-000000000000}"/>
  <bookViews>
    <workbookView xWindow="28680" yWindow="-120" windowWidth="24240" windowHeight="13020" xr2:uid="{ACE661FB-B8A7-41B3-8EF0-FDC25A7830E3}"/>
  </bookViews>
  <sheets>
    <sheet name="Sheet1" sheetId="1" r:id="rId1"/>
    <sheet name="Sheet2" sheetId="2" r:id="rId2"/>
  </sheets>
  <definedNames>
    <definedName name="solver_adj" localSheetId="0" hidden="1">Sheet1!$AV$6:$BE$6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Sheet1!$AV$10</definedName>
    <definedName name="solver_lhs10" localSheetId="0" hidden="1">Sheet1!$AY$10</definedName>
    <definedName name="solver_lhs11" localSheetId="0" hidden="1">Sheet1!$AY$6</definedName>
    <definedName name="solver_lhs12" localSheetId="0" hidden="1">Sheet1!$AY$9</definedName>
    <definedName name="solver_lhs13" localSheetId="0" hidden="1">Sheet1!$AZ$10</definedName>
    <definedName name="solver_lhs14" localSheetId="0" hidden="1">Sheet1!$AZ$6</definedName>
    <definedName name="solver_lhs15" localSheetId="0" hidden="1">Sheet1!$AZ$9</definedName>
    <definedName name="solver_lhs16" localSheetId="0" hidden="1">Sheet1!$BA$10</definedName>
    <definedName name="solver_lhs17" localSheetId="0" hidden="1">Sheet1!$BA$6</definedName>
    <definedName name="solver_lhs18" localSheetId="0" hidden="1">Sheet1!$BA$9</definedName>
    <definedName name="solver_lhs19" localSheetId="0" hidden="1">Sheet1!$BB$10</definedName>
    <definedName name="solver_lhs2" localSheetId="0" hidden="1">Sheet1!$AV$6</definedName>
    <definedName name="solver_lhs20" localSheetId="0" hidden="1">Sheet1!$BB$6</definedName>
    <definedName name="solver_lhs21" localSheetId="0" hidden="1">Sheet1!$BB$9</definedName>
    <definedName name="solver_lhs22" localSheetId="0" hidden="1">Sheet1!$BC$10</definedName>
    <definedName name="solver_lhs23" localSheetId="0" hidden="1">Sheet1!$BC$6</definedName>
    <definedName name="solver_lhs24" localSheetId="0" hidden="1">Sheet1!$BC$9</definedName>
    <definedName name="solver_lhs25" localSheetId="0" hidden="1">Sheet1!$BD$10</definedName>
    <definedName name="solver_lhs26" localSheetId="0" hidden="1">Sheet1!$BD$6</definedName>
    <definedName name="solver_lhs27" localSheetId="0" hidden="1">Sheet1!$BD$9</definedName>
    <definedName name="solver_lhs28" localSheetId="0" hidden="1">Sheet1!$BE$10</definedName>
    <definedName name="solver_lhs29" localSheetId="0" hidden="1">Sheet1!$BE$6</definedName>
    <definedName name="solver_lhs3" localSheetId="0" hidden="1">Sheet1!$AV$9</definedName>
    <definedName name="solver_lhs30" localSheetId="0" hidden="1">Sheet1!$BE$9</definedName>
    <definedName name="solver_lhs31" localSheetId="0" hidden="1">Sheet1!$BF$9</definedName>
    <definedName name="solver_lhs32" localSheetId="0" hidden="1">Sheet1!$BF$9</definedName>
    <definedName name="solver_lhs4" localSheetId="0" hidden="1">Sheet1!$AW$10</definedName>
    <definedName name="solver_lhs5" localSheetId="0" hidden="1">Sheet1!$AW$6</definedName>
    <definedName name="solver_lhs6" localSheetId="0" hidden="1">Sheet1!$AW$9</definedName>
    <definedName name="solver_lhs7" localSheetId="0" hidden="1">Sheet1!$AX$10</definedName>
    <definedName name="solver_lhs8" localSheetId="0" hidden="1">Sheet1!$AX$6</definedName>
    <definedName name="solver_lhs9" localSheetId="0" hidden="1">Sheet1!$AX$9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31</definedName>
    <definedName name="solver_nwt" localSheetId="0" hidden="1">1</definedName>
    <definedName name="solver_opt" localSheetId="0" hidden="1">Sheet1!$AV$28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el10" localSheetId="0" hidden="1">1</definedName>
    <definedName name="solver_rel11" localSheetId="0" hidden="1">4</definedName>
    <definedName name="solver_rel12" localSheetId="0" hidden="1">3</definedName>
    <definedName name="solver_rel13" localSheetId="0" hidden="1">1</definedName>
    <definedName name="solver_rel14" localSheetId="0" hidden="1">4</definedName>
    <definedName name="solver_rel15" localSheetId="0" hidden="1">3</definedName>
    <definedName name="solver_rel16" localSheetId="0" hidden="1">1</definedName>
    <definedName name="solver_rel17" localSheetId="0" hidden="1">4</definedName>
    <definedName name="solver_rel18" localSheetId="0" hidden="1">3</definedName>
    <definedName name="solver_rel19" localSheetId="0" hidden="1">1</definedName>
    <definedName name="solver_rel2" localSheetId="0" hidden="1">4</definedName>
    <definedName name="solver_rel20" localSheetId="0" hidden="1">4</definedName>
    <definedName name="solver_rel21" localSheetId="0" hidden="1">3</definedName>
    <definedName name="solver_rel22" localSheetId="0" hidden="1">1</definedName>
    <definedName name="solver_rel23" localSheetId="0" hidden="1">4</definedName>
    <definedName name="solver_rel24" localSheetId="0" hidden="1">3</definedName>
    <definedName name="solver_rel25" localSheetId="0" hidden="1">1</definedName>
    <definedName name="solver_rel26" localSheetId="0" hidden="1">4</definedName>
    <definedName name="solver_rel27" localSheetId="0" hidden="1">3</definedName>
    <definedName name="solver_rel28" localSheetId="0" hidden="1">1</definedName>
    <definedName name="solver_rel29" localSheetId="0" hidden="1">4</definedName>
    <definedName name="solver_rel3" localSheetId="0" hidden="1">3</definedName>
    <definedName name="solver_rel30" localSheetId="0" hidden="1">3</definedName>
    <definedName name="solver_rel31" localSheetId="0" hidden="1">1</definedName>
    <definedName name="solver_rel32" localSheetId="0" hidden="1">1</definedName>
    <definedName name="solver_rel4" localSheetId="0" hidden="1">1</definedName>
    <definedName name="solver_rel5" localSheetId="0" hidden="1">4</definedName>
    <definedName name="solver_rel6" localSheetId="0" hidden="1">3</definedName>
    <definedName name="solver_rel7" localSheetId="0" hidden="1">1</definedName>
    <definedName name="solver_rel8" localSheetId="0" hidden="1">4</definedName>
    <definedName name="solver_rel9" localSheetId="0" hidden="1">3</definedName>
    <definedName name="solver_rhs1" localSheetId="0" hidden="1">Sheet1!$AV$8</definedName>
    <definedName name="solver_rhs10" localSheetId="0" hidden="1">Sheet1!$AY$8</definedName>
    <definedName name="solver_rhs11" localSheetId="0" hidden="1">"integer"</definedName>
    <definedName name="solver_rhs12" localSheetId="0" hidden="1">0</definedName>
    <definedName name="solver_rhs13" localSheetId="0" hidden="1">Sheet1!$AZ$8</definedName>
    <definedName name="solver_rhs14" localSheetId="0" hidden="1">"integer"</definedName>
    <definedName name="solver_rhs15" localSheetId="0" hidden="1">0</definedName>
    <definedName name="solver_rhs16" localSheetId="0" hidden="1">Sheet1!$BA$8</definedName>
    <definedName name="solver_rhs17" localSheetId="0" hidden="1">"integer"</definedName>
    <definedName name="solver_rhs18" localSheetId="0" hidden="1">0</definedName>
    <definedName name="solver_rhs19" localSheetId="0" hidden="1">Sheet1!$BB$8</definedName>
    <definedName name="solver_rhs2" localSheetId="0" hidden="1">"integer"</definedName>
    <definedName name="solver_rhs20" localSheetId="0" hidden="1">"integer"</definedName>
    <definedName name="solver_rhs21" localSheetId="0" hidden="1">0</definedName>
    <definedName name="solver_rhs22" localSheetId="0" hidden="1">Sheet1!$BC$8</definedName>
    <definedName name="solver_rhs23" localSheetId="0" hidden="1">"integer"</definedName>
    <definedName name="solver_rhs24" localSheetId="0" hidden="1">0</definedName>
    <definedName name="solver_rhs25" localSheetId="0" hidden="1">Sheet1!$BD$8</definedName>
    <definedName name="solver_rhs26" localSheetId="0" hidden="1">"integer"</definedName>
    <definedName name="solver_rhs27" localSheetId="0" hidden="1">0</definedName>
    <definedName name="solver_rhs28" localSheetId="0" hidden="1">Sheet1!$BE$8</definedName>
    <definedName name="solver_rhs29" localSheetId="0" hidden="1">"integer"</definedName>
    <definedName name="solver_rhs3" localSheetId="0" hidden="1">0</definedName>
    <definedName name="solver_rhs30" localSheetId="0" hidden="1">0</definedName>
    <definedName name="solver_rhs31" localSheetId="0" hidden="1">Sheet1!$AV$2</definedName>
    <definedName name="solver_rhs32" localSheetId="0" hidden="1">Sheet1!$AV$2</definedName>
    <definedName name="solver_rhs4" localSheetId="0" hidden="1">Sheet1!$AW$8</definedName>
    <definedName name="solver_rhs5" localSheetId="0" hidden="1">"integer"</definedName>
    <definedName name="solver_rhs6" localSheetId="0" hidden="1">0</definedName>
    <definedName name="solver_rhs7" localSheetId="0" hidden="1">Sheet1!$AX$8</definedName>
    <definedName name="solver_rhs8" localSheetId="0" hidden="1">"integer"</definedName>
    <definedName name="solver_rhs9" localSheetId="0" hidden="1">0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406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AW9" i="1"/>
  <c r="BE11" i="1" l="1"/>
  <c r="BE8" i="1" s="1"/>
  <c r="BD11" i="1"/>
  <c r="BD8" i="1" s="1"/>
  <c r="BC11" i="1"/>
  <c r="BC8" i="1" s="1"/>
  <c r="BB11" i="1"/>
  <c r="BB8" i="1" s="1"/>
  <c r="BA11" i="1"/>
  <c r="BA8" i="1" s="1"/>
  <c r="AZ11" i="1"/>
  <c r="AZ8" i="1" s="1"/>
  <c r="AY11" i="1"/>
  <c r="AY8" i="1" s="1"/>
  <c r="AX11" i="1"/>
  <c r="AX8" i="1" s="1"/>
  <c r="AW11" i="1"/>
  <c r="AW8" i="1" s="1"/>
  <c r="AV11" i="1"/>
  <c r="AV8" i="1" s="1"/>
  <c r="BE22" i="1"/>
  <c r="BD21" i="1"/>
  <c r="BC20" i="1"/>
  <c r="BB19" i="1"/>
  <c r="BA18" i="1"/>
  <c r="AZ17" i="1"/>
  <c r="AY16" i="1"/>
  <c r="AX15" i="1"/>
  <c r="AW14" i="1"/>
  <c r="AV13" i="1"/>
  <c r="W13" i="2"/>
  <c r="V12" i="2"/>
  <c r="U11" i="2"/>
  <c r="T10" i="2"/>
  <c r="S9" i="2"/>
  <c r="R8" i="2"/>
  <c r="Q7" i="2"/>
  <c r="P6" i="2"/>
  <c r="O5" i="2"/>
  <c r="N4" i="2"/>
  <c r="W25" i="2"/>
  <c r="V24" i="2"/>
  <c r="U23" i="2"/>
  <c r="T22" i="2"/>
  <c r="S21" i="2"/>
  <c r="R20" i="2"/>
  <c r="Q19" i="2"/>
  <c r="P18" i="2"/>
  <c r="O17" i="2"/>
  <c r="N16" i="2"/>
  <c r="AV25" i="1" l="1" a="1"/>
  <c r="AV25" i="1" s="1"/>
  <c r="AV27" i="1" s="1"/>
  <c r="AV29" i="1"/>
  <c r="K7" i="2"/>
  <c r="K15" i="2"/>
  <c r="K23" i="2"/>
  <c r="K31" i="2"/>
  <c r="K39" i="2"/>
  <c r="K47" i="2"/>
  <c r="K55" i="2"/>
  <c r="K63" i="2"/>
  <c r="K71" i="2"/>
  <c r="K79" i="2"/>
  <c r="K87" i="2"/>
  <c r="K95" i="2"/>
  <c r="K103" i="2"/>
  <c r="K111" i="2"/>
  <c r="K119" i="2"/>
  <c r="K127" i="2"/>
  <c r="K135" i="2"/>
  <c r="K143" i="2"/>
  <c r="K151" i="2"/>
  <c r="K159" i="2"/>
  <c r="K167" i="2"/>
  <c r="K175" i="2"/>
  <c r="K183" i="2"/>
  <c r="K191" i="2"/>
  <c r="K199" i="2"/>
  <c r="K207" i="2"/>
  <c r="K215" i="2"/>
  <c r="K223" i="2"/>
  <c r="K231" i="2"/>
  <c r="K239" i="2"/>
  <c r="K247" i="2"/>
  <c r="K255" i="2"/>
  <c r="K263" i="2"/>
  <c r="K271" i="2"/>
  <c r="K279" i="2"/>
  <c r="K287" i="2"/>
  <c r="K295" i="2"/>
  <c r="K303" i="2"/>
  <c r="K311" i="2"/>
  <c r="K319" i="2"/>
  <c r="K327" i="2"/>
  <c r="K335" i="2"/>
  <c r="K343" i="2"/>
  <c r="K351" i="2"/>
  <c r="K359" i="2"/>
  <c r="K367" i="2"/>
  <c r="K375" i="2"/>
  <c r="K383" i="2"/>
  <c r="K391" i="2"/>
  <c r="K399" i="2"/>
  <c r="K407" i="2"/>
  <c r="K415" i="2"/>
  <c r="K423" i="2"/>
  <c r="K431" i="2"/>
  <c r="K439" i="2"/>
  <c r="K447" i="2"/>
  <c r="K455" i="2"/>
  <c r="K463" i="2"/>
  <c r="K471" i="2"/>
  <c r="K479" i="2"/>
  <c r="K487" i="2"/>
  <c r="K495" i="2"/>
  <c r="K503" i="2"/>
  <c r="K511" i="2"/>
  <c r="K519" i="2"/>
  <c r="K527" i="2"/>
  <c r="K535" i="2"/>
  <c r="K543" i="2"/>
  <c r="K551" i="2"/>
  <c r="K559" i="2"/>
  <c r="K567" i="2"/>
  <c r="K575" i="2"/>
  <c r="K583" i="2"/>
  <c r="K591" i="2"/>
  <c r="K599" i="2"/>
  <c r="K607" i="2"/>
  <c r="K615" i="2"/>
  <c r="K623" i="2"/>
  <c r="K631" i="2"/>
  <c r="K639" i="2"/>
  <c r="K647" i="2"/>
  <c r="K655" i="2"/>
  <c r="K663" i="2"/>
  <c r="K671" i="2"/>
  <c r="K8" i="2"/>
  <c r="K16" i="2"/>
  <c r="K24" i="2"/>
  <c r="K32" i="2"/>
  <c r="K40" i="2"/>
  <c r="K48" i="2"/>
  <c r="K56" i="2"/>
  <c r="K64" i="2"/>
  <c r="K72" i="2"/>
  <c r="K80" i="2"/>
  <c r="K88" i="2"/>
  <c r="K96" i="2"/>
  <c r="K104" i="2"/>
  <c r="K112" i="2"/>
  <c r="K120" i="2"/>
  <c r="K128" i="2"/>
  <c r="K136" i="2"/>
  <c r="K144" i="2"/>
  <c r="K152" i="2"/>
  <c r="K160" i="2"/>
  <c r="K168" i="2"/>
  <c r="K176" i="2"/>
  <c r="K184" i="2"/>
  <c r="K192" i="2"/>
  <c r="K200" i="2"/>
  <c r="K208" i="2"/>
  <c r="K216" i="2"/>
  <c r="K224" i="2"/>
  <c r="K232" i="2"/>
  <c r="K240" i="2"/>
  <c r="K248" i="2"/>
  <c r="K256" i="2"/>
  <c r="K264" i="2"/>
  <c r="K272" i="2"/>
  <c r="K280" i="2"/>
  <c r="K288" i="2"/>
  <c r="K296" i="2"/>
  <c r="K304" i="2"/>
  <c r="K312" i="2"/>
  <c r="K320" i="2"/>
  <c r="K328" i="2"/>
  <c r="K336" i="2"/>
  <c r="K344" i="2"/>
  <c r="K352" i="2"/>
  <c r="K360" i="2"/>
  <c r="K368" i="2"/>
  <c r="K376" i="2"/>
  <c r="K384" i="2"/>
  <c r="K392" i="2"/>
  <c r="K400" i="2"/>
  <c r="K408" i="2"/>
  <c r="K416" i="2"/>
  <c r="K424" i="2"/>
  <c r="K432" i="2"/>
  <c r="K440" i="2"/>
  <c r="K448" i="2"/>
  <c r="K456" i="2"/>
  <c r="K464" i="2"/>
  <c r="K472" i="2"/>
  <c r="K480" i="2"/>
  <c r="K488" i="2"/>
  <c r="K496" i="2"/>
  <c r="K504" i="2"/>
  <c r="K512" i="2"/>
  <c r="K520" i="2"/>
  <c r="K528" i="2"/>
  <c r="K536" i="2"/>
  <c r="K544" i="2"/>
  <c r="K552" i="2"/>
  <c r="K560" i="2"/>
  <c r="K568" i="2"/>
  <c r="K576" i="2"/>
  <c r="K584" i="2"/>
  <c r="K592" i="2"/>
  <c r="K600" i="2"/>
  <c r="K608" i="2"/>
  <c r="K616" i="2"/>
  <c r="K624" i="2"/>
  <c r="K632" i="2"/>
  <c r="K640" i="2"/>
  <c r="K648" i="2"/>
  <c r="K656" i="2"/>
  <c r="K664" i="2"/>
  <c r="K672" i="2"/>
  <c r="K9" i="2"/>
  <c r="K17" i="2"/>
  <c r="K25" i="2"/>
  <c r="K33" i="2"/>
  <c r="K41" i="2"/>
  <c r="K49" i="2"/>
  <c r="K57" i="2"/>
  <c r="K65" i="2"/>
  <c r="K73" i="2"/>
  <c r="K81" i="2"/>
  <c r="K89" i="2"/>
  <c r="K97" i="2"/>
  <c r="K105" i="2"/>
  <c r="K113" i="2"/>
  <c r="K121" i="2"/>
  <c r="K129" i="2"/>
  <c r="K137" i="2"/>
  <c r="K145" i="2"/>
  <c r="K153" i="2"/>
  <c r="K161" i="2"/>
  <c r="K169" i="2"/>
  <c r="K177" i="2"/>
  <c r="K185" i="2"/>
  <c r="K193" i="2"/>
  <c r="K201" i="2"/>
  <c r="K209" i="2"/>
  <c r="K217" i="2"/>
  <c r="K225" i="2"/>
  <c r="K233" i="2"/>
  <c r="K241" i="2"/>
  <c r="K249" i="2"/>
  <c r="K257" i="2"/>
  <c r="K265" i="2"/>
  <c r="K273" i="2"/>
  <c r="K281" i="2"/>
  <c r="K289" i="2"/>
  <c r="K297" i="2"/>
  <c r="K305" i="2"/>
  <c r="K313" i="2"/>
  <c r="K321" i="2"/>
  <c r="K329" i="2"/>
  <c r="K337" i="2"/>
  <c r="K345" i="2"/>
  <c r="K353" i="2"/>
  <c r="K361" i="2"/>
  <c r="K369" i="2"/>
  <c r="K377" i="2"/>
  <c r="K385" i="2"/>
  <c r="K393" i="2"/>
  <c r="K401" i="2"/>
  <c r="K409" i="2"/>
  <c r="K417" i="2"/>
  <c r="K425" i="2"/>
  <c r="K433" i="2"/>
  <c r="K441" i="2"/>
  <c r="K449" i="2"/>
  <c r="K457" i="2"/>
  <c r="K465" i="2"/>
  <c r="K473" i="2"/>
  <c r="K481" i="2"/>
  <c r="K489" i="2"/>
  <c r="K497" i="2"/>
  <c r="K505" i="2"/>
  <c r="K513" i="2"/>
  <c r="K521" i="2"/>
  <c r="K529" i="2"/>
  <c r="K537" i="2"/>
  <c r="K545" i="2"/>
  <c r="K553" i="2"/>
  <c r="K561" i="2"/>
  <c r="K569" i="2"/>
  <c r="K577" i="2"/>
  <c r="K585" i="2"/>
  <c r="K593" i="2"/>
  <c r="K601" i="2"/>
  <c r="K609" i="2"/>
  <c r="K617" i="2"/>
  <c r="K625" i="2"/>
  <c r="K633" i="2"/>
  <c r="K641" i="2"/>
  <c r="K649" i="2"/>
  <c r="K657" i="2"/>
  <c r="K665" i="2"/>
  <c r="K673" i="2"/>
  <c r="K681" i="2"/>
  <c r="K5" i="2"/>
  <c r="K13" i="2"/>
  <c r="K21" i="2"/>
  <c r="K29" i="2"/>
  <c r="K37" i="2"/>
  <c r="K45" i="2"/>
  <c r="K53" i="2"/>
  <c r="K61" i="2"/>
  <c r="K69" i="2"/>
  <c r="K77" i="2"/>
  <c r="K85" i="2"/>
  <c r="K93" i="2"/>
  <c r="K101" i="2"/>
  <c r="K109" i="2"/>
  <c r="K117" i="2"/>
  <c r="K125" i="2"/>
  <c r="K133" i="2"/>
  <c r="K141" i="2"/>
  <c r="K149" i="2"/>
  <c r="K157" i="2"/>
  <c r="K165" i="2"/>
  <c r="K173" i="2"/>
  <c r="K181" i="2"/>
  <c r="K189" i="2"/>
  <c r="K197" i="2"/>
  <c r="K205" i="2"/>
  <c r="K213" i="2"/>
  <c r="K221" i="2"/>
  <c r="K229" i="2"/>
  <c r="K237" i="2"/>
  <c r="K245" i="2"/>
  <c r="K253" i="2"/>
  <c r="K261" i="2"/>
  <c r="K269" i="2"/>
  <c r="K14" i="2"/>
  <c r="K30" i="2"/>
  <c r="K46" i="2"/>
  <c r="K62" i="2"/>
  <c r="K78" i="2"/>
  <c r="K94" i="2"/>
  <c r="K110" i="2"/>
  <c r="K126" i="2"/>
  <c r="K142" i="2"/>
  <c r="K158" i="2"/>
  <c r="K174" i="2"/>
  <c r="K190" i="2"/>
  <c r="K206" i="2"/>
  <c r="K222" i="2"/>
  <c r="K238" i="2"/>
  <c r="K254" i="2"/>
  <c r="K270" i="2"/>
  <c r="K284" i="2"/>
  <c r="K298" i="2"/>
  <c r="K309" i="2"/>
  <c r="K323" i="2"/>
  <c r="K334" i="2"/>
  <c r="K348" i="2"/>
  <c r="K362" i="2"/>
  <c r="K373" i="2"/>
  <c r="K387" i="2"/>
  <c r="K398" i="2"/>
  <c r="K412" i="2"/>
  <c r="K426" i="2"/>
  <c r="K437" i="2"/>
  <c r="K451" i="2"/>
  <c r="K462" i="2"/>
  <c r="K476" i="2"/>
  <c r="K490" i="2"/>
  <c r="K501" i="2"/>
  <c r="K515" i="2"/>
  <c r="K526" i="2"/>
  <c r="K540" i="2"/>
  <c r="K554" i="2"/>
  <c r="K565" i="2"/>
  <c r="K579" i="2"/>
  <c r="K590" i="2"/>
  <c r="K604" i="2"/>
  <c r="K618" i="2"/>
  <c r="K629" i="2"/>
  <c r="K643" i="2"/>
  <c r="K654" i="2"/>
  <c r="K668" i="2"/>
  <c r="K679" i="2"/>
  <c r="K688" i="2"/>
  <c r="K18" i="2"/>
  <c r="K50" i="2"/>
  <c r="K66" i="2"/>
  <c r="K98" i="2"/>
  <c r="K130" i="2"/>
  <c r="K162" i="2"/>
  <c r="K178" i="2"/>
  <c r="K210" i="2"/>
  <c r="K258" i="2"/>
  <c r="K274" i="2"/>
  <c r="K299" i="2"/>
  <c r="K324" i="2"/>
  <c r="K363" i="2"/>
  <c r="K388" i="2"/>
  <c r="K402" i="2"/>
  <c r="K427" i="2"/>
  <c r="K452" i="2"/>
  <c r="K477" i="2"/>
  <c r="K502" i="2"/>
  <c r="K530" i="2"/>
  <c r="K555" i="2"/>
  <c r="K580" i="2"/>
  <c r="K605" i="2"/>
  <c r="K630" i="2"/>
  <c r="K658" i="2"/>
  <c r="K680" i="2"/>
  <c r="K277" i="2"/>
  <c r="K341" i="2"/>
  <c r="K380" i="2"/>
  <c r="K419" i="2"/>
  <c r="K444" i="2"/>
  <c r="K483" i="2"/>
  <c r="K522" i="2"/>
  <c r="K558" i="2"/>
  <c r="K597" i="2"/>
  <c r="K636" i="2"/>
  <c r="K675" i="2"/>
  <c r="K42" i="2"/>
  <c r="K34" i="2"/>
  <c r="K82" i="2"/>
  <c r="K114" i="2"/>
  <c r="K146" i="2"/>
  <c r="K194" i="2"/>
  <c r="K226" i="2"/>
  <c r="K242" i="2"/>
  <c r="K285" i="2"/>
  <c r="K310" i="2"/>
  <c r="K338" i="2"/>
  <c r="K349" i="2"/>
  <c r="K374" i="2"/>
  <c r="K413" i="2"/>
  <c r="K438" i="2"/>
  <c r="K466" i="2"/>
  <c r="K491" i="2"/>
  <c r="K516" i="2"/>
  <c r="K541" i="2"/>
  <c r="K566" i="2"/>
  <c r="K594" i="2"/>
  <c r="K619" i="2"/>
  <c r="K644" i="2"/>
  <c r="K669" i="2"/>
  <c r="K262" i="2"/>
  <c r="K316" i="2"/>
  <c r="K355" i="2"/>
  <c r="K394" i="2"/>
  <c r="K430" i="2"/>
  <c r="K469" i="2"/>
  <c r="K508" i="2"/>
  <c r="K547" i="2"/>
  <c r="K586" i="2"/>
  <c r="K622" i="2"/>
  <c r="K650" i="2"/>
  <c r="K26" i="2"/>
  <c r="K19" i="2"/>
  <c r="K35" i="2"/>
  <c r="K51" i="2"/>
  <c r="K67" i="2"/>
  <c r="K83" i="2"/>
  <c r="K99" i="2"/>
  <c r="K115" i="2"/>
  <c r="K131" i="2"/>
  <c r="K147" i="2"/>
  <c r="K163" i="2"/>
  <c r="K179" i="2"/>
  <c r="K195" i="2"/>
  <c r="K211" i="2"/>
  <c r="K227" i="2"/>
  <c r="K243" i="2"/>
  <c r="K259" i="2"/>
  <c r="K275" i="2"/>
  <c r="K286" i="2"/>
  <c r="K300" i="2"/>
  <c r="K314" i="2"/>
  <c r="K325" i="2"/>
  <c r="K339" i="2"/>
  <c r="K350" i="2"/>
  <c r="K364" i="2"/>
  <c r="K378" i="2"/>
  <c r="K389" i="2"/>
  <c r="K403" i="2"/>
  <c r="K414" i="2"/>
  <c r="K428" i="2"/>
  <c r="K442" i="2"/>
  <c r="K453" i="2"/>
  <c r="K467" i="2"/>
  <c r="K478" i="2"/>
  <c r="K492" i="2"/>
  <c r="K506" i="2"/>
  <c r="K517" i="2"/>
  <c r="K531" i="2"/>
  <c r="K542" i="2"/>
  <c r="K556" i="2"/>
  <c r="K570" i="2"/>
  <c r="K581" i="2"/>
  <c r="K595" i="2"/>
  <c r="K606" i="2"/>
  <c r="K620" i="2"/>
  <c r="K634" i="2"/>
  <c r="K645" i="2"/>
  <c r="K659" i="2"/>
  <c r="K670" i="2"/>
  <c r="K682" i="2"/>
  <c r="K4" i="2"/>
  <c r="K20" i="2"/>
  <c r="K36" i="2"/>
  <c r="K52" i="2"/>
  <c r="K68" i="2"/>
  <c r="K84" i="2"/>
  <c r="K100" i="2"/>
  <c r="K116" i="2"/>
  <c r="K132" i="2"/>
  <c r="K148" i="2"/>
  <c r="K164" i="2"/>
  <c r="K180" i="2"/>
  <c r="K196" i="2"/>
  <c r="K212" i="2"/>
  <c r="K228" i="2"/>
  <c r="K244" i="2"/>
  <c r="K260" i="2"/>
  <c r="K276" i="2"/>
  <c r="K290" i="2"/>
  <c r="K301" i="2"/>
  <c r="K315" i="2"/>
  <c r="K326" i="2"/>
  <c r="K340" i="2"/>
  <c r="K354" i="2"/>
  <c r="K365" i="2"/>
  <c r="K379" i="2"/>
  <c r="K390" i="2"/>
  <c r="K404" i="2"/>
  <c r="K418" i="2"/>
  <c r="K429" i="2"/>
  <c r="K443" i="2"/>
  <c r="K454" i="2"/>
  <c r="K468" i="2"/>
  <c r="K482" i="2"/>
  <c r="K493" i="2"/>
  <c r="K507" i="2"/>
  <c r="K518" i="2"/>
  <c r="K532" i="2"/>
  <c r="K546" i="2"/>
  <c r="K557" i="2"/>
  <c r="K571" i="2"/>
  <c r="K582" i="2"/>
  <c r="K596" i="2"/>
  <c r="K610" i="2"/>
  <c r="K621" i="2"/>
  <c r="K635" i="2"/>
  <c r="K646" i="2"/>
  <c r="K660" i="2"/>
  <c r="K674" i="2"/>
  <c r="K683" i="2"/>
  <c r="K6" i="2"/>
  <c r="K22" i="2"/>
  <c r="K38" i="2"/>
  <c r="K54" i="2"/>
  <c r="K70" i="2"/>
  <c r="K86" i="2"/>
  <c r="K102" i="2"/>
  <c r="K118" i="2"/>
  <c r="K134" i="2"/>
  <c r="K150" i="2"/>
  <c r="K166" i="2"/>
  <c r="K182" i="2"/>
  <c r="K198" i="2"/>
  <c r="K214" i="2"/>
  <c r="K230" i="2"/>
  <c r="K246" i="2"/>
  <c r="K291" i="2"/>
  <c r="K302" i="2"/>
  <c r="K330" i="2"/>
  <c r="K366" i="2"/>
  <c r="K405" i="2"/>
  <c r="K458" i="2"/>
  <c r="K494" i="2"/>
  <c r="K533" i="2"/>
  <c r="K572" i="2"/>
  <c r="K611" i="2"/>
  <c r="K661" i="2"/>
  <c r="K684" i="2"/>
  <c r="K10" i="2"/>
  <c r="K58" i="2"/>
  <c r="K74" i="2"/>
  <c r="K90" i="2"/>
  <c r="K11" i="2"/>
  <c r="K27" i="2"/>
  <c r="K43" i="2"/>
  <c r="K59" i="2"/>
  <c r="K75" i="2"/>
  <c r="K91" i="2"/>
  <c r="K107" i="2"/>
  <c r="K123" i="2"/>
  <c r="K139" i="2"/>
  <c r="K155" i="2"/>
  <c r="K171" i="2"/>
  <c r="K187" i="2"/>
  <c r="K203" i="2"/>
  <c r="K219" i="2"/>
  <c r="K235" i="2"/>
  <c r="K251" i="2"/>
  <c r="K267" i="2"/>
  <c r="K282" i="2"/>
  <c r="K293" i="2"/>
  <c r="K307" i="2"/>
  <c r="K318" i="2"/>
  <c r="K332" i="2"/>
  <c r="K346" i="2"/>
  <c r="K357" i="2"/>
  <c r="K371" i="2"/>
  <c r="K382" i="2"/>
  <c r="K396" i="2"/>
  <c r="K410" i="2"/>
  <c r="K421" i="2"/>
  <c r="K435" i="2"/>
  <c r="K446" i="2"/>
  <c r="K460" i="2"/>
  <c r="K474" i="2"/>
  <c r="K485" i="2"/>
  <c r="K499" i="2"/>
  <c r="K510" i="2"/>
  <c r="K524" i="2"/>
  <c r="K538" i="2"/>
  <c r="K549" i="2"/>
  <c r="K563" i="2"/>
  <c r="K574" i="2"/>
  <c r="K588" i="2"/>
  <c r="K602" i="2"/>
  <c r="K613" i="2"/>
  <c r="K627" i="2"/>
  <c r="K638" i="2"/>
  <c r="K652" i="2"/>
  <c r="K666" i="2"/>
  <c r="K677" i="2"/>
  <c r="K686" i="2"/>
  <c r="K12" i="2"/>
  <c r="K28" i="2"/>
  <c r="K44" i="2"/>
  <c r="K60" i="2"/>
  <c r="K76" i="2"/>
  <c r="K92" i="2"/>
  <c r="K108" i="2"/>
  <c r="K124" i="2"/>
  <c r="K140" i="2"/>
  <c r="K156" i="2"/>
  <c r="K172" i="2"/>
  <c r="K188" i="2"/>
  <c r="K204" i="2"/>
  <c r="K220" i="2"/>
  <c r="K236" i="2"/>
  <c r="K252" i="2"/>
  <c r="K268" i="2"/>
  <c r="K283" i="2"/>
  <c r="K294" i="2"/>
  <c r="K308" i="2"/>
  <c r="K322" i="2"/>
  <c r="K333" i="2"/>
  <c r="K347" i="2"/>
  <c r="K358" i="2"/>
  <c r="K372" i="2"/>
  <c r="K386" i="2"/>
  <c r="K397" i="2"/>
  <c r="K411" i="2"/>
  <c r="K422" i="2"/>
  <c r="K436" i="2"/>
  <c r="K450" i="2"/>
  <c r="K461" i="2"/>
  <c r="K475" i="2"/>
  <c r="K486" i="2"/>
  <c r="K202" i="2"/>
  <c r="K317" i="2"/>
  <c r="K420" i="2"/>
  <c r="K509" i="2"/>
  <c r="K562" i="2"/>
  <c r="K612" i="2"/>
  <c r="K662" i="2"/>
  <c r="K250" i="2"/>
  <c r="K578" i="2"/>
  <c r="K138" i="2"/>
  <c r="K534" i="2"/>
  <c r="K685" i="2"/>
  <c r="K381" i="2"/>
  <c r="K589" i="2"/>
  <c r="K500" i="2"/>
  <c r="K218" i="2"/>
  <c r="K331" i="2"/>
  <c r="K434" i="2"/>
  <c r="K514" i="2"/>
  <c r="K564" i="2"/>
  <c r="K614" i="2"/>
  <c r="K667" i="2"/>
  <c r="K122" i="2"/>
  <c r="K459" i="2"/>
  <c r="K628" i="2"/>
  <c r="K266" i="2"/>
  <c r="K470" i="2"/>
  <c r="K637" i="2"/>
  <c r="K278" i="2"/>
  <c r="K484" i="2"/>
  <c r="K642" i="2"/>
  <c r="K603" i="2"/>
  <c r="K106" i="2"/>
  <c r="K234" i="2"/>
  <c r="K342" i="2"/>
  <c r="K445" i="2"/>
  <c r="K523" i="2"/>
  <c r="K573" i="2"/>
  <c r="K626" i="2"/>
  <c r="K676" i="2"/>
  <c r="K356" i="2"/>
  <c r="K525" i="2"/>
  <c r="K678" i="2"/>
  <c r="K370" i="2"/>
  <c r="K587" i="2"/>
  <c r="K154" i="2"/>
  <c r="K539" i="2"/>
  <c r="K687" i="2"/>
  <c r="K653" i="2"/>
  <c r="K170" i="2"/>
  <c r="K292" i="2"/>
  <c r="K395" i="2"/>
  <c r="K498" i="2"/>
  <c r="K548" i="2"/>
  <c r="K598" i="2"/>
  <c r="K651" i="2"/>
  <c r="K186" i="2"/>
  <c r="K306" i="2"/>
  <c r="K406" i="2"/>
  <c r="K550" i="2"/>
  <c r="AV26" i="1" l="1"/>
  <c r="AV28" i="1" s="1"/>
  <c r="AX9" i="1" l="1"/>
  <c r="AY9" i="1"/>
  <c r="AZ9" i="1"/>
  <c r="BA9" i="1"/>
  <c r="BB9" i="1"/>
  <c r="BC9" i="1"/>
  <c r="BD9" i="1"/>
  <c r="BE9" i="1"/>
  <c r="AV9" i="1"/>
  <c r="AL11" i="1"/>
  <c r="BF9" i="1" l="1"/>
  <c r="AV10" i="1" s="1"/>
  <c r="AP8" i="1"/>
  <c r="AP9" i="1" s="1"/>
  <c r="AP6" i="1"/>
  <c r="AP7" i="1" s="1"/>
  <c r="AZ10" i="1" l="1"/>
  <c r="AY10" i="1"/>
  <c r="BC10" i="1"/>
  <c r="BE10" i="1"/>
  <c r="AX10" i="1"/>
  <c r="BB10" i="1"/>
  <c r="BD10" i="1"/>
  <c r="AW10" i="1"/>
  <c r="BA10" i="1"/>
  <c r="AP10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U708" i="1"/>
  <c r="U707" i="1"/>
  <c r="U706" i="1"/>
  <c r="U705" i="1"/>
  <c r="U704" i="1"/>
  <c r="U703" i="1"/>
  <c r="U702" i="1"/>
  <c r="U701" i="1"/>
  <c r="U700" i="1"/>
  <c r="U699" i="1"/>
  <c r="U698" i="1"/>
  <c r="U697" i="1"/>
  <c r="U696" i="1"/>
  <c r="U695" i="1"/>
  <c r="U694" i="1"/>
  <c r="U693" i="1"/>
  <c r="U692" i="1"/>
  <c r="U691" i="1"/>
  <c r="U690" i="1"/>
  <c r="U689" i="1"/>
  <c r="U688" i="1"/>
  <c r="U687" i="1"/>
  <c r="U686" i="1"/>
  <c r="U685" i="1"/>
  <c r="U684" i="1"/>
  <c r="U683" i="1"/>
  <c r="U682" i="1"/>
  <c r="U681" i="1"/>
  <c r="U680" i="1"/>
  <c r="U679" i="1"/>
  <c r="U678" i="1"/>
  <c r="U677" i="1"/>
  <c r="U676" i="1"/>
  <c r="U675" i="1"/>
  <c r="U674" i="1"/>
  <c r="U673" i="1"/>
  <c r="U672" i="1"/>
  <c r="U671" i="1"/>
  <c r="U670" i="1"/>
  <c r="U669" i="1"/>
  <c r="U668" i="1"/>
  <c r="U667" i="1"/>
  <c r="U666" i="1"/>
  <c r="U665" i="1"/>
  <c r="U664" i="1"/>
  <c r="U663" i="1"/>
  <c r="U662" i="1"/>
  <c r="U661" i="1"/>
  <c r="U660" i="1"/>
  <c r="U659" i="1"/>
  <c r="U658" i="1"/>
  <c r="U657" i="1"/>
  <c r="U656" i="1"/>
  <c r="U655" i="1"/>
  <c r="U654" i="1"/>
  <c r="U653" i="1"/>
  <c r="U652" i="1"/>
  <c r="U651" i="1"/>
  <c r="U650" i="1"/>
  <c r="U649" i="1"/>
  <c r="U648" i="1"/>
  <c r="U647" i="1"/>
  <c r="U646" i="1"/>
  <c r="U645" i="1"/>
  <c r="U644" i="1"/>
  <c r="U643" i="1"/>
  <c r="U642" i="1"/>
  <c r="U641" i="1"/>
  <c r="U640" i="1"/>
  <c r="U639" i="1"/>
  <c r="U638" i="1"/>
  <c r="U637" i="1"/>
  <c r="U636" i="1"/>
  <c r="U635" i="1"/>
  <c r="U634" i="1"/>
  <c r="U633" i="1"/>
  <c r="U632" i="1"/>
  <c r="U631" i="1"/>
  <c r="U630" i="1"/>
  <c r="U629" i="1"/>
  <c r="U628" i="1"/>
  <c r="U627" i="1"/>
  <c r="U626" i="1"/>
  <c r="U625" i="1"/>
  <c r="U624" i="1"/>
  <c r="U623" i="1"/>
  <c r="U622" i="1"/>
  <c r="U621" i="1"/>
  <c r="U620" i="1"/>
  <c r="U619" i="1"/>
  <c r="U618" i="1"/>
  <c r="U617" i="1"/>
  <c r="U616" i="1"/>
  <c r="U615" i="1"/>
  <c r="U614" i="1"/>
  <c r="U613" i="1"/>
  <c r="U612" i="1"/>
  <c r="U611" i="1"/>
  <c r="U610" i="1"/>
  <c r="U609" i="1"/>
  <c r="U608" i="1"/>
  <c r="U607" i="1"/>
  <c r="U606" i="1"/>
  <c r="U605" i="1"/>
  <c r="U604" i="1"/>
  <c r="U603" i="1"/>
  <c r="U602" i="1"/>
  <c r="U601" i="1"/>
  <c r="U600" i="1"/>
  <c r="U599" i="1"/>
  <c r="U598" i="1"/>
  <c r="U597" i="1"/>
  <c r="U596" i="1"/>
  <c r="U595" i="1"/>
  <c r="U594" i="1"/>
  <c r="U593" i="1"/>
  <c r="U592" i="1"/>
  <c r="U591" i="1"/>
  <c r="U590" i="1"/>
  <c r="U589" i="1"/>
  <c r="U588" i="1"/>
  <c r="U587" i="1"/>
  <c r="U586" i="1"/>
  <c r="U585" i="1"/>
  <c r="U584" i="1"/>
  <c r="U583" i="1"/>
  <c r="U582" i="1"/>
  <c r="U581" i="1"/>
  <c r="U580" i="1"/>
  <c r="U579" i="1"/>
  <c r="U578" i="1"/>
  <c r="U577" i="1"/>
  <c r="U576" i="1"/>
  <c r="U575" i="1"/>
  <c r="U574" i="1"/>
  <c r="U573" i="1"/>
  <c r="U572" i="1"/>
  <c r="U571" i="1"/>
  <c r="U570" i="1"/>
  <c r="U569" i="1"/>
  <c r="U568" i="1"/>
  <c r="U567" i="1"/>
  <c r="U566" i="1"/>
  <c r="U565" i="1"/>
  <c r="U564" i="1"/>
  <c r="U563" i="1"/>
  <c r="U562" i="1"/>
  <c r="U561" i="1"/>
  <c r="U560" i="1"/>
  <c r="U559" i="1"/>
  <c r="U558" i="1"/>
  <c r="U557" i="1"/>
  <c r="U556" i="1"/>
  <c r="U555" i="1"/>
  <c r="U554" i="1"/>
  <c r="U553" i="1"/>
  <c r="U552" i="1"/>
  <c r="U551" i="1"/>
  <c r="U550" i="1"/>
  <c r="U549" i="1"/>
  <c r="U548" i="1"/>
  <c r="U547" i="1"/>
  <c r="U546" i="1"/>
  <c r="U545" i="1"/>
  <c r="U544" i="1"/>
  <c r="U543" i="1"/>
  <c r="U542" i="1"/>
  <c r="U541" i="1"/>
  <c r="U540" i="1"/>
  <c r="U539" i="1"/>
  <c r="U538" i="1"/>
  <c r="U537" i="1"/>
  <c r="U536" i="1"/>
  <c r="U535" i="1"/>
  <c r="U534" i="1"/>
  <c r="U533" i="1"/>
  <c r="U532" i="1"/>
  <c r="U531" i="1"/>
  <c r="U530" i="1"/>
  <c r="U529" i="1"/>
  <c r="U528" i="1"/>
  <c r="U527" i="1"/>
  <c r="U526" i="1"/>
  <c r="U525" i="1"/>
  <c r="U524" i="1"/>
  <c r="U523" i="1"/>
  <c r="U522" i="1"/>
  <c r="U521" i="1"/>
  <c r="U520" i="1"/>
  <c r="U519" i="1"/>
  <c r="U518" i="1"/>
  <c r="U517" i="1"/>
  <c r="U516" i="1"/>
  <c r="U515" i="1"/>
  <c r="U514" i="1"/>
  <c r="U513" i="1"/>
  <c r="U512" i="1"/>
  <c r="U511" i="1"/>
  <c r="U510" i="1"/>
  <c r="U509" i="1"/>
  <c r="U508" i="1"/>
  <c r="U507" i="1"/>
  <c r="U506" i="1"/>
  <c r="U505" i="1"/>
  <c r="U504" i="1"/>
  <c r="U503" i="1"/>
  <c r="U502" i="1"/>
  <c r="U501" i="1"/>
  <c r="U500" i="1"/>
  <c r="U499" i="1"/>
  <c r="U498" i="1"/>
  <c r="U497" i="1"/>
  <c r="U496" i="1"/>
  <c r="U495" i="1"/>
  <c r="U494" i="1"/>
  <c r="U493" i="1"/>
  <c r="U492" i="1"/>
  <c r="U491" i="1"/>
  <c r="U490" i="1"/>
  <c r="U489" i="1"/>
  <c r="U488" i="1"/>
  <c r="U487" i="1"/>
  <c r="U486" i="1"/>
  <c r="U485" i="1"/>
  <c r="U484" i="1"/>
  <c r="U483" i="1"/>
  <c r="U482" i="1"/>
  <c r="U481" i="1"/>
  <c r="U480" i="1"/>
  <c r="U479" i="1"/>
  <c r="U478" i="1"/>
  <c r="U477" i="1"/>
  <c r="U476" i="1"/>
  <c r="U475" i="1"/>
  <c r="U474" i="1"/>
  <c r="U473" i="1"/>
  <c r="U472" i="1"/>
  <c r="U471" i="1"/>
  <c r="U470" i="1"/>
  <c r="U469" i="1"/>
  <c r="U468" i="1"/>
  <c r="U467" i="1"/>
  <c r="U466" i="1"/>
  <c r="U465" i="1"/>
  <c r="U464" i="1"/>
  <c r="U463" i="1"/>
  <c r="U462" i="1"/>
  <c r="U461" i="1"/>
  <c r="U460" i="1"/>
  <c r="U459" i="1"/>
  <c r="U458" i="1"/>
  <c r="U457" i="1"/>
  <c r="U456" i="1"/>
  <c r="U455" i="1"/>
  <c r="U454" i="1"/>
  <c r="U453" i="1"/>
  <c r="U452" i="1"/>
  <c r="U451" i="1"/>
  <c r="U450" i="1"/>
  <c r="U449" i="1"/>
  <c r="U448" i="1"/>
  <c r="U447" i="1"/>
  <c r="U446" i="1"/>
  <c r="U445" i="1"/>
  <c r="U444" i="1"/>
  <c r="U443" i="1"/>
  <c r="U442" i="1"/>
  <c r="U441" i="1"/>
  <c r="U440" i="1"/>
  <c r="U439" i="1"/>
  <c r="U438" i="1"/>
  <c r="U437" i="1"/>
  <c r="U436" i="1"/>
  <c r="U435" i="1"/>
  <c r="U434" i="1"/>
  <c r="U433" i="1"/>
  <c r="U432" i="1"/>
  <c r="U431" i="1"/>
  <c r="U430" i="1"/>
  <c r="U429" i="1"/>
  <c r="U428" i="1"/>
  <c r="U427" i="1"/>
  <c r="U426" i="1"/>
  <c r="U425" i="1"/>
  <c r="U424" i="1"/>
  <c r="U423" i="1"/>
  <c r="U422" i="1"/>
  <c r="U421" i="1"/>
  <c r="U420" i="1"/>
  <c r="U419" i="1"/>
  <c r="U418" i="1"/>
  <c r="U417" i="1"/>
  <c r="U416" i="1"/>
  <c r="U415" i="1"/>
  <c r="U414" i="1"/>
  <c r="U413" i="1"/>
  <c r="U412" i="1"/>
  <c r="U411" i="1"/>
  <c r="U410" i="1"/>
  <c r="U409" i="1"/>
  <c r="U408" i="1"/>
  <c r="U407" i="1"/>
  <c r="U406" i="1"/>
  <c r="U405" i="1"/>
  <c r="U404" i="1"/>
  <c r="U403" i="1"/>
  <c r="U402" i="1"/>
  <c r="U401" i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8" i="1"/>
  <c r="U387" i="1"/>
  <c r="U386" i="1"/>
  <c r="U385" i="1"/>
  <c r="U384" i="1"/>
  <c r="U383" i="1"/>
  <c r="U382" i="1"/>
  <c r="U381" i="1"/>
  <c r="U380" i="1"/>
  <c r="U379" i="1"/>
  <c r="U378" i="1"/>
  <c r="U377" i="1"/>
  <c r="U376" i="1"/>
  <c r="U375" i="1"/>
  <c r="U374" i="1"/>
  <c r="U373" i="1"/>
  <c r="U372" i="1"/>
  <c r="U371" i="1"/>
  <c r="U370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Y708" i="1"/>
  <c r="Y707" i="1"/>
  <c r="Y706" i="1"/>
  <c r="Y705" i="1"/>
  <c r="Y704" i="1"/>
  <c r="Y703" i="1"/>
  <c r="Y702" i="1"/>
  <c r="Y701" i="1"/>
  <c r="Y700" i="1"/>
  <c r="Y699" i="1"/>
  <c r="Y698" i="1"/>
  <c r="Y697" i="1"/>
  <c r="Y696" i="1"/>
  <c r="Y695" i="1"/>
  <c r="Y694" i="1"/>
  <c r="Y693" i="1"/>
  <c r="Y692" i="1"/>
  <c r="Y691" i="1"/>
  <c r="Y690" i="1"/>
  <c r="Y689" i="1"/>
  <c r="Y688" i="1"/>
  <c r="Y687" i="1"/>
  <c r="Y686" i="1"/>
  <c r="Y685" i="1"/>
  <c r="Y684" i="1"/>
  <c r="Y683" i="1"/>
  <c r="Y682" i="1"/>
  <c r="Y681" i="1"/>
  <c r="Y680" i="1"/>
  <c r="Y679" i="1"/>
  <c r="Y678" i="1"/>
  <c r="Y677" i="1"/>
  <c r="Y676" i="1"/>
  <c r="Y675" i="1"/>
  <c r="Y674" i="1"/>
  <c r="Y673" i="1"/>
  <c r="Y672" i="1"/>
  <c r="Y671" i="1"/>
  <c r="Y670" i="1"/>
  <c r="Y669" i="1"/>
  <c r="Y668" i="1"/>
  <c r="Y667" i="1"/>
  <c r="Y666" i="1"/>
  <c r="Y665" i="1"/>
  <c r="Y664" i="1"/>
  <c r="Y663" i="1"/>
  <c r="Y662" i="1"/>
  <c r="Y661" i="1"/>
  <c r="Y660" i="1"/>
  <c r="Y659" i="1"/>
  <c r="Y658" i="1"/>
  <c r="Y657" i="1"/>
  <c r="Y656" i="1"/>
  <c r="Y655" i="1"/>
  <c r="Y654" i="1"/>
  <c r="Y653" i="1"/>
  <c r="Y652" i="1"/>
  <c r="Y651" i="1"/>
  <c r="Y650" i="1"/>
  <c r="Y649" i="1"/>
  <c r="Y648" i="1"/>
  <c r="Y647" i="1"/>
  <c r="Y646" i="1"/>
  <c r="Y645" i="1"/>
  <c r="Y644" i="1"/>
  <c r="Y643" i="1"/>
  <c r="Y642" i="1"/>
  <c r="Y641" i="1"/>
  <c r="Y640" i="1"/>
  <c r="Y639" i="1"/>
  <c r="Y638" i="1"/>
  <c r="Y637" i="1"/>
  <c r="Y636" i="1"/>
  <c r="Y635" i="1"/>
  <c r="Y634" i="1"/>
  <c r="Y633" i="1"/>
  <c r="Y632" i="1"/>
  <c r="Y631" i="1"/>
  <c r="Y630" i="1"/>
  <c r="Y629" i="1"/>
  <c r="Y628" i="1"/>
  <c r="Y627" i="1"/>
  <c r="Y626" i="1"/>
  <c r="Y625" i="1"/>
  <c r="Y624" i="1"/>
  <c r="Y623" i="1"/>
  <c r="Y622" i="1"/>
  <c r="Y621" i="1"/>
  <c r="Y620" i="1"/>
  <c r="Y619" i="1"/>
  <c r="Y618" i="1"/>
  <c r="Y617" i="1"/>
  <c r="Y616" i="1"/>
  <c r="Y615" i="1"/>
  <c r="Y614" i="1"/>
  <c r="Y613" i="1"/>
  <c r="Y612" i="1"/>
  <c r="Y611" i="1"/>
  <c r="Y610" i="1"/>
  <c r="Y609" i="1"/>
  <c r="Y608" i="1"/>
  <c r="Y607" i="1"/>
  <c r="Y606" i="1"/>
  <c r="Y605" i="1"/>
  <c r="Y604" i="1"/>
  <c r="Y603" i="1"/>
  <c r="Y602" i="1"/>
  <c r="Y601" i="1"/>
  <c r="Y600" i="1"/>
  <c r="Y599" i="1"/>
  <c r="Y598" i="1"/>
  <c r="Y597" i="1"/>
  <c r="Y596" i="1"/>
  <c r="Y595" i="1"/>
  <c r="Y594" i="1"/>
  <c r="Y593" i="1"/>
  <c r="Y592" i="1"/>
  <c r="Y591" i="1"/>
  <c r="Y590" i="1"/>
  <c r="Y589" i="1"/>
  <c r="Y588" i="1"/>
  <c r="Y587" i="1"/>
  <c r="Y586" i="1"/>
  <c r="Y585" i="1"/>
  <c r="Y584" i="1"/>
  <c r="Y583" i="1"/>
  <c r="Y582" i="1"/>
  <c r="Y581" i="1"/>
  <c r="Y580" i="1"/>
  <c r="Y579" i="1"/>
  <c r="Y578" i="1"/>
  <c r="Y577" i="1"/>
  <c r="Y576" i="1"/>
  <c r="Y575" i="1"/>
  <c r="Y574" i="1"/>
  <c r="Y573" i="1"/>
  <c r="Y572" i="1"/>
  <c r="Y571" i="1"/>
  <c r="Y570" i="1"/>
  <c r="Y569" i="1"/>
  <c r="Y568" i="1"/>
  <c r="Y567" i="1"/>
  <c r="Y566" i="1"/>
  <c r="Y565" i="1"/>
  <c r="Y564" i="1"/>
  <c r="Y563" i="1"/>
  <c r="Y562" i="1"/>
  <c r="Y561" i="1"/>
  <c r="Y560" i="1"/>
  <c r="Y559" i="1"/>
  <c r="Y558" i="1"/>
  <c r="Y557" i="1"/>
  <c r="Y556" i="1"/>
  <c r="Y555" i="1"/>
  <c r="Y554" i="1"/>
  <c r="Y553" i="1"/>
  <c r="Y552" i="1"/>
  <c r="Y551" i="1"/>
  <c r="Y550" i="1"/>
  <c r="Y549" i="1"/>
  <c r="Y548" i="1"/>
  <c r="Y547" i="1"/>
  <c r="Y546" i="1"/>
  <c r="Y545" i="1"/>
  <c r="Y544" i="1"/>
  <c r="Y543" i="1"/>
  <c r="Y542" i="1"/>
  <c r="Y541" i="1"/>
  <c r="Y540" i="1"/>
  <c r="Y539" i="1"/>
  <c r="Y538" i="1"/>
  <c r="Y537" i="1"/>
  <c r="Y536" i="1"/>
  <c r="Y535" i="1"/>
  <c r="Y534" i="1"/>
  <c r="Y533" i="1"/>
  <c r="Y532" i="1"/>
  <c r="Y531" i="1"/>
  <c r="Y530" i="1"/>
  <c r="Y529" i="1"/>
  <c r="Y528" i="1"/>
  <c r="Y527" i="1"/>
  <c r="Y526" i="1"/>
  <c r="Y525" i="1"/>
  <c r="Y524" i="1"/>
  <c r="Y523" i="1"/>
  <c r="Y522" i="1"/>
  <c r="Y521" i="1"/>
  <c r="Y520" i="1"/>
  <c r="Y519" i="1"/>
  <c r="Y518" i="1"/>
  <c r="Y517" i="1"/>
  <c r="Y516" i="1"/>
  <c r="Y515" i="1"/>
  <c r="Y514" i="1"/>
  <c r="Y513" i="1"/>
  <c r="Y512" i="1"/>
  <c r="Y511" i="1"/>
  <c r="Y510" i="1"/>
  <c r="Y509" i="1"/>
  <c r="Y508" i="1"/>
  <c r="Y507" i="1"/>
  <c r="Y506" i="1"/>
  <c r="Y505" i="1"/>
  <c r="Y504" i="1"/>
  <c r="Y503" i="1"/>
  <c r="Y502" i="1"/>
  <c r="Y501" i="1"/>
  <c r="Y500" i="1"/>
  <c r="Y499" i="1"/>
  <c r="Y498" i="1"/>
  <c r="Y497" i="1"/>
  <c r="Y496" i="1"/>
  <c r="Y495" i="1"/>
  <c r="Y494" i="1"/>
  <c r="Y493" i="1"/>
  <c r="Y492" i="1"/>
  <c r="Y491" i="1"/>
  <c r="Y490" i="1"/>
  <c r="Y489" i="1"/>
  <c r="Y488" i="1"/>
  <c r="Y487" i="1"/>
  <c r="Y486" i="1"/>
  <c r="Y485" i="1"/>
  <c r="Y484" i="1"/>
  <c r="Y483" i="1"/>
  <c r="Y482" i="1"/>
  <c r="Y481" i="1"/>
  <c r="Y480" i="1"/>
  <c r="Y479" i="1"/>
  <c r="Y478" i="1"/>
  <c r="Y477" i="1"/>
  <c r="Y476" i="1"/>
  <c r="Y475" i="1"/>
  <c r="Y474" i="1"/>
  <c r="Y473" i="1"/>
  <c r="Y472" i="1"/>
  <c r="Y471" i="1"/>
  <c r="Y470" i="1"/>
  <c r="Y469" i="1"/>
  <c r="Y468" i="1"/>
  <c r="Y467" i="1"/>
  <c r="Y466" i="1"/>
  <c r="Y465" i="1"/>
  <c r="Y464" i="1"/>
  <c r="Y463" i="1"/>
  <c r="Y462" i="1"/>
  <c r="Y461" i="1"/>
  <c r="Y460" i="1"/>
  <c r="Y459" i="1"/>
  <c r="Y458" i="1"/>
  <c r="Y457" i="1"/>
  <c r="Y456" i="1"/>
  <c r="Y455" i="1"/>
  <c r="Y454" i="1"/>
  <c r="Y453" i="1"/>
  <c r="Y452" i="1"/>
  <c r="Y451" i="1"/>
  <c r="Y450" i="1"/>
  <c r="Y449" i="1"/>
  <c r="Y448" i="1"/>
  <c r="Y447" i="1"/>
  <c r="Y446" i="1"/>
  <c r="Y445" i="1"/>
  <c r="Y444" i="1"/>
  <c r="Y443" i="1"/>
  <c r="Y442" i="1"/>
  <c r="Y441" i="1"/>
  <c r="Y440" i="1"/>
  <c r="Y439" i="1"/>
  <c r="Y438" i="1"/>
  <c r="Y437" i="1"/>
  <c r="Y436" i="1"/>
  <c r="Y435" i="1"/>
  <c r="Y434" i="1"/>
  <c r="Y433" i="1"/>
  <c r="Y432" i="1"/>
  <c r="Y431" i="1"/>
  <c r="Y430" i="1"/>
  <c r="Y429" i="1"/>
  <c r="Y428" i="1"/>
  <c r="Y427" i="1"/>
  <c r="Y426" i="1"/>
  <c r="Y425" i="1"/>
  <c r="Y424" i="1"/>
  <c r="Y423" i="1"/>
  <c r="Y422" i="1"/>
  <c r="Y421" i="1"/>
  <c r="Y420" i="1"/>
  <c r="Y419" i="1"/>
  <c r="Y418" i="1"/>
  <c r="Y417" i="1"/>
  <c r="Y416" i="1"/>
  <c r="Y415" i="1"/>
  <c r="Y414" i="1"/>
  <c r="Y413" i="1"/>
  <c r="Y412" i="1"/>
  <c r="Y411" i="1"/>
  <c r="Y410" i="1"/>
  <c r="Y409" i="1"/>
  <c r="Y408" i="1"/>
  <c r="Y407" i="1"/>
  <c r="Y406" i="1"/>
  <c r="Y405" i="1"/>
  <c r="Y404" i="1"/>
  <c r="Y403" i="1"/>
  <c r="Y402" i="1"/>
  <c r="Y401" i="1"/>
  <c r="Y400" i="1"/>
  <c r="Y399" i="1"/>
  <c r="Y398" i="1"/>
  <c r="Y397" i="1"/>
  <c r="Y396" i="1"/>
  <c r="Y395" i="1"/>
  <c r="Y394" i="1"/>
  <c r="Y393" i="1"/>
  <c r="Y392" i="1"/>
  <c r="Y391" i="1"/>
  <c r="Y390" i="1"/>
  <c r="Y389" i="1"/>
  <c r="Y388" i="1"/>
  <c r="Y387" i="1"/>
  <c r="Y386" i="1"/>
  <c r="Y385" i="1"/>
  <c r="Y384" i="1"/>
  <c r="Y383" i="1"/>
  <c r="Y382" i="1"/>
  <c r="Y381" i="1"/>
  <c r="Y380" i="1"/>
  <c r="Y379" i="1"/>
  <c r="Y378" i="1"/>
  <c r="Y377" i="1"/>
  <c r="Y376" i="1"/>
  <c r="Y375" i="1"/>
  <c r="Y374" i="1"/>
  <c r="Y373" i="1"/>
  <c r="Y372" i="1"/>
  <c r="Y371" i="1"/>
  <c r="Y370" i="1"/>
  <c r="Y369" i="1"/>
  <c r="Y368" i="1"/>
  <c r="Y367" i="1"/>
  <c r="Y366" i="1"/>
  <c r="Y365" i="1"/>
  <c r="Y364" i="1"/>
  <c r="Y363" i="1"/>
  <c r="Y362" i="1"/>
  <c r="Y361" i="1"/>
  <c r="Y360" i="1"/>
  <c r="Y359" i="1"/>
  <c r="Y358" i="1"/>
  <c r="Y357" i="1"/>
  <c r="Y356" i="1"/>
  <c r="Y355" i="1"/>
  <c r="Y354" i="1"/>
  <c r="Y353" i="1"/>
  <c r="Y352" i="1"/>
  <c r="Y351" i="1"/>
  <c r="Y350" i="1"/>
  <c r="Y349" i="1"/>
  <c r="Y348" i="1"/>
  <c r="Y347" i="1"/>
  <c r="Y346" i="1"/>
  <c r="Y345" i="1"/>
  <c r="Y344" i="1"/>
  <c r="Y343" i="1"/>
  <c r="Y342" i="1"/>
  <c r="Y341" i="1"/>
  <c r="Y340" i="1"/>
  <c r="Y339" i="1"/>
  <c r="Y338" i="1"/>
  <c r="Y337" i="1"/>
  <c r="Y336" i="1"/>
  <c r="Y335" i="1"/>
  <c r="Y334" i="1"/>
  <c r="Y333" i="1"/>
  <c r="Y332" i="1"/>
  <c r="Y331" i="1"/>
  <c r="Y330" i="1"/>
  <c r="Y329" i="1"/>
  <c r="Y328" i="1"/>
  <c r="Y327" i="1"/>
  <c r="Y326" i="1"/>
  <c r="Y325" i="1"/>
  <c r="Y324" i="1"/>
  <c r="Y323" i="1"/>
  <c r="Y322" i="1"/>
  <c r="Y321" i="1"/>
  <c r="Y320" i="1"/>
  <c r="Y319" i="1"/>
  <c r="Y318" i="1"/>
  <c r="Y317" i="1"/>
  <c r="Y316" i="1"/>
  <c r="Y315" i="1"/>
  <c r="Y314" i="1"/>
  <c r="Y313" i="1"/>
  <c r="Y312" i="1"/>
  <c r="Y311" i="1"/>
  <c r="Y310" i="1"/>
  <c r="Y309" i="1"/>
  <c r="Y308" i="1"/>
  <c r="Y307" i="1"/>
  <c r="Y306" i="1"/>
  <c r="Y305" i="1"/>
  <c r="Y304" i="1"/>
  <c r="Y303" i="1"/>
  <c r="Y302" i="1"/>
  <c r="Y301" i="1"/>
  <c r="Y300" i="1"/>
  <c r="Y299" i="1"/>
  <c r="Y298" i="1"/>
  <c r="Y297" i="1"/>
  <c r="Y296" i="1"/>
  <c r="Y295" i="1"/>
  <c r="Y294" i="1"/>
  <c r="Y293" i="1"/>
  <c r="Y292" i="1"/>
  <c r="Y291" i="1"/>
  <c r="Y290" i="1"/>
  <c r="Y289" i="1"/>
  <c r="Y288" i="1"/>
  <c r="Y287" i="1"/>
  <c r="Y286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Y272" i="1"/>
  <c r="Y271" i="1"/>
  <c r="Y270" i="1"/>
  <c r="Y269" i="1"/>
  <c r="Y268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5" i="1"/>
  <c r="Y244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AC708" i="1"/>
  <c r="AC707" i="1"/>
  <c r="AC706" i="1"/>
  <c r="AC705" i="1"/>
  <c r="AC704" i="1"/>
  <c r="AC703" i="1"/>
  <c r="AC702" i="1"/>
  <c r="AC701" i="1"/>
  <c r="AC700" i="1"/>
  <c r="AC699" i="1"/>
  <c r="AC698" i="1"/>
  <c r="AC697" i="1"/>
  <c r="AC696" i="1"/>
  <c r="AC695" i="1"/>
  <c r="AC694" i="1"/>
  <c r="AC693" i="1"/>
  <c r="AC692" i="1"/>
  <c r="AC691" i="1"/>
  <c r="AC690" i="1"/>
  <c r="AC689" i="1"/>
  <c r="AC688" i="1"/>
  <c r="AC687" i="1"/>
  <c r="AC686" i="1"/>
  <c r="AC685" i="1"/>
  <c r="AC684" i="1"/>
  <c r="AC683" i="1"/>
  <c r="AC682" i="1"/>
  <c r="AC681" i="1"/>
  <c r="AC680" i="1"/>
  <c r="AC679" i="1"/>
  <c r="AC678" i="1"/>
  <c r="AC677" i="1"/>
  <c r="AC676" i="1"/>
  <c r="AC675" i="1"/>
  <c r="AC674" i="1"/>
  <c r="AC673" i="1"/>
  <c r="AC672" i="1"/>
  <c r="AC671" i="1"/>
  <c r="AC670" i="1"/>
  <c r="AC669" i="1"/>
  <c r="AC668" i="1"/>
  <c r="AC667" i="1"/>
  <c r="AC666" i="1"/>
  <c r="AC665" i="1"/>
  <c r="AC664" i="1"/>
  <c r="AC663" i="1"/>
  <c r="AC662" i="1"/>
  <c r="AC661" i="1"/>
  <c r="AC660" i="1"/>
  <c r="AC659" i="1"/>
  <c r="AC658" i="1"/>
  <c r="AC657" i="1"/>
  <c r="AC656" i="1"/>
  <c r="AC655" i="1"/>
  <c r="AC654" i="1"/>
  <c r="AC653" i="1"/>
  <c r="AC652" i="1"/>
  <c r="AC651" i="1"/>
  <c r="AC650" i="1"/>
  <c r="AC649" i="1"/>
  <c r="AC648" i="1"/>
  <c r="AC647" i="1"/>
  <c r="AC646" i="1"/>
  <c r="AC645" i="1"/>
  <c r="AC644" i="1"/>
  <c r="AC643" i="1"/>
  <c r="AC642" i="1"/>
  <c r="AC641" i="1"/>
  <c r="AC640" i="1"/>
  <c r="AC639" i="1"/>
  <c r="AC638" i="1"/>
  <c r="AC637" i="1"/>
  <c r="AC636" i="1"/>
  <c r="AC635" i="1"/>
  <c r="AC634" i="1"/>
  <c r="AC633" i="1"/>
  <c r="AC632" i="1"/>
  <c r="AC631" i="1"/>
  <c r="AC630" i="1"/>
  <c r="AC629" i="1"/>
  <c r="AC628" i="1"/>
  <c r="AC627" i="1"/>
  <c r="AC626" i="1"/>
  <c r="AC625" i="1"/>
  <c r="AC624" i="1"/>
  <c r="AC623" i="1"/>
  <c r="AC622" i="1"/>
  <c r="AC621" i="1"/>
  <c r="AC620" i="1"/>
  <c r="AC619" i="1"/>
  <c r="AC618" i="1"/>
  <c r="AC617" i="1"/>
  <c r="AC616" i="1"/>
  <c r="AC615" i="1"/>
  <c r="AC614" i="1"/>
  <c r="AC613" i="1"/>
  <c r="AC612" i="1"/>
  <c r="AC611" i="1"/>
  <c r="AC610" i="1"/>
  <c r="AC609" i="1"/>
  <c r="AC608" i="1"/>
  <c r="AC607" i="1"/>
  <c r="AC606" i="1"/>
  <c r="AC605" i="1"/>
  <c r="AC604" i="1"/>
  <c r="AC603" i="1"/>
  <c r="AC602" i="1"/>
  <c r="AC601" i="1"/>
  <c r="AC600" i="1"/>
  <c r="AC599" i="1"/>
  <c r="AC598" i="1"/>
  <c r="AC597" i="1"/>
  <c r="AC596" i="1"/>
  <c r="AC595" i="1"/>
  <c r="AC594" i="1"/>
  <c r="AC593" i="1"/>
  <c r="AC592" i="1"/>
  <c r="AC591" i="1"/>
  <c r="AC590" i="1"/>
  <c r="AC589" i="1"/>
  <c r="AC588" i="1"/>
  <c r="AC587" i="1"/>
  <c r="AC586" i="1"/>
  <c r="AC585" i="1"/>
  <c r="AC584" i="1"/>
  <c r="AC583" i="1"/>
  <c r="AC582" i="1"/>
  <c r="AC581" i="1"/>
  <c r="AC580" i="1"/>
  <c r="AC579" i="1"/>
  <c r="AC578" i="1"/>
  <c r="AC577" i="1"/>
  <c r="AC576" i="1"/>
  <c r="AC575" i="1"/>
  <c r="AC574" i="1"/>
  <c r="AC573" i="1"/>
  <c r="AC572" i="1"/>
  <c r="AC571" i="1"/>
  <c r="AC570" i="1"/>
  <c r="AC569" i="1"/>
  <c r="AC568" i="1"/>
  <c r="AC567" i="1"/>
  <c r="AC566" i="1"/>
  <c r="AC565" i="1"/>
  <c r="AC564" i="1"/>
  <c r="AC563" i="1"/>
  <c r="AC562" i="1"/>
  <c r="AC561" i="1"/>
  <c r="AC560" i="1"/>
  <c r="AC559" i="1"/>
  <c r="AC558" i="1"/>
  <c r="AC557" i="1"/>
  <c r="AC556" i="1"/>
  <c r="AC555" i="1"/>
  <c r="AC554" i="1"/>
  <c r="AC553" i="1"/>
  <c r="AC552" i="1"/>
  <c r="AC551" i="1"/>
  <c r="AC550" i="1"/>
  <c r="AC549" i="1"/>
  <c r="AC548" i="1"/>
  <c r="AC547" i="1"/>
  <c r="AC546" i="1"/>
  <c r="AC545" i="1"/>
  <c r="AC544" i="1"/>
  <c r="AC543" i="1"/>
  <c r="AC542" i="1"/>
  <c r="AC541" i="1"/>
  <c r="AC540" i="1"/>
  <c r="AC539" i="1"/>
  <c r="AC538" i="1"/>
  <c r="AC537" i="1"/>
  <c r="AC536" i="1"/>
  <c r="AC535" i="1"/>
  <c r="AC534" i="1"/>
  <c r="AC533" i="1"/>
  <c r="AC532" i="1"/>
  <c r="AC531" i="1"/>
  <c r="AC530" i="1"/>
  <c r="AC529" i="1"/>
  <c r="AC528" i="1"/>
  <c r="AC527" i="1"/>
  <c r="AC526" i="1"/>
  <c r="AC525" i="1"/>
  <c r="AC524" i="1"/>
  <c r="AC523" i="1"/>
  <c r="AC522" i="1"/>
  <c r="AC521" i="1"/>
  <c r="AC520" i="1"/>
  <c r="AC519" i="1"/>
  <c r="AC518" i="1"/>
  <c r="AC517" i="1"/>
  <c r="AC516" i="1"/>
  <c r="AC515" i="1"/>
  <c r="AC514" i="1"/>
  <c r="AC513" i="1"/>
  <c r="AC512" i="1"/>
  <c r="AC511" i="1"/>
  <c r="AC510" i="1"/>
  <c r="AC509" i="1"/>
  <c r="AC508" i="1"/>
  <c r="AC507" i="1"/>
  <c r="AC506" i="1"/>
  <c r="AC505" i="1"/>
  <c r="AC504" i="1"/>
  <c r="AC503" i="1"/>
  <c r="AC502" i="1"/>
  <c r="AC501" i="1"/>
  <c r="AC500" i="1"/>
  <c r="AC499" i="1"/>
  <c r="AC498" i="1"/>
  <c r="AC497" i="1"/>
  <c r="AC496" i="1"/>
  <c r="AC495" i="1"/>
  <c r="AC494" i="1"/>
  <c r="AC493" i="1"/>
  <c r="AC492" i="1"/>
  <c r="AC491" i="1"/>
  <c r="AC490" i="1"/>
  <c r="AC489" i="1"/>
  <c r="AC488" i="1"/>
  <c r="AC487" i="1"/>
  <c r="AC486" i="1"/>
  <c r="AC485" i="1"/>
  <c r="AC484" i="1"/>
  <c r="AC483" i="1"/>
  <c r="AC482" i="1"/>
  <c r="AC481" i="1"/>
  <c r="AC480" i="1"/>
  <c r="AC479" i="1"/>
  <c r="AC478" i="1"/>
  <c r="AC477" i="1"/>
  <c r="AC476" i="1"/>
  <c r="AC475" i="1"/>
  <c r="AC474" i="1"/>
  <c r="AC473" i="1"/>
  <c r="AC472" i="1"/>
  <c r="AC471" i="1"/>
  <c r="AC470" i="1"/>
  <c r="AC469" i="1"/>
  <c r="AC468" i="1"/>
  <c r="AC467" i="1"/>
  <c r="AC466" i="1"/>
  <c r="AC465" i="1"/>
  <c r="AC464" i="1"/>
  <c r="AC463" i="1"/>
  <c r="AC462" i="1"/>
  <c r="AC461" i="1"/>
  <c r="AC460" i="1"/>
  <c r="AC459" i="1"/>
  <c r="AC458" i="1"/>
  <c r="AC457" i="1"/>
  <c r="AC456" i="1"/>
  <c r="AC455" i="1"/>
  <c r="AC454" i="1"/>
  <c r="AC453" i="1"/>
  <c r="AC452" i="1"/>
  <c r="AC451" i="1"/>
  <c r="AC450" i="1"/>
  <c r="AC449" i="1"/>
  <c r="AC448" i="1"/>
  <c r="AC447" i="1"/>
  <c r="AC446" i="1"/>
  <c r="AC445" i="1"/>
  <c r="AC444" i="1"/>
  <c r="AC443" i="1"/>
  <c r="AC442" i="1"/>
  <c r="AC441" i="1"/>
  <c r="AC440" i="1"/>
  <c r="AC439" i="1"/>
  <c r="AC438" i="1"/>
  <c r="AC437" i="1"/>
  <c r="AC436" i="1"/>
  <c r="AC435" i="1"/>
  <c r="AC434" i="1"/>
  <c r="AC433" i="1"/>
  <c r="AC432" i="1"/>
  <c r="AC431" i="1"/>
  <c r="AC430" i="1"/>
  <c r="AC429" i="1"/>
  <c r="AC428" i="1"/>
  <c r="AC427" i="1"/>
  <c r="AC426" i="1"/>
  <c r="AC425" i="1"/>
  <c r="AC424" i="1"/>
  <c r="AC423" i="1"/>
  <c r="AC422" i="1"/>
  <c r="AC421" i="1"/>
  <c r="AC420" i="1"/>
  <c r="AC419" i="1"/>
  <c r="AC418" i="1"/>
  <c r="AC417" i="1"/>
  <c r="AC416" i="1"/>
  <c r="AC415" i="1"/>
  <c r="AC414" i="1"/>
  <c r="AC413" i="1"/>
  <c r="AC412" i="1"/>
  <c r="AC411" i="1"/>
  <c r="AC410" i="1"/>
  <c r="AC409" i="1"/>
  <c r="AC408" i="1"/>
  <c r="AC407" i="1"/>
  <c r="AC406" i="1"/>
  <c r="AC405" i="1"/>
  <c r="AC404" i="1"/>
  <c r="AC403" i="1"/>
  <c r="AC402" i="1"/>
  <c r="AC401" i="1"/>
  <c r="AC400" i="1"/>
  <c r="AC399" i="1"/>
  <c r="AC398" i="1"/>
  <c r="AC397" i="1"/>
  <c r="AC396" i="1"/>
  <c r="AC395" i="1"/>
  <c r="AC394" i="1"/>
  <c r="AC393" i="1"/>
  <c r="AC392" i="1"/>
  <c r="AC391" i="1"/>
  <c r="AC390" i="1"/>
  <c r="AC389" i="1"/>
  <c r="AC388" i="1"/>
  <c r="AC387" i="1"/>
  <c r="AC386" i="1"/>
  <c r="AC385" i="1"/>
  <c r="AC384" i="1"/>
  <c r="AC383" i="1"/>
  <c r="AC382" i="1"/>
  <c r="AC381" i="1"/>
  <c r="AC380" i="1"/>
  <c r="AC379" i="1"/>
  <c r="AC378" i="1"/>
  <c r="AC377" i="1"/>
  <c r="AC376" i="1"/>
  <c r="AC375" i="1"/>
  <c r="AC374" i="1"/>
  <c r="AC373" i="1"/>
  <c r="AC372" i="1"/>
  <c r="AC371" i="1"/>
  <c r="AC370" i="1"/>
  <c r="AC369" i="1"/>
  <c r="AC368" i="1"/>
  <c r="AC367" i="1"/>
  <c r="AC366" i="1"/>
  <c r="AC365" i="1"/>
  <c r="AC364" i="1"/>
  <c r="AC363" i="1"/>
  <c r="AC362" i="1"/>
  <c r="AC361" i="1"/>
  <c r="AC360" i="1"/>
  <c r="AC359" i="1"/>
  <c r="AC358" i="1"/>
  <c r="AC357" i="1"/>
  <c r="AC356" i="1"/>
  <c r="AC355" i="1"/>
  <c r="AC354" i="1"/>
  <c r="AC353" i="1"/>
  <c r="AC352" i="1"/>
  <c r="AC351" i="1"/>
  <c r="AC350" i="1"/>
  <c r="AC349" i="1"/>
  <c r="AC348" i="1"/>
  <c r="AC347" i="1"/>
  <c r="AC346" i="1"/>
  <c r="AC345" i="1"/>
  <c r="AC344" i="1"/>
  <c r="AC343" i="1"/>
  <c r="AC342" i="1"/>
  <c r="AC341" i="1"/>
  <c r="AC340" i="1"/>
  <c r="AC339" i="1"/>
  <c r="AC338" i="1"/>
  <c r="AC337" i="1"/>
  <c r="AC336" i="1"/>
  <c r="AC335" i="1"/>
  <c r="AC334" i="1"/>
  <c r="AC333" i="1"/>
  <c r="AC332" i="1"/>
  <c r="AC331" i="1"/>
  <c r="AC330" i="1"/>
  <c r="AC329" i="1"/>
  <c r="AC328" i="1"/>
  <c r="AC327" i="1"/>
  <c r="AC326" i="1"/>
  <c r="AC325" i="1"/>
  <c r="AC324" i="1"/>
  <c r="AC323" i="1"/>
  <c r="AC322" i="1"/>
  <c r="AC321" i="1"/>
  <c r="AC320" i="1"/>
  <c r="AC319" i="1"/>
  <c r="AC318" i="1"/>
  <c r="AC317" i="1"/>
  <c r="AC316" i="1"/>
  <c r="AC315" i="1"/>
  <c r="AC314" i="1"/>
  <c r="AC313" i="1"/>
  <c r="AC312" i="1"/>
  <c r="AC311" i="1"/>
  <c r="AC310" i="1"/>
  <c r="AC309" i="1"/>
  <c r="AC308" i="1"/>
  <c r="AC307" i="1"/>
  <c r="AC306" i="1"/>
  <c r="AC305" i="1"/>
  <c r="AC304" i="1"/>
  <c r="AC303" i="1"/>
  <c r="AC302" i="1"/>
  <c r="AC301" i="1"/>
  <c r="AC300" i="1"/>
  <c r="AC299" i="1"/>
  <c r="AC298" i="1"/>
  <c r="AC297" i="1"/>
  <c r="AC296" i="1"/>
  <c r="AC295" i="1"/>
  <c r="AC294" i="1"/>
  <c r="AC293" i="1"/>
  <c r="AC292" i="1"/>
  <c r="AC291" i="1"/>
  <c r="AC290" i="1"/>
  <c r="AC289" i="1"/>
  <c r="AC288" i="1"/>
  <c r="AC287" i="1"/>
  <c r="AC286" i="1"/>
  <c r="AC285" i="1"/>
  <c r="AC284" i="1"/>
  <c r="AC283" i="1"/>
  <c r="AC282" i="1"/>
  <c r="AC281" i="1"/>
  <c r="AC280" i="1"/>
  <c r="AC279" i="1"/>
  <c r="AC278" i="1"/>
  <c r="AC277" i="1"/>
  <c r="AC276" i="1"/>
  <c r="AC275" i="1"/>
  <c r="AC274" i="1"/>
  <c r="AC273" i="1"/>
  <c r="AC272" i="1"/>
  <c r="AC271" i="1"/>
  <c r="AC270" i="1"/>
  <c r="AC269" i="1"/>
  <c r="AC268" i="1"/>
  <c r="AC267" i="1"/>
  <c r="AC266" i="1"/>
  <c r="AC265" i="1"/>
  <c r="AC264" i="1"/>
  <c r="AC263" i="1"/>
  <c r="AC262" i="1"/>
  <c r="AC261" i="1"/>
  <c r="AC260" i="1"/>
  <c r="AC259" i="1"/>
  <c r="AC258" i="1"/>
  <c r="AC257" i="1"/>
  <c r="AC256" i="1"/>
  <c r="AC255" i="1"/>
  <c r="AC254" i="1"/>
  <c r="AC253" i="1"/>
  <c r="AC252" i="1"/>
  <c r="AC251" i="1"/>
  <c r="AC250" i="1"/>
  <c r="AC249" i="1"/>
  <c r="AC248" i="1"/>
  <c r="AC247" i="1"/>
  <c r="AC246" i="1"/>
  <c r="AC245" i="1"/>
  <c r="AC244" i="1"/>
  <c r="AC243" i="1"/>
  <c r="AC242" i="1"/>
  <c r="AC241" i="1"/>
  <c r="AC240" i="1"/>
  <c r="AC239" i="1"/>
  <c r="AC238" i="1"/>
  <c r="AC237" i="1"/>
  <c r="AC236" i="1"/>
  <c r="AC235" i="1"/>
  <c r="AC234" i="1"/>
  <c r="AC233" i="1"/>
  <c r="AC232" i="1"/>
  <c r="AC231" i="1"/>
  <c r="AC230" i="1"/>
  <c r="AC229" i="1"/>
  <c r="AC228" i="1"/>
  <c r="AC227" i="1"/>
  <c r="AC226" i="1"/>
  <c r="AC225" i="1"/>
  <c r="AC224" i="1"/>
  <c r="AC223" i="1"/>
  <c r="AC222" i="1"/>
  <c r="AC221" i="1"/>
  <c r="AC220" i="1"/>
  <c r="AC219" i="1"/>
  <c r="AC218" i="1"/>
  <c r="AC217" i="1"/>
  <c r="AC216" i="1"/>
  <c r="AC215" i="1"/>
  <c r="AC214" i="1"/>
  <c r="AC213" i="1"/>
  <c r="AC212" i="1"/>
  <c r="AC211" i="1"/>
  <c r="AC210" i="1"/>
  <c r="AC209" i="1"/>
  <c r="AC208" i="1"/>
  <c r="AC207" i="1"/>
  <c r="AC206" i="1"/>
  <c r="AC205" i="1"/>
  <c r="AC204" i="1"/>
  <c r="AC203" i="1"/>
  <c r="AC202" i="1"/>
  <c r="AC201" i="1"/>
  <c r="AC200" i="1"/>
  <c r="AC199" i="1"/>
  <c r="AC198" i="1"/>
  <c r="AC197" i="1"/>
  <c r="AC196" i="1"/>
  <c r="AC195" i="1"/>
  <c r="AC194" i="1"/>
  <c r="AC193" i="1"/>
  <c r="AC192" i="1"/>
  <c r="AC191" i="1"/>
  <c r="AC190" i="1"/>
  <c r="AC189" i="1"/>
  <c r="AC188" i="1"/>
  <c r="AC187" i="1"/>
  <c r="AC186" i="1"/>
  <c r="AC185" i="1"/>
  <c r="AC184" i="1"/>
  <c r="AC183" i="1"/>
  <c r="AC182" i="1"/>
  <c r="AC181" i="1"/>
  <c r="AC180" i="1"/>
  <c r="AC179" i="1"/>
  <c r="AC178" i="1"/>
  <c r="AC177" i="1"/>
  <c r="AC176" i="1"/>
  <c r="AC175" i="1"/>
  <c r="AC174" i="1"/>
  <c r="AC173" i="1"/>
  <c r="AC172" i="1"/>
  <c r="AC171" i="1"/>
  <c r="AC170" i="1"/>
  <c r="AC169" i="1"/>
  <c r="AC168" i="1"/>
  <c r="AC167" i="1"/>
  <c r="AC166" i="1"/>
  <c r="AC165" i="1"/>
  <c r="AC164" i="1"/>
  <c r="AC163" i="1"/>
  <c r="AC162" i="1"/>
  <c r="AC161" i="1"/>
  <c r="AC160" i="1"/>
  <c r="AC159" i="1"/>
  <c r="AC158" i="1"/>
  <c r="AC157" i="1"/>
  <c r="AC156" i="1"/>
  <c r="AC155" i="1"/>
  <c r="AC154" i="1"/>
  <c r="AC153" i="1"/>
  <c r="AC152" i="1"/>
  <c r="AC151" i="1"/>
  <c r="AC150" i="1"/>
  <c r="AC149" i="1"/>
  <c r="AC148" i="1"/>
  <c r="AC147" i="1"/>
  <c r="AC146" i="1"/>
  <c r="AC145" i="1"/>
  <c r="AC144" i="1"/>
  <c r="AC143" i="1"/>
  <c r="AC142" i="1"/>
  <c r="AC141" i="1"/>
  <c r="AC140" i="1"/>
  <c r="AC139" i="1"/>
  <c r="AC138" i="1"/>
  <c r="AC137" i="1"/>
  <c r="AC136" i="1"/>
  <c r="AC135" i="1"/>
  <c r="AC134" i="1"/>
  <c r="AC133" i="1"/>
  <c r="AC132" i="1"/>
  <c r="AC131" i="1"/>
  <c r="AC130" i="1"/>
  <c r="AC129" i="1"/>
  <c r="AC128" i="1"/>
  <c r="AC127" i="1"/>
  <c r="AC126" i="1"/>
  <c r="AC125" i="1"/>
  <c r="AC124" i="1"/>
  <c r="AC123" i="1"/>
  <c r="AC122" i="1"/>
  <c r="AC121" i="1"/>
  <c r="AC120" i="1"/>
  <c r="AC119" i="1"/>
  <c r="AC118" i="1"/>
  <c r="AC117" i="1"/>
  <c r="AC116" i="1"/>
  <c r="AC115" i="1"/>
  <c r="AC114" i="1"/>
  <c r="AC113" i="1"/>
  <c r="AC112" i="1"/>
  <c r="AC111" i="1"/>
  <c r="AC110" i="1"/>
  <c r="AC109" i="1"/>
  <c r="AC108" i="1"/>
  <c r="AC107" i="1"/>
  <c r="AC106" i="1"/>
  <c r="AC105" i="1"/>
  <c r="AC104" i="1"/>
  <c r="AC103" i="1"/>
  <c r="AC102" i="1"/>
  <c r="AC101" i="1"/>
  <c r="AC100" i="1"/>
  <c r="AC99" i="1"/>
  <c r="AC98" i="1"/>
  <c r="AC97" i="1"/>
  <c r="AC96" i="1"/>
  <c r="AC95" i="1"/>
  <c r="AC94" i="1"/>
  <c r="AC93" i="1"/>
  <c r="AC92" i="1"/>
  <c r="AC91" i="1"/>
  <c r="AC90" i="1"/>
  <c r="AC89" i="1"/>
  <c r="AC88" i="1"/>
  <c r="AC87" i="1"/>
  <c r="AC86" i="1"/>
  <c r="AC85" i="1"/>
  <c r="AC84" i="1"/>
  <c r="AC83" i="1"/>
  <c r="AC82" i="1"/>
  <c r="AC81" i="1"/>
  <c r="AC80" i="1"/>
  <c r="AC79" i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G708" i="1"/>
  <c r="AG707" i="1"/>
  <c r="AG706" i="1"/>
  <c r="AG705" i="1"/>
  <c r="AG704" i="1"/>
  <c r="AG703" i="1"/>
  <c r="AG702" i="1"/>
  <c r="AG701" i="1"/>
  <c r="AG700" i="1"/>
  <c r="AG699" i="1"/>
  <c r="AG698" i="1"/>
  <c r="AG697" i="1"/>
  <c r="AG696" i="1"/>
  <c r="AG695" i="1"/>
  <c r="AG694" i="1"/>
  <c r="AG693" i="1"/>
  <c r="AG692" i="1"/>
  <c r="AG691" i="1"/>
  <c r="AG690" i="1"/>
  <c r="AG689" i="1"/>
  <c r="AG688" i="1"/>
  <c r="AG687" i="1"/>
  <c r="AG686" i="1"/>
  <c r="AG685" i="1"/>
  <c r="AG684" i="1"/>
  <c r="AG683" i="1"/>
  <c r="AG682" i="1"/>
  <c r="AG681" i="1"/>
  <c r="AG680" i="1"/>
  <c r="AG679" i="1"/>
  <c r="AG678" i="1"/>
  <c r="AG677" i="1"/>
  <c r="AG676" i="1"/>
  <c r="AG675" i="1"/>
  <c r="AG674" i="1"/>
  <c r="AG673" i="1"/>
  <c r="AG672" i="1"/>
  <c r="AG671" i="1"/>
  <c r="AG670" i="1"/>
  <c r="AG669" i="1"/>
  <c r="AG668" i="1"/>
  <c r="AG667" i="1"/>
  <c r="AG666" i="1"/>
  <c r="AG665" i="1"/>
  <c r="AG664" i="1"/>
  <c r="AG663" i="1"/>
  <c r="AG662" i="1"/>
  <c r="AG661" i="1"/>
  <c r="AG660" i="1"/>
  <c r="AG659" i="1"/>
  <c r="AG658" i="1"/>
  <c r="AG657" i="1"/>
  <c r="AG656" i="1"/>
  <c r="AG655" i="1"/>
  <c r="AG654" i="1"/>
  <c r="AG653" i="1"/>
  <c r="AG652" i="1"/>
  <c r="AG651" i="1"/>
  <c r="AG650" i="1"/>
  <c r="AG649" i="1"/>
  <c r="AG648" i="1"/>
  <c r="AG647" i="1"/>
  <c r="AG646" i="1"/>
  <c r="AG645" i="1"/>
  <c r="AG644" i="1"/>
  <c r="AG643" i="1"/>
  <c r="AG642" i="1"/>
  <c r="AG641" i="1"/>
  <c r="AG640" i="1"/>
  <c r="AG639" i="1"/>
  <c r="AG638" i="1"/>
  <c r="AG637" i="1"/>
  <c r="AG636" i="1"/>
  <c r="AG635" i="1"/>
  <c r="AG634" i="1"/>
  <c r="AG633" i="1"/>
  <c r="AG632" i="1"/>
  <c r="AG631" i="1"/>
  <c r="AG630" i="1"/>
  <c r="AG629" i="1"/>
  <c r="AG628" i="1"/>
  <c r="AG627" i="1"/>
  <c r="AG626" i="1"/>
  <c r="AG625" i="1"/>
  <c r="AG624" i="1"/>
  <c r="AG623" i="1"/>
  <c r="AG622" i="1"/>
  <c r="AG621" i="1"/>
  <c r="AG620" i="1"/>
  <c r="AG619" i="1"/>
  <c r="AG618" i="1"/>
  <c r="AG617" i="1"/>
  <c r="AG616" i="1"/>
  <c r="AG615" i="1"/>
  <c r="AG614" i="1"/>
  <c r="AG613" i="1"/>
  <c r="AG612" i="1"/>
  <c r="AG611" i="1"/>
  <c r="AG610" i="1"/>
  <c r="AG609" i="1"/>
  <c r="AG608" i="1"/>
  <c r="AG607" i="1"/>
  <c r="AG606" i="1"/>
  <c r="AG605" i="1"/>
  <c r="AG604" i="1"/>
  <c r="AG603" i="1"/>
  <c r="AG602" i="1"/>
  <c r="AG601" i="1"/>
  <c r="AG600" i="1"/>
  <c r="AG599" i="1"/>
  <c r="AG598" i="1"/>
  <c r="AG597" i="1"/>
  <c r="AG596" i="1"/>
  <c r="AG595" i="1"/>
  <c r="AG594" i="1"/>
  <c r="AG593" i="1"/>
  <c r="AG592" i="1"/>
  <c r="AG591" i="1"/>
  <c r="AG590" i="1"/>
  <c r="AG589" i="1"/>
  <c r="AG588" i="1"/>
  <c r="AG587" i="1"/>
  <c r="AG586" i="1"/>
  <c r="AG585" i="1"/>
  <c r="AG584" i="1"/>
  <c r="AG583" i="1"/>
  <c r="AG582" i="1"/>
  <c r="AG581" i="1"/>
  <c r="AG580" i="1"/>
  <c r="AG579" i="1"/>
  <c r="AG578" i="1"/>
  <c r="AG577" i="1"/>
  <c r="AG576" i="1"/>
  <c r="AG575" i="1"/>
  <c r="AG574" i="1"/>
  <c r="AG573" i="1"/>
  <c r="AG572" i="1"/>
  <c r="AG571" i="1"/>
  <c r="AG570" i="1"/>
  <c r="AG569" i="1"/>
  <c r="AG568" i="1"/>
  <c r="AG567" i="1"/>
  <c r="AG566" i="1"/>
  <c r="AG565" i="1"/>
  <c r="AG564" i="1"/>
  <c r="AG563" i="1"/>
  <c r="AG562" i="1"/>
  <c r="AG561" i="1"/>
  <c r="AG560" i="1"/>
  <c r="AG559" i="1"/>
  <c r="AG558" i="1"/>
  <c r="AG557" i="1"/>
  <c r="AG556" i="1"/>
  <c r="AG555" i="1"/>
  <c r="AG554" i="1"/>
  <c r="AG553" i="1"/>
  <c r="AG552" i="1"/>
  <c r="AG551" i="1"/>
  <c r="AG550" i="1"/>
  <c r="AG549" i="1"/>
  <c r="AG548" i="1"/>
  <c r="AG547" i="1"/>
  <c r="AG546" i="1"/>
  <c r="AG545" i="1"/>
  <c r="AG544" i="1"/>
  <c r="AG543" i="1"/>
  <c r="AG542" i="1"/>
  <c r="AG541" i="1"/>
  <c r="AG540" i="1"/>
  <c r="AG539" i="1"/>
  <c r="AG538" i="1"/>
  <c r="AG537" i="1"/>
  <c r="AG536" i="1"/>
  <c r="AG535" i="1"/>
  <c r="AG534" i="1"/>
  <c r="AG533" i="1"/>
  <c r="AG532" i="1"/>
  <c r="AG531" i="1"/>
  <c r="AG530" i="1"/>
  <c r="AG529" i="1"/>
  <c r="AG528" i="1"/>
  <c r="AG527" i="1"/>
  <c r="AG526" i="1"/>
  <c r="AG525" i="1"/>
  <c r="AG524" i="1"/>
  <c r="AG523" i="1"/>
  <c r="AG522" i="1"/>
  <c r="AG521" i="1"/>
  <c r="AG520" i="1"/>
  <c r="AG519" i="1"/>
  <c r="AG518" i="1"/>
  <c r="AG517" i="1"/>
  <c r="AG516" i="1"/>
  <c r="AG515" i="1"/>
  <c r="AG514" i="1"/>
  <c r="AG513" i="1"/>
  <c r="AG512" i="1"/>
  <c r="AG511" i="1"/>
  <c r="AG510" i="1"/>
  <c r="AG509" i="1"/>
  <c r="AG508" i="1"/>
  <c r="AG507" i="1"/>
  <c r="AG506" i="1"/>
  <c r="AG505" i="1"/>
  <c r="AG504" i="1"/>
  <c r="AG503" i="1"/>
  <c r="AG502" i="1"/>
  <c r="AG501" i="1"/>
  <c r="AG500" i="1"/>
  <c r="AG499" i="1"/>
  <c r="AG498" i="1"/>
  <c r="AG497" i="1"/>
  <c r="AG496" i="1"/>
  <c r="AG495" i="1"/>
  <c r="AG494" i="1"/>
  <c r="AG493" i="1"/>
  <c r="AG492" i="1"/>
  <c r="AG491" i="1"/>
  <c r="AG490" i="1"/>
  <c r="AG489" i="1"/>
  <c r="AG488" i="1"/>
  <c r="AG487" i="1"/>
  <c r="AG486" i="1"/>
  <c r="AG485" i="1"/>
  <c r="AG484" i="1"/>
  <c r="AG483" i="1"/>
  <c r="AG482" i="1"/>
  <c r="AG481" i="1"/>
  <c r="AG480" i="1"/>
  <c r="AG479" i="1"/>
  <c r="AG478" i="1"/>
  <c r="AG477" i="1"/>
  <c r="AG476" i="1"/>
  <c r="AG475" i="1"/>
  <c r="AG474" i="1"/>
  <c r="AG473" i="1"/>
  <c r="AG472" i="1"/>
  <c r="AG471" i="1"/>
  <c r="AG470" i="1"/>
  <c r="AG469" i="1"/>
  <c r="AG468" i="1"/>
  <c r="AG467" i="1"/>
  <c r="AG466" i="1"/>
  <c r="AG465" i="1"/>
  <c r="AG464" i="1"/>
  <c r="AG463" i="1"/>
  <c r="AG462" i="1"/>
  <c r="AG461" i="1"/>
  <c r="AG460" i="1"/>
  <c r="AG459" i="1"/>
  <c r="AG458" i="1"/>
  <c r="AG457" i="1"/>
  <c r="AG456" i="1"/>
  <c r="AG455" i="1"/>
  <c r="AG454" i="1"/>
  <c r="AG453" i="1"/>
  <c r="AG452" i="1"/>
  <c r="AG451" i="1"/>
  <c r="AG450" i="1"/>
  <c r="AG449" i="1"/>
  <c r="AG448" i="1"/>
  <c r="AG447" i="1"/>
  <c r="AG446" i="1"/>
  <c r="AG445" i="1"/>
  <c r="AG444" i="1"/>
  <c r="AG443" i="1"/>
  <c r="AG442" i="1"/>
  <c r="AG441" i="1"/>
  <c r="AG440" i="1"/>
  <c r="AG439" i="1"/>
  <c r="AG438" i="1"/>
  <c r="AG437" i="1"/>
  <c r="AG436" i="1"/>
  <c r="AG435" i="1"/>
  <c r="AG434" i="1"/>
  <c r="AG433" i="1"/>
  <c r="AG432" i="1"/>
  <c r="AG431" i="1"/>
  <c r="AG430" i="1"/>
  <c r="AG429" i="1"/>
  <c r="AG428" i="1"/>
  <c r="AG427" i="1"/>
  <c r="AG426" i="1"/>
  <c r="AG425" i="1"/>
  <c r="AG424" i="1"/>
  <c r="AG423" i="1"/>
  <c r="AG422" i="1"/>
  <c r="AG421" i="1"/>
  <c r="AG420" i="1"/>
  <c r="AG419" i="1"/>
  <c r="AG418" i="1"/>
  <c r="AG417" i="1"/>
  <c r="AG416" i="1"/>
  <c r="AG415" i="1"/>
  <c r="AG414" i="1"/>
  <c r="AG413" i="1"/>
  <c r="AG412" i="1"/>
  <c r="AG411" i="1"/>
  <c r="AG410" i="1"/>
  <c r="AG409" i="1"/>
  <c r="AG408" i="1"/>
  <c r="AG407" i="1"/>
  <c r="AG406" i="1"/>
  <c r="AG405" i="1"/>
  <c r="AG404" i="1"/>
  <c r="AG403" i="1"/>
  <c r="AG402" i="1"/>
  <c r="AG401" i="1"/>
  <c r="AG400" i="1"/>
  <c r="AG399" i="1"/>
  <c r="AG398" i="1"/>
  <c r="AG397" i="1"/>
  <c r="AG396" i="1"/>
  <c r="AG395" i="1"/>
  <c r="AG394" i="1"/>
  <c r="AG393" i="1"/>
  <c r="AG392" i="1"/>
  <c r="AG391" i="1"/>
  <c r="AG390" i="1"/>
  <c r="AG389" i="1"/>
  <c r="AG388" i="1"/>
  <c r="AG387" i="1"/>
  <c r="AG386" i="1"/>
  <c r="AG385" i="1"/>
  <c r="AG384" i="1"/>
  <c r="AG383" i="1"/>
  <c r="AG382" i="1"/>
  <c r="AG381" i="1"/>
  <c r="AG380" i="1"/>
  <c r="AG379" i="1"/>
  <c r="AG378" i="1"/>
  <c r="AG377" i="1"/>
  <c r="AG376" i="1"/>
  <c r="AG375" i="1"/>
  <c r="AG374" i="1"/>
  <c r="AG373" i="1"/>
  <c r="AG372" i="1"/>
  <c r="AG371" i="1"/>
  <c r="AG370" i="1"/>
  <c r="AG369" i="1"/>
  <c r="AG368" i="1"/>
  <c r="AG367" i="1"/>
  <c r="AG366" i="1"/>
  <c r="AG365" i="1"/>
  <c r="AG364" i="1"/>
  <c r="AG363" i="1"/>
  <c r="AG362" i="1"/>
  <c r="AG361" i="1"/>
  <c r="AG360" i="1"/>
  <c r="AG359" i="1"/>
  <c r="AG358" i="1"/>
  <c r="AG357" i="1"/>
  <c r="AG356" i="1"/>
  <c r="AG355" i="1"/>
  <c r="AG354" i="1"/>
  <c r="AG353" i="1"/>
  <c r="AG352" i="1"/>
  <c r="AG351" i="1"/>
  <c r="AG350" i="1"/>
  <c r="AG349" i="1"/>
  <c r="AG348" i="1"/>
  <c r="AG347" i="1"/>
  <c r="AG346" i="1"/>
  <c r="AG345" i="1"/>
  <c r="AG344" i="1"/>
  <c r="AG343" i="1"/>
  <c r="AG342" i="1"/>
  <c r="AG341" i="1"/>
  <c r="AG340" i="1"/>
  <c r="AG339" i="1"/>
  <c r="AG338" i="1"/>
  <c r="AG337" i="1"/>
  <c r="AG336" i="1"/>
  <c r="AG335" i="1"/>
  <c r="AG334" i="1"/>
  <c r="AG333" i="1"/>
  <c r="AG332" i="1"/>
  <c r="AG331" i="1"/>
  <c r="AG330" i="1"/>
  <c r="AG329" i="1"/>
  <c r="AG328" i="1"/>
  <c r="AG327" i="1"/>
  <c r="AG326" i="1"/>
  <c r="AG325" i="1"/>
  <c r="AG324" i="1"/>
  <c r="AG323" i="1"/>
  <c r="AG322" i="1"/>
  <c r="AG321" i="1"/>
  <c r="AG320" i="1"/>
  <c r="AG319" i="1"/>
  <c r="AG318" i="1"/>
  <c r="AG317" i="1"/>
  <c r="AG316" i="1"/>
  <c r="AG315" i="1"/>
  <c r="AG314" i="1"/>
  <c r="AG313" i="1"/>
  <c r="AG312" i="1"/>
  <c r="AG311" i="1"/>
  <c r="AG310" i="1"/>
  <c r="AG309" i="1"/>
  <c r="AG308" i="1"/>
  <c r="AG307" i="1"/>
  <c r="AG306" i="1"/>
  <c r="AG305" i="1"/>
  <c r="AG304" i="1"/>
  <c r="AG303" i="1"/>
  <c r="AG302" i="1"/>
  <c r="AG301" i="1"/>
  <c r="AG300" i="1"/>
  <c r="AG299" i="1"/>
  <c r="AG298" i="1"/>
  <c r="AG297" i="1"/>
  <c r="AG296" i="1"/>
  <c r="AG295" i="1"/>
  <c r="AG294" i="1"/>
  <c r="AG293" i="1"/>
  <c r="AG292" i="1"/>
  <c r="AG291" i="1"/>
  <c r="AG290" i="1"/>
  <c r="AG289" i="1"/>
  <c r="AG288" i="1"/>
  <c r="AG287" i="1"/>
  <c r="AG286" i="1"/>
  <c r="AG285" i="1"/>
  <c r="AG284" i="1"/>
  <c r="AG283" i="1"/>
  <c r="AG282" i="1"/>
  <c r="AG281" i="1"/>
  <c r="AG280" i="1"/>
  <c r="AG279" i="1"/>
  <c r="AG278" i="1"/>
  <c r="AG277" i="1"/>
  <c r="AG276" i="1"/>
  <c r="AG275" i="1"/>
  <c r="AG274" i="1"/>
  <c r="AG273" i="1"/>
  <c r="AG272" i="1"/>
  <c r="AG271" i="1"/>
  <c r="AG270" i="1"/>
  <c r="AG269" i="1"/>
  <c r="AG268" i="1"/>
  <c r="AG267" i="1"/>
  <c r="AG266" i="1"/>
  <c r="AG265" i="1"/>
  <c r="AG264" i="1"/>
  <c r="AG263" i="1"/>
  <c r="AG262" i="1"/>
  <c r="AG261" i="1"/>
  <c r="AG260" i="1"/>
  <c r="AG259" i="1"/>
  <c r="AG258" i="1"/>
  <c r="AG257" i="1"/>
  <c r="AG256" i="1"/>
  <c r="AG255" i="1"/>
  <c r="AG254" i="1"/>
  <c r="AG253" i="1"/>
  <c r="AG252" i="1"/>
  <c r="AG251" i="1"/>
  <c r="AG250" i="1"/>
  <c r="AG249" i="1"/>
  <c r="AG248" i="1"/>
  <c r="AG247" i="1"/>
  <c r="AG246" i="1"/>
  <c r="AG245" i="1"/>
  <c r="AG244" i="1"/>
  <c r="AG243" i="1"/>
  <c r="AG242" i="1"/>
  <c r="AG241" i="1"/>
  <c r="AG240" i="1"/>
  <c r="AG239" i="1"/>
  <c r="AG238" i="1"/>
  <c r="AG237" i="1"/>
  <c r="AG236" i="1"/>
  <c r="AG235" i="1"/>
  <c r="AG234" i="1"/>
  <c r="AG233" i="1"/>
  <c r="AG232" i="1"/>
  <c r="AG231" i="1"/>
  <c r="AG230" i="1"/>
  <c r="AG229" i="1"/>
  <c r="AG228" i="1"/>
  <c r="AG227" i="1"/>
  <c r="AG226" i="1"/>
  <c r="AG225" i="1"/>
  <c r="AG224" i="1"/>
  <c r="AG223" i="1"/>
  <c r="AG222" i="1"/>
  <c r="AG221" i="1"/>
  <c r="AG220" i="1"/>
  <c r="AG219" i="1"/>
  <c r="AG218" i="1"/>
  <c r="AG217" i="1"/>
  <c r="AG216" i="1"/>
  <c r="AG215" i="1"/>
  <c r="AG214" i="1"/>
  <c r="AG213" i="1"/>
  <c r="AG212" i="1"/>
  <c r="AG211" i="1"/>
  <c r="AG210" i="1"/>
  <c r="AG209" i="1"/>
  <c r="AG208" i="1"/>
  <c r="AG207" i="1"/>
  <c r="AG206" i="1"/>
  <c r="AG205" i="1"/>
  <c r="AG204" i="1"/>
  <c r="AG203" i="1"/>
  <c r="AG202" i="1"/>
  <c r="AG201" i="1"/>
  <c r="AG200" i="1"/>
  <c r="AG199" i="1"/>
  <c r="AG198" i="1"/>
  <c r="AG197" i="1"/>
  <c r="AG196" i="1"/>
  <c r="AG195" i="1"/>
  <c r="AG194" i="1"/>
  <c r="AG193" i="1"/>
  <c r="AG192" i="1"/>
  <c r="AG191" i="1"/>
  <c r="AG190" i="1"/>
  <c r="AG189" i="1"/>
  <c r="AG188" i="1"/>
  <c r="AG187" i="1"/>
  <c r="AG186" i="1"/>
  <c r="AG185" i="1"/>
  <c r="AG184" i="1"/>
  <c r="AG183" i="1"/>
  <c r="AG182" i="1"/>
  <c r="AG181" i="1"/>
  <c r="AG180" i="1"/>
  <c r="AG179" i="1"/>
  <c r="AG178" i="1"/>
  <c r="AG177" i="1"/>
  <c r="AG176" i="1"/>
  <c r="AG175" i="1"/>
  <c r="AG174" i="1"/>
  <c r="AG173" i="1"/>
  <c r="AG172" i="1"/>
  <c r="AG171" i="1"/>
  <c r="AG170" i="1"/>
  <c r="AG169" i="1"/>
  <c r="AG168" i="1"/>
  <c r="AG167" i="1"/>
  <c r="AG166" i="1"/>
  <c r="AG165" i="1"/>
  <c r="AG164" i="1"/>
  <c r="AG163" i="1"/>
  <c r="AG162" i="1"/>
  <c r="AG161" i="1"/>
  <c r="AG160" i="1"/>
  <c r="AG159" i="1"/>
  <c r="AG158" i="1"/>
  <c r="AG157" i="1"/>
  <c r="AG156" i="1"/>
  <c r="AG155" i="1"/>
  <c r="AG154" i="1"/>
  <c r="AG153" i="1"/>
  <c r="AG152" i="1"/>
  <c r="AG151" i="1"/>
  <c r="AG150" i="1"/>
  <c r="AG149" i="1"/>
  <c r="AG148" i="1"/>
  <c r="AG147" i="1"/>
  <c r="AG146" i="1"/>
  <c r="AG145" i="1"/>
  <c r="AG144" i="1"/>
  <c r="AG143" i="1"/>
  <c r="AG142" i="1"/>
  <c r="AG141" i="1"/>
  <c r="AG140" i="1"/>
  <c r="AG139" i="1"/>
  <c r="AG138" i="1"/>
  <c r="AG137" i="1"/>
  <c r="AG136" i="1"/>
  <c r="AG135" i="1"/>
  <c r="AG134" i="1"/>
  <c r="AG133" i="1"/>
  <c r="AG132" i="1"/>
  <c r="AG131" i="1"/>
  <c r="AG130" i="1"/>
  <c r="AG129" i="1"/>
  <c r="AG128" i="1"/>
  <c r="AG127" i="1"/>
  <c r="AG126" i="1"/>
  <c r="AG125" i="1"/>
  <c r="AG124" i="1"/>
  <c r="AG123" i="1"/>
  <c r="AG122" i="1"/>
  <c r="AG121" i="1"/>
  <c r="AG120" i="1"/>
  <c r="AG119" i="1"/>
  <c r="AG118" i="1"/>
  <c r="AG117" i="1"/>
  <c r="AG116" i="1"/>
  <c r="AG115" i="1"/>
  <c r="AG114" i="1"/>
  <c r="AG113" i="1"/>
  <c r="AG112" i="1"/>
  <c r="AG111" i="1"/>
  <c r="AG110" i="1"/>
  <c r="AG109" i="1"/>
  <c r="AG108" i="1"/>
  <c r="AG107" i="1"/>
  <c r="AG106" i="1"/>
  <c r="AG105" i="1"/>
  <c r="AG104" i="1"/>
  <c r="AG103" i="1"/>
  <c r="AG102" i="1"/>
  <c r="AG101" i="1"/>
  <c r="AG100" i="1"/>
  <c r="AG99" i="1"/>
  <c r="AG98" i="1"/>
  <c r="AG97" i="1"/>
  <c r="AG96" i="1"/>
  <c r="AG95" i="1"/>
  <c r="AG94" i="1"/>
  <c r="AG93" i="1"/>
  <c r="AG92" i="1"/>
  <c r="AG91" i="1"/>
  <c r="AG90" i="1"/>
  <c r="AG89" i="1"/>
  <c r="AG88" i="1"/>
  <c r="AG87" i="1"/>
  <c r="AG86" i="1"/>
  <c r="AG85" i="1"/>
  <c r="AG84" i="1"/>
  <c r="AG83" i="1"/>
  <c r="AG82" i="1"/>
  <c r="AG81" i="1"/>
  <c r="AG80" i="1"/>
  <c r="AG79" i="1"/>
  <c r="AG78" i="1"/>
  <c r="AG77" i="1"/>
  <c r="AG76" i="1"/>
  <c r="AG75" i="1"/>
  <c r="AG74" i="1"/>
  <c r="AG73" i="1"/>
  <c r="AG72" i="1"/>
  <c r="AG71" i="1"/>
  <c r="AG70" i="1"/>
  <c r="AG69" i="1"/>
  <c r="AG68" i="1"/>
  <c r="AG67" i="1"/>
  <c r="AG66" i="1"/>
  <c r="AG65" i="1"/>
  <c r="AG64" i="1"/>
  <c r="AG63" i="1"/>
  <c r="AG62" i="1"/>
  <c r="AG61" i="1"/>
  <c r="AG60" i="1"/>
  <c r="AG59" i="1"/>
  <c r="AG58" i="1"/>
  <c r="AG57" i="1"/>
  <c r="AG56" i="1"/>
  <c r="AG55" i="1"/>
  <c r="AG54" i="1"/>
  <c r="AG53" i="1"/>
  <c r="AG52" i="1"/>
  <c r="AG51" i="1"/>
  <c r="AG50" i="1"/>
  <c r="AG49" i="1"/>
  <c r="AG48" i="1"/>
  <c r="AG47" i="1"/>
  <c r="AG46" i="1"/>
  <c r="AG45" i="1"/>
  <c r="AG44" i="1"/>
  <c r="AG43" i="1"/>
  <c r="AG42" i="1"/>
  <c r="AG41" i="1"/>
  <c r="AG40" i="1"/>
  <c r="AG39" i="1"/>
  <c r="AG38" i="1"/>
  <c r="AG37" i="1"/>
  <c r="AG3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K708" i="1"/>
  <c r="AK707" i="1"/>
  <c r="AK706" i="1"/>
  <c r="AK705" i="1"/>
  <c r="AK704" i="1"/>
  <c r="AK703" i="1"/>
  <c r="AK702" i="1"/>
  <c r="AK701" i="1"/>
  <c r="AK700" i="1"/>
  <c r="AK699" i="1"/>
  <c r="AK698" i="1"/>
  <c r="AK697" i="1"/>
  <c r="AK696" i="1"/>
  <c r="AK695" i="1"/>
  <c r="AK694" i="1"/>
  <c r="AK693" i="1"/>
  <c r="AK692" i="1"/>
  <c r="AK691" i="1"/>
  <c r="AK690" i="1"/>
  <c r="AK689" i="1"/>
  <c r="AK688" i="1"/>
  <c r="AK687" i="1"/>
  <c r="AK686" i="1"/>
  <c r="AK685" i="1"/>
  <c r="AK684" i="1"/>
  <c r="AK683" i="1"/>
  <c r="AK682" i="1"/>
  <c r="AK681" i="1"/>
  <c r="AK680" i="1"/>
  <c r="AK679" i="1"/>
  <c r="AK678" i="1"/>
  <c r="AK677" i="1"/>
  <c r="AK676" i="1"/>
  <c r="AK675" i="1"/>
  <c r="AK674" i="1"/>
  <c r="AK673" i="1"/>
  <c r="AK672" i="1"/>
  <c r="AK671" i="1"/>
  <c r="AK670" i="1"/>
  <c r="AK669" i="1"/>
  <c r="AK668" i="1"/>
  <c r="AK667" i="1"/>
  <c r="AK666" i="1"/>
  <c r="AK665" i="1"/>
  <c r="AK664" i="1"/>
  <c r="AK663" i="1"/>
  <c r="AK662" i="1"/>
  <c r="AK661" i="1"/>
  <c r="AK660" i="1"/>
  <c r="AK659" i="1"/>
  <c r="AK658" i="1"/>
  <c r="AK657" i="1"/>
  <c r="AK656" i="1"/>
  <c r="AK655" i="1"/>
  <c r="AK654" i="1"/>
  <c r="AK653" i="1"/>
  <c r="AK652" i="1"/>
  <c r="AK651" i="1"/>
  <c r="AK650" i="1"/>
  <c r="AK649" i="1"/>
  <c r="AK648" i="1"/>
  <c r="AK647" i="1"/>
  <c r="AK646" i="1"/>
  <c r="AK645" i="1"/>
  <c r="AK644" i="1"/>
  <c r="AK643" i="1"/>
  <c r="AK642" i="1"/>
  <c r="AK641" i="1"/>
  <c r="AK640" i="1"/>
  <c r="AK639" i="1"/>
  <c r="AK638" i="1"/>
  <c r="AK637" i="1"/>
  <c r="AK636" i="1"/>
  <c r="AK635" i="1"/>
  <c r="AK634" i="1"/>
  <c r="AK633" i="1"/>
  <c r="AK632" i="1"/>
  <c r="AK631" i="1"/>
  <c r="AK630" i="1"/>
  <c r="AK629" i="1"/>
  <c r="AK628" i="1"/>
  <c r="AK627" i="1"/>
  <c r="AK626" i="1"/>
  <c r="AK625" i="1"/>
  <c r="AK624" i="1"/>
  <c r="AK623" i="1"/>
  <c r="AK622" i="1"/>
  <c r="AK621" i="1"/>
  <c r="AK620" i="1"/>
  <c r="AK619" i="1"/>
  <c r="AK618" i="1"/>
  <c r="AK617" i="1"/>
  <c r="AK616" i="1"/>
  <c r="AK615" i="1"/>
  <c r="AK614" i="1"/>
  <c r="AK613" i="1"/>
  <c r="AK612" i="1"/>
  <c r="AK611" i="1"/>
  <c r="AK610" i="1"/>
  <c r="AK609" i="1"/>
  <c r="AK608" i="1"/>
  <c r="AK607" i="1"/>
  <c r="AK606" i="1"/>
  <c r="AK605" i="1"/>
  <c r="AK604" i="1"/>
  <c r="AK603" i="1"/>
  <c r="AK602" i="1"/>
  <c r="AK601" i="1"/>
  <c r="AK600" i="1"/>
  <c r="AK599" i="1"/>
  <c r="AK598" i="1"/>
  <c r="AK597" i="1"/>
  <c r="AK596" i="1"/>
  <c r="AK595" i="1"/>
  <c r="AK594" i="1"/>
  <c r="AK593" i="1"/>
  <c r="AK592" i="1"/>
  <c r="AK591" i="1"/>
  <c r="AK590" i="1"/>
  <c r="AK589" i="1"/>
  <c r="AK588" i="1"/>
  <c r="AK587" i="1"/>
  <c r="AK586" i="1"/>
  <c r="AK585" i="1"/>
  <c r="AK584" i="1"/>
  <c r="AK583" i="1"/>
  <c r="AK582" i="1"/>
  <c r="AK581" i="1"/>
  <c r="AK580" i="1"/>
  <c r="AK579" i="1"/>
  <c r="AK578" i="1"/>
  <c r="AK577" i="1"/>
  <c r="AK576" i="1"/>
  <c r="AK575" i="1"/>
  <c r="AK574" i="1"/>
  <c r="AK573" i="1"/>
  <c r="AK572" i="1"/>
  <c r="AK571" i="1"/>
  <c r="AK570" i="1"/>
  <c r="AK569" i="1"/>
  <c r="AK568" i="1"/>
  <c r="AK567" i="1"/>
  <c r="AK566" i="1"/>
  <c r="AK565" i="1"/>
  <c r="AK564" i="1"/>
  <c r="AK563" i="1"/>
  <c r="AK562" i="1"/>
  <c r="AK561" i="1"/>
  <c r="AK560" i="1"/>
  <c r="AK559" i="1"/>
  <c r="AK558" i="1"/>
  <c r="AK557" i="1"/>
  <c r="AK556" i="1"/>
  <c r="AK555" i="1"/>
  <c r="AK554" i="1"/>
  <c r="AK553" i="1"/>
  <c r="AK552" i="1"/>
  <c r="AK551" i="1"/>
  <c r="AK550" i="1"/>
  <c r="AK549" i="1"/>
  <c r="AK548" i="1"/>
  <c r="AK547" i="1"/>
  <c r="AK546" i="1"/>
  <c r="AK545" i="1"/>
  <c r="AK544" i="1"/>
  <c r="AK543" i="1"/>
  <c r="AK542" i="1"/>
  <c r="AK541" i="1"/>
  <c r="AK540" i="1"/>
  <c r="AK539" i="1"/>
  <c r="AK538" i="1"/>
  <c r="AK537" i="1"/>
  <c r="AK536" i="1"/>
  <c r="AK535" i="1"/>
  <c r="AK534" i="1"/>
  <c r="AK533" i="1"/>
  <c r="AK532" i="1"/>
  <c r="AK531" i="1"/>
  <c r="AK530" i="1"/>
  <c r="AK529" i="1"/>
  <c r="AK528" i="1"/>
  <c r="AK527" i="1"/>
  <c r="AK526" i="1"/>
  <c r="AK525" i="1"/>
  <c r="AK524" i="1"/>
  <c r="AK523" i="1"/>
  <c r="AK522" i="1"/>
  <c r="AK521" i="1"/>
  <c r="AK520" i="1"/>
  <c r="AK519" i="1"/>
  <c r="AK518" i="1"/>
  <c r="AK517" i="1"/>
  <c r="AK516" i="1"/>
  <c r="AK515" i="1"/>
  <c r="AK514" i="1"/>
  <c r="AK513" i="1"/>
  <c r="AK512" i="1"/>
  <c r="AK511" i="1"/>
  <c r="AK510" i="1"/>
  <c r="AK509" i="1"/>
  <c r="AK508" i="1"/>
  <c r="AK507" i="1"/>
  <c r="AK506" i="1"/>
  <c r="AK505" i="1"/>
  <c r="AK504" i="1"/>
  <c r="AK503" i="1"/>
  <c r="AK502" i="1"/>
  <c r="AK501" i="1"/>
  <c r="AK500" i="1"/>
  <c r="AK499" i="1"/>
  <c r="AK498" i="1"/>
  <c r="AK497" i="1"/>
  <c r="AK496" i="1"/>
  <c r="AK495" i="1"/>
  <c r="AK494" i="1"/>
  <c r="AK493" i="1"/>
  <c r="AK492" i="1"/>
  <c r="AK491" i="1"/>
  <c r="AK490" i="1"/>
  <c r="AK489" i="1"/>
  <c r="AK488" i="1"/>
  <c r="AK487" i="1"/>
  <c r="AK486" i="1"/>
  <c r="AK485" i="1"/>
  <c r="AK484" i="1"/>
  <c r="AK483" i="1"/>
  <c r="AK482" i="1"/>
  <c r="AK481" i="1"/>
  <c r="AK480" i="1"/>
  <c r="AK479" i="1"/>
  <c r="AK478" i="1"/>
  <c r="AK477" i="1"/>
  <c r="AK476" i="1"/>
  <c r="AK475" i="1"/>
  <c r="AK474" i="1"/>
  <c r="AK473" i="1"/>
  <c r="AK472" i="1"/>
  <c r="AK471" i="1"/>
  <c r="AK470" i="1"/>
  <c r="AK469" i="1"/>
  <c r="AK468" i="1"/>
  <c r="AK467" i="1"/>
  <c r="AK466" i="1"/>
  <c r="AK465" i="1"/>
  <c r="AK464" i="1"/>
  <c r="AK463" i="1"/>
  <c r="AK462" i="1"/>
  <c r="AK461" i="1"/>
  <c r="AK460" i="1"/>
  <c r="AK459" i="1"/>
  <c r="AK458" i="1"/>
  <c r="AK457" i="1"/>
  <c r="AK456" i="1"/>
  <c r="AK455" i="1"/>
  <c r="AK454" i="1"/>
  <c r="AK453" i="1"/>
  <c r="AK452" i="1"/>
  <c r="AK451" i="1"/>
  <c r="AK450" i="1"/>
  <c r="AK449" i="1"/>
  <c r="AK448" i="1"/>
  <c r="AK447" i="1"/>
  <c r="AK446" i="1"/>
  <c r="AK445" i="1"/>
  <c r="AK444" i="1"/>
  <c r="AK443" i="1"/>
  <c r="AK442" i="1"/>
  <c r="AK441" i="1"/>
  <c r="AK440" i="1"/>
  <c r="AK439" i="1"/>
  <c r="AK438" i="1"/>
  <c r="AK437" i="1"/>
  <c r="AK436" i="1"/>
  <c r="AK435" i="1"/>
  <c r="AK434" i="1"/>
  <c r="AK433" i="1"/>
  <c r="AK432" i="1"/>
  <c r="AK431" i="1"/>
  <c r="AK430" i="1"/>
  <c r="AK429" i="1"/>
  <c r="AK428" i="1"/>
  <c r="AK427" i="1"/>
  <c r="AK426" i="1"/>
  <c r="AK425" i="1"/>
  <c r="AK424" i="1"/>
  <c r="AK423" i="1"/>
  <c r="AK422" i="1"/>
  <c r="AK421" i="1"/>
  <c r="AK420" i="1"/>
  <c r="AK419" i="1"/>
  <c r="AK418" i="1"/>
  <c r="AK417" i="1"/>
  <c r="AK416" i="1"/>
  <c r="AK415" i="1"/>
  <c r="AK414" i="1"/>
  <c r="AK413" i="1"/>
  <c r="AK412" i="1"/>
  <c r="AK411" i="1"/>
  <c r="AK410" i="1"/>
  <c r="AK409" i="1"/>
  <c r="AK408" i="1"/>
  <c r="AK407" i="1"/>
  <c r="AK406" i="1"/>
  <c r="AK405" i="1"/>
  <c r="AK404" i="1"/>
  <c r="AK403" i="1"/>
  <c r="AK402" i="1"/>
  <c r="AK401" i="1"/>
  <c r="AK400" i="1"/>
  <c r="AK399" i="1"/>
  <c r="AK398" i="1"/>
  <c r="AK397" i="1"/>
  <c r="AK396" i="1"/>
  <c r="AK395" i="1"/>
  <c r="AK394" i="1"/>
  <c r="AK393" i="1"/>
  <c r="AK392" i="1"/>
  <c r="AK391" i="1"/>
  <c r="AK390" i="1"/>
  <c r="AK389" i="1"/>
  <c r="AK388" i="1"/>
  <c r="AK387" i="1"/>
  <c r="AK386" i="1"/>
  <c r="AK385" i="1"/>
  <c r="AK384" i="1"/>
  <c r="AK383" i="1"/>
  <c r="AK382" i="1"/>
  <c r="AK381" i="1"/>
  <c r="AK380" i="1"/>
  <c r="AK379" i="1"/>
  <c r="AK378" i="1"/>
  <c r="AK377" i="1"/>
  <c r="AK376" i="1"/>
  <c r="AK375" i="1"/>
  <c r="AK374" i="1"/>
  <c r="AK373" i="1"/>
  <c r="AK372" i="1"/>
  <c r="AK371" i="1"/>
  <c r="AK370" i="1"/>
  <c r="AK369" i="1"/>
  <c r="AK368" i="1"/>
  <c r="AK367" i="1"/>
  <c r="AK366" i="1"/>
  <c r="AK365" i="1"/>
  <c r="AK364" i="1"/>
  <c r="AK363" i="1"/>
  <c r="AK362" i="1"/>
  <c r="AK361" i="1"/>
  <c r="AK360" i="1"/>
  <c r="AK359" i="1"/>
  <c r="AK358" i="1"/>
  <c r="AK357" i="1"/>
  <c r="AK356" i="1"/>
  <c r="AK355" i="1"/>
  <c r="AK354" i="1"/>
  <c r="AK353" i="1"/>
  <c r="AK352" i="1"/>
  <c r="AK351" i="1"/>
  <c r="AK350" i="1"/>
  <c r="AK349" i="1"/>
  <c r="AK348" i="1"/>
  <c r="AK347" i="1"/>
  <c r="AK346" i="1"/>
  <c r="AK345" i="1"/>
  <c r="AK344" i="1"/>
  <c r="AK343" i="1"/>
  <c r="AK342" i="1"/>
  <c r="AK341" i="1"/>
  <c r="AK340" i="1"/>
  <c r="AK339" i="1"/>
  <c r="AK338" i="1"/>
  <c r="AK337" i="1"/>
  <c r="AK336" i="1"/>
  <c r="AK335" i="1"/>
  <c r="AK334" i="1"/>
  <c r="AK333" i="1"/>
  <c r="AK332" i="1"/>
  <c r="AK331" i="1"/>
  <c r="AK330" i="1"/>
  <c r="AK329" i="1"/>
  <c r="AK328" i="1"/>
  <c r="AK327" i="1"/>
  <c r="AK326" i="1"/>
  <c r="AK325" i="1"/>
  <c r="AK324" i="1"/>
  <c r="AK323" i="1"/>
  <c r="AK322" i="1"/>
  <c r="AK321" i="1"/>
  <c r="AK320" i="1"/>
  <c r="AK319" i="1"/>
  <c r="AK318" i="1"/>
  <c r="AK317" i="1"/>
  <c r="AK316" i="1"/>
  <c r="AK315" i="1"/>
  <c r="AK314" i="1"/>
  <c r="AK313" i="1"/>
  <c r="AK312" i="1"/>
  <c r="AK311" i="1"/>
  <c r="AK310" i="1"/>
  <c r="AK309" i="1"/>
  <c r="AK308" i="1"/>
  <c r="AK307" i="1"/>
  <c r="AK306" i="1"/>
  <c r="AK305" i="1"/>
  <c r="AK304" i="1"/>
  <c r="AK303" i="1"/>
  <c r="AK302" i="1"/>
  <c r="AK301" i="1"/>
  <c r="AK300" i="1"/>
  <c r="AK299" i="1"/>
  <c r="AK298" i="1"/>
  <c r="AK297" i="1"/>
  <c r="AK296" i="1"/>
  <c r="AK295" i="1"/>
  <c r="AK294" i="1"/>
  <c r="AK293" i="1"/>
  <c r="AK292" i="1"/>
  <c r="AK291" i="1"/>
  <c r="AK290" i="1"/>
  <c r="AK289" i="1"/>
  <c r="AK288" i="1"/>
  <c r="AK287" i="1"/>
  <c r="AK286" i="1"/>
  <c r="AK285" i="1"/>
  <c r="AK284" i="1"/>
  <c r="AK283" i="1"/>
  <c r="AK282" i="1"/>
  <c r="AK281" i="1"/>
  <c r="AK280" i="1"/>
  <c r="AK279" i="1"/>
  <c r="AK278" i="1"/>
  <c r="AK277" i="1"/>
  <c r="AK276" i="1"/>
  <c r="AK275" i="1"/>
  <c r="AK274" i="1"/>
  <c r="AK273" i="1"/>
  <c r="AK272" i="1"/>
  <c r="AK271" i="1"/>
  <c r="AK270" i="1"/>
  <c r="AK269" i="1"/>
  <c r="AK268" i="1"/>
  <c r="AK267" i="1"/>
  <c r="AK266" i="1"/>
  <c r="AK265" i="1"/>
  <c r="AK264" i="1"/>
  <c r="AK263" i="1"/>
  <c r="AK262" i="1"/>
  <c r="AK261" i="1"/>
  <c r="AK260" i="1"/>
  <c r="AK259" i="1"/>
  <c r="AK258" i="1"/>
  <c r="AK257" i="1"/>
  <c r="AK256" i="1"/>
  <c r="AK255" i="1"/>
  <c r="AK254" i="1"/>
  <c r="AK253" i="1"/>
  <c r="AK252" i="1"/>
  <c r="AK251" i="1"/>
  <c r="AK250" i="1"/>
  <c r="AK249" i="1"/>
  <c r="AK248" i="1"/>
  <c r="AK247" i="1"/>
  <c r="AK246" i="1"/>
  <c r="AK245" i="1"/>
  <c r="AK244" i="1"/>
  <c r="AK243" i="1"/>
  <c r="AK242" i="1"/>
  <c r="AK241" i="1"/>
  <c r="AK240" i="1"/>
  <c r="AK239" i="1"/>
  <c r="AK238" i="1"/>
  <c r="AK237" i="1"/>
  <c r="AK236" i="1"/>
  <c r="AK235" i="1"/>
  <c r="AK234" i="1"/>
  <c r="AK233" i="1"/>
  <c r="AK232" i="1"/>
  <c r="AK231" i="1"/>
  <c r="AK230" i="1"/>
  <c r="AK229" i="1"/>
  <c r="AK228" i="1"/>
  <c r="AK227" i="1"/>
  <c r="AK226" i="1"/>
  <c r="AK225" i="1"/>
  <c r="AK224" i="1"/>
  <c r="AK223" i="1"/>
  <c r="AK222" i="1"/>
  <c r="AK221" i="1"/>
  <c r="AK220" i="1"/>
  <c r="AK219" i="1"/>
  <c r="AK218" i="1"/>
  <c r="AK217" i="1"/>
  <c r="AK216" i="1"/>
  <c r="AK215" i="1"/>
  <c r="AK214" i="1"/>
  <c r="AK213" i="1"/>
  <c r="AK212" i="1"/>
  <c r="AK211" i="1"/>
  <c r="AK210" i="1"/>
  <c r="AK209" i="1"/>
  <c r="AK208" i="1"/>
  <c r="AK207" i="1"/>
  <c r="AK206" i="1"/>
  <c r="AK205" i="1"/>
  <c r="AK204" i="1"/>
  <c r="AK203" i="1"/>
  <c r="AK202" i="1"/>
  <c r="AK201" i="1"/>
  <c r="AK200" i="1"/>
  <c r="AK199" i="1"/>
  <c r="AK198" i="1"/>
  <c r="AK197" i="1"/>
  <c r="AK196" i="1"/>
  <c r="AK195" i="1"/>
  <c r="AK194" i="1"/>
  <c r="AK193" i="1"/>
  <c r="AK192" i="1"/>
  <c r="AK191" i="1"/>
  <c r="AK190" i="1"/>
  <c r="AK189" i="1"/>
  <c r="AK188" i="1"/>
  <c r="AK187" i="1"/>
  <c r="AK186" i="1"/>
  <c r="AK185" i="1"/>
  <c r="AK184" i="1"/>
  <c r="AK183" i="1"/>
  <c r="AK182" i="1"/>
  <c r="AK181" i="1"/>
  <c r="AK180" i="1"/>
  <c r="AK179" i="1"/>
  <c r="AK178" i="1"/>
  <c r="AK177" i="1"/>
  <c r="AK176" i="1"/>
  <c r="AK175" i="1"/>
  <c r="AK174" i="1"/>
  <c r="AK173" i="1"/>
  <c r="AK172" i="1"/>
  <c r="AK171" i="1"/>
  <c r="AK170" i="1"/>
  <c r="AK169" i="1"/>
  <c r="AK168" i="1"/>
  <c r="AK167" i="1"/>
  <c r="AK166" i="1"/>
  <c r="AK165" i="1"/>
  <c r="AK164" i="1"/>
  <c r="AK163" i="1"/>
  <c r="AK162" i="1"/>
  <c r="AK161" i="1"/>
  <c r="AK160" i="1"/>
  <c r="AK159" i="1"/>
  <c r="AK158" i="1"/>
  <c r="AK157" i="1"/>
  <c r="AK156" i="1"/>
  <c r="AK155" i="1"/>
  <c r="AK154" i="1"/>
  <c r="AK153" i="1"/>
  <c r="AK152" i="1"/>
  <c r="AK151" i="1"/>
  <c r="AK150" i="1"/>
  <c r="AK149" i="1"/>
  <c r="AK148" i="1"/>
  <c r="AK147" i="1"/>
  <c r="AK146" i="1"/>
  <c r="AK145" i="1"/>
  <c r="AK144" i="1"/>
  <c r="AK143" i="1"/>
  <c r="AK142" i="1"/>
  <c r="AK141" i="1"/>
  <c r="AK140" i="1"/>
  <c r="AK139" i="1"/>
  <c r="AK138" i="1"/>
  <c r="AK137" i="1"/>
  <c r="AK136" i="1"/>
  <c r="AK135" i="1"/>
  <c r="AK134" i="1"/>
  <c r="AK133" i="1"/>
  <c r="AK132" i="1"/>
  <c r="AK131" i="1"/>
  <c r="AK130" i="1"/>
  <c r="AK129" i="1"/>
  <c r="AK128" i="1"/>
  <c r="AK127" i="1"/>
  <c r="AK126" i="1"/>
  <c r="AK125" i="1"/>
  <c r="AK124" i="1"/>
  <c r="AK123" i="1"/>
  <c r="AK122" i="1"/>
  <c r="AK121" i="1"/>
  <c r="AK120" i="1"/>
  <c r="AK119" i="1"/>
  <c r="AK118" i="1"/>
  <c r="AK117" i="1"/>
  <c r="AK116" i="1"/>
  <c r="AK115" i="1"/>
  <c r="AK114" i="1"/>
  <c r="AK113" i="1"/>
  <c r="AK112" i="1"/>
  <c r="AK111" i="1"/>
  <c r="AK110" i="1"/>
  <c r="AK109" i="1"/>
  <c r="AK108" i="1"/>
  <c r="AK107" i="1"/>
  <c r="AK106" i="1"/>
  <c r="AK105" i="1"/>
  <c r="AK104" i="1"/>
  <c r="AK103" i="1"/>
  <c r="AK102" i="1"/>
  <c r="AK101" i="1"/>
  <c r="AK100" i="1"/>
  <c r="AK99" i="1"/>
  <c r="AK98" i="1"/>
  <c r="AK97" i="1"/>
  <c r="AK96" i="1"/>
  <c r="AK95" i="1"/>
  <c r="AK94" i="1"/>
  <c r="AK93" i="1"/>
  <c r="AK92" i="1"/>
  <c r="AK91" i="1"/>
  <c r="AK90" i="1"/>
  <c r="AK89" i="1"/>
  <c r="AK88" i="1"/>
  <c r="AK87" i="1"/>
  <c r="AK86" i="1"/>
  <c r="AK85" i="1"/>
  <c r="AK84" i="1"/>
  <c r="AK83" i="1"/>
  <c r="AK82" i="1"/>
  <c r="AK81" i="1"/>
  <c r="AK80" i="1"/>
  <c r="AK79" i="1"/>
  <c r="AK78" i="1"/>
  <c r="AK77" i="1"/>
  <c r="AK76" i="1"/>
  <c r="AK75" i="1"/>
  <c r="AK74" i="1"/>
  <c r="AK73" i="1"/>
  <c r="AK72" i="1"/>
  <c r="AK71" i="1"/>
  <c r="AK70" i="1"/>
  <c r="AK69" i="1"/>
  <c r="AK68" i="1"/>
  <c r="AK67" i="1"/>
  <c r="AK66" i="1"/>
  <c r="AK65" i="1"/>
  <c r="AK64" i="1"/>
  <c r="AK63" i="1"/>
  <c r="AK62" i="1"/>
  <c r="AK61" i="1"/>
  <c r="AK60" i="1"/>
  <c r="AK59" i="1"/>
  <c r="AK58" i="1"/>
  <c r="AK57" i="1"/>
  <c r="AK56" i="1"/>
  <c r="AK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42" i="1"/>
  <c r="AK41" i="1"/>
  <c r="AK40" i="1"/>
  <c r="AK39" i="1"/>
  <c r="AK38" i="1"/>
  <c r="AK37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R11" i="1" l="1"/>
  <c r="N11" i="1"/>
  <c r="N12" i="1" s="1"/>
  <c r="AL12" i="1"/>
  <c r="AD11" i="1"/>
  <c r="AD12" i="1" s="1"/>
  <c r="F11" i="1"/>
  <c r="F12" i="1" s="1"/>
  <c r="J11" i="1"/>
  <c r="J12" i="1" s="1"/>
  <c r="V11" i="1"/>
  <c r="V12" i="1" s="1"/>
  <c r="R12" i="1"/>
  <c r="Z11" i="1"/>
  <c r="Z12" i="1" s="1"/>
  <c r="AH11" i="1"/>
  <c r="AH12" i="1" s="1"/>
  <c r="B11" i="1"/>
  <c r="B12" i="1" s="1"/>
  <c r="J4" i="1"/>
  <c r="J5" i="1" s="1"/>
  <c r="AH4" i="1"/>
  <c r="AH5" i="1" s="1"/>
  <c r="AD4" i="1"/>
  <c r="AD5" i="1" s="1"/>
  <c r="F4" i="1"/>
  <c r="F5" i="1" s="1"/>
  <c r="V4" i="1"/>
  <c r="V5" i="1" s="1"/>
  <c r="R4" i="1"/>
  <c r="R5" i="1" s="1"/>
  <c r="Z4" i="1"/>
  <c r="Z5" i="1" s="1"/>
  <c r="N4" i="1"/>
  <c r="N5" i="1" s="1"/>
  <c r="AL4" i="1"/>
  <c r="AL5" i="1" s="1"/>
  <c r="B4" i="1"/>
  <c r="B5" i="1" s="1"/>
  <c r="J8" i="1"/>
  <c r="J9" i="1" s="1"/>
  <c r="AH8" i="1"/>
  <c r="AH9" i="1" s="1"/>
  <c r="AD8" i="1"/>
  <c r="AD9" i="1" s="1"/>
  <c r="B8" i="1"/>
  <c r="B9" i="1" s="1"/>
  <c r="V8" i="1"/>
  <c r="V9" i="1" s="1"/>
  <c r="Z8" i="1"/>
  <c r="Z9" i="1" s="1"/>
  <c r="AL8" i="1"/>
  <c r="AL9" i="1" s="1"/>
  <c r="F8" i="1"/>
  <c r="F9" i="1" s="1"/>
  <c r="N8" i="1"/>
  <c r="N9" i="1" s="1"/>
  <c r="R8" i="1"/>
  <c r="R9" i="1" s="1"/>
  <c r="J6" i="1"/>
  <c r="J7" i="1" s="1"/>
  <c r="F6" i="1"/>
  <c r="F7" i="1" s="1"/>
  <c r="N6" i="1"/>
  <c r="N7" i="1" s="1"/>
  <c r="B6" i="1"/>
  <c r="B7" i="1" s="1"/>
  <c r="R6" i="1"/>
  <c r="R7" i="1" s="1"/>
  <c r="AH6" i="1"/>
  <c r="AH7" i="1" s="1"/>
  <c r="Z6" i="1"/>
  <c r="Z7" i="1" s="1"/>
  <c r="AD6" i="1"/>
  <c r="AD7" i="1" s="1"/>
  <c r="AL6" i="1"/>
  <c r="AL7" i="1" s="1"/>
  <c r="V6" i="1"/>
  <c r="V7" i="1" s="1"/>
  <c r="AD10" i="1" l="1"/>
  <c r="R10" i="1"/>
  <c r="AL10" i="1"/>
  <c r="Z10" i="1"/>
  <c r="AH10" i="1"/>
  <c r="N10" i="1"/>
  <c r="F10" i="1"/>
  <c r="J10" i="1"/>
  <c r="B10" i="1"/>
  <c r="V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<sst xmlns="http://schemas.openxmlformats.org/spreadsheetml/2006/main" count="850" uniqueCount="739">
  <si>
    <t>Date</t>
  </si>
  <si>
    <t>Cours</t>
  </si>
  <si>
    <t>Cours Ajusté</t>
  </si>
  <si>
    <t>TAWASOL</t>
  </si>
  <si>
    <t>SMART TUNISIE</t>
  </si>
  <si>
    <t>ATTIJARI BANK</t>
  </si>
  <si>
    <t>EURO CYCLE</t>
  </si>
  <si>
    <t>UNIMED</t>
  </si>
  <si>
    <t>AMV</t>
  </si>
  <si>
    <t>CARTHAGE CEMENT</t>
  </si>
  <si>
    <t>POULINA</t>
  </si>
  <si>
    <t>ONE TECH HOLDING</t>
  </si>
  <si>
    <t>ESSOUKNA</t>
  </si>
  <si>
    <t>CAPM</t>
  </si>
  <si>
    <t>Rf</t>
  </si>
  <si>
    <t>daily mean</t>
  </si>
  <si>
    <t>yearly mean</t>
  </si>
  <si>
    <t>daily standard dev</t>
  </si>
  <si>
    <t>yearly standard dev</t>
  </si>
  <si>
    <t>sharpe ratio</t>
  </si>
  <si>
    <t>beta</t>
  </si>
  <si>
    <t>Daily return</t>
  </si>
  <si>
    <t>Nbr of business days</t>
  </si>
  <si>
    <t>this year's expected profit</t>
  </si>
  <si>
    <t>this year's average profit</t>
  </si>
  <si>
    <t>02/01/23</t>
  </si>
  <si>
    <t>03/01/23</t>
  </si>
  <si>
    <t>04/01/23</t>
  </si>
  <si>
    <t>05/01/23</t>
  </si>
  <si>
    <t>06/01/23</t>
  </si>
  <si>
    <t>09/01/23</t>
  </si>
  <si>
    <t>10/01/23</t>
  </si>
  <si>
    <t>11/01/23</t>
  </si>
  <si>
    <t>12/01/23</t>
  </si>
  <si>
    <t>13/01/23</t>
  </si>
  <si>
    <t>16/01/23</t>
  </si>
  <si>
    <t>17/01/23</t>
  </si>
  <si>
    <t>18/01/23</t>
  </si>
  <si>
    <t>19/01/23</t>
  </si>
  <si>
    <t>20/01/23</t>
  </si>
  <si>
    <t>23/01/23</t>
  </si>
  <si>
    <t>24/01/23</t>
  </si>
  <si>
    <t>25/01/23</t>
  </si>
  <si>
    <t>26/01/23</t>
  </si>
  <si>
    <t>27/01/23</t>
  </si>
  <si>
    <t>30/01/23</t>
  </si>
  <si>
    <t>31/01/23</t>
  </si>
  <si>
    <t>01/02/23</t>
  </si>
  <si>
    <t>02/02/23</t>
  </si>
  <si>
    <t>03/02/23</t>
  </si>
  <si>
    <t>06/02/23</t>
  </si>
  <si>
    <t>07/02/23</t>
  </si>
  <si>
    <t>08/02/23</t>
  </si>
  <si>
    <t>09/02/23</t>
  </si>
  <si>
    <t>10/02/23</t>
  </si>
  <si>
    <t>13/02/23</t>
  </si>
  <si>
    <t>14/02/23</t>
  </si>
  <si>
    <t>15/02/23</t>
  </si>
  <si>
    <t>16/02/23</t>
  </si>
  <si>
    <t>17/02/23</t>
  </si>
  <si>
    <t>20/02/23</t>
  </si>
  <si>
    <t>21/02/23</t>
  </si>
  <si>
    <t>22/02/23</t>
  </si>
  <si>
    <t>23/02/23</t>
  </si>
  <si>
    <t>24/02/23</t>
  </si>
  <si>
    <t>27/02/23</t>
  </si>
  <si>
    <t>28/02/23</t>
  </si>
  <si>
    <t>01/03/23</t>
  </si>
  <si>
    <t>02/03/23</t>
  </si>
  <si>
    <t>03/03/23</t>
  </si>
  <si>
    <t>06/03/23</t>
  </si>
  <si>
    <t>07/03/23</t>
  </si>
  <si>
    <t>08/03/23</t>
  </si>
  <si>
    <t>09/03/23</t>
  </si>
  <si>
    <t>10/03/23</t>
  </si>
  <si>
    <t>13/03/23</t>
  </si>
  <si>
    <t>14/03/23</t>
  </si>
  <si>
    <t>15/03/23</t>
  </si>
  <si>
    <t>16/03/23</t>
  </si>
  <si>
    <t>17/03/23</t>
  </si>
  <si>
    <t>21/03/23</t>
  </si>
  <si>
    <t>22/03/23</t>
  </si>
  <si>
    <t>23/03/23</t>
  </si>
  <si>
    <t>24/03/23</t>
  </si>
  <si>
    <t>27/03/23</t>
  </si>
  <si>
    <t>28/03/23</t>
  </si>
  <si>
    <t>29/03/23</t>
  </si>
  <si>
    <t>30/03/23</t>
  </si>
  <si>
    <t>31/03/23</t>
  </si>
  <si>
    <t>03/04/23</t>
  </si>
  <si>
    <t>04/04/23</t>
  </si>
  <si>
    <t>05/04/23</t>
  </si>
  <si>
    <t>06/04/23</t>
  </si>
  <si>
    <t>07/04/23</t>
  </si>
  <si>
    <t>10/04/23</t>
  </si>
  <si>
    <t>11/04/23</t>
  </si>
  <si>
    <t>12/04/23</t>
  </si>
  <si>
    <t>13/04/23</t>
  </si>
  <si>
    <t>14/04/23</t>
  </si>
  <si>
    <t>17/04/23</t>
  </si>
  <si>
    <t>18/04/23</t>
  </si>
  <si>
    <t>19/04/23</t>
  </si>
  <si>
    <t>20/04/23</t>
  </si>
  <si>
    <t>24/04/23</t>
  </si>
  <si>
    <t>25/04/23</t>
  </si>
  <si>
    <t>26/04/23</t>
  </si>
  <si>
    <t>27/04/23</t>
  </si>
  <si>
    <t>28/04/23</t>
  </si>
  <si>
    <t>02/05/23</t>
  </si>
  <si>
    <t>03/05/23</t>
  </si>
  <si>
    <t>04/05/23</t>
  </si>
  <si>
    <t>05/05/23</t>
  </si>
  <si>
    <t>08/05/23</t>
  </si>
  <si>
    <t>09/05/23</t>
  </si>
  <si>
    <t>10/05/23</t>
  </si>
  <si>
    <t>11/05/23</t>
  </si>
  <si>
    <t>12/05/23</t>
  </si>
  <si>
    <t>15/05/23</t>
  </si>
  <si>
    <t>16/05/23</t>
  </si>
  <si>
    <t>17/05/23</t>
  </si>
  <si>
    <t>18/05/23</t>
  </si>
  <si>
    <t>19/05/23</t>
  </si>
  <si>
    <t>22/05/23</t>
  </si>
  <si>
    <t>23/05/23</t>
  </si>
  <si>
    <t>24/05/23</t>
  </si>
  <si>
    <t>25/05/23</t>
  </si>
  <si>
    <t>26/05/23</t>
  </si>
  <si>
    <t>29/05/23</t>
  </si>
  <si>
    <t>30/05/23</t>
  </si>
  <si>
    <t>31/05/23</t>
  </si>
  <si>
    <t>01/06/23</t>
  </si>
  <si>
    <t>02/06/23</t>
  </si>
  <si>
    <t>05/06/23</t>
  </si>
  <si>
    <t>06/06/23</t>
  </si>
  <si>
    <t>07/06/23</t>
  </si>
  <si>
    <t>08/06/23</t>
  </si>
  <si>
    <t>09/06/23</t>
  </si>
  <si>
    <t>12/06/23</t>
  </si>
  <si>
    <t>13/06/23</t>
  </si>
  <si>
    <t>14/06/23</t>
  </si>
  <si>
    <t>15/06/23</t>
  </si>
  <si>
    <t>16/06/23</t>
  </si>
  <si>
    <t>19/06/23</t>
  </si>
  <si>
    <t>20/06/23</t>
  </si>
  <si>
    <t>21/06/23</t>
  </si>
  <si>
    <t>22/06/23</t>
  </si>
  <si>
    <t>23/06/23</t>
  </si>
  <si>
    <t>26/06/23</t>
  </si>
  <si>
    <t>27/06/23</t>
  </si>
  <si>
    <t>30/06/23</t>
  </si>
  <si>
    <t>03/07/23</t>
  </si>
  <si>
    <t>04/07/23</t>
  </si>
  <si>
    <t>05/07/23</t>
  </si>
  <si>
    <t>06/07/23</t>
  </si>
  <si>
    <t>07/07/23</t>
  </si>
  <si>
    <t>10/07/23</t>
  </si>
  <si>
    <t>11/07/23</t>
  </si>
  <si>
    <t>12/07/23</t>
  </si>
  <si>
    <t>13/07/23</t>
  </si>
  <si>
    <t>14/07/23</t>
  </si>
  <si>
    <t>17/07/23</t>
  </si>
  <si>
    <t>18/07/23</t>
  </si>
  <si>
    <t>20/07/23</t>
  </si>
  <si>
    <t>21/07/23</t>
  </si>
  <si>
    <t>24/07/23</t>
  </si>
  <si>
    <t>26/07/23</t>
  </si>
  <si>
    <t>27/07/23</t>
  </si>
  <si>
    <t>28/07/23</t>
  </si>
  <si>
    <t>31/07/23</t>
  </si>
  <si>
    <t>01/08/23</t>
  </si>
  <si>
    <t>02/08/23</t>
  </si>
  <si>
    <t>03/08/23</t>
  </si>
  <si>
    <t>04/08/23</t>
  </si>
  <si>
    <t>07/08/23</t>
  </si>
  <si>
    <t>08/08/23</t>
  </si>
  <si>
    <t>09/08/23</t>
  </si>
  <si>
    <t>10/08/23</t>
  </si>
  <si>
    <t>11/08/23</t>
  </si>
  <si>
    <t>14/08/23</t>
  </si>
  <si>
    <t>15/08/23</t>
  </si>
  <si>
    <t>16/08/23</t>
  </si>
  <si>
    <t>17/08/23</t>
  </si>
  <si>
    <t>18/08/23</t>
  </si>
  <si>
    <t>21/08/23</t>
  </si>
  <si>
    <t>22/08/23</t>
  </si>
  <si>
    <t>23/08/23</t>
  </si>
  <si>
    <t>24/08/23</t>
  </si>
  <si>
    <t>25/08/23</t>
  </si>
  <si>
    <t>28/08/23</t>
  </si>
  <si>
    <t>29/08/23</t>
  </si>
  <si>
    <t>30/08/23</t>
  </si>
  <si>
    <t>31/08/23</t>
  </si>
  <si>
    <t>01/09/23</t>
  </si>
  <si>
    <t>04/09/23</t>
  </si>
  <si>
    <t>05/09/23</t>
  </si>
  <si>
    <t>06/09/23</t>
  </si>
  <si>
    <t>07/09/23</t>
  </si>
  <si>
    <t>08/09/23</t>
  </si>
  <si>
    <t>11/09/23</t>
  </si>
  <si>
    <t>12/09/23</t>
  </si>
  <si>
    <t>13/09/23</t>
  </si>
  <si>
    <t>14/09/23</t>
  </si>
  <si>
    <t>15/09/23</t>
  </si>
  <si>
    <t>18/09/23</t>
  </si>
  <si>
    <t>19/09/23</t>
  </si>
  <si>
    <t>20/09/23</t>
  </si>
  <si>
    <t>21/09/23</t>
  </si>
  <si>
    <t>22/09/23</t>
  </si>
  <si>
    <t>25/09/23</t>
  </si>
  <si>
    <t>26/09/23</t>
  </si>
  <si>
    <t>28/09/23</t>
  </si>
  <si>
    <t>29/09/23</t>
  </si>
  <si>
    <t>02/10/23</t>
  </si>
  <si>
    <t>03/10/23</t>
  </si>
  <si>
    <t>04/10/23</t>
  </si>
  <si>
    <t>05/10/23</t>
  </si>
  <si>
    <t>06/10/23</t>
  </si>
  <si>
    <t>09/10/23</t>
  </si>
  <si>
    <t>10/10/23</t>
  </si>
  <si>
    <t>11/10/23</t>
  </si>
  <si>
    <t>12/10/23</t>
  </si>
  <si>
    <t>13/10/23</t>
  </si>
  <si>
    <t>16/10/23</t>
  </si>
  <si>
    <t>17/10/23</t>
  </si>
  <si>
    <t>18/10/23</t>
  </si>
  <si>
    <t>19/10/23</t>
  </si>
  <si>
    <t>20/10/23</t>
  </si>
  <si>
    <t>23/10/23</t>
  </si>
  <si>
    <t>24/10/23</t>
  </si>
  <si>
    <t>25/10/23</t>
  </si>
  <si>
    <t>26/10/23</t>
  </si>
  <si>
    <t>27/10/23</t>
  </si>
  <si>
    <t>30/10/23</t>
  </si>
  <si>
    <t>31/10/23</t>
  </si>
  <si>
    <t>01/11/23</t>
  </si>
  <si>
    <t>02/11/23</t>
  </si>
  <si>
    <t>03/11/23</t>
  </si>
  <si>
    <t>06/11/23</t>
  </si>
  <si>
    <t>07/11/23</t>
  </si>
  <si>
    <t>08/11/23</t>
  </si>
  <si>
    <t>09/11/23</t>
  </si>
  <si>
    <t>10/11/23</t>
  </si>
  <si>
    <t>13/11/23</t>
  </si>
  <si>
    <t>14/11/23</t>
  </si>
  <si>
    <t>15/11/23</t>
  </si>
  <si>
    <t>16/11/23</t>
  </si>
  <si>
    <t>17/11/23</t>
  </si>
  <si>
    <t>20/11/23</t>
  </si>
  <si>
    <t>21/11/23</t>
  </si>
  <si>
    <t>22/11/23</t>
  </si>
  <si>
    <t>23/11/23</t>
  </si>
  <si>
    <t>24/11/23</t>
  </si>
  <si>
    <t>27/11/23</t>
  </si>
  <si>
    <t>28/11/23</t>
  </si>
  <si>
    <t>29/11/23</t>
  </si>
  <si>
    <t>30/11/23</t>
  </si>
  <si>
    <t>01/12/23</t>
  </si>
  <si>
    <t>04/12/23</t>
  </si>
  <si>
    <t>05/12/23</t>
  </si>
  <si>
    <t>06/12/23</t>
  </si>
  <si>
    <t>07/12/23</t>
  </si>
  <si>
    <t>08/12/23</t>
  </si>
  <si>
    <t>11/12/23</t>
  </si>
  <si>
    <t>12/12/23</t>
  </si>
  <si>
    <t>13/12/23</t>
  </si>
  <si>
    <t>14/12/23</t>
  </si>
  <si>
    <t>15/12/23</t>
  </si>
  <si>
    <t>18/12/23</t>
  </si>
  <si>
    <t>19/12/23</t>
  </si>
  <si>
    <t>20/12/23</t>
  </si>
  <si>
    <t>21/12/23</t>
  </si>
  <si>
    <t>22/12/23</t>
  </si>
  <si>
    <t>25/12/23</t>
  </si>
  <si>
    <t>26/12/23</t>
  </si>
  <si>
    <t>27/12/23</t>
  </si>
  <si>
    <t>28/12/23</t>
  </si>
  <si>
    <t>29/12/23</t>
  </si>
  <si>
    <t>02/01/24</t>
  </si>
  <si>
    <t>03/01/24</t>
  </si>
  <si>
    <t>04/01/24</t>
  </si>
  <si>
    <t>05/01/24</t>
  </si>
  <si>
    <t>08/01/24</t>
  </si>
  <si>
    <t>09/01/24</t>
  </si>
  <si>
    <t>10/01/24</t>
  </si>
  <si>
    <t>11/01/24</t>
  </si>
  <si>
    <t>12/01/24</t>
  </si>
  <si>
    <t>15/01/24</t>
  </si>
  <si>
    <t>16/01/24</t>
  </si>
  <si>
    <t>17/01/24</t>
  </si>
  <si>
    <t>18/01/24</t>
  </si>
  <si>
    <t>19/01/24</t>
  </si>
  <si>
    <t>22/01/24</t>
  </si>
  <si>
    <t>23/01/24</t>
  </si>
  <si>
    <t>24/01/24</t>
  </si>
  <si>
    <t>25/01/24</t>
  </si>
  <si>
    <t>26/01/24</t>
  </si>
  <si>
    <t>29/01/24</t>
  </si>
  <si>
    <t>30/01/24</t>
  </si>
  <si>
    <t>31/01/24</t>
  </si>
  <si>
    <t>01/02/24</t>
  </si>
  <si>
    <t>02/02/24</t>
  </si>
  <si>
    <t>05/02/24</t>
  </si>
  <si>
    <t>06/02/24</t>
  </si>
  <si>
    <t>07/02/24</t>
  </si>
  <si>
    <t>08/02/24</t>
  </si>
  <si>
    <t>09/02/24</t>
  </si>
  <si>
    <t>12/02/24</t>
  </si>
  <si>
    <t>13/02/24</t>
  </si>
  <si>
    <t>14/02/24</t>
  </si>
  <si>
    <t>15/02/24</t>
  </si>
  <si>
    <t>16/02/24</t>
  </si>
  <si>
    <t>19/02/24</t>
  </si>
  <si>
    <t>20/02/24</t>
  </si>
  <si>
    <t>21/02/24</t>
  </si>
  <si>
    <t>22/02/24</t>
  </si>
  <si>
    <t>23/02/24</t>
  </si>
  <si>
    <t>26/02/24</t>
  </si>
  <si>
    <t>27/02/24</t>
  </si>
  <si>
    <t>28/02/24</t>
  </si>
  <si>
    <t>29/02/24</t>
  </si>
  <si>
    <t>01/03/24</t>
  </si>
  <si>
    <t>04/03/24</t>
  </si>
  <si>
    <t>05/03/24</t>
  </si>
  <si>
    <t>06/03/24</t>
  </si>
  <si>
    <t>07/03/24</t>
  </si>
  <si>
    <t>08/03/24</t>
  </si>
  <si>
    <t>11/03/24</t>
  </si>
  <si>
    <t>12/03/24</t>
  </si>
  <si>
    <t>13/03/24</t>
  </si>
  <si>
    <t>14/03/24</t>
  </si>
  <si>
    <t>15/03/24</t>
  </si>
  <si>
    <t>18/03/24</t>
  </si>
  <si>
    <t>19/03/24</t>
  </si>
  <si>
    <t>21/03/24</t>
  </si>
  <si>
    <t>22/03/24</t>
  </si>
  <si>
    <t>25/03/24</t>
  </si>
  <si>
    <t>26/03/24</t>
  </si>
  <si>
    <t>27/03/24</t>
  </si>
  <si>
    <t>28/03/24</t>
  </si>
  <si>
    <t>29/03/24</t>
  </si>
  <si>
    <t>01/04/24</t>
  </si>
  <si>
    <t>02/04/24</t>
  </si>
  <si>
    <t>03/04/24</t>
  </si>
  <si>
    <t>04/04/24</t>
  </si>
  <si>
    <t>05/04/24</t>
  </si>
  <si>
    <t>08/04/24</t>
  </si>
  <si>
    <t>12/04/24</t>
  </si>
  <si>
    <t>15/04/24</t>
  </si>
  <si>
    <t>16/04/24</t>
  </si>
  <si>
    <t>17/04/24</t>
  </si>
  <si>
    <t>18/04/24</t>
  </si>
  <si>
    <t>19/04/24</t>
  </si>
  <si>
    <t>22/04/24</t>
  </si>
  <si>
    <t>23/04/24</t>
  </si>
  <si>
    <t>24/04/24</t>
  </si>
  <si>
    <t>25/04/24</t>
  </si>
  <si>
    <t>26/04/24</t>
  </si>
  <si>
    <t>29/04/24</t>
  </si>
  <si>
    <t>30/04/24</t>
  </si>
  <si>
    <t>02/05/24</t>
  </si>
  <si>
    <t>03/05/24</t>
  </si>
  <si>
    <t>06/05/24</t>
  </si>
  <si>
    <t>07/05/24</t>
  </si>
  <si>
    <t>08/05/24</t>
  </si>
  <si>
    <t>09/05/24</t>
  </si>
  <si>
    <t>10/05/24</t>
  </si>
  <si>
    <t>13/05/24</t>
  </si>
  <si>
    <t>14/05/24</t>
  </si>
  <si>
    <t>15/05/24</t>
  </si>
  <si>
    <t>16/05/24</t>
  </si>
  <si>
    <t>17/05/24</t>
  </si>
  <si>
    <t>20/05/24</t>
  </si>
  <si>
    <t>21/05/24</t>
  </si>
  <si>
    <t>22/05/24</t>
  </si>
  <si>
    <t>23/05/24</t>
  </si>
  <si>
    <t>24/05/24</t>
  </si>
  <si>
    <t>27/05/24</t>
  </si>
  <si>
    <t>28/05/24</t>
  </si>
  <si>
    <t>29/05/24</t>
  </si>
  <si>
    <t>30/05/24</t>
  </si>
  <si>
    <t>31/05/24</t>
  </si>
  <si>
    <t>03/06/24</t>
  </si>
  <si>
    <t>04/06/24</t>
  </si>
  <si>
    <t>05/06/24</t>
  </si>
  <si>
    <t>06/06/24</t>
  </si>
  <si>
    <t>07/06/24</t>
  </si>
  <si>
    <t>10/06/24</t>
  </si>
  <si>
    <t>11/06/24</t>
  </si>
  <si>
    <t>12/06/24</t>
  </si>
  <si>
    <t>13/06/24</t>
  </si>
  <si>
    <t>14/06/24</t>
  </si>
  <si>
    <t>18/06/24</t>
  </si>
  <si>
    <t>19/06/24</t>
  </si>
  <si>
    <t>20/06/24</t>
  </si>
  <si>
    <t>21/06/24</t>
  </si>
  <si>
    <t>24/06/24</t>
  </si>
  <si>
    <t>25/06/24</t>
  </si>
  <si>
    <t>26/06/24</t>
  </si>
  <si>
    <t>27/06/24</t>
  </si>
  <si>
    <t>28/06/24</t>
  </si>
  <si>
    <t>01/07/24</t>
  </si>
  <si>
    <t>02/07/24</t>
  </si>
  <si>
    <t>03/07/24</t>
  </si>
  <si>
    <t>04/07/24</t>
  </si>
  <si>
    <t>05/07/24</t>
  </si>
  <si>
    <t>08/07/24</t>
  </si>
  <si>
    <t>09/07/24</t>
  </si>
  <si>
    <t>10/07/24</t>
  </si>
  <si>
    <t>11/07/24</t>
  </si>
  <si>
    <t>12/07/24</t>
  </si>
  <si>
    <t>15/07/24</t>
  </si>
  <si>
    <t>16/07/24</t>
  </si>
  <si>
    <t>17/07/24</t>
  </si>
  <si>
    <t>18/07/24</t>
  </si>
  <si>
    <t>19/07/24</t>
  </si>
  <si>
    <t>22/07/24</t>
  </si>
  <si>
    <t>23/07/24</t>
  </si>
  <si>
    <t>24/07/24</t>
  </si>
  <si>
    <t>26/07/24</t>
  </si>
  <si>
    <t>29/07/24</t>
  </si>
  <si>
    <t>30/07/24</t>
  </si>
  <si>
    <t>31/07/24</t>
  </si>
  <si>
    <t>01/08/24</t>
  </si>
  <si>
    <t>02/08/24</t>
  </si>
  <si>
    <t>05/08/24</t>
  </si>
  <si>
    <t>06/08/24</t>
  </si>
  <si>
    <t>07/08/24</t>
  </si>
  <si>
    <t>08/08/24</t>
  </si>
  <si>
    <t>09/08/24</t>
  </si>
  <si>
    <t>12/08/24</t>
  </si>
  <si>
    <t>14/08/24</t>
  </si>
  <si>
    <t>15/08/24</t>
  </si>
  <si>
    <t>16/08/24</t>
  </si>
  <si>
    <t>19/08/24</t>
  </si>
  <si>
    <t>20/08/24</t>
  </si>
  <si>
    <t>21/08/24</t>
  </si>
  <si>
    <t>22/08/24</t>
  </si>
  <si>
    <t>23/08/24</t>
  </si>
  <si>
    <t>26/08/24</t>
  </si>
  <si>
    <t>27/08/24</t>
  </si>
  <si>
    <t>28/08/24</t>
  </si>
  <si>
    <t>29/08/24</t>
  </si>
  <si>
    <t>30/08/24</t>
  </si>
  <si>
    <t>02/09/24</t>
  </si>
  <si>
    <t>03/09/24</t>
  </si>
  <si>
    <t>04/09/24</t>
  </si>
  <si>
    <t>05/09/24</t>
  </si>
  <si>
    <t>06/09/24</t>
  </si>
  <si>
    <t>09/09/24</t>
  </si>
  <si>
    <t>10/09/24</t>
  </si>
  <si>
    <t>11/09/24</t>
  </si>
  <si>
    <t>12/09/24</t>
  </si>
  <si>
    <t>13/09/24</t>
  </si>
  <si>
    <t>16/09/24</t>
  </si>
  <si>
    <t>17/09/24</t>
  </si>
  <si>
    <t>18/09/24</t>
  </si>
  <si>
    <t>19/09/24</t>
  </si>
  <si>
    <t>20/09/24</t>
  </si>
  <si>
    <t>23/09/24</t>
  </si>
  <si>
    <t>24/09/24</t>
  </si>
  <si>
    <t>25/09/24</t>
  </si>
  <si>
    <t>26/09/24</t>
  </si>
  <si>
    <t>27/09/24</t>
  </si>
  <si>
    <t>30/09/24</t>
  </si>
  <si>
    <t>01/10/24</t>
  </si>
  <si>
    <t>02/10/24</t>
  </si>
  <si>
    <t>03/10/24</t>
  </si>
  <si>
    <t>04/10/24</t>
  </si>
  <si>
    <t>07/10/24</t>
  </si>
  <si>
    <t>08/10/24</t>
  </si>
  <si>
    <t>09/10/24</t>
  </si>
  <si>
    <t>10/10/24</t>
  </si>
  <si>
    <t>11/10/24</t>
  </si>
  <si>
    <t>14/10/24</t>
  </si>
  <si>
    <t>16/10/24</t>
  </si>
  <si>
    <t>17/10/24</t>
  </si>
  <si>
    <t>18/10/24</t>
  </si>
  <si>
    <t>21/10/24</t>
  </si>
  <si>
    <t>22/10/24</t>
  </si>
  <si>
    <t>23/10/24</t>
  </si>
  <si>
    <t>24/10/24</t>
  </si>
  <si>
    <t>25/10/24</t>
  </si>
  <si>
    <t>28/10/24</t>
  </si>
  <si>
    <t>29/10/24</t>
  </si>
  <si>
    <t>30/10/24</t>
  </si>
  <si>
    <t>31/10/24</t>
  </si>
  <si>
    <t>01/11/24</t>
  </si>
  <si>
    <t>04/11/24</t>
  </si>
  <si>
    <t>05/11/24</t>
  </si>
  <si>
    <t>06/11/24</t>
  </si>
  <si>
    <t>07/11/24</t>
  </si>
  <si>
    <t>08/11/24</t>
  </si>
  <si>
    <t>11/11/24</t>
  </si>
  <si>
    <t>12/11/24</t>
  </si>
  <si>
    <t>13/11/24</t>
  </si>
  <si>
    <t>14/11/24</t>
  </si>
  <si>
    <t>15/11/24</t>
  </si>
  <si>
    <t>18/11/24</t>
  </si>
  <si>
    <t>19/11/24</t>
  </si>
  <si>
    <t>20/11/24</t>
  </si>
  <si>
    <t>21/11/24</t>
  </si>
  <si>
    <t>22/11/24</t>
  </si>
  <si>
    <t>25/11/24</t>
  </si>
  <si>
    <t>26/11/24</t>
  </si>
  <si>
    <t>27/11/24</t>
  </si>
  <si>
    <t>28/11/24</t>
  </si>
  <si>
    <t>29/11/24</t>
  </si>
  <si>
    <t>02/12/24</t>
  </si>
  <si>
    <t>03/12/24</t>
  </si>
  <si>
    <t>04/12/24</t>
  </si>
  <si>
    <t>05/12/24</t>
  </si>
  <si>
    <t>06/12/24</t>
  </si>
  <si>
    <t>09/12/24</t>
  </si>
  <si>
    <t>10/12/24</t>
  </si>
  <si>
    <t>11/12/24</t>
  </si>
  <si>
    <t>12/12/24</t>
  </si>
  <si>
    <t>13/12/24</t>
  </si>
  <si>
    <t>16/12/24</t>
  </si>
  <si>
    <t>18/12/24</t>
  </si>
  <si>
    <t>19/12/24</t>
  </si>
  <si>
    <t>20/12/24</t>
  </si>
  <si>
    <t>23/12/24</t>
  </si>
  <si>
    <t>24/12/24</t>
  </si>
  <si>
    <t>25/12/24</t>
  </si>
  <si>
    <t>26/12/24</t>
  </si>
  <si>
    <t>27/12/24</t>
  </si>
  <si>
    <t>30/12/24</t>
  </si>
  <si>
    <t>31/12/24</t>
  </si>
  <si>
    <t>02/01/25</t>
  </si>
  <si>
    <t>03/01/25</t>
  </si>
  <si>
    <t>06/01/25</t>
  </si>
  <si>
    <t>07/01/25</t>
  </si>
  <si>
    <t>08/01/25</t>
  </si>
  <si>
    <t>09/01/25</t>
  </si>
  <si>
    <t>10/01/25</t>
  </si>
  <si>
    <t>13/01/25</t>
  </si>
  <si>
    <t>14/01/25</t>
  </si>
  <si>
    <t>15/01/25</t>
  </si>
  <si>
    <t>16/01/25</t>
  </si>
  <si>
    <t>17/01/25</t>
  </si>
  <si>
    <t>20/01/25</t>
  </si>
  <si>
    <t>21/01/25</t>
  </si>
  <si>
    <t>22/01/25</t>
  </si>
  <si>
    <t>23/01/25</t>
  </si>
  <si>
    <t>24/01/25</t>
  </si>
  <si>
    <t>27/01/25</t>
  </si>
  <si>
    <t>28/01/25</t>
  </si>
  <si>
    <t>29/01/25</t>
  </si>
  <si>
    <t>30/01/25</t>
  </si>
  <si>
    <t>31/01/25</t>
  </si>
  <si>
    <t>03/02/25</t>
  </si>
  <si>
    <t>04/02/25</t>
  </si>
  <si>
    <t>05/02/25</t>
  </si>
  <si>
    <t>06/02/25</t>
  </si>
  <si>
    <t>07/02/25</t>
  </si>
  <si>
    <t>10/02/25</t>
  </si>
  <si>
    <t>11/02/25</t>
  </si>
  <si>
    <t>12/02/25</t>
  </si>
  <si>
    <t>13/02/25</t>
  </si>
  <si>
    <t>14/02/25</t>
  </si>
  <si>
    <t>17/02/25</t>
  </si>
  <si>
    <t>18/02/25</t>
  </si>
  <si>
    <t>19/02/25</t>
  </si>
  <si>
    <t>20/02/25</t>
  </si>
  <si>
    <t>21/02/25</t>
  </si>
  <si>
    <t>24/02/25</t>
  </si>
  <si>
    <t>25/02/25</t>
  </si>
  <si>
    <t>26/02/25</t>
  </si>
  <si>
    <t>27/02/25</t>
  </si>
  <si>
    <t>28/02/25</t>
  </si>
  <si>
    <t>03/03/25</t>
  </si>
  <si>
    <t>04/03/25</t>
  </si>
  <si>
    <t>05/03/25</t>
  </si>
  <si>
    <t>06/03/25</t>
  </si>
  <si>
    <t>07/03/25</t>
  </si>
  <si>
    <t>10/03/25</t>
  </si>
  <si>
    <t>11/03/25</t>
  </si>
  <si>
    <t>12/03/25</t>
  </si>
  <si>
    <t>13/03/25</t>
  </si>
  <si>
    <t>14/03/25</t>
  </si>
  <si>
    <t>17/03/25</t>
  </si>
  <si>
    <t>18/03/25</t>
  </si>
  <si>
    <t>19/03/25</t>
  </si>
  <si>
    <t>21/03/25</t>
  </si>
  <si>
    <t>24/03/25</t>
  </si>
  <si>
    <t>25/03/25</t>
  </si>
  <si>
    <t>26/03/25</t>
  </si>
  <si>
    <t>27/03/25</t>
  </si>
  <si>
    <t>28/03/25</t>
  </si>
  <si>
    <t>02/04/25</t>
  </si>
  <si>
    <t>03/04/25</t>
  </si>
  <si>
    <t>04/04/25</t>
  </si>
  <si>
    <t>07/04/25</t>
  </si>
  <si>
    <t>08/04/25</t>
  </si>
  <si>
    <t>10/04/25</t>
  </si>
  <si>
    <t>11/04/25</t>
  </si>
  <si>
    <t>14/04/25</t>
  </si>
  <si>
    <t>15/04/25</t>
  </si>
  <si>
    <t>16/04/25</t>
  </si>
  <si>
    <t>17/04/25</t>
  </si>
  <si>
    <t>18/04/25</t>
  </si>
  <si>
    <t>21/04/25</t>
  </si>
  <si>
    <t>22/04/25</t>
  </si>
  <si>
    <t>23/04/25</t>
  </si>
  <si>
    <t>24/04/25</t>
  </si>
  <si>
    <t>25/04/25</t>
  </si>
  <si>
    <t>28/04/25</t>
  </si>
  <si>
    <t>29/04/25</t>
  </si>
  <si>
    <t>30/04/25</t>
  </si>
  <si>
    <t>02/05/25</t>
  </si>
  <si>
    <t>05/05/25</t>
  </si>
  <si>
    <t>06/05/25</t>
  </si>
  <si>
    <t>07/05/25</t>
  </si>
  <si>
    <t>08/05/25</t>
  </si>
  <si>
    <t>09/05/25</t>
  </si>
  <si>
    <t>12/05/25</t>
  </si>
  <si>
    <t>13/05/25</t>
  </si>
  <si>
    <t>14/05/25</t>
  </si>
  <si>
    <t>15/05/25</t>
  </si>
  <si>
    <t>16/05/25</t>
  </si>
  <si>
    <t>19/05/25</t>
  </si>
  <si>
    <t>20/05/25</t>
  </si>
  <si>
    <t>21/05/25</t>
  </si>
  <si>
    <t>22/05/25</t>
  </si>
  <si>
    <t>23/05/25</t>
  </si>
  <si>
    <t>26/05/25</t>
  </si>
  <si>
    <t>27/05/25</t>
  </si>
  <si>
    <t>28/05/25</t>
  </si>
  <si>
    <t>29/05/25</t>
  </si>
  <si>
    <t>30/05/25</t>
  </si>
  <si>
    <t>02/06/25</t>
  </si>
  <si>
    <t>03/06/25</t>
  </si>
  <si>
    <t>04/06/25</t>
  </si>
  <si>
    <t>05/06/25</t>
  </si>
  <si>
    <t>09/06/25</t>
  </si>
  <si>
    <t>10/06/25</t>
  </si>
  <si>
    <t>11/06/25</t>
  </si>
  <si>
    <t>12/06/25</t>
  </si>
  <si>
    <t>13/06/25</t>
  </si>
  <si>
    <t>16/06/25</t>
  </si>
  <si>
    <t>17/06/25</t>
  </si>
  <si>
    <t>18/06/25</t>
  </si>
  <si>
    <t>19/06/25</t>
  </si>
  <si>
    <t>20/06/25</t>
  </si>
  <si>
    <t>23/06/25</t>
  </si>
  <si>
    <t>24/06/25</t>
  </si>
  <si>
    <t>25/06/25</t>
  </si>
  <si>
    <t>27/06/25</t>
  </si>
  <si>
    <t>30/06/25</t>
  </si>
  <si>
    <t>01/07/25</t>
  </si>
  <si>
    <t>02/07/25</t>
  </si>
  <si>
    <t>03/07/25</t>
  </si>
  <si>
    <t>04/07/25</t>
  </si>
  <si>
    <t>07/07/25</t>
  </si>
  <si>
    <t>08/07/25</t>
  </si>
  <si>
    <t>09/07/25</t>
  </si>
  <si>
    <t>10/07/25</t>
  </si>
  <si>
    <t>11/07/25</t>
  </si>
  <si>
    <t>14/07/25</t>
  </si>
  <si>
    <t>15/07/25</t>
  </si>
  <si>
    <t>16/07/25</t>
  </si>
  <si>
    <t>17/07/25</t>
  </si>
  <si>
    <t>18/07/25</t>
  </si>
  <si>
    <t>21/07/25</t>
  </si>
  <si>
    <t>22/07/25</t>
  </si>
  <si>
    <t>23/07/25</t>
  </si>
  <si>
    <t>24/07/25</t>
  </si>
  <si>
    <t>28/07/25</t>
  </si>
  <si>
    <t>29/07/25</t>
  </si>
  <si>
    <t>30/07/25</t>
  </si>
  <si>
    <t>31/07/25</t>
  </si>
  <si>
    <t>01/08/25</t>
  </si>
  <si>
    <t>04/08/25</t>
  </si>
  <si>
    <t>05/08/25</t>
  </si>
  <si>
    <t>06/08/25</t>
  </si>
  <si>
    <t>07/08/25</t>
  </si>
  <si>
    <t>08/08/25</t>
  </si>
  <si>
    <t>11/08/25</t>
  </si>
  <si>
    <t>12/08/25</t>
  </si>
  <si>
    <t>14/08/25</t>
  </si>
  <si>
    <t>15/08/25</t>
  </si>
  <si>
    <t>18/08/25</t>
  </si>
  <si>
    <t>19/08/25</t>
  </si>
  <si>
    <t>20/08/25</t>
  </si>
  <si>
    <t>21/08/25</t>
  </si>
  <si>
    <t>22/08/25</t>
  </si>
  <si>
    <t>25/08/25</t>
  </si>
  <si>
    <t>26/08/25</t>
  </si>
  <si>
    <t>27/08/25</t>
  </si>
  <si>
    <t>28/08/25</t>
  </si>
  <si>
    <t>29/08/25</t>
  </si>
  <si>
    <t>01/09/25</t>
  </si>
  <si>
    <t>02/09/25</t>
  </si>
  <si>
    <t>03/09/25</t>
  </si>
  <si>
    <t>05/09/25</t>
  </si>
  <si>
    <t>08/09/25</t>
  </si>
  <si>
    <t>09/09/25</t>
  </si>
  <si>
    <t>10/09/25</t>
  </si>
  <si>
    <t>11/09/25</t>
  </si>
  <si>
    <t>12/09/25</t>
  </si>
  <si>
    <t>15/09/25</t>
  </si>
  <si>
    <t>16/09/25</t>
  </si>
  <si>
    <t>17/09/25</t>
  </si>
  <si>
    <t>18/09/25</t>
  </si>
  <si>
    <t>19/09/25</t>
  </si>
  <si>
    <t>22/09/25</t>
  </si>
  <si>
    <t>23/09/25</t>
  </si>
  <si>
    <t>24/09/25</t>
  </si>
  <si>
    <t>25/09/25</t>
  </si>
  <si>
    <t>26/09/25</t>
  </si>
  <si>
    <t>29/09/25</t>
  </si>
  <si>
    <t>30/09/25</t>
  </si>
  <si>
    <t>covariance</t>
  </si>
  <si>
    <t>TUNINDEX</t>
  </si>
  <si>
    <t>Companies</t>
  </si>
  <si>
    <t>weights</t>
  </si>
  <si>
    <t xml:space="preserve">Money invested </t>
  </si>
  <si>
    <t>Budget</t>
  </si>
  <si>
    <t>Tawasol GH</t>
  </si>
  <si>
    <t>Smart Tunisie</t>
  </si>
  <si>
    <t>Attijari Bank</t>
  </si>
  <si>
    <t>Euro-cycles</t>
  </si>
  <si>
    <t>Carthage Cement</t>
  </si>
  <si>
    <t>Poulina</t>
  </si>
  <si>
    <t>One Tech Holding</t>
  </si>
  <si>
    <t>Essoukna</t>
  </si>
  <si>
    <t>Total</t>
  </si>
  <si>
    <t>Nber of stock to purchase</t>
  </si>
  <si>
    <t>Stock's price</t>
  </si>
  <si>
    <t>Adjusted Return</t>
  </si>
  <si>
    <t>Weights</t>
  </si>
  <si>
    <t>Portfolio daily Variance</t>
  </si>
  <si>
    <t>Portfolio mean  yearly return</t>
  </si>
  <si>
    <t>portfolio yearly std</t>
  </si>
  <si>
    <t>Weights constraint</t>
  </si>
  <si>
    <t>=</t>
  </si>
  <si>
    <t>Portfolio Return</t>
  </si>
  <si>
    <t>Sharpe Ratio</t>
  </si>
  <si>
    <t>constraint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</si>
</sst>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9" x14ac:knownFonts="1">
    <font>
      <sz val="11"/>
      <color theme="1"/>
      <name val="Aptos Narrow"/>
      <family val="2"/>
      <scheme val="minor"/>
    </font>
    <font>
      <b/>
      <sz val="9"/>
      <color indexed="8"/>
      <name val="Trebuchet MS"/>
      <family val="2"/>
    </font>
    <font>
      <sz val="10"/>
      <color indexed="8"/>
      <name val="Trebuchet MS"/>
      <family val="2"/>
    </font>
    <font>
      <sz val="10"/>
      <name val="Trebuchet MS"/>
      <family val="2"/>
    </font>
    <font>
      <b/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0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40">
    <xf numFmtId="0" fontId="0" fillId="0" borderId="0" xfId="0"/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3" fillId="0" borderId="1" xfId="0" applyFont="1" applyBorder="1"/>
    <xf numFmtId="14" fontId="0" fillId="0" borderId="0" xfId="0" applyNumberFormat="1"/>
    <xf numFmtId="0" fontId="1" fillId="2" borderId="2" xfId="0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10" fontId="2" fillId="0" borderId="1" xfId="0" applyNumberFormat="1" applyFont="1" applyBorder="1" applyAlignment="1" applyProtection="1">
      <alignment horizontal="right" vertical="top" wrapText="1" readingOrder="1"/>
      <protection locked="0"/>
    </xf>
    <xf numFmtId="10" fontId="3" fillId="0" borderId="1" xfId="0" applyNumberFormat="1" applyFont="1" applyBorder="1"/>
    <xf numFmtId="0" fontId="1" fillId="2" borderId="3" xfId="0" applyFont="1" applyFill="1" applyBorder="1" applyAlignment="1" applyProtection="1">
      <alignment horizontal="center" vertical="top" wrapText="1" readingOrder="1"/>
      <protection locked="0"/>
    </xf>
    <xf numFmtId="10" fontId="1" fillId="2" borderId="3" xfId="0" applyNumberFormat="1" applyFont="1" applyFill="1" applyBorder="1" applyAlignment="1" applyProtection="1">
      <alignment horizontal="center" vertical="top" wrapText="1" readingOrder="1"/>
      <protection locked="0"/>
    </xf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7" xfId="0" applyBorder="1"/>
    <xf numFmtId="0" fontId="7" fillId="0" borderId="8" xfId="0" applyFont="1" applyBorder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6" fillId="5" borderId="0" xfId="0" applyFont="1" applyFill="1"/>
    <xf numFmtId="0" fontId="6" fillId="6" borderId="0" xfId="0" applyFont="1" applyFill="1"/>
    <xf numFmtId="14" fontId="1" fillId="7" borderId="3" xfId="0" applyNumberFormat="1" applyFont="1" applyFill="1" applyBorder="1" applyAlignment="1" applyProtection="1">
      <alignment horizontal="center" vertical="top" wrapText="1" readingOrder="1"/>
      <protection locked="0"/>
    </xf>
    <xf numFmtId="14" fontId="2" fillId="4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0" fillId="8" borderId="0" xfId="0" applyFill="1"/>
    <xf numFmtId="0" fontId="5" fillId="3" borderId="1" xfId="0" applyFont="1" applyFill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10" fontId="0" fillId="0" borderId="5" xfId="0" applyNumberFormat="1" applyBorder="1" applyAlignment="1">
      <alignment horizontal="center"/>
    </xf>
    <xf numFmtId="10" fontId="0" fillId="0" borderId="6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0" xfId="0" applyAlignment="1">
      <alignment horizontal="center"/>
    </xf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440B4-F3A5-4B68-AD93-7DF84E9754E0}">
  <dimension ref="A1:BF708"/>
  <sheetViews>
    <sheetView tabSelected="1" topLeftCell="AK3" zoomScale="68" zoomScaleNormal="68" workbookViewId="0">
      <selection activeCell="BB30" sqref="BB30"/>
    </sheetView>
  </sheetViews>
  <sheetFormatPr defaultRowHeight="14.5" x14ac:dyDescent="0.35"/>
  <cols>
    <col min="1" max="1" width="29.36328125" customWidth="1"/>
    <col min="2" max="2" width="11" style="3" bestFit="1" customWidth="1"/>
    <col min="5" max="5" width="8.90625" style="5"/>
    <col min="6" max="6" width="11" style="3" bestFit="1" customWidth="1"/>
    <col min="9" max="9" width="8.90625" style="5"/>
    <col min="10" max="10" width="11" style="3" bestFit="1" customWidth="1"/>
    <col min="13" max="13" width="8.90625" style="5"/>
    <col min="14" max="14" width="11" style="3" bestFit="1" customWidth="1"/>
    <col min="17" max="17" width="8.90625" style="5"/>
    <col min="18" max="18" width="11" style="3" bestFit="1" customWidth="1"/>
    <col min="21" max="21" width="8.90625" style="5"/>
    <col min="22" max="22" width="11" style="3" bestFit="1" customWidth="1"/>
    <col min="25" max="25" width="8.90625" style="5"/>
    <col min="26" max="26" width="11" style="3" bestFit="1" customWidth="1"/>
    <col min="29" max="29" width="8.90625" style="5"/>
    <col min="30" max="30" width="11" style="3" bestFit="1" customWidth="1"/>
    <col min="33" max="33" width="8.90625" style="5"/>
    <col min="34" max="34" width="11" style="3" bestFit="1" customWidth="1"/>
    <col min="37" max="37" width="8.90625" style="5"/>
    <col min="38" max="38" width="11" style="3" bestFit="1" customWidth="1"/>
    <col min="41" max="41" width="12.36328125" bestFit="1" customWidth="1"/>
    <col min="42" max="42" width="11" bestFit="1" customWidth="1"/>
    <col min="47" max="47" width="27.26953125" bestFit="1" customWidth="1"/>
    <col min="48" max="48" width="12.1796875" customWidth="1"/>
    <col min="49" max="49" width="11.7265625" bestFit="1" customWidth="1"/>
    <col min="50" max="50" width="10.54296875" bestFit="1" customWidth="1"/>
    <col min="51" max="51" width="10.36328125" bestFit="1" customWidth="1"/>
    <col min="54" max="54" width="19.7265625" bestFit="1" customWidth="1"/>
    <col min="56" max="56" width="15.08984375" bestFit="1" customWidth="1"/>
    <col min="57" max="57" width="13.1796875" bestFit="1" customWidth="1"/>
  </cols>
  <sheetData>
    <row r="1" spans="1:58" ht="18.5" x14ac:dyDescent="0.45">
      <c r="A1" s="10" t="s">
        <v>13</v>
      </c>
    </row>
    <row r="2" spans="1:58" ht="18.5" x14ac:dyDescent="0.45">
      <c r="A2" s="10" t="s">
        <v>14</v>
      </c>
      <c r="B2" s="5">
        <v>7.4899999999999994E-2</v>
      </c>
      <c r="AU2" s="22" t="s">
        <v>717</v>
      </c>
      <c r="AV2" s="22">
        <v>406.91199999999998</v>
      </c>
    </row>
    <row r="3" spans="1:58" ht="18.5" x14ac:dyDescent="0.45">
      <c r="A3" s="10" t="s">
        <v>22</v>
      </c>
      <c r="B3">
        <v>252</v>
      </c>
    </row>
    <row r="4" spans="1:58" ht="18.5" x14ac:dyDescent="0.45">
      <c r="A4" s="10" t="s">
        <v>24</v>
      </c>
      <c r="B4" s="24">
        <f>AVERAGE(E525:E708)</f>
        <v>4.6947727939338418E-4</v>
      </c>
      <c r="C4" s="24"/>
      <c r="D4" s="24"/>
      <c r="E4" s="24"/>
      <c r="F4" s="24">
        <f>AVERAGE(I525:I708)</f>
        <v>1.619476360683511E-3</v>
      </c>
      <c r="G4" s="24"/>
      <c r="H4" s="24"/>
      <c r="I4" s="24"/>
      <c r="J4" s="24">
        <f>AVERAGE(M525:M708)</f>
        <v>2.8950747954465594E-3</v>
      </c>
      <c r="K4" s="24"/>
      <c r="L4" s="24"/>
      <c r="M4" s="24"/>
      <c r="N4" s="24">
        <f>AVERAGE(Q525:Q708)</f>
        <v>9.5958501109099422E-4</v>
      </c>
      <c r="O4" s="24"/>
      <c r="P4" s="24"/>
      <c r="Q4" s="24"/>
      <c r="R4" s="24">
        <f>AVERAGE(U525:U708)</f>
        <v>1.4405738073516891E-3</v>
      </c>
      <c r="S4" s="24"/>
      <c r="T4" s="24"/>
      <c r="U4" s="24"/>
      <c r="V4" s="24">
        <f>AVERAGE(Y525:Y708)</f>
        <v>1.9498990761724453E-3</v>
      </c>
      <c r="W4" s="24"/>
      <c r="X4" s="24"/>
      <c r="Y4" s="24"/>
      <c r="Z4" s="24">
        <f>AVERAGE(AC525:AC708)</f>
        <v>-7.1362666065477283E-4</v>
      </c>
      <c r="AA4" s="24"/>
      <c r="AB4" s="24"/>
      <c r="AC4" s="24"/>
      <c r="AD4" s="24">
        <f>AVERAGE(AG525:AG708)</f>
        <v>3.1807926974663893E-3</v>
      </c>
      <c r="AE4" s="24"/>
      <c r="AF4" s="24"/>
      <c r="AG4" s="24"/>
      <c r="AH4" s="24">
        <f>AVERAGE(AK525:AK708)</f>
        <v>1.3275705053337791E-3</v>
      </c>
      <c r="AI4" s="24"/>
      <c r="AJ4" s="24"/>
      <c r="AK4" s="24"/>
      <c r="AL4" s="24" t="e">
        <f>AVERAGE(#REF!)</f>
        <v>#REF!</v>
      </c>
      <c r="AM4" s="24"/>
      <c r="AN4" s="24"/>
      <c r="AO4" s="24"/>
      <c r="AP4" s="32"/>
      <c r="AQ4" s="33"/>
      <c r="AR4" s="34"/>
    </row>
    <row r="5" spans="1:58" ht="18.5" x14ac:dyDescent="0.45">
      <c r="A5" s="10" t="s">
        <v>23</v>
      </c>
      <c r="B5" s="24">
        <f>B4*$B$3</f>
        <v>0.11830827440713282</v>
      </c>
      <c r="C5" s="24"/>
      <c r="D5" s="24"/>
      <c r="E5" s="24"/>
      <c r="F5" s="24">
        <f t="shared" ref="F5" si="0">F4*$B$3</f>
        <v>0.40810804289224478</v>
      </c>
      <c r="G5" s="24"/>
      <c r="H5" s="24"/>
      <c r="I5" s="24"/>
      <c r="J5" s="24">
        <f t="shared" ref="J5" si="1">J4*$B$3</f>
        <v>0.72955884845253294</v>
      </c>
      <c r="K5" s="24"/>
      <c r="L5" s="24"/>
      <c r="M5" s="24"/>
      <c r="N5" s="24">
        <f t="shared" ref="N5" si="2">N4*$B$3</f>
        <v>0.24181542279493054</v>
      </c>
      <c r="O5" s="24"/>
      <c r="P5" s="24"/>
      <c r="Q5" s="24"/>
      <c r="R5" s="24">
        <f t="shared" ref="R5" si="3">R4*$B$3</f>
        <v>0.36302459945262566</v>
      </c>
      <c r="S5" s="24"/>
      <c r="T5" s="24"/>
      <c r="U5" s="24"/>
      <c r="V5" s="24">
        <f t="shared" ref="V5" si="4">V4*$B$3</f>
        <v>0.49137456719545619</v>
      </c>
      <c r="W5" s="24"/>
      <c r="X5" s="24"/>
      <c r="Y5" s="24"/>
      <c r="Z5" s="24">
        <f t="shared" ref="Z5" si="5">Z4*$B$3</f>
        <v>-0.17983391848500274</v>
      </c>
      <c r="AA5" s="24"/>
      <c r="AB5" s="24"/>
      <c r="AC5" s="24"/>
      <c r="AD5" s="24">
        <f t="shared" ref="AD5" si="6">AD4*$B$3</f>
        <v>0.80155975976153016</v>
      </c>
      <c r="AE5" s="24"/>
      <c r="AF5" s="24"/>
      <c r="AG5" s="24"/>
      <c r="AH5" s="24">
        <f t="shared" ref="AH5" si="7">AH4*$B$3</f>
        <v>0.33454776734411235</v>
      </c>
      <c r="AI5" s="24"/>
      <c r="AJ5" s="24"/>
      <c r="AK5" s="24"/>
      <c r="AL5" s="24" t="e">
        <f t="shared" ref="AL5" si="8">AL4*$B$3</f>
        <v>#REF!</v>
      </c>
      <c r="AM5" s="24"/>
      <c r="AN5" s="24"/>
      <c r="AO5" s="24"/>
      <c r="AP5" s="32"/>
      <c r="AQ5" s="33"/>
      <c r="AR5" s="34"/>
      <c r="AU5" s="16" t="s">
        <v>714</v>
      </c>
      <c r="AV5" s="16" t="s">
        <v>718</v>
      </c>
      <c r="AW5" s="16" t="s">
        <v>719</v>
      </c>
      <c r="AX5" s="16" t="s">
        <v>720</v>
      </c>
      <c r="AY5" s="16" t="s">
        <v>721</v>
      </c>
      <c r="AZ5" s="16" t="s">
        <v>7</v>
      </c>
      <c r="BA5" s="16" t="s">
        <v>8</v>
      </c>
      <c r="BB5" s="16" t="s">
        <v>722</v>
      </c>
      <c r="BC5" s="16" t="s">
        <v>723</v>
      </c>
      <c r="BD5" s="16" t="s">
        <v>724</v>
      </c>
      <c r="BE5" s="16" t="s">
        <v>725</v>
      </c>
      <c r="BF5" s="16" t="s">
        <v>726</v>
      </c>
    </row>
    <row r="6" spans="1:58" ht="18.5" x14ac:dyDescent="0.45">
      <c r="A6" s="10" t="s">
        <v>15</v>
      </c>
      <c r="B6" s="24">
        <f>AVERAGE(E22:E708)</f>
        <v>3.9868120528374482E-4</v>
      </c>
      <c r="C6" s="25"/>
      <c r="D6" s="25"/>
      <c r="E6" s="25"/>
      <c r="F6" s="24">
        <f>AVERAGE(I22:I708)</f>
        <v>3.658944031072124E-4</v>
      </c>
      <c r="G6" s="25"/>
      <c r="H6" s="25"/>
      <c r="I6" s="25"/>
      <c r="J6" s="24">
        <f>AVERAGE(M22:M708)</f>
        <v>1.560957644520919E-3</v>
      </c>
      <c r="K6" s="25"/>
      <c r="L6" s="25"/>
      <c r="M6" s="25"/>
      <c r="N6" s="24">
        <f>AVERAGE(Q22:Q708)</f>
        <v>-6.159905135546494E-4</v>
      </c>
      <c r="O6" s="25"/>
      <c r="P6" s="25"/>
      <c r="Q6" s="25"/>
      <c r="R6" s="24">
        <f>AVERAGE(U22:U708)</f>
        <v>5.5002268139798421E-4</v>
      </c>
      <c r="S6" s="25"/>
      <c r="T6" s="25"/>
      <c r="U6" s="25"/>
      <c r="V6" s="24">
        <f>AVERAGE(Y22:Y708)</f>
        <v>6.7225621280808635E-4</v>
      </c>
      <c r="W6" s="25"/>
      <c r="X6" s="25"/>
      <c r="Y6" s="25"/>
      <c r="Z6" s="24">
        <f>AVERAGE(AC22:AC708)</f>
        <v>6.5584023377454135E-5</v>
      </c>
      <c r="AA6" s="25"/>
      <c r="AB6" s="25"/>
      <c r="AC6" s="25"/>
      <c r="AD6" s="24">
        <f>AVERAGE(AG22:AG708)</f>
        <v>1.1190722461825249E-3</v>
      </c>
      <c r="AE6" s="25"/>
      <c r="AF6" s="25"/>
      <c r="AG6" s="25"/>
      <c r="AH6" s="24">
        <f>AVERAGE(AK22:AK708)</f>
        <v>7.3564999593465105E-4</v>
      </c>
      <c r="AI6" s="25"/>
      <c r="AJ6" s="25"/>
      <c r="AK6" s="25"/>
      <c r="AL6" s="24">
        <f>AVERAGE(AO22:AO708)</f>
        <v>5.8957758542282923E-4</v>
      </c>
      <c r="AM6" s="25"/>
      <c r="AN6" s="25"/>
      <c r="AO6" s="25"/>
      <c r="AP6" s="32">
        <f>AVERAGE(AR22:AR708)</f>
        <v>6.2863801947640025E-4</v>
      </c>
      <c r="AQ6" s="33"/>
      <c r="AR6" s="34"/>
      <c r="AU6" s="17" t="s">
        <v>727</v>
      </c>
      <c r="AV6" s="18">
        <v>0</v>
      </c>
      <c r="AW6">
        <v>1</v>
      </c>
      <c r="AX6">
        <v>2</v>
      </c>
      <c r="AY6" s="18">
        <v>0</v>
      </c>
      <c r="AZ6">
        <v>1</v>
      </c>
      <c r="BA6">
        <v>6</v>
      </c>
      <c r="BB6" s="18">
        <v>0</v>
      </c>
      <c r="BC6">
        <v>5</v>
      </c>
      <c r="BD6">
        <v>9</v>
      </c>
      <c r="BE6">
        <v>1</v>
      </c>
    </row>
    <row r="7" spans="1:58" ht="18.5" x14ac:dyDescent="0.45">
      <c r="A7" s="10" t="s">
        <v>16</v>
      </c>
      <c r="B7" s="24">
        <f>B6*$B$3</f>
        <v>0.10046766373150369</v>
      </c>
      <c r="C7" s="24"/>
      <c r="D7" s="24"/>
      <c r="E7" s="24"/>
      <c r="F7" s="24">
        <f t="shared" ref="F7" si="9">F6*$B$3</f>
        <v>9.2205389583017522E-2</v>
      </c>
      <c r="G7" s="24"/>
      <c r="H7" s="24"/>
      <c r="I7" s="24"/>
      <c r="J7" s="24">
        <f t="shared" ref="J7" si="10">J6*$B$3</f>
        <v>0.39336132641927157</v>
      </c>
      <c r="K7" s="24"/>
      <c r="L7" s="24"/>
      <c r="M7" s="24"/>
      <c r="N7" s="24">
        <f t="shared" ref="N7" si="11">N6*$B$3</f>
        <v>-0.15522960941577166</v>
      </c>
      <c r="O7" s="24"/>
      <c r="P7" s="24"/>
      <c r="Q7" s="24"/>
      <c r="R7" s="24">
        <f t="shared" ref="R7" si="12">R6*$B$3</f>
        <v>0.13860571571229202</v>
      </c>
      <c r="S7" s="24"/>
      <c r="T7" s="24"/>
      <c r="U7" s="24"/>
      <c r="V7" s="24">
        <f t="shared" ref="V7" si="13">V6*$B$3</f>
        <v>0.16940856562763776</v>
      </c>
      <c r="W7" s="24"/>
      <c r="X7" s="24"/>
      <c r="Y7" s="24"/>
      <c r="Z7" s="24">
        <f t="shared" ref="Z7" si="14">Z6*$B$3</f>
        <v>1.6527173891118442E-2</v>
      </c>
      <c r="AA7" s="24"/>
      <c r="AB7" s="24"/>
      <c r="AC7" s="24"/>
      <c r="AD7" s="24">
        <f t="shared" ref="AD7" si="15">AD6*$B$3</f>
        <v>0.28200620603799625</v>
      </c>
      <c r="AE7" s="24"/>
      <c r="AF7" s="24"/>
      <c r="AG7" s="24"/>
      <c r="AH7" s="24">
        <f t="shared" ref="AH7" si="16">AH6*$B$3</f>
        <v>0.18538379897553206</v>
      </c>
      <c r="AI7" s="24"/>
      <c r="AJ7" s="24"/>
      <c r="AK7" s="24"/>
      <c r="AL7" s="24">
        <f t="shared" ref="AL7" si="17">AL6*$B$3</f>
        <v>0.14857355152655297</v>
      </c>
      <c r="AM7" s="24"/>
      <c r="AN7" s="24"/>
      <c r="AO7" s="24"/>
      <c r="AP7" s="32">
        <f>AP6*252</f>
        <v>0.15841678090805286</v>
      </c>
      <c r="AQ7" s="33"/>
      <c r="AR7" s="34"/>
      <c r="AU7" s="17" t="s">
        <v>728</v>
      </c>
      <c r="AV7">
        <v>0.83</v>
      </c>
      <c r="AW7">
        <v>18.2</v>
      </c>
      <c r="AX7">
        <v>66.900000000000006</v>
      </c>
      <c r="AY7">
        <v>12.9</v>
      </c>
      <c r="BA7">
        <v>6.75</v>
      </c>
      <c r="BB7">
        <v>1.94</v>
      </c>
      <c r="BC7">
        <v>18.100000000000001</v>
      </c>
      <c r="BD7">
        <v>8.8800000000000008</v>
      </c>
      <c r="BE7">
        <v>3.06</v>
      </c>
    </row>
    <row r="8" spans="1:58" ht="18.5" x14ac:dyDescent="0.45">
      <c r="A8" s="10" t="s">
        <v>17</v>
      </c>
      <c r="B8" s="24">
        <f>_xlfn.STDEV.S(E22:E708)</f>
        <v>2.4813956464862497E-2</v>
      </c>
      <c r="C8" s="24"/>
      <c r="D8" s="24"/>
      <c r="E8" s="24"/>
      <c r="F8" s="24">
        <f>_xlfn.STDEV.S(I22:I708)</f>
        <v>1.4429515934124603E-2</v>
      </c>
      <c r="G8" s="24"/>
      <c r="H8" s="24"/>
      <c r="I8" s="24"/>
      <c r="J8" s="24">
        <f>_xlfn.STDEV.S(M22:M708)</f>
        <v>1.2438878928904135E-2</v>
      </c>
      <c r="K8" s="24"/>
      <c r="L8" s="24"/>
      <c r="M8" s="24"/>
      <c r="N8" s="24">
        <f>_xlfn.STDEV.S(Q22:Q708)</f>
        <v>1.7036610625568247E-2</v>
      </c>
      <c r="O8" s="24"/>
      <c r="P8" s="24"/>
      <c r="Q8" s="24"/>
      <c r="R8" s="24">
        <f>_xlfn.STDEV.S(U22:U708)</f>
        <v>1.2325324304940811E-2</v>
      </c>
      <c r="S8" s="24"/>
      <c r="T8" s="24"/>
      <c r="U8" s="24"/>
      <c r="V8" s="24">
        <f>_xlfn.STDEV.S(Y22:Y708)</f>
        <v>1.5101285504469351E-2</v>
      </c>
      <c r="W8" s="24"/>
      <c r="X8" s="24"/>
      <c r="Y8" s="24"/>
      <c r="Z8" s="24">
        <f>_xlfn.STDEV.S(AC22:AC708)</f>
        <v>1.1497780389581012E-2</v>
      </c>
      <c r="AA8" s="24"/>
      <c r="AB8" s="24"/>
      <c r="AC8" s="24"/>
      <c r="AD8" s="24">
        <f>_xlfn.STDEV.S(AG22:AG708)</f>
        <v>1.504147851349074E-2</v>
      </c>
      <c r="AE8" s="24"/>
      <c r="AF8" s="24"/>
      <c r="AG8" s="24"/>
      <c r="AH8" s="32">
        <f>_xlfn.STDEV.S(AK22:AK708)</f>
        <v>9.9647581421517251E-3</v>
      </c>
      <c r="AI8" s="33"/>
      <c r="AJ8" s="33"/>
      <c r="AK8" s="34"/>
      <c r="AL8" s="24">
        <f>_xlfn.STDEV.S(AO22:AO708)</f>
        <v>2.4264669993919161E-2</v>
      </c>
      <c r="AM8" s="24"/>
      <c r="AN8" s="24"/>
      <c r="AO8" s="24"/>
      <c r="AP8" s="32">
        <f>_xlfn.STDEV.S(AR22:AR708)</f>
        <v>3.5118497149101489E-3</v>
      </c>
      <c r="AQ8" s="33"/>
      <c r="AR8" s="34"/>
      <c r="AU8" s="17" t="s">
        <v>715</v>
      </c>
      <c r="AV8">
        <f>AV11</f>
        <v>0</v>
      </c>
      <c r="AW8">
        <f t="shared" ref="AW8:BE8" si="18">AW11</f>
        <v>1.3199817254231061E-2</v>
      </c>
      <c r="AX8">
        <f t="shared" si="18"/>
        <v>0.48848949674085607</v>
      </c>
      <c r="AY8">
        <f t="shared" si="18"/>
        <v>0</v>
      </c>
      <c r="AZ8">
        <f t="shared" si="18"/>
        <v>7.3089633319697346E-3</v>
      </c>
      <c r="BA8">
        <f t="shared" si="18"/>
        <v>8.587017069752248E-2</v>
      </c>
      <c r="BB8">
        <f t="shared" si="18"/>
        <v>0</v>
      </c>
      <c r="BC8">
        <f t="shared" si="18"/>
        <v>0.21113045761882168</v>
      </c>
      <c r="BD8">
        <f t="shared" si="18"/>
        <v>0.19142729499169897</v>
      </c>
      <c r="BE8">
        <f t="shared" si="18"/>
        <v>2.5737993649001074E-3</v>
      </c>
    </row>
    <row r="9" spans="1:58" ht="18.5" x14ac:dyDescent="0.45">
      <c r="A9" s="10" t="s">
        <v>18</v>
      </c>
      <c r="B9" s="24">
        <f>B8*SQRT($B$3)</f>
        <v>0.39390934709765779</v>
      </c>
      <c r="C9" s="24"/>
      <c r="D9" s="24"/>
      <c r="E9" s="24"/>
      <c r="F9" s="24">
        <f t="shared" ref="F9" si="19">F8*SQRT($B$3)</f>
        <v>0.22906146420442541</v>
      </c>
      <c r="G9" s="24"/>
      <c r="H9" s="24"/>
      <c r="I9" s="24"/>
      <c r="J9" s="24">
        <f t="shared" ref="J9" si="20">J8*SQRT($B$3)</f>
        <v>0.19746108140593097</v>
      </c>
      <c r="K9" s="24"/>
      <c r="L9" s="24"/>
      <c r="M9" s="24"/>
      <c r="N9" s="24">
        <f t="shared" ref="N9" si="21">N8*SQRT($B$3)</f>
        <v>0.27044780939216478</v>
      </c>
      <c r="O9" s="24"/>
      <c r="P9" s="24"/>
      <c r="Q9" s="24"/>
      <c r="R9" s="24">
        <f t="shared" ref="R9" si="22">R8*SQRT($B$3)</f>
        <v>0.1956584576345605</v>
      </c>
      <c r="S9" s="24"/>
      <c r="T9" s="24"/>
      <c r="U9" s="24"/>
      <c r="V9" s="24">
        <f t="shared" ref="V9" si="23">V8*SQRT($B$3)</f>
        <v>0.2397254755332629</v>
      </c>
      <c r="W9" s="24"/>
      <c r="X9" s="24"/>
      <c r="Y9" s="24"/>
      <c r="Z9" s="24">
        <f t="shared" ref="Z9" si="24">Z8*SQRT($B$3)</f>
        <v>0.18252160524040023</v>
      </c>
      <c r="AA9" s="24"/>
      <c r="AB9" s="24"/>
      <c r="AC9" s="24"/>
      <c r="AD9" s="24">
        <f t="shared" ref="AD9" si="25">AD8*SQRT($B$3)</f>
        <v>0.23877606898450798</v>
      </c>
      <c r="AE9" s="24"/>
      <c r="AF9" s="24"/>
      <c r="AG9" s="24"/>
      <c r="AH9" s="24">
        <f t="shared" ref="AH9" si="26">AH8*SQRT($B$3)</f>
        <v>0.1581856315142369</v>
      </c>
      <c r="AI9" s="24"/>
      <c r="AJ9" s="24"/>
      <c r="AK9" s="24"/>
      <c r="AL9" s="24">
        <f t="shared" ref="AL9" si="27">AL8*SQRT($B$3)</f>
        <v>0.38518969469376751</v>
      </c>
      <c r="AM9" s="24"/>
      <c r="AN9" s="24"/>
      <c r="AO9" s="24"/>
      <c r="AP9" s="32">
        <f>AP8*SQRT(252)</f>
        <v>5.5748885924912013E-2</v>
      </c>
      <c r="AQ9" s="33"/>
      <c r="AR9" s="34"/>
      <c r="AU9" s="17" t="s">
        <v>716</v>
      </c>
      <c r="AV9">
        <f>AV6*AV7</f>
        <v>0</v>
      </c>
      <c r="AW9">
        <f>AW6*AW7</f>
        <v>18.2</v>
      </c>
      <c r="AX9">
        <f t="shared" ref="AX9:BE9" si="28">AX6*AX7</f>
        <v>133.80000000000001</v>
      </c>
      <c r="AY9">
        <f t="shared" si="28"/>
        <v>0</v>
      </c>
      <c r="AZ9">
        <f t="shared" si="28"/>
        <v>0</v>
      </c>
      <c r="BA9">
        <f t="shared" si="28"/>
        <v>40.5</v>
      </c>
      <c r="BB9">
        <f t="shared" si="28"/>
        <v>0</v>
      </c>
      <c r="BC9">
        <f t="shared" si="28"/>
        <v>90.5</v>
      </c>
      <c r="BD9">
        <f t="shared" si="28"/>
        <v>79.92</v>
      </c>
      <c r="BE9">
        <f t="shared" si="28"/>
        <v>3.06</v>
      </c>
      <c r="BF9" s="19">
        <f>SUM(AV9:BE9)</f>
        <v>365.98</v>
      </c>
    </row>
    <row r="10" spans="1:58" ht="18.5" x14ac:dyDescent="0.45">
      <c r="A10" s="10" t="s">
        <v>19</v>
      </c>
      <c r="B10" s="26">
        <f>(B7-$B$2)/B9</f>
        <v>6.4907481682999951E-2</v>
      </c>
      <c r="C10" s="26"/>
      <c r="D10" s="26"/>
      <c r="E10" s="26"/>
      <c r="F10" s="26">
        <f t="shared" ref="F10" si="29">(F7-$B$2)/F9</f>
        <v>7.554910924507742E-2</v>
      </c>
      <c r="G10" s="26"/>
      <c r="H10" s="26"/>
      <c r="I10" s="26"/>
      <c r="J10" s="26">
        <f t="shared" ref="J10" si="30">(J7-$B$2)/J9</f>
        <v>1.6127802205468236</v>
      </c>
      <c r="K10" s="26"/>
      <c r="L10" s="26"/>
      <c r="M10" s="26"/>
      <c r="N10" s="26">
        <f t="shared" ref="N10" si="31">(N7-$B$2)/N9</f>
        <v>-0.85092058956954075</v>
      </c>
      <c r="O10" s="26"/>
      <c r="P10" s="26"/>
      <c r="Q10" s="26"/>
      <c r="R10" s="26">
        <f t="shared" ref="R10" si="32">(R7-$B$2)/R9</f>
        <v>0.32559653429997831</v>
      </c>
      <c r="S10" s="26"/>
      <c r="T10" s="26"/>
      <c r="U10" s="26"/>
      <c r="V10" s="26">
        <f t="shared" ref="V10" si="33">(V7-$B$2)/V9</f>
        <v>0.39423663846074763</v>
      </c>
      <c r="W10" s="26"/>
      <c r="X10" s="26"/>
      <c r="Y10" s="26"/>
      <c r="Z10" s="26">
        <f t="shared" ref="Z10" si="34">(Z7-$B$2)/Z9</f>
        <v>-0.31981324091467622</v>
      </c>
      <c r="AA10" s="26"/>
      <c r="AB10" s="26"/>
      <c r="AC10" s="26"/>
      <c r="AD10" s="26">
        <f t="shared" ref="AD10" si="35">(AD7-$B$2)/AD9</f>
        <v>0.86736584163898567</v>
      </c>
      <c r="AE10" s="26"/>
      <c r="AF10" s="26"/>
      <c r="AG10" s="26"/>
      <c r="AH10" s="26">
        <f t="shared" ref="AH10" si="36">(AH7-$B$2)/AH9</f>
        <v>0.69844396054131119</v>
      </c>
      <c r="AI10" s="26"/>
      <c r="AJ10" s="26"/>
      <c r="AK10" s="26"/>
      <c r="AL10" s="26">
        <f t="shared" ref="AL10" si="37">(AL7-$B$2)/AL9</f>
        <v>0.19126563493637783</v>
      </c>
      <c r="AM10" s="26"/>
      <c r="AN10" s="26"/>
      <c r="AO10" s="26"/>
      <c r="AP10" s="35">
        <f>(AP7-7.49%)/AP9</f>
        <v>1.4980887872905895</v>
      </c>
      <c r="AQ10" s="36"/>
      <c r="AR10" s="37"/>
      <c r="AU10" s="15" t="s">
        <v>738</v>
      </c>
      <c r="AV10" s="15">
        <f>AV9/$BF$9</f>
        <v>0</v>
      </c>
      <c r="AW10" s="15">
        <f t="shared" ref="AW10:BE10" si="38">AW9/$BF$9</f>
        <v>4.9729493414940699E-2</v>
      </c>
      <c r="AX10" s="15">
        <f t="shared" si="38"/>
        <v>0.36559374829225644</v>
      </c>
      <c r="AY10" s="15">
        <f t="shared" si="38"/>
        <v>0</v>
      </c>
      <c r="AZ10" s="15">
        <f t="shared" si="38"/>
        <v>0</v>
      </c>
      <c r="BA10" s="15">
        <f t="shared" si="38"/>
        <v>0.11066178479698344</v>
      </c>
      <c r="BB10" s="15">
        <f t="shared" si="38"/>
        <v>0</v>
      </c>
      <c r="BC10" s="15">
        <f t="shared" si="38"/>
        <v>0.2472812722006667</v>
      </c>
      <c r="BD10" s="15">
        <f t="shared" si="38"/>
        <v>0.21837258866604731</v>
      </c>
      <c r="BE10" s="15">
        <f t="shared" si="38"/>
        <v>8.3611126291054157E-3</v>
      </c>
    </row>
    <row r="11" spans="1:58" ht="19" thickBot="1" x14ac:dyDescent="0.5">
      <c r="A11" s="10" t="s">
        <v>712</v>
      </c>
      <c r="B11" s="27">
        <f>_xlfn.COVARIANCE.S(E22:E708,$AR$22:$AR$708)*$B$3</f>
        <v>1.1719082930448793E-3</v>
      </c>
      <c r="C11" s="27"/>
      <c r="D11" s="27"/>
      <c r="E11" s="27"/>
      <c r="F11" s="27">
        <f>_xlfn.COVARIANCE.S(I22:I708,$AR$22:$AR$708)*$B$3</f>
        <v>1.0663529075532179E-3</v>
      </c>
      <c r="G11" s="27"/>
      <c r="H11" s="27"/>
      <c r="I11" s="27"/>
      <c r="J11" s="27">
        <f>_xlfn.COVARIANCE.S(M22:M708,$AR$22:$AR$708)*$B$3</f>
        <v>6.0735131532770152E-3</v>
      </c>
      <c r="K11" s="27"/>
      <c r="L11" s="27"/>
      <c r="M11" s="27"/>
      <c r="N11" s="27">
        <f>_xlfn.COVARIANCE.S(Q22:Q708,$AR$22:$AR$708)*$B$3</f>
        <v>2.4738866481933113E-3</v>
      </c>
      <c r="O11" s="27"/>
      <c r="P11" s="27"/>
      <c r="Q11" s="27"/>
      <c r="R11" s="27">
        <f>_xlfn.COVARIANCE.S(U22:U708,$AR$22:$AR$708)*$B$3</f>
        <v>1.6752724497639706E-3</v>
      </c>
      <c r="S11" s="27"/>
      <c r="T11" s="27"/>
      <c r="U11" s="27"/>
      <c r="V11" s="27">
        <f>_xlfn.COVARIANCE.S(Y22:Y708,AR22:AR708)*$B$3</f>
        <v>1.4119965393526207E-3</v>
      </c>
      <c r="W11" s="27"/>
      <c r="X11" s="27"/>
      <c r="Y11" s="27"/>
      <c r="Z11" s="27">
        <f>_xlfn.COVARIANCE.S(AC22:AC708,$AR$22:$AR$708)*$B$3</f>
        <v>2.3773733024520152E-3</v>
      </c>
      <c r="AA11" s="27"/>
      <c r="AB11" s="27"/>
      <c r="AC11" s="27"/>
      <c r="AD11" s="27">
        <f>_xlfn.COVARIANCE.S(AG22:AG708,$AR$22:$AR$708)*$B$3</f>
        <v>2.687286996006827E-3</v>
      </c>
      <c r="AE11" s="27"/>
      <c r="AF11" s="27"/>
      <c r="AG11" s="27"/>
      <c r="AH11" s="27">
        <f>_xlfn.COVARIANCE.S(AK22:AK708,$AR$22:$AR$708)*$B$3</f>
        <v>2.6040981692408652E-3</v>
      </c>
      <c r="AI11" s="27"/>
      <c r="AJ11" s="27"/>
      <c r="AK11" s="27"/>
      <c r="AL11" s="27">
        <f>_xlfn.COVARIANCE.S(AO22:AO708,$AR$22:$AR$708)*$B$3</f>
        <v>2.5701315267259782E-3</v>
      </c>
      <c r="AM11" s="27"/>
      <c r="AN11" s="27"/>
      <c r="AO11" s="27"/>
      <c r="AP11" s="32"/>
      <c r="AQ11" s="33"/>
      <c r="AR11" s="34"/>
      <c r="AT11" s="16" t="s">
        <v>730</v>
      </c>
      <c r="AU11" s="16"/>
      <c r="AV11" s="16">
        <f>AT13</f>
        <v>0</v>
      </c>
      <c r="AW11" s="16">
        <f>AT14</f>
        <v>1.3199817254231061E-2</v>
      </c>
      <c r="AX11" s="16">
        <f>AT15</f>
        <v>0.48848949674085607</v>
      </c>
      <c r="AY11" s="16">
        <f>AT16</f>
        <v>0</v>
      </c>
      <c r="AZ11" s="16">
        <f>AT17</f>
        <v>7.3089633319697346E-3</v>
      </c>
      <c r="BA11" s="16">
        <f>AT18</f>
        <v>8.587017069752248E-2</v>
      </c>
      <c r="BB11" s="16">
        <f>AT19</f>
        <v>0</v>
      </c>
      <c r="BC11" s="16">
        <f>AT20</f>
        <v>0.21113045761882168</v>
      </c>
      <c r="BD11" s="16">
        <f>AT21</f>
        <v>0.19142729499169897</v>
      </c>
      <c r="BE11" s="16">
        <f>AT22</f>
        <v>2.5737993649001074E-3</v>
      </c>
    </row>
    <row r="12" spans="1:58" ht="18.5" x14ac:dyDescent="0.45">
      <c r="A12" s="10" t="s">
        <v>20</v>
      </c>
      <c r="B12" s="28">
        <f>B11/$AP$9^2</f>
        <v>0.37706935812772713</v>
      </c>
      <c r="C12" s="28"/>
      <c r="D12" s="28"/>
      <c r="E12" s="28"/>
      <c r="F12" s="28">
        <f t="shared" ref="F12" si="39">F11/$AP$9^2</f>
        <v>0.34310620444882289</v>
      </c>
      <c r="G12" s="28"/>
      <c r="H12" s="28"/>
      <c r="I12" s="28"/>
      <c r="J12" s="28">
        <f t="shared" ref="J12" si="40">J11/$AP$9^2</f>
        <v>1.9541936172635048</v>
      </c>
      <c r="K12" s="28"/>
      <c r="L12" s="28"/>
      <c r="M12" s="28"/>
      <c r="N12" s="28">
        <f t="shared" ref="N12" si="41">N11/$AP$9^2</f>
        <v>0.7959896316556595</v>
      </c>
      <c r="O12" s="28"/>
      <c r="P12" s="28"/>
      <c r="Q12" s="28"/>
      <c r="R12" s="28">
        <f t="shared" ref="R12" si="42">R11/$AP$9^2</f>
        <v>0.53903015369938512</v>
      </c>
      <c r="S12" s="28"/>
      <c r="T12" s="28"/>
      <c r="U12" s="28"/>
      <c r="V12" s="28">
        <f t="shared" ref="V12" si="43">V11/$AP$9^2</f>
        <v>0.45431936264305889</v>
      </c>
      <c r="W12" s="28"/>
      <c r="X12" s="28"/>
      <c r="Y12" s="28"/>
      <c r="Z12" s="28">
        <f t="shared" ref="Z12" si="44">Z11/$AP$9^2</f>
        <v>0.76493581494882934</v>
      </c>
      <c r="AA12" s="28"/>
      <c r="AB12" s="28"/>
      <c r="AC12" s="28"/>
      <c r="AD12" s="28">
        <f t="shared" ref="AD12" si="45">AD11/$AP$9^2</f>
        <v>0.86465262572425305</v>
      </c>
      <c r="AE12" s="28"/>
      <c r="AF12" s="28"/>
      <c r="AG12" s="28"/>
      <c r="AH12" s="28">
        <f t="shared" ref="AH12" si="46">AH11/$AP$9^2</f>
        <v>0.83788606242044794</v>
      </c>
      <c r="AI12" s="28"/>
      <c r="AJ12" s="28"/>
      <c r="AK12" s="28"/>
      <c r="AL12" s="28">
        <f t="shared" ref="AL12" si="47">AL11/$AP$9^2</f>
        <v>0.82695706723639228</v>
      </c>
      <c r="AM12" s="28"/>
      <c r="AN12" s="28"/>
      <c r="AO12" s="28"/>
      <c r="AP12" s="32"/>
      <c r="AQ12" s="33"/>
      <c r="AR12" s="34"/>
      <c r="AT12" s="16"/>
      <c r="AU12" s="14"/>
      <c r="AV12" s="14" t="s">
        <v>718</v>
      </c>
      <c r="AW12" s="14" t="s">
        <v>719</v>
      </c>
      <c r="AX12" s="14" t="s">
        <v>720</v>
      </c>
      <c r="AY12" s="14" t="s">
        <v>721</v>
      </c>
      <c r="AZ12" s="14" t="s">
        <v>7</v>
      </c>
      <c r="BA12" s="14" t="s">
        <v>8</v>
      </c>
      <c r="BB12" s="14" t="s">
        <v>722</v>
      </c>
      <c r="BC12" s="14" t="s">
        <v>723</v>
      </c>
      <c r="BD12" s="14" t="s">
        <v>724</v>
      </c>
      <c r="BE12" s="14" t="s">
        <v>725</v>
      </c>
    </row>
    <row r="13" spans="1:58" x14ac:dyDescent="0.35">
      <c r="AT13" s="16">
        <v>0</v>
      </c>
      <c r="AU13" t="s">
        <v>718</v>
      </c>
      <c r="AV13">
        <f>VARP(Sheet2!$A$3:$A$688)</f>
        <v>6.1483486629221947E-4</v>
      </c>
      <c r="AW13">
        <v>8.4193823899965239E-6</v>
      </c>
      <c r="AX13">
        <v>5.0376465179347965E-6</v>
      </c>
      <c r="AY13">
        <v>1.4862963749549128E-6</v>
      </c>
      <c r="AZ13">
        <v>-8.0487405975994752E-6</v>
      </c>
      <c r="BA13">
        <v>3.2716570083274344E-6</v>
      </c>
      <c r="BB13">
        <v>3.6547177906221489E-7</v>
      </c>
      <c r="BC13">
        <v>9.1149963995733119E-7</v>
      </c>
      <c r="BD13">
        <v>2.4113682801802381E-5</v>
      </c>
      <c r="BE13">
        <v>-4.6351158363957026E-6</v>
      </c>
    </row>
    <row r="14" spans="1:58" x14ac:dyDescent="0.35">
      <c r="AT14" s="16">
        <v>1.3199817254231061E-2</v>
      </c>
      <c r="AU14" t="s">
        <v>719</v>
      </c>
      <c r="AV14">
        <v>8.4193823899965239E-6</v>
      </c>
      <c r="AW14">
        <f>VARP(Sheet2!$B$3:$B$688)</f>
        <v>2.0790741561780136E-4</v>
      </c>
      <c r="AX14">
        <v>-6.5250420269883998E-7</v>
      </c>
      <c r="AY14">
        <v>-1.1754640807924283E-6</v>
      </c>
      <c r="AZ14">
        <v>6.025795715323469E-6</v>
      </c>
      <c r="BA14">
        <v>-7.5200889800493041E-7</v>
      </c>
      <c r="BB14">
        <v>-2.9940597899867517E-7</v>
      </c>
      <c r="BC14">
        <v>2.3912874015023386E-6</v>
      </c>
      <c r="BD14">
        <v>8.0255937590850275E-6</v>
      </c>
      <c r="BE14">
        <v>4.0085751333067415E-6</v>
      </c>
    </row>
    <row r="15" spans="1:58" x14ac:dyDescent="0.35">
      <c r="AT15" s="16">
        <v>0.48848949674085607</v>
      </c>
      <c r="AU15" t="s">
        <v>720</v>
      </c>
      <c r="AV15">
        <v>5.0376465179347965E-6</v>
      </c>
      <c r="AW15">
        <v>-6.5250420269883998E-7</v>
      </c>
      <c r="AX15">
        <f>VARP(Sheet2!$C$3:$C$688)</f>
        <v>1.5450016132716567E-4</v>
      </c>
      <c r="AY15">
        <v>8.941829034957357E-6</v>
      </c>
      <c r="AZ15">
        <v>1.7328760421714292E-5</v>
      </c>
      <c r="BA15">
        <v>8.8511637562305644E-6</v>
      </c>
      <c r="BB15">
        <v>1.3101994630419702E-5</v>
      </c>
      <c r="BC15">
        <v>1.127336121995999E-5</v>
      </c>
      <c r="BD15">
        <v>1.7037604252043234E-5</v>
      </c>
      <c r="BE15">
        <v>3.0021340435464632E-5</v>
      </c>
    </row>
    <row r="16" spans="1:58" x14ac:dyDescent="0.35">
      <c r="AT16" s="16">
        <v>0</v>
      </c>
      <c r="AU16" t="s">
        <v>721</v>
      </c>
      <c r="AV16">
        <v>1.4862963749549128E-6</v>
      </c>
      <c r="AW16">
        <v>-1.1754640807924283E-6</v>
      </c>
      <c r="AX16">
        <v>8.941829034957357E-6</v>
      </c>
      <c r="AY16">
        <f>VARP(Sheet2!$D$3:$D$688)</f>
        <v>2.8982300233374499E-4</v>
      </c>
      <c r="AZ16">
        <v>2.8234251861637489E-6</v>
      </c>
      <c r="BA16">
        <v>-2.7647058009371694E-6</v>
      </c>
      <c r="BB16">
        <v>9.456455692300782E-6</v>
      </c>
      <c r="BC16">
        <v>2.4021563628975008E-6</v>
      </c>
      <c r="BD16">
        <v>2.1337184908683959E-6</v>
      </c>
      <c r="BE16">
        <v>1.7577210246928175E-5</v>
      </c>
    </row>
    <row r="17" spans="2:57" x14ac:dyDescent="0.35">
      <c r="AT17" s="16">
        <v>7.3089633319697346E-3</v>
      </c>
      <c r="AU17" t="s">
        <v>7</v>
      </c>
      <c r="AV17">
        <v>-8.0487405975994752E-6</v>
      </c>
      <c r="AW17">
        <v>6.025795715323469E-6</v>
      </c>
      <c r="AX17">
        <v>1.7328760421714292E-5</v>
      </c>
      <c r="AY17">
        <v>2.8234251861637489E-6</v>
      </c>
      <c r="AZ17">
        <f>VARP(Sheet2!$E$3:$E$688)</f>
        <v>1.5169217079744285E-4</v>
      </c>
      <c r="BA17">
        <v>4.2896616523096456E-6</v>
      </c>
      <c r="BB17">
        <v>-2.6383545896821552E-7</v>
      </c>
      <c r="BC17">
        <v>2.1478978149738348E-5</v>
      </c>
      <c r="BD17">
        <v>9.4837468810525123E-6</v>
      </c>
      <c r="BE17">
        <v>2.5469312578545993E-5</v>
      </c>
    </row>
    <row r="18" spans="2:57" x14ac:dyDescent="0.35">
      <c r="AT18" s="16">
        <v>8.587017069752248E-2</v>
      </c>
      <c r="AU18" t="s">
        <v>8</v>
      </c>
      <c r="AV18">
        <v>3.2716570083274344E-6</v>
      </c>
      <c r="AW18">
        <v>-7.5200889800493041E-7</v>
      </c>
      <c r="AX18">
        <v>8.8511637562305644E-6</v>
      </c>
      <c r="AY18">
        <v>-2.7647058009371694E-6</v>
      </c>
      <c r="AZ18">
        <v>4.2896616523096456E-6</v>
      </c>
      <c r="BA18">
        <f>VARP(Sheet2!$F$3:$F$688)</f>
        <v>2.2771639119961346E-4</v>
      </c>
      <c r="BB18">
        <v>8.9588515059679677E-6</v>
      </c>
      <c r="BC18">
        <v>-4.1192155117113208E-6</v>
      </c>
      <c r="BD18">
        <v>7.0175592583896086E-6</v>
      </c>
      <c r="BE18">
        <v>-1.0684985220872549E-5</v>
      </c>
    </row>
    <row r="19" spans="2:57" x14ac:dyDescent="0.35">
      <c r="AT19" s="16">
        <v>0</v>
      </c>
      <c r="AU19" t="s">
        <v>722</v>
      </c>
      <c r="AV19">
        <v>3.6547177906221489E-7</v>
      </c>
      <c r="AW19">
        <v>-2.9940597899867517E-7</v>
      </c>
      <c r="AX19">
        <v>1.3101994630419702E-5</v>
      </c>
      <c r="AY19">
        <v>9.456455692300782E-6</v>
      </c>
      <c r="AZ19">
        <v>-2.6383545896821552E-7</v>
      </c>
      <c r="BA19">
        <v>8.9588515059679677E-6</v>
      </c>
      <c r="BB19">
        <f>VARP(Sheet2!$G$3:$G$688)</f>
        <v>1.320062440417173E-4</v>
      </c>
      <c r="BC19">
        <v>-9.0133091083146189E-7</v>
      </c>
      <c r="BD19">
        <v>1.9287745474819717E-6</v>
      </c>
      <c r="BE19">
        <v>1.3734860319236186E-5</v>
      </c>
    </row>
    <row r="20" spans="2:57" ht="21" x14ac:dyDescent="0.5">
      <c r="B20" s="23" t="s">
        <v>3</v>
      </c>
      <c r="C20" s="23"/>
      <c r="D20" s="23"/>
      <c r="E20" s="23"/>
      <c r="F20" s="23" t="s">
        <v>4</v>
      </c>
      <c r="G20" s="23"/>
      <c r="H20" s="23"/>
      <c r="I20" s="23"/>
      <c r="J20" s="23" t="s">
        <v>5</v>
      </c>
      <c r="K20" s="23"/>
      <c r="L20" s="23"/>
      <c r="M20" s="23"/>
      <c r="N20" s="23" t="s">
        <v>6</v>
      </c>
      <c r="O20" s="23"/>
      <c r="P20" s="23"/>
      <c r="Q20" s="23"/>
      <c r="R20" s="23" t="s">
        <v>7</v>
      </c>
      <c r="S20" s="23"/>
      <c r="T20" s="23"/>
      <c r="U20" s="23"/>
      <c r="V20" s="23" t="s">
        <v>8</v>
      </c>
      <c r="W20" s="23"/>
      <c r="X20" s="23"/>
      <c r="Y20" s="23"/>
      <c r="Z20" s="23" t="s">
        <v>9</v>
      </c>
      <c r="AA20" s="23"/>
      <c r="AB20" s="23"/>
      <c r="AC20" s="23"/>
      <c r="AD20" s="23" t="s">
        <v>10</v>
      </c>
      <c r="AE20" s="23"/>
      <c r="AF20" s="23"/>
      <c r="AG20" s="23"/>
      <c r="AH20" s="23" t="s">
        <v>11</v>
      </c>
      <c r="AI20" s="23"/>
      <c r="AJ20" s="23"/>
      <c r="AK20" s="23"/>
      <c r="AL20" s="23" t="s">
        <v>12</v>
      </c>
      <c r="AM20" s="23"/>
      <c r="AN20" s="23"/>
      <c r="AO20" s="23"/>
      <c r="AP20" s="29" t="s">
        <v>713</v>
      </c>
      <c r="AQ20" s="30"/>
      <c r="AR20" s="31"/>
      <c r="AT20" s="16">
        <v>0.21113045761882168</v>
      </c>
      <c r="AU20" t="s">
        <v>723</v>
      </c>
      <c r="AV20">
        <v>9.1149963995733119E-7</v>
      </c>
      <c r="AW20">
        <v>2.3912874015023386E-6</v>
      </c>
      <c r="AX20">
        <v>1.127336121995999E-5</v>
      </c>
      <c r="AY20">
        <v>2.4021563628975008E-6</v>
      </c>
      <c r="AZ20">
        <v>2.1478978149738348E-5</v>
      </c>
      <c r="BA20">
        <v>-4.1192155117113208E-6</v>
      </c>
      <c r="BB20">
        <v>-9.0133091083146189E-7</v>
      </c>
      <c r="BC20">
        <f>VARP(Sheet2!$H$3:$H$688)</f>
        <v>2.259162710964803E-4</v>
      </c>
      <c r="BD20">
        <v>1.6704339296959939E-6</v>
      </c>
      <c r="BE20">
        <v>2.0210157511919625E-6</v>
      </c>
    </row>
    <row r="21" spans="2:57" ht="24" x14ac:dyDescent="0.35">
      <c r="B21" s="20" t="s">
        <v>0</v>
      </c>
      <c r="C21" s="8" t="s">
        <v>1</v>
      </c>
      <c r="D21" s="8" t="s">
        <v>2</v>
      </c>
      <c r="E21" s="9" t="s">
        <v>21</v>
      </c>
      <c r="F21" s="20" t="s">
        <v>0</v>
      </c>
      <c r="G21" s="8" t="s">
        <v>1</v>
      </c>
      <c r="H21" s="8" t="s">
        <v>2</v>
      </c>
      <c r="I21" s="9" t="s">
        <v>21</v>
      </c>
      <c r="J21" s="20" t="s">
        <v>0</v>
      </c>
      <c r="K21" s="8" t="s">
        <v>1</v>
      </c>
      <c r="L21" s="8" t="s">
        <v>2</v>
      </c>
      <c r="M21" s="9" t="s">
        <v>21</v>
      </c>
      <c r="N21" s="20" t="s">
        <v>0</v>
      </c>
      <c r="O21" s="8" t="s">
        <v>1</v>
      </c>
      <c r="P21" s="8" t="s">
        <v>2</v>
      </c>
      <c r="Q21" s="9" t="s">
        <v>21</v>
      </c>
      <c r="R21" s="20" t="s">
        <v>0</v>
      </c>
      <c r="S21" s="8" t="s">
        <v>1</v>
      </c>
      <c r="T21" s="8" t="s">
        <v>2</v>
      </c>
      <c r="U21" s="9" t="s">
        <v>21</v>
      </c>
      <c r="V21" s="20" t="s">
        <v>0</v>
      </c>
      <c r="W21" s="8" t="s">
        <v>1</v>
      </c>
      <c r="X21" s="8" t="s">
        <v>2</v>
      </c>
      <c r="Y21" s="9" t="s">
        <v>21</v>
      </c>
      <c r="Z21" s="20" t="s">
        <v>0</v>
      </c>
      <c r="AA21" s="8" t="s">
        <v>1</v>
      </c>
      <c r="AB21" s="8" t="s">
        <v>2</v>
      </c>
      <c r="AC21" s="9" t="s">
        <v>21</v>
      </c>
      <c r="AD21" s="20" t="s">
        <v>0</v>
      </c>
      <c r="AE21" s="8" t="s">
        <v>1</v>
      </c>
      <c r="AF21" s="8" t="s">
        <v>2</v>
      </c>
      <c r="AG21" s="9" t="s">
        <v>21</v>
      </c>
      <c r="AH21" s="20" t="s">
        <v>0</v>
      </c>
      <c r="AI21" s="8" t="s">
        <v>1</v>
      </c>
      <c r="AJ21" s="8" t="s">
        <v>2</v>
      </c>
      <c r="AK21" s="9" t="s">
        <v>21</v>
      </c>
      <c r="AL21" s="20" t="s">
        <v>0</v>
      </c>
      <c r="AM21" s="8" t="s">
        <v>1</v>
      </c>
      <c r="AN21" s="8" t="s">
        <v>2</v>
      </c>
      <c r="AO21" s="4" t="s">
        <v>21</v>
      </c>
      <c r="AP21" s="20" t="s">
        <v>0</v>
      </c>
      <c r="AQ21" s="8" t="s">
        <v>2</v>
      </c>
      <c r="AR21" s="4" t="s">
        <v>21</v>
      </c>
      <c r="AT21" s="16">
        <v>0.19142729499169897</v>
      </c>
      <c r="AU21" t="s">
        <v>724</v>
      </c>
      <c r="AV21">
        <v>2.4113682801802381E-5</v>
      </c>
      <c r="AW21">
        <v>8.0255937590850275E-6</v>
      </c>
      <c r="AX21">
        <v>1.7037604252043234E-5</v>
      </c>
      <c r="AY21">
        <v>2.1337184908683959E-6</v>
      </c>
      <c r="AZ21">
        <v>9.4837468810525123E-6</v>
      </c>
      <c r="BA21">
        <v>7.0175592583896086E-6</v>
      </c>
      <c r="BB21">
        <v>1.9287745474819717E-6</v>
      </c>
      <c r="BC21">
        <v>1.6704339296959939E-6</v>
      </c>
      <c r="BD21">
        <f>VARP(Sheet2!$I$3:$I$688)</f>
        <v>9.9151657885760449E-5</v>
      </c>
      <c r="BE21">
        <v>1.5957745873794416E-5</v>
      </c>
    </row>
    <row r="22" spans="2:57" ht="15" thickBot="1" x14ac:dyDescent="0.4">
      <c r="B22" s="21">
        <v>44928</v>
      </c>
      <c r="C22" s="1">
        <v>0.62</v>
      </c>
      <c r="D22" s="1">
        <v>0.62</v>
      </c>
      <c r="E22" s="6"/>
      <c r="F22" s="21">
        <v>44928</v>
      </c>
      <c r="G22" s="1">
        <v>23.9</v>
      </c>
      <c r="H22" s="1">
        <v>14.071</v>
      </c>
      <c r="I22" s="6"/>
      <c r="J22" s="21">
        <v>44928</v>
      </c>
      <c r="K22" s="1">
        <v>37.4</v>
      </c>
      <c r="L22" s="1">
        <v>22.483499999999999</v>
      </c>
      <c r="M22" s="6"/>
      <c r="N22" s="21">
        <v>44928</v>
      </c>
      <c r="O22" s="1">
        <v>25.2</v>
      </c>
      <c r="P22" s="1">
        <v>22.157699999999998</v>
      </c>
      <c r="Q22" s="6"/>
      <c r="R22" s="21">
        <v>44928</v>
      </c>
      <c r="S22" s="1">
        <v>6.99</v>
      </c>
      <c r="T22" s="1">
        <v>6.1742999999999997</v>
      </c>
      <c r="U22" s="6"/>
      <c r="V22" s="21">
        <v>44928</v>
      </c>
      <c r="W22" s="1">
        <v>6.36</v>
      </c>
      <c r="X22" s="1">
        <v>5.4020000000000001</v>
      </c>
      <c r="Y22" s="6"/>
      <c r="Z22" s="21">
        <v>44928</v>
      </c>
      <c r="AA22" s="1">
        <v>1.9</v>
      </c>
      <c r="AB22" s="1">
        <v>1.9</v>
      </c>
      <c r="AC22" s="6"/>
      <c r="AD22" s="21">
        <v>44928</v>
      </c>
      <c r="AE22" s="1">
        <v>8.26</v>
      </c>
      <c r="AF22" s="1">
        <v>7.4710000000000001</v>
      </c>
      <c r="AG22" s="6"/>
      <c r="AH22" s="21">
        <v>44928</v>
      </c>
      <c r="AI22" s="1">
        <v>8.93</v>
      </c>
      <c r="AJ22" s="1">
        <v>7.8071999999999999</v>
      </c>
      <c r="AK22" s="6"/>
      <c r="AL22" s="21">
        <v>44928</v>
      </c>
      <c r="AM22" s="1">
        <v>2.09</v>
      </c>
      <c r="AN22" s="1">
        <v>1.96</v>
      </c>
      <c r="AO22" s="6"/>
      <c r="AP22" s="21" t="s">
        <v>25</v>
      </c>
      <c r="AQ22" s="1">
        <v>8094.2</v>
      </c>
      <c r="AR22" s="6"/>
      <c r="AT22" s="16">
        <v>2.5737993649001074E-3</v>
      </c>
      <c r="AU22" s="13" t="s">
        <v>725</v>
      </c>
      <c r="AV22" s="13">
        <v>-4.6351158363957026E-6</v>
      </c>
      <c r="AW22" s="13">
        <v>4.0085751333067415E-6</v>
      </c>
      <c r="AX22" s="13">
        <v>3.0021340435464632E-5</v>
      </c>
      <c r="AY22" s="13">
        <v>1.7577210246928175E-5</v>
      </c>
      <c r="AZ22" s="13">
        <v>2.5469312578545993E-5</v>
      </c>
      <c r="BA22" s="13">
        <v>-1.0684985220872549E-5</v>
      </c>
      <c r="BB22" s="13">
        <v>1.3734860319236186E-5</v>
      </c>
      <c r="BC22" s="13">
        <v>2.0210157511919625E-6</v>
      </c>
      <c r="BD22" s="13">
        <v>1.5957745873794416E-5</v>
      </c>
      <c r="BE22" s="13">
        <f>VARP(Sheet2!$J$3:$J$688)</f>
        <v>5.8791593847077792E-4</v>
      </c>
    </row>
    <row r="23" spans="2:57" x14ac:dyDescent="0.35">
      <c r="B23" s="21">
        <v>44929</v>
      </c>
      <c r="C23" s="1">
        <v>0.62</v>
      </c>
      <c r="D23" s="1">
        <v>0.62</v>
      </c>
      <c r="E23" s="6">
        <f t="shared" ref="E23:E80" si="48">(D23/D22)-1</f>
        <v>0</v>
      </c>
      <c r="F23" s="21">
        <v>44929</v>
      </c>
      <c r="G23" s="1">
        <v>23.8</v>
      </c>
      <c r="H23" s="1">
        <v>14.0121</v>
      </c>
      <c r="I23" s="6">
        <f t="shared" ref="I23:I70" si="49">(H23/H22)-1</f>
        <v>-4.1859142918058145E-3</v>
      </c>
      <c r="J23" s="21">
        <v>44929</v>
      </c>
      <c r="K23" s="1">
        <v>37</v>
      </c>
      <c r="L23" s="1">
        <v>22.243099999999998</v>
      </c>
      <c r="M23" s="6">
        <f t="shared" ref="M23:M66" si="50">(L23/L22)-1</f>
        <v>-1.0692285453777317E-2</v>
      </c>
      <c r="N23" s="21">
        <v>44929</v>
      </c>
      <c r="O23" s="1">
        <v>25</v>
      </c>
      <c r="P23" s="1">
        <v>21.9819</v>
      </c>
      <c r="Q23" s="6">
        <f t="shared" ref="Q23:Q66" si="51">(P23/P22)-1</f>
        <v>-7.9340364749048709E-3</v>
      </c>
      <c r="R23" s="21">
        <v>44929</v>
      </c>
      <c r="S23" s="1">
        <v>6.9</v>
      </c>
      <c r="T23" s="1">
        <v>6.0948000000000002</v>
      </c>
      <c r="U23" s="6">
        <f t="shared" ref="U23:U72" si="52">(T23/T22)-1</f>
        <v>-1.2875953549390085E-2</v>
      </c>
      <c r="V23" s="21">
        <v>44929</v>
      </c>
      <c r="W23" s="1">
        <v>6.32</v>
      </c>
      <c r="X23" s="1">
        <v>5.3680000000000003</v>
      </c>
      <c r="Y23" s="6">
        <f t="shared" ref="Y23:Y84" si="53">(X23/X22)-1</f>
        <v>-6.2939651980747913E-3</v>
      </c>
      <c r="Z23" s="21">
        <v>44929</v>
      </c>
      <c r="AA23" s="1">
        <v>1.9</v>
      </c>
      <c r="AB23" s="1">
        <v>1.9</v>
      </c>
      <c r="AC23" s="6">
        <f t="shared" ref="AC23:AC66" si="54">(AB23/AB22)-1</f>
        <v>0</v>
      </c>
      <c r="AD23" s="21">
        <v>44929</v>
      </c>
      <c r="AE23" s="1">
        <v>8.17</v>
      </c>
      <c r="AF23" s="1">
        <v>7.3895999999999997</v>
      </c>
      <c r="AG23" s="6">
        <f t="shared" ref="AG23:AG66" si="55">(AF23/AF22)-1</f>
        <v>-1.0895462454825422E-2</v>
      </c>
      <c r="AH23" s="21">
        <v>44929</v>
      </c>
      <c r="AI23" s="1">
        <v>8.84</v>
      </c>
      <c r="AJ23" s="1">
        <v>7.7286000000000001</v>
      </c>
      <c r="AK23" s="6">
        <f t="shared" ref="AK23:AK66" si="56">(AJ23/AJ22)-1</f>
        <v>-1.0067629880110673E-2</v>
      </c>
      <c r="AL23" s="21">
        <v>44929</v>
      </c>
      <c r="AM23" s="1">
        <v>2</v>
      </c>
      <c r="AN23" s="1">
        <v>1.8755999999999999</v>
      </c>
      <c r="AO23" s="6">
        <v>-4.306122448979588E-2</v>
      </c>
      <c r="AP23" s="21" t="s">
        <v>26</v>
      </c>
      <c r="AQ23" s="1">
        <v>8069.25</v>
      </c>
      <c r="AR23" s="6">
        <v>-3.0824541029378372E-3</v>
      </c>
    </row>
    <row r="24" spans="2:57" x14ac:dyDescent="0.35">
      <c r="B24" s="21">
        <v>44930</v>
      </c>
      <c r="C24" s="1">
        <v>0.6</v>
      </c>
      <c r="D24" s="1">
        <v>0.6</v>
      </c>
      <c r="E24" s="6">
        <f t="shared" si="48"/>
        <v>-3.2258064516129115E-2</v>
      </c>
      <c r="F24" s="21">
        <v>44930</v>
      </c>
      <c r="G24" s="1">
        <v>23.5</v>
      </c>
      <c r="H24" s="1">
        <v>13.8355</v>
      </c>
      <c r="I24" s="6">
        <f t="shared" si="49"/>
        <v>-1.2603392781952771E-2</v>
      </c>
      <c r="J24" s="21">
        <v>44930</v>
      </c>
      <c r="K24" s="1">
        <v>37.880000000000003</v>
      </c>
      <c r="L24" s="1">
        <v>22.772099999999998</v>
      </c>
      <c r="M24" s="6">
        <f t="shared" si="50"/>
        <v>2.3782656194505369E-2</v>
      </c>
      <c r="N24" s="21">
        <v>44930</v>
      </c>
      <c r="O24" s="1">
        <v>24.9</v>
      </c>
      <c r="P24" s="1">
        <v>21.893899999999999</v>
      </c>
      <c r="Q24" s="6">
        <f t="shared" si="51"/>
        <v>-4.0032936188409973E-3</v>
      </c>
      <c r="R24" s="21">
        <v>44930</v>
      </c>
      <c r="S24" s="1">
        <v>6.8</v>
      </c>
      <c r="T24" s="1">
        <v>6.0065</v>
      </c>
      <c r="U24" s="6">
        <f t="shared" si="52"/>
        <v>-1.4487760057754206E-2</v>
      </c>
      <c r="V24" s="21">
        <v>44930</v>
      </c>
      <c r="W24" s="1">
        <v>6.35</v>
      </c>
      <c r="X24" s="1">
        <v>5.3940000000000001</v>
      </c>
      <c r="Y24" s="6">
        <f t="shared" si="53"/>
        <v>4.843517138598985E-3</v>
      </c>
      <c r="Z24" s="21">
        <v>44930</v>
      </c>
      <c r="AA24" s="1">
        <v>1.91</v>
      </c>
      <c r="AB24" s="1">
        <v>1.91</v>
      </c>
      <c r="AC24" s="6">
        <f t="shared" si="54"/>
        <v>5.2631578947368585E-3</v>
      </c>
      <c r="AD24" s="21">
        <v>44930</v>
      </c>
      <c r="AE24" s="1">
        <v>8</v>
      </c>
      <c r="AF24" s="1">
        <v>7.2358000000000002</v>
      </c>
      <c r="AG24" s="6">
        <f t="shared" si="55"/>
        <v>-2.0813034535022146E-2</v>
      </c>
      <c r="AH24" s="21">
        <v>44930</v>
      </c>
      <c r="AI24" s="1">
        <v>8.75</v>
      </c>
      <c r="AJ24" s="1">
        <v>7.6498999999999997</v>
      </c>
      <c r="AK24" s="6">
        <f t="shared" si="56"/>
        <v>-1.0182956809771548E-2</v>
      </c>
      <c r="AL24" s="21">
        <v>44930</v>
      </c>
      <c r="AM24" s="1">
        <v>1.91</v>
      </c>
      <c r="AN24" s="1">
        <v>1.7911999999999999</v>
      </c>
      <c r="AO24" s="6">
        <v>-4.499893367455754E-2</v>
      </c>
      <c r="AP24" s="21" t="s">
        <v>27</v>
      </c>
      <c r="AQ24" s="1">
        <v>8048.7</v>
      </c>
      <c r="AR24" s="6">
        <v>-2.5467050841156968E-3</v>
      </c>
    </row>
    <row r="25" spans="2:57" x14ac:dyDescent="0.35">
      <c r="B25" s="21">
        <v>44931</v>
      </c>
      <c r="C25" s="1">
        <v>0.6</v>
      </c>
      <c r="D25" s="1">
        <v>0.6</v>
      </c>
      <c r="E25" s="6">
        <f t="shared" si="48"/>
        <v>0</v>
      </c>
      <c r="F25" s="21">
        <v>44931</v>
      </c>
      <c r="G25" s="1">
        <v>22.52</v>
      </c>
      <c r="H25" s="1">
        <v>13.2585</v>
      </c>
      <c r="I25" s="6">
        <f t="shared" si="49"/>
        <v>-4.1704311372917524E-2</v>
      </c>
      <c r="J25" s="21">
        <v>44931</v>
      </c>
      <c r="K25" s="1">
        <v>37.799999999999997</v>
      </c>
      <c r="L25" s="1">
        <v>22.724</v>
      </c>
      <c r="M25" s="6">
        <f t="shared" si="50"/>
        <v>-2.1122338299935928E-3</v>
      </c>
      <c r="N25" s="21">
        <v>44931</v>
      </c>
      <c r="O25" s="1">
        <v>24.98</v>
      </c>
      <c r="P25" s="1">
        <v>21.964300000000001</v>
      </c>
      <c r="Q25" s="6">
        <f t="shared" si="51"/>
        <v>3.2155075157922486E-3</v>
      </c>
      <c r="R25" s="21">
        <v>44931</v>
      </c>
      <c r="S25" s="1">
        <v>6.77</v>
      </c>
      <c r="T25" s="1">
        <v>5.98</v>
      </c>
      <c r="U25" s="6">
        <f t="shared" si="52"/>
        <v>-4.4118871222841305E-3</v>
      </c>
      <c r="V25" s="21">
        <v>44931</v>
      </c>
      <c r="W25" s="1">
        <v>6.2</v>
      </c>
      <c r="X25" s="1">
        <v>5.266</v>
      </c>
      <c r="Y25" s="6">
        <f t="shared" si="53"/>
        <v>-2.3730070448646612E-2</v>
      </c>
      <c r="Z25" s="21">
        <v>44931</v>
      </c>
      <c r="AA25" s="1">
        <v>1.91</v>
      </c>
      <c r="AB25" s="1">
        <v>1.91</v>
      </c>
      <c r="AC25" s="6">
        <f t="shared" si="54"/>
        <v>0</v>
      </c>
      <c r="AD25" s="21">
        <v>44931</v>
      </c>
      <c r="AE25" s="1">
        <v>8</v>
      </c>
      <c r="AF25" s="1">
        <v>7.2358000000000002</v>
      </c>
      <c r="AG25" s="6">
        <f t="shared" si="55"/>
        <v>0</v>
      </c>
      <c r="AH25" s="21">
        <v>44931</v>
      </c>
      <c r="AI25" s="1">
        <v>8.73</v>
      </c>
      <c r="AJ25" s="1">
        <v>7.6323999999999996</v>
      </c>
      <c r="AK25" s="6">
        <f t="shared" si="56"/>
        <v>-2.2876116027660265E-3</v>
      </c>
      <c r="AL25" s="21">
        <v>44931</v>
      </c>
      <c r="AM25" s="1">
        <v>1.99</v>
      </c>
      <c r="AN25" s="1">
        <v>1.8662000000000001</v>
      </c>
      <c r="AO25" s="6">
        <v>4.1871371147834013E-2</v>
      </c>
      <c r="AP25" s="21" t="s">
        <v>28</v>
      </c>
      <c r="AQ25" s="1">
        <v>8087.56</v>
      </c>
      <c r="AR25" s="6">
        <v>4.8281088871495736E-3</v>
      </c>
      <c r="AU25" t="s">
        <v>731</v>
      </c>
      <c r="AV25" s="39" cm="1">
        <f t="array" ref="AV25">MMULT(MMULT(AV8:BE8,AV13:BE22),TRANSPOSE(AV8:BE8))</f>
        <v>5.9125744842178882E-5</v>
      </c>
    </row>
    <row r="26" spans="2:57" x14ac:dyDescent="0.35">
      <c r="B26" s="21">
        <v>44932</v>
      </c>
      <c r="C26" s="1">
        <v>0.6</v>
      </c>
      <c r="D26" s="1">
        <v>0.6</v>
      </c>
      <c r="E26" s="6">
        <f t="shared" si="48"/>
        <v>0</v>
      </c>
      <c r="F26" s="21">
        <v>44932</v>
      </c>
      <c r="G26" s="1">
        <v>22.52</v>
      </c>
      <c r="H26" s="1">
        <v>13.2585</v>
      </c>
      <c r="I26" s="6">
        <f t="shared" si="49"/>
        <v>0</v>
      </c>
      <c r="J26" s="21">
        <v>44932</v>
      </c>
      <c r="K26" s="1">
        <v>39</v>
      </c>
      <c r="L26" s="1">
        <v>23.445399999999999</v>
      </c>
      <c r="M26" s="6">
        <f t="shared" si="50"/>
        <v>3.1746171448688632E-2</v>
      </c>
      <c r="N26" s="21">
        <v>44932</v>
      </c>
      <c r="O26" s="1">
        <v>24.84</v>
      </c>
      <c r="P26" s="1">
        <v>21.841200000000001</v>
      </c>
      <c r="Q26" s="6">
        <f t="shared" si="51"/>
        <v>-5.6045492002932962E-3</v>
      </c>
      <c r="R26" s="21">
        <v>44932</v>
      </c>
      <c r="S26" s="1">
        <v>6.7</v>
      </c>
      <c r="T26" s="1">
        <v>5.9181999999999997</v>
      </c>
      <c r="U26" s="6">
        <f t="shared" si="52"/>
        <v>-1.0334448160535192E-2</v>
      </c>
      <c r="V26" s="21">
        <v>44932</v>
      </c>
      <c r="W26" s="1">
        <v>6.3</v>
      </c>
      <c r="X26" s="1">
        <v>5.351</v>
      </c>
      <c r="Y26" s="6">
        <f t="shared" si="53"/>
        <v>1.6141283706798237E-2</v>
      </c>
      <c r="Z26" s="21">
        <v>44932</v>
      </c>
      <c r="AA26" s="1">
        <v>1.92</v>
      </c>
      <c r="AB26" s="1">
        <v>1.92</v>
      </c>
      <c r="AC26" s="6">
        <f t="shared" si="54"/>
        <v>5.2356020942407877E-3</v>
      </c>
      <c r="AD26" s="21">
        <v>44932</v>
      </c>
      <c r="AE26" s="1">
        <v>8</v>
      </c>
      <c r="AF26" s="1">
        <v>7.2358000000000002</v>
      </c>
      <c r="AG26" s="6">
        <f t="shared" si="55"/>
        <v>0</v>
      </c>
      <c r="AH26" s="21">
        <v>44932</v>
      </c>
      <c r="AI26" s="1">
        <v>8.7799999999999994</v>
      </c>
      <c r="AJ26" s="1">
        <v>7.6760999999999999</v>
      </c>
      <c r="AK26" s="6">
        <f t="shared" si="56"/>
        <v>5.7255909019444662E-3</v>
      </c>
      <c r="AL26" s="21">
        <v>44932</v>
      </c>
      <c r="AM26" s="1">
        <v>2.0699999999999998</v>
      </c>
      <c r="AN26" s="1">
        <v>1.9412</v>
      </c>
      <c r="AO26" s="6">
        <v>4.0188618583217206E-2</v>
      </c>
      <c r="AP26" s="21" t="s">
        <v>29</v>
      </c>
      <c r="AQ26" s="1">
        <v>8105.78</v>
      </c>
      <c r="AR26" s="6">
        <v>2.2528426373342736E-3</v>
      </c>
      <c r="AU26" t="s">
        <v>732</v>
      </c>
      <c r="AV26" s="39">
        <f>AVERAGE(Sheet2!K3:K688)*Sheet1!B3</f>
        <v>0.30434019423190772</v>
      </c>
    </row>
    <row r="27" spans="2:57" x14ac:dyDescent="0.35">
      <c r="B27" s="21">
        <v>44935</v>
      </c>
      <c r="C27" s="1">
        <v>0.6</v>
      </c>
      <c r="D27" s="1">
        <v>0.6</v>
      </c>
      <c r="E27" s="6">
        <f t="shared" si="48"/>
        <v>0</v>
      </c>
      <c r="F27" s="21">
        <v>44935</v>
      </c>
      <c r="G27" s="1">
        <v>22.52</v>
      </c>
      <c r="H27" s="1">
        <v>13.2585</v>
      </c>
      <c r="I27" s="6">
        <f t="shared" si="49"/>
        <v>0</v>
      </c>
      <c r="J27" s="21">
        <v>44935</v>
      </c>
      <c r="K27" s="1">
        <v>38.799999999999997</v>
      </c>
      <c r="L27" s="1">
        <v>23.325199999999999</v>
      </c>
      <c r="M27" s="6">
        <f t="shared" si="50"/>
        <v>-5.1268052581743273E-3</v>
      </c>
      <c r="N27" s="21">
        <v>44935</v>
      </c>
      <c r="O27" s="1">
        <v>24.82</v>
      </c>
      <c r="P27" s="1">
        <v>21.823599999999999</v>
      </c>
      <c r="Q27" s="6">
        <f t="shared" si="51"/>
        <v>-8.0581653022737676E-4</v>
      </c>
      <c r="R27" s="21">
        <v>44935</v>
      </c>
      <c r="S27" s="1">
        <v>6.79</v>
      </c>
      <c r="T27" s="1">
        <v>5.9977</v>
      </c>
      <c r="U27" s="6">
        <f t="shared" si="52"/>
        <v>1.3433138454259863E-2</v>
      </c>
      <c r="V27" s="21">
        <v>44935</v>
      </c>
      <c r="W27" s="1">
        <v>6.3</v>
      </c>
      <c r="X27" s="1">
        <v>5.351</v>
      </c>
      <c r="Y27" s="6">
        <f t="shared" si="53"/>
        <v>0</v>
      </c>
      <c r="Z27" s="21">
        <v>44935</v>
      </c>
      <c r="AA27" s="1">
        <v>1.91</v>
      </c>
      <c r="AB27" s="1">
        <v>1.91</v>
      </c>
      <c r="AC27" s="6">
        <f t="shared" si="54"/>
        <v>-5.2083333333333703E-3</v>
      </c>
      <c r="AD27" s="21">
        <v>44935</v>
      </c>
      <c r="AE27" s="1">
        <v>7.8</v>
      </c>
      <c r="AF27" s="1">
        <v>7.0548999999999999</v>
      </c>
      <c r="AG27" s="6">
        <f t="shared" si="55"/>
        <v>-2.5000691008596143E-2</v>
      </c>
      <c r="AH27" s="21">
        <v>44935</v>
      </c>
      <c r="AI27" s="1">
        <v>8.68</v>
      </c>
      <c r="AJ27" s="1">
        <v>7.5887000000000002</v>
      </c>
      <c r="AK27" s="6">
        <f t="shared" si="56"/>
        <v>-1.1385990281523095E-2</v>
      </c>
      <c r="AL27" s="21">
        <v>44935</v>
      </c>
      <c r="AM27" s="1">
        <v>1.98</v>
      </c>
      <c r="AN27" s="1">
        <v>1.8568</v>
      </c>
      <c r="AO27" s="6">
        <v>-4.3478260869565188E-2</v>
      </c>
      <c r="AP27" s="21" t="s">
        <v>30</v>
      </c>
      <c r="AQ27" s="1">
        <v>8106.59</v>
      </c>
      <c r="AR27" s="6">
        <v>9.9928692858686219E-5</v>
      </c>
      <c r="AU27" t="s">
        <v>733</v>
      </c>
      <c r="AV27" s="39">
        <f>SQRT(AV25*$B$3)</f>
        <v>0.12206427692092833</v>
      </c>
    </row>
    <row r="28" spans="2:57" x14ac:dyDescent="0.35">
      <c r="B28" s="21">
        <v>44936</v>
      </c>
      <c r="C28" s="1">
        <v>0.63</v>
      </c>
      <c r="D28" s="1">
        <v>0.63</v>
      </c>
      <c r="E28" s="6">
        <f t="shared" si="48"/>
        <v>5.0000000000000044E-2</v>
      </c>
      <c r="F28" s="21">
        <v>44936</v>
      </c>
      <c r="G28" s="1">
        <v>22.52</v>
      </c>
      <c r="H28" s="1">
        <v>13.2585</v>
      </c>
      <c r="I28" s="6">
        <f t="shared" si="49"/>
        <v>0</v>
      </c>
      <c r="J28" s="21">
        <v>44936</v>
      </c>
      <c r="K28" s="1">
        <v>39.590000000000003</v>
      </c>
      <c r="L28" s="1">
        <v>23.8001</v>
      </c>
      <c r="M28" s="6">
        <f t="shared" si="50"/>
        <v>2.0359954041123007E-2</v>
      </c>
      <c r="N28" s="21">
        <v>44936</v>
      </c>
      <c r="O28" s="1">
        <v>24.13</v>
      </c>
      <c r="P28" s="1">
        <v>21.216899999999999</v>
      </c>
      <c r="Q28" s="6">
        <f t="shared" si="51"/>
        <v>-2.7800179622060495E-2</v>
      </c>
      <c r="R28" s="21">
        <v>44936</v>
      </c>
      <c r="S28" s="1">
        <v>6.78</v>
      </c>
      <c r="T28" s="1">
        <v>5.9888000000000003</v>
      </c>
      <c r="U28" s="6">
        <f t="shared" si="52"/>
        <v>-1.4839021624956095E-3</v>
      </c>
      <c r="V28" s="21">
        <v>44936</v>
      </c>
      <c r="W28" s="1">
        <v>6.26</v>
      </c>
      <c r="X28" s="1">
        <v>5.3170000000000002</v>
      </c>
      <c r="Y28" s="6">
        <f t="shared" si="53"/>
        <v>-6.3539525322369172E-3</v>
      </c>
      <c r="Z28" s="21">
        <v>44936</v>
      </c>
      <c r="AA28" s="1">
        <v>1.91</v>
      </c>
      <c r="AB28" s="1">
        <v>1.91</v>
      </c>
      <c r="AC28" s="6">
        <f t="shared" si="54"/>
        <v>0</v>
      </c>
      <c r="AD28" s="21">
        <v>44936</v>
      </c>
      <c r="AE28" s="1">
        <v>7.75</v>
      </c>
      <c r="AF28" s="1">
        <v>7.0096999999999996</v>
      </c>
      <c r="AG28" s="6">
        <f t="shared" si="55"/>
        <v>-6.406894498859006E-3</v>
      </c>
      <c r="AH28" s="21">
        <v>44936</v>
      </c>
      <c r="AI28" s="1">
        <v>8.69</v>
      </c>
      <c r="AJ28" s="1">
        <v>7.5974000000000004</v>
      </c>
      <c r="AK28" s="6">
        <f t="shared" si="56"/>
        <v>1.1464414194790606E-3</v>
      </c>
      <c r="AL28" s="21">
        <v>44936</v>
      </c>
      <c r="AM28" s="1">
        <v>1.91</v>
      </c>
      <c r="AN28" s="1">
        <v>1.7911999999999999</v>
      </c>
      <c r="AO28" s="6">
        <v>-3.5329599310642057E-2</v>
      </c>
      <c r="AP28" s="21" t="s">
        <v>31</v>
      </c>
      <c r="AQ28" s="1">
        <v>8105.9</v>
      </c>
      <c r="AR28" s="6">
        <v>-8.5115936540591797E-5</v>
      </c>
      <c r="AU28" t="s">
        <v>737</v>
      </c>
      <c r="AV28" s="39">
        <f>(AV26-$B$2)/AV27</f>
        <v>1.8796670083953895</v>
      </c>
    </row>
    <row r="29" spans="2:57" x14ac:dyDescent="0.35">
      <c r="B29" s="21">
        <v>44937</v>
      </c>
      <c r="C29" s="1">
        <v>0.66</v>
      </c>
      <c r="D29" s="1">
        <v>0.66</v>
      </c>
      <c r="E29" s="6">
        <f t="shared" si="48"/>
        <v>4.7619047619047672E-2</v>
      </c>
      <c r="F29" s="21">
        <v>44937</v>
      </c>
      <c r="G29" s="1">
        <v>22.52</v>
      </c>
      <c r="H29" s="1">
        <v>13.2585</v>
      </c>
      <c r="I29" s="6">
        <f t="shared" si="49"/>
        <v>0</v>
      </c>
      <c r="J29" s="21">
        <v>44937</v>
      </c>
      <c r="K29" s="1">
        <v>39.99</v>
      </c>
      <c r="L29" s="1">
        <v>24.040600000000001</v>
      </c>
      <c r="M29" s="6">
        <f t="shared" si="50"/>
        <v>1.0104999558825378E-2</v>
      </c>
      <c r="N29" s="21">
        <v>44937</v>
      </c>
      <c r="O29" s="1">
        <v>24.13</v>
      </c>
      <c r="P29" s="1">
        <v>21.216899999999999</v>
      </c>
      <c r="Q29" s="6">
        <f t="shared" si="51"/>
        <v>0</v>
      </c>
      <c r="R29" s="21">
        <v>44937</v>
      </c>
      <c r="S29" s="1">
        <v>6.7</v>
      </c>
      <c r="T29" s="1">
        <v>5.9181999999999997</v>
      </c>
      <c r="U29" s="6">
        <f t="shared" si="52"/>
        <v>-1.1788672188084548E-2</v>
      </c>
      <c r="V29" s="21">
        <v>44937</v>
      </c>
      <c r="W29" s="1">
        <v>6.2</v>
      </c>
      <c r="X29" s="1">
        <v>5.266</v>
      </c>
      <c r="Y29" s="6">
        <f t="shared" si="53"/>
        <v>-9.5918751175475547E-3</v>
      </c>
      <c r="Z29" s="21">
        <v>44937</v>
      </c>
      <c r="AA29" s="1">
        <v>1.88</v>
      </c>
      <c r="AB29" s="1">
        <v>1.88</v>
      </c>
      <c r="AC29" s="6">
        <f t="shared" si="54"/>
        <v>-1.5706806282722474E-2</v>
      </c>
      <c r="AD29" s="21">
        <v>44937</v>
      </c>
      <c r="AE29" s="1">
        <v>7.55</v>
      </c>
      <c r="AF29" s="1">
        <v>6.8288000000000002</v>
      </c>
      <c r="AG29" s="6">
        <f t="shared" si="55"/>
        <v>-2.5807095881421382E-2</v>
      </c>
      <c r="AH29" s="21">
        <v>44937</v>
      </c>
      <c r="AI29" s="1">
        <v>8.6</v>
      </c>
      <c r="AJ29" s="1">
        <v>7.5186999999999999</v>
      </c>
      <c r="AK29" s="6">
        <f t="shared" si="56"/>
        <v>-1.0358806960275913E-2</v>
      </c>
      <c r="AL29" s="21">
        <v>44937</v>
      </c>
      <c r="AM29" s="1">
        <v>1.99</v>
      </c>
      <c r="AN29" s="1">
        <v>1.8662000000000001</v>
      </c>
      <c r="AO29" s="6">
        <v>4.1871371147834013E-2</v>
      </c>
      <c r="AP29" s="21" t="s">
        <v>32</v>
      </c>
      <c r="AQ29" s="1">
        <v>8116.31</v>
      </c>
      <c r="AR29" s="6">
        <v>1.2842497440137546E-3</v>
      </c>
      <c r="AU29" t="s">
        <v>734</v>
      </c>
      <c r="AV29">
        <f>SUM(AV8:BE8)</f>
        <v>1</v>
      </c>
      <c r="AW29" t="s">
        <v>735</v>
      </c>
      <c r="AX29">
        <v>1</v>
      </c>
    </row>
    <row r="30" spans="2:57" x14ac:dyDescent="0.35">
      <c r="B30" s="21">
        <v>44938</v>
      </c>
      <c r="C30" s="1">
        <v>0.66</v>
      </c>
      <c r="D30" s="1">
        <v>0.66</v>
      </c>
      <c r="E30" s="6">
        <f t="shared" si="48"/>
        <v>0</v>
      </c>
      <c r="F30" s="21">
        <v>44938</v>
      </c>
      <c r="G30" s="1">
        <v>21.9</v>
      </c>
      <c r="H30" s="1">
        <v>12.8935</v>
      </c>
      <c r="I30" s="6">
        <f t="shared" si="49"/>
        <v>-2.7529509371346683E-2</v>
      </c>
      <c r="J30" s="21">
        <v>44938</v>
      </c>
      <c r="K30" s="1">
        <v>41.56</v>
      </c>
      <c r="L30" s="1">
        <v>24.984400000000001</v>
      </c>
      <c r="M30" s="6">
        <f t="shared" si="50"/>
        <v>3.9258587556050939E-2</v>
      </c>
      <c r="N30" s="21">
        <v>44938</v>
      </c>
      <c r="O30" s="1">
        <v>24</v>
      </c>
      <c r="P30" s="1">
        <v>21.102599999999999</v>
      </c>
      <c r="Q30" s="6">
        <f t="shared" si="51"/>
        <v>-5.3872149088698418E-3</v>
      </c>
      <c r="R30" s="21">
        <v>44938</v>
      </c>
      <c r="S30" s="1">
        <v>6.66</v>
      </c>
      <c r="T30" s="1">
        <v>5.8827999999999996</v>
      </c>
      <c r="U30" s="6">
        <f t="shared" si="52"/>
        <v>-5.9815484437836242E-3</v>
      </c>
      <c r="V30" s="21">
        <v>44938</v>
      </c>
      <c r="W30" s="1">
        <v>6.25</v>
      </c>
      <c r="X30" s="1">
        <v>5.3090000000000002</v>
      </c>
      <c r="Y30" s="6">
        <f t="shared" si="53"/>
        <v>8.165590581086235E-3</v>
      </c>
      <c r="Z30" s="21">
        <v>44938</v>
      </c>
      <c r="AA30" s="1">
        <v>1.89</v>
      </c>
      <c r="AB30" s="1">
        <v>1.89</v>
      </c>
      <c r="AC30" s="6">
        <f t="shared" si="54"/>
        <v>5.3191489361701372E-3</v>
      </c>
      <c r="AD30" s="21">
        <v>44938</v>
      </c>
      <c r="AE30" s="1">
        <v>7.85</v>
      </c>
      <c r="AF30" s="1">
        <v>7.1001000000000003</v>
      </c>
      <c r="AG30" s="6">
        <f t="shared" si="55"/>
        <v>3.972879568884724E-2</v>
      </c>
      <c r="AH30" s="21">
        <v>44938</v>
      </c>
      <c r="AI30" s="1">
        <v>8.6</v>
      </c>
      <c r="AJ30" s="1">
        <v>7.5186999999999999</v>
      </c>
      <c r="AK30" s="6">
        <f t="shared" si="56"/>
        <v>0</v>
      </c>
      <c r="AL30" s="21">
        <v>44938</v>
      </c>
      <c r="AM30" s="1">
        <v>1.91</v>
      </c>
      <c r="AN30" s="1">
        <v>1.7911999999999999</v>
      </c>
      <c r="AO30" s="6">
        <v>-4.0188618583217317E-2</v>
      </c>
      <c r="AP30" s="21" t="s">
        <v>33</v>
      </c>
      <c r="AQ30" s="1">
        <v>8237.83</v>
      </c>
      <c r="AR30" s="6">
        <v>1.4972321165652724E-2</v>
      </c>
    </row>
    <row r="31" spans="2:57" x14ac:dyDescent="0.35">
      <c r="B31" s="21">
        <v>44939</v>
      </c>
      <c r="C31" s="1">
        <v>0.67</v>
      </c>
      <c r="D31" s="1">
        <v>0.67</v>
      </c>
      <c r="E31" s="6">
        <f t="shared" si="48"/>
        <v>1.5151515151515138E-2</v>
      </c>
      <c r="F31" s="21">
        <v>44939</v>
      </c>
      <c r="G31" s="1">
        <v>22.29</v>
      </c>
      <c r="H31" s="1">
        <v>13.123100000000001</v>
      </c>
      <c r="I31" s="6">
        <f t="shared" si="49"/>
        <v>1.7807422344592316E-2</v>
      </c>
      <c r="J31" s="21">
        <v>44939</v>
      </c>
      <c r="K31" s="1">
        <v>42.6</v>
      </c>
      <c r="L31" s="1">
        <v>25.6096</v>
      </c>
      <c r="M31" s="6">
        <f t="shared" si="50"/>
        <v>2.502361473559489E-2</v>
      </c>
      <c r="N31" s="21">
        <v>44939</v>
      </c>
      <c r="O31" s="1">
        <v>24</v>
      </c>
      <c r="P31" s="1">
        <v>21.102599999999999</v>
      </c>
      <c r="Q31" s="6">
        <f t="shared" si="51"/>
        <v>0</v>
      </c>
      <c r="R31" s="21">
        <v>44939</v>
      </c>
      <c r="S31" s="1">
        <v>6.94</v>
      </c>
      <c r="T31" s="1">
        <v>6.1302000000000003</v>
      </c>
      <c r="U31" s="6">
        <f t="shared" si="52"/>
        <v>4.2054803834908672E-2</v>
      </c>
      <c r="V31" s="21">
        <v>44939</v>
      </c>
      <c r="W31" s="1">
        <v>6.1</v>
      </c>
      <c r="X31" s="1">
        <v>5.181</v>
      </c>
      <c r="Y31" s="6">
        <f t="shared" si="53"/>
        <v>-2.4110001883593912E-2</v>
      </c>
      <c r="Z31" s="21">
        <v>44939</v>
      </c>
      <c r="AA31" s="1">
        <v>1.87</v>
      </c>
      <c r="AB31" s="1">
        <v>1.87</v>
      </c>
      <c r="AC31" s="6">
        <f t="shared" si="54"/>
        <v>-1.058201058201047E-2</v>
      </c>
      <c r="AD31" s="21">
        <v>44939</v>
      </c>
      <c r="AE31" s="1">
        <v>8.2899999999999991</v>
      </c>
      <c r="AF31" s="1">
        <v>7.4981</v>
      </c>
      <c r="AG31" s="6">
        <f t="shared" si="55"/>
        <v>5.605554851340111E-2</v>
      </c>
      <c r="AH31" s="21">
        <v>44939</v>
      </c>
      <c r="AI31" s="1">
        <v>8.68</v>
      </c>
      <c r="AJ31" s="1">
        <v>7.5887000000000002</v>
      </c>
      <c r="AK31" s="6">
        <f t="shared" si="56"/>
        <v>9.310120100549435E-3</v>
      </c>
      <c r="AL31" s="21">
        <v>44939</v>
      </c>
      <c r="AM31" s="1">
        <v>1.97</v>
      </c>
      <c r="AN31" s="1">
        <v>1.8474999999999999</v>
      </c>
      <c r="AO31" s="6">
        <v>3.1431442608307325E-2</v>
      </c>
      <c r="AP31" s="21" t="s">
        <v>34</v>
      </c>
      <c r="AQ31" s="1">
        <v>8287.2099999999991</v>
      </c>
      <c r="AR31" s="6">
        <v>5.9942970418178643E-3</v>
      </c>
    </row>
    <row r="32" spans="2:57" x14ac:dyDescent="0.35">
      <c r="B32" s="21">
        <v>44942</v>
      </c>
      <c r="C32" s="1">
        <v>0.66</v>
      </c>
      <c r="D32" s="1">
        <v>0.66</v>
      </c>
      <c r="E32" s="6">
        <f t="shared" si="48"/>
        <v>-1.4925373134328401E-2</v>
      </c>
      <c r="F32" s="21">
        <v>44942</v>
      </c>
      <c r="G32" s="1">
        <v>22</v>
      </c>
      <c r="H32" s="1">
        <v>12.952400000000001</v>
      </c>
      <c r="I32" s="6">
        <f t="shared" si="49"/>
        <v>-1.3007597290274453E-2</v>
      </c>
      <c r="J32" s="21">
        <v>44942</v>
      </c>
      <c r="K32" s="1">
        <v>42.79</v>
      </c>
      <c r="L32" s="1">
        <v>25.723800000000001</v>
      </c>
      <c r="M32" s="6">
        <f t="shared" si="50"/>
        <v>4.4592652755217621E-3</v>
      </c>
      <c r="N32" s="21">
        <v>44942</v>
      </c>
      <c r="O32" s="1">
        <v>23.8</v>
      </c>
      <c r="P32" s="1">
        <v>20.9267</v>
      </c>
      <c r="Q32" s="6">
        <f t="shared" si="51"/>
        <v>-8.3354657719900693E-3</v>
      </c>
      <c r="R32" s="21">
        <v>44942</v>
      </c>
      <c r="S32" s="1">
        <v>6.89</v>
      </c>
      <c r="T32" s="1">
        <v>6.0860000000000003</v>
      </c>
      <c r="U32" s="6">
        <f t="shared" si="52"/>
        <v>-7.2102052135329942E-3</v>
      </c>
      <c r="V32" s="21">
        <v>44942</v>
      </c>
      <c r="W32" s="1">
        <v>6.38</v>
      </c>
      <c r="X32" s="1">
        <v>5.4189999999999996</v>
      </c>
      <c r="Y32" s="6">
        <f t="shared" si="53"/>
        <v>4.5937077784211411E-2</v>
      </c>
      <c r="Z32" s="21">
        <v>44942</v>
      </c>
      <c r="AA32" s="1">
        <v>1.87</v>
      </c>
      <c r="AB32" s="1">
        <v>1.87</v>
      </c>
      <c r="AC32" s="6">
        <f t="shared" si="54"/>
        <v>0</v>
      </c>
      <c r="AD32" s="21">
        <v>44942</v>
      </c>
      <c r="AE32" s="1">
        <v>8.11</v>
      </c>
      <c r="AF32" s="1">
        <v>7.3353000000000002</v>
      </c>
      <c r="AG32" s="6">
        <f t="shared" si="55"/>
        <v>-2.1712167082327483E-2</v>
      </c>
      <c r="AH32" s="21">
        <v>44942</v>
      </c>
      <c r="AI32" s="1">
        <v>8.6199999999999992</v>
      </c>
      <c r="AJ32" s="1">
        <v>7.5362</v>
      </c>
      <c r="AK32" s="6">
        <f t="shared" si="56"/>
        <v>-6.9181809796144966E-3</v>
      </c>
      <c r="AL32" s="21">
        <v>44942</v>
      </c>
      <c r="AM32" s="1">
        <v>1.9</v>
      </c>
      <c r="AN32" s="1">
        <v>1.7818000000000001</v>
      </c>
      <c r="AO32" s="6">
        <v>-3.5561569688768557E-2</v>
      </c>
      <c r="AP32" s="21" t="s">
        <v>35</v>
      </c>
      <c r="AQ32" s="1">
        <v>8302.2000000000007</v>
      </c>
      <c r="AR32" s="6">
        <v>1.8088114093888219E-3</v>
      </c>
    </row>
    <row r="33" spans="2:44" x14ac:dyDescent="0.35">
      <c r="B33" s="21">
        <v>44943</v>
      </c>
      <c r="C33" s="1">
        <v>0.67</v>
      </c>
      <c r="D33" s="1">
        <v>0.67</v>
      </c>
      <c r="E33" s="6">
        <f t="shared" si="48"/>
        <v>1.5151515151515138E-2</v>
      </c>
      <c r="F33" s="21">
        <v>44943</v>
      </c>
      <c r="G33" s="1">
        <v>22</v>
      </c>
      <c r="H33" s="1">
        <v>12.952400000000001</v>
      </c>
      <c r="I33" s="6">
        <f t="shared" si="49"/>
        <v>0</v>
      </c>
      <c r="J33" s="21">
        <v>44943</v>
      </c>
      <c r="K33" s="1">
        <v>42.55</v>
      </c>
      <c r="L33" s="1">
        <v>25.579499999999999</v>
      </c>
      <c r="M33" s="6">
        <f t="shared" si="50"/>
        <v>-5.6095911179531166E-3</v>
      </c>
      <c r="N33" s="21">
        <v>44943</v>
      </c>
      <c r="O33" s="1">
        <v>24.49</v>
      </c>
      <c r="P33" s="1">
        <v>21.5334</v>
      </c>
      <c r="Q33" s="6">
        <f t="shared" si="51"/>
        <v>2.8991670927571045E-2</v>
      </c>
      <c r="R33" s="21">
        <v>44943</v>
      </c>
      <c r="S33" s="1">
        <v>6.87</v>
      </c>
      <c r="T33" s="1">
        <v>6.0682999999999998</v>
      </c>
      <c r="U33" s="6">
        <f t="shared" si="52"/>
        <v>-2.9083141636543353E-3</v>
      </c>
      <c r="V33" s="21">
        <v>44943</v>
      </c>
      <c r="W33" s="1">
        <v>6.44</v>
      </c>
      <c r="X33" s="1">
        <v>5.47</v>
      </c>
      <c r="Y33" s="6">
        <f t="shared" si="53"/>
        <v>9.4113305037830663E-3</v>
      </c>
      <c r="Z33" s="21">
        <v>44943</v>
      </c>
      <c r="AA33" s="1">
        <v>1.9</v>
      </c>
      <c r="AB33" s="1">
        <v>1.9</v>
      </c>
      <c r="AC33" s="6">
        <f t="shared" si="54"/>
        <v>1.6042780748662944E-2</v>
      </c>
      <c r="AD33" s="21">
        <v>44943</v>
      </c>
      <c r="AE33" s="1">
        <v>8.18</v>
      </c>
      <c r="AF33" s="1">
        <v>7.3986000000000001</v>
      </c>
      <c r="AG33" s="6">
        <f t="shared" si="55"/>
        <v>8.6295039057706635E-3</v>
      </c>
      <c r="AH33" s="21">
        <v>44943</v>
      </c>
      <c r="AI33" s="1">
        <v>8.8800000000000008</v>
      </c>
      <c r="AJ33" s="1">
        <v>7.7634999999999996</v>
      </c>
      <c r="AK33" s="6">
        <f t="shared" si="56"/>
        <v>3.0161089143069475E-2</v>
      </c>
      <c r="AL33" s="21">
        <v>44943</v>
      </c>
      <c r="AM33" s="1">
        <v>1.83</v>
      </c>
      <c r="AN33" s="1">
        <v>1.7161999999999999</v>
      </c>
      <c r="AO33" s="6">
        <v>-3.681670221124711E-2</v>
      </c>
      <c r="AP33" s="21" t="s">
        <v>36</v>
      </c>
      <c r="AQ33" s="1">
        <v>8282.31</v>
      </c>
      <c r="AR33" s="6">
        <v>-2.3957505239576848E-3</v>
      </c>
    </row>
    <row r="34" spans="2:44" x14ac:dyDescent="0.35">
      <c r="B34" s="21">
        <v>44944</v>
      </c>
      <c r="C34" s="1">
        <v>0.66</v>
      </c>
      <c r="D34" s="1">
        <v>0.66</v>
      </c>
      <c r="E34" s="6">
        <f t="shared" si="48"/>
        <v>-1.4925373134328401E-2</v>
      </c>
      <c r="F34" s="21">
        <v>44944</v>
      </c>
      <c r="G34" s="1">
        <v>21.99</v>
      </c>
      <c r="H34" s="1">
        <v>12.9465</v>
      </c>
      <c r="I34" s="6">
        <f t="shared" si="49"/>
        <v>-4.5551403600885276E-4</v>
      </c>
      <c r="J34" s="21">
        <v>44944</v>
      </c>
      <c r="K34" s="1">
        <v>41.9</v>
      </c>
      <c r="L34" s="1">
        <v>25.188800000000001</v>
      </c>
      <c r="M34" s="6">
        <f t="shared" si="50"/>
        <v>-1.5273949842647405E-2</v>
      </c>
      <c r="N34" s="21">
        <v>44944</v>
      </c>
      <c r="O34" s="1">
        <v>24.15</v>
      </c>
      <c r="P34" s="1">
        <v>21.234500000000001</v>
      </c>
      <c r="Q34" s="6">
        <f t="shared" si="51"/>
        <v>-1.388076197906507E-2</v>
      </c>
      <c r="R34" s="21">
        <v>44944</v>
      </c>
      <c r="S34" s="1">
        <v>6.8</v>
      </c>
      <c r="T34" s="1">
        <v>6.0065</v>
      </c>
      <c r="U34" s="6">
        <f t="shared" si="52"/>
        <v>-1.0184071321457377E-2</v>
      </c>
      <c r="V34" s="21">
        <v>44944</v>
      </c>
      <c r="W34" s="1">
        <v>6.4</v>
      </c>
      <c r="X34" s="1">
        <v>5.4359999999999999</v>
      </c>
      <c r="Y34" s="6">
        <f t="shared" si="53"/>
        <v>-6.2157221206581292E-3</v>
      </c>
      <c r="Z34" s="21">
        <v>44944</v>
      </c>
      <c r="AA34" s="1">
        <v>1.9</v>
      </c>
      <c r="AB34" s="1">
        <v>1.9</v>
      </c>
      <c r="AC34" s="6">
        <f t="shared" si="54"/>
        <v>0</v>
      </c>
      <c r="AD34" s="21">
        <v>44944</v>
      </c>
      <c r="AE34" s="1">
        <v>7.75</v>
      </c>
      <c r="AF34" s="1">
        <v>7.0096999999999996</v>
      </c>
      <c r="AG34" s="6">
        <f t="shared" si="55"/>
        <v>-5.2563998594328698E-2</v>
      </c>
      <c r="AH34" s="21">
        <v>44944</v>
      </c>
      <c r="AI34" s="1">
        <v>8.6999999999999993</v>
      </c>
      <c r="AJ34" s="1">
        <v>7.6062000000000003</v>
      </c>
      <c r="AK34" s="6">
        <f t="shared" si="56"/>
        <v>-2.0261480002576104E-2</v>
      </c>
      <c r="AL34" s="21">
        <v>44944</v>
      </c>
      <c r="AM34" s="1">
        <v>1.75</v>
      </c>
      <c r="AN34" s="1">
        <v>1.6412</v>
      </c>
      <c r="AO34" s="6">
        <v>-4.3701200326302314E-2</v>
      </c>
      <c r="AP34" s="21" t="s">
        <v>37</v>
      </c>
      <c r="AQ34" s="1">
        <v>8230.5499999999993</v>
      </c>
      <c r="AR34" s="6">
        <v>-6.2494642195233263E-3</v>
      </c>
    </row>
    <row r="35" spans="2:44" x14ac:dyDescent="0.35">
      <c r="B35" s="21">
        <v>44945</v>
      </c>
      <c r="C35" s="1">
        <v>0.67</v>
      </c>
      <c r="D35" s="1">
        <v>0.67</v>
      </c>
      <c r="E35" s="6">
        <f t="shared" si="48"/>
        <v>1.5151515151515138E-2</v>
      </c>
      <c r="F35" s="21">
        <v>44945</v>
      </c>
      <c r="G35" s="1">
        <v>22.3</v>
      </c>
      <c r="H35" s="1">
        <v>13.129</v>
      </c>
      <c r="I35" s="6">
        <f t="shared" si="49"/>
        <v>1.4096473950488519E-2</v>
      </c>
      <c r="J35" s="21">
        <v>44945</v>
      </c>
      <c r="K35" s="1">
        <v>41.47</v>
      </c>
      <c r="L35" s="1">
        <v>24.930299999999999</v>
      </c>
      <c r="M35" s="6">
        <f t="shared" si="50"/>
        <v>-1.026249761798903E-2</v>
      </c>
      <c r="N35" s="21">
        <v>44945</v>
      </c>
      <c r="O35" s="1">
        <v>24.46</v>
      </c>
      <c r="P35" s="1">
        <v>21.507000000000001</v>
      </c>
      <c r="Q35" s="6">
        <f t="shared" si="51"/>
        <v>1.2832889872613107E-2</v>
      </c>
      <c r="R35" s="21">
        <v>44945</v>
      </c>
      <c r="S35" s="1">
        <v>6.7</v>
      </c>
      <c r="T35" s="1">
        <v>5.9181999999999997</v>
      </c>
      <c r="U35" s="6">
        <f t="shared" si="52"/>
        <v>-1.4700740864063921E-2</v>
      </c>
      <c r="V35" s="21">
        <v>44945</v>
      </c>
      <c r="W35" s="1">
        <v>6.43</v>
      </c>
      <c r="X35" s="1">
        <v>5.4619999999999997</v>
      </c>
      <c r="Y35" s="6">
        <f t="shared" si="53"/>
        <v>4.7829286239882141E-3</v>
      </c>
      <c r="Z35" s="21">
        <v>44945</v>
      </c>
      <c r="AA35" s="1">
        <v>1.91</v>
      </c>
      <c r="AB35" s="1">
        <v>1.91</v>
      </c>
      <c r="AC35" s="6">
        <f t="shared" si="54"/>
        <v>5.2631578947368585E-3</v>
      </c>
      <c r="AD35" s="21">
        <v>44945</v>
      </c>
      <c r="AE35" s="1">
        <v>8</v>
      </c>
      <c r="AF35" s="1">
        <v>7.2358000000000002</v>
      </c>
      <c r="AG35" s="6">
        <f t="shared" si="55"/>
        <v>3.2255303365336774E-2</v>
      </c>
      <c r="AH35" s="21">
        <v>44945</v>
      </c>
      <c r="AI35" s="1">
        <v>8.68</v>
      </c>
      <c r="AJ35" s="1">
        <v>7.5887000000000002</v>
      </c>
      <c r="AK35" s="6">
        <f t="shared" si="56"/>
        <v>-2.3007546475244389E-3</v>
      </c>
      <c r="AL35" s="21">
        <v>44945</v>
      </c>
      <c r="AM35" s="1">
        <v>1.82</v>
      </c>
      <c r="AN35" s="1">
        <v>1.7068000000000001</v>
      </c>
      <c r="AO35" s="6">
        <v>3.9970753107482437E-2</v>
      </c>
      <c r="AP35" s="21" t="s">
        <v>38</v>
      </c>
      <c r="AQ35" s="1">
        <v>8229.7900000000009</v>
      </c>
      <c r="AR35" s="6">
        <v>-9.2338908092237659E-5</v>
      </c>
    </row>
    <row r="36" spans="2:44" x14ac:dyDescent="0.35">
      <c r="B36" s="21">
        <v>44946</v>
      </c>
      <c r="C36" s="1">
        <v>0.66</v>
      </c>
      <c r="D36" s="1">
        <v>0.66</v>
      </c>
      <c r="E36" s="6">
        <f t="shared" si="48"/>
        <v>-1.4925373134328401E-2</v>
      </c>
      <c r="F36" s="21">
        <v>44946</v>
      </c>
      <c r="G36" s="1">
        <v>22</v>
      </c>
      <c r="H36" s="1">
        <v>12.952400000000001</v>
      </c>
      <c r="I36" s="6">
        <f t="shared" si="49"/>
        <v>-1.345113870058634E-2</v>
      </c>
      <c r="J36" s="21">
        <v>44946</v>
      </c>
      <c r="K36" s="1">
        <v>41.7</v>
      </c>
      <c r="L36" s="1">
        <v>25.0685</v>
      </c>
      <c r="M36" s="6">
        <f t="shared" si="50"/>
        <v>5.5434551529665033E-3</v>
      </c>
      <c r="N36" s="21">
        <v>44946</v>
      </c>
      <c r="O36" s="1">
        <v>24.5</v>
      </c>
      <c r="P36" s="1">
        <v>21.542200000000001</v>
      </c>
      <c r="Q36" s="6">
        <f t="shared" si="51"/>
        <v>1.6366764309294624E-3</v>
      </c>
      <c r="R36" s="21">
        <v>44946</v>
      </c>
      <c r="S36" s="1">
        <v>6.79</v>
      </c>
      <c r="T36" s="1">
        <v>5.9977</v>
      </c>
      <c r="U36" s="6">
        <f t="shared" si="52"/>
        <v>1.3433138454259863E-2</v>
      </c>
      <c r="V36" s="21">
        <v>44946</v>
      </c>
      <c r="W36" s="1">
        <v>6.43</v>
      </c>
      <c r="X36" s="1">
        <v>5.4619999999999997</v>
      </c>
      <c r="Y36" s="6">
        <f t="shared" si="53"/>
        <v>0</v>
      </c>
      <c r="Z36" s="21">
        <v>44946</v>
      </c>
      <c r="AA36" s="1">
        <v>1.89</v>
      </c>
      <c r="AB36" s="1">
        <v>1.89</v>
      </c>
      <c r="AC36" s="6">
        <f t="shared" si="54"/>
        <v>-1.0471204188481686E-2</v>
      </c>
      <c r="AD36" s="21">
        <v>44946</v>
      </c>
      <c r="AE36" s="1">
        <v>8.11</v>
      </c>
      <c r="AF36" s="1">
        <v>7.3353000000000002</v>
      </c>
      <c r="AG36" s="6">
        <f t="shared" si="55"/>
        <v>1.3751071063323961E-2</v>
      </c>
      <c r="AH36" s="21">
        <v>44946</v>
      </c>
      <c r="AI36" s="1">
        <v>8.65</v>
      </c>
      <c r="AJ36" s="1">
        <v>7.5624000000000002</v>
      </c>
      <c r="AK36" s="6">
        <f t="shared" si="56"/>
        <v>-3.4656792335973075E-3</v>
      </c>
      <c r="AL36" s="21">
        <v>44946</v>
      </c>
      <c r="AM36" s="1">
        <v>1.74</v>
      </c>
      <c r="AN36" s="1">
        <v>1.6317999999999999</v>
      </c>
      <c r="AO36" s="6">
        <v>-4.3941879540660977E-2</v>
      </c>
      <c r="AP36" s="21" t="s">
        <v>39</v>
      </c>
      <c r="AQ36" s="1">
        <v>8248.48</v>
      </c>
      <c r="AR36" s="6">
        <v>2.2710178510021439E-3</v>
      </c>
    </row>
    <row r="37" spans="2:44" x14ac:dyDescent="0.35">
      <c r="B37" s="21">
        <v>44949</v>
      </c>
      <c r="C37" s="1">
        <v>0.66</v>
      </c>
      <c r="D37" s="1">
        <v>0.66</v>
      </c>
      <c r="E37" s="6">
        <f t="shared" si="48"/>
        <v>0</v>
      </c>
      <c r="F37" s="21">
        <v>44949</v>
      </c>
      <c r="G37" s="1">
        <v>22.3</v>
      </c>
      <c r="H37" s="1">
        <v>13.129</v>
      </c>
      <c r="I37" s="6">
        <f t="shared" si="49"/>
        <v>1.3634538772737015E-2</v>
      </c>
      <c r="J37" s="21">
        <v>44949</v>
      </c>
      <c r="K37" s="1">
        <v>41.3</v>
      </c>
      <c r="L37" s="1">
        <v>24.828099999999999</v>
      </c>
      <c r="M37" s="6">
        <f t="shared" si="50"/>
        <v>-9.5897241558131618E-3</v>
      </c>
      <c r="N37" s="21">
        <v>44949</v>
      </c>
      <c r="O37" s="1">
        <v>24.4</v>
      </c>
      <c r="P37" s="1">
        <v>21.4543</v>
      </c>
      <c r="Q37" s="6">
        <f t="shared" si="51"/>
        <v>-4.0803631941027652E-3</v>
      </c>
      <c r="R37" s="21">
        <v>44949</v>
      </c>
      <c r="S37" s="1">
        <v>6.79</v>
      </c>
      <c r="T37" s="1">
        <v>5.9977</v>
      </c>
      <c r="U37" s="6">
        <f t="shared" si="52"/>
        <v>0</v>
      </c>
      <c r="V37" s="21">
        <v>44949</v>
      </c>
      <c r="W37" s="1">
        <v>6.4</v>
      </c>
      <c r="X37" s="1">
        <v>5.4359999999999999</v>
      </c>
      <c r="Y37" s="6">
        <f t="shared" si="53"/>
        <v>-4.7601611131453669E-3</v>
      </c>
      <c r="Z37" s="21">
        <v>44949</v>
      </c>
      <c r="AA37" s="1">
        <v>1.87</v>
      </c>
      <c r="AB37" s="1">
        <v>1.87</v>
      </c>
      <c r="AC37" s="6">
        <f t="shared" si="54"/>
        <v>-1.058201058201047E-2</v>
      </c>
      <c r="AD37" s="21">
        <v>44949</v>
      </c>
      <c r="AE37" s="1">
        <v>8.1</v>
      </c>
      <c r="AF37" s="1">
        <v>7.3262999999999998</v>
      </c>
      <c r="AG37" s="6">
        <f t="shared" si="55"/>
        <v>-1.22694368328502E-3</v>
      </c>
      <c r="AH37" s="21">
        <v>44949</v>
      </c>
      <c r="AI37" s="1">
        <v>8.59</v>
      </c>
      <c r="AJ37" s="1">
        <v>7.51</v>
      </c>
      <c r="AK37" s="6">
        <f t="shared" si="56"/>
        <v>-6.9290172432032726E-3</v>
      </c>
      <c r="AL37" s="21">
        <v>44949</v>
      </c>
      <c r="AM37" s="1">
        <v>1.74</v>
      </c>
      <c r="AN37" s="1">
        <v>1.6317999999999999</v>
      </c>
      <c r="AO37" s="6">
        <v>0</v>
      </c>
      <c r="AP37" s="21" t="s">
        <v>40</v>
      </c>
      <c r="AQ37" s="1">
        <v>8203.9699999999993</v>
      </c>
      <c r="AR37" s="6">
        <v>-5.3961457141195046E-3</v>
      </c>
    </row>
    <row r="38" spans="2:44" x14ac:dyDescent="0.35">
      <c r="B38" s="21">
        <v>44950</v>
      </c>
      <c r="C38" s="1">
        <v>0.66</v>
      </c>
      <c r="D38" s="1">
        <v>0.66</v>
      </c>
      <c r="E38" s="6">
        <f t="shared" si="48"/>
        <v>0</v>
      </c>
      <c r="F38" s="21">
        <v>44950</v>
      </c>
      <c r="G38" s="1">
        <v>22.25</v>
      </c>
      <c r="H38" s="1">
        <v>13.099600000000001</v>
      </c>
      <c r="I38" s="6">
        <f t="shared" si="49"/>
        <v>-2.2393175413206734E-3</v>
      </c>
      <c r="J38" s="21">
        <v>44950</v>
      </c>
      <c r="K38" s="1">
        <v>41.61</v>
      </c>
      <c r="L38" s="1">
        <v>25.014399999999998</v>
      </c>
      <c r="M38" s="6">
        <f t="shared" si="50"/>
        <v>7.5035947172759077E-3</v>
      </c>
      <c r="N38" s="21">
        <v>44950</v>
      </c>
      <c r="O38" s="1">
        <v>24.4</v>
      </c>
      <c r="P38" s="1">
        <v>21.4543</v>
      </c>
      <c r="Q38" s="6">
        <f t="shared" si="51"/>
        <v>0</v>
      </c>
      <c r="R38" s="21">
        <v>44950</v>
      </c>
      <c r="S38" s="1">
        <v>7.08</v>
      </c>
      <c r="T38" s="1">
        <v>6.2538</v>
      </c>
      <c r="U38" s="6">
        <f t="shared" si="52"/>
        <v>4.269970155226166E-2</v>
      </c>
      <c r="V38" s="21">
        <v>44950</v>
      </c>
      <c r="W38" s="1">
        <v>6.35</v>
      </c>
      <c r="X38" s="1">
        <v>5.3940000000000001</v>
      </c>
      <c r="Y38" s="6">
        <f t="shared" si="53"/>
        <v>-7.7262693156732176E-3</v>
      </c>
      <c r="Z38" s="21">
        <v>44950</v>
      </c>
      <c r="AA38" s="1">
        <v>1.85</v>
      </c>
      <c r="AB38" s="1">
        <v>1.85</v>
      </c>
      <c r="AC38" s="6">
        <f t="shared" si="54"/>
        <v>-1.0695187165775444E-2</v>
      </c>
      <c r="AD38" s="21">
        <v>44950</v>
      </c>
      <c r="AE38" s="1">
        <v>8</v>
      </c>
      <c r="AF38" s="1">
        <v>7.2358000000000002</v>
      </c>
      <c r="AG38" s="6">
        <f t="shared" si="55"/>
        <v>-1.2352756507377438E-2</v>
      </c>
      <c r="AH38" s="21">
        <v>44950</v>
      </c>
      <c r="AI38" s="1">
        <v>8.66</v>
      </c>
      <c r="AJ38" s="1">
        <v>7.5712000000000002</v>
      </c>
      <c r="AK38" s="6">
        <f t="shared" si="56"/>
        <v>8.1491344873503291E-3</v>
      </c>
      <c r="AL38" s="21">
        <v>44950</v>
      </c>
      <c r="AM38" s="1">
        <v>1.8</v>
      </c>
      <c r="AN38" s="1">
        <v>1.6879999999999999</v>
      </c>
      <c r="AO38" s="6">
        <v>3.4440495158720497E-2</v>
      </c>
      <c r="AP38" s="21" t="s">
        <v>41</v>
      </c>
      <c r="AQ38" s="1">
        <v>8235.56</v>
      </c>
      <c r="AR38" s="6">
        <v>3.8505747826966807E-3</v>
      </c>
    </row>
    <row r="39" spans="2:44" x14ac:dyDescent="0.35">
      <c r="B39" s="21">
        <v>44951</v>
      </c>
      <c r="C39" s="1">
        <v>0.67</v>
      </c>
      <c r="D39" s="1">
        <v>0.67</v>
      </c>
      <c r="E39" s="6">
        <f t="shared" si="48"/>
        <v>1.5151515151515138E-2</v>
      </c>
      <c r="F39" s="21">
        <v>44951</v>
      </c>
      <c r="G39" s="1">
        <v>22.19</v>
      </c>
      <c r="H39" s="1">
        <v>13.0642</v>
      </c>
      <c r="I39" s="6">
        <f t="shared" si="49"/>
        <v>-2.7023725915296115E-3</v>
      </c>
      <c r="J39" s="21">
        <v>44951</v>
      </c>
      <c r="K39" s="1">
        <v>41.54</v>
      </c>
      <c r="L39" s="1">
        <v>24.9724</v>
      </c>
      <c r="M39" s="6">
        <f t="shared" si="50"/>
        <v>-1.679032877062725E-3</v>
      </c>
      <c r="N39" s="21">
        <v>44951</v>
      </c>
      <c r="O39" s="1">
        <v>24</v>
      </c>
      <c r="P39" s="1">
        <v>21.102599999999999</v>
      </c>
      <c r="Q39" s="6">
        <f t="shared" si="51"/>
        <v>-1.6392984157022172E-2</v>
      </c>
      <c r="R39" s="21">
        <v>44951</v>
      </c>
      <c r="S39" s="1">
        <v>7.08</v>
      </c>
      <c r="T39" s="1">
        <v>6.2538</v>
      </c>
      <c r="U39" s="6">
        <f t="shared" si="52"/>
        <v>0</v>
      </c>
      <c r="V39" s="21">
        <v>44951</v>
      </c>
      <c r="W39" s="1">
        <v>6.38</v>
      </c>
      <c r="X39" s="1">
        <v>5.4189999999999996</v>
      </c>
      <c r="Y39" s="6">
        <f t="shared" si="53"/>
        <v>4.6347793845011864E-3</v>
      </c>
      <c r="Z39" s="21">
        <v>44951</v>
      </c>
      <c r="AA39" s="1">
        <v>1.86</v>
      </c>
      <c r="AB39" s="1">
        <v>1.86</v>
      </c>
      <c r="AC39" s="6">
        <f t="shared" si="54"/>
        <v>5.4054054054053502E-3</v>
      </c>
      <c r="AD39" s="21">
        <v>44951</v>
      </c>
      <c r="AE39" s="1">
        <v>7.82</v>
      </c>
      <c r="AF39" s="1">
        <v>7.0730000000000004</v>
      </c>
      <c r="AG39" s="6">
        <f t="shared" si="55"/>
        <v>-2.2499239890544254E-2</v>
      </c>
      <c r="AH39" s="21">
        <v>44951</v>
      </c>
      <c r="AI39" s="1">
        <v>8.64</v>
      </c>
      <c r="AJ39" s="1">
        <v>7.5537000000000001</v>
      </c>
      <c r="AK39" s="6">
        <f t="shared" si="56"/>
        <v>-2.3113905325443662E-3</v>
      </c>
      <c r="AL39" s="21">
        <v>44951</v>
      </c>
      <c r="AM39" s="1">
        <v>1.74</v>
      </c>
      <c r="AN39" s="1">
        <v>1.6317999999999999</v>
      </c>
      <c r="AO39" s="6">
        <v>-3.3293838862559211E-2</v>
      </c>
      <c r="AP39" s="21" t="s">
        <v>42</v>
      </c>
      <c r="AQ39" s="1">
        <v>8223.82</v>
      </c>
      <c r="AR39" s="6">
        <v>-1.4255254044654997E-3</v>
      </c>
    </row>
    <row r="40" spans="2:44" x14ac:dyDescent="0.35">
      <c r="B40" s="21">
        <v>44952</v>
      </c>
      <c r="C40" s="1">
        <v>0.69</v>
      </c>
      <c r="D40" s="1">
        <v>0.69</v>
      </c>
      <c r="E40" s="6">
        <f t="shared" si="48"/>
        <v>2.9850746268656581E-2</v>
      </c>
      <c r="F40" s="21">
        <v>44952</v>
      </c>
      <c r="G40" s="1">
        <v>22.19</v>
      </c>
      <c r="H40" s="1">
        <v>13.0642</v>
      </c>
      <c r="I40" s="6">
        <f t="shared" si="49"/>
        <v>0</v>
      </c>
      <c r="J40" s="21">
        <v>44952</v>
      </c>
      <c r="K40" s="1">
        <v>41</v>
      </c>
      <c r="L40" s="1">
        <v>24.6477</v>
      </c>
      <c r="M40" s="6">
        <f t="shared" si="50"/>
        <v>-1.300235459947785E-2</v>
      </c>
      <c r="N40" s="21">
        <v>44952</v>
      </c>
      <c r="O40" s="1">
        <v>24</v>
      </c>
      <c r="P40" s="1">
        <v>21.102599999999999</v>
      </c>
      <c r="Q40" s="6">
        <f t="shared" si="51"/>
        <v>0</v>
      </c>
      <c r="R40" s="21">
        <v>44952</v>
      </c>
      <c r="S40" s="1">
        <v>7.09</v>
      </c>
      <c r="T40" s="1">
        <v>6.2625999999999999</v>
      </c>
      <c r="U40" s="6">
        <f t="shared" si="52"/>
        <v>1.4071444561707391E-3</v>
      </c>
      <c r="V40" s="21">
        <v>44952</v>
      </c>
      <c r="W40" s="1">
        <v>6.27</v>
      </c>
      <c r="X40" s="1">
        <v>5.3259999999999996</v>
      </c>
      <c r="Y40" s="6">
        <f t="shared" si="53"/>
        <v>-1.7161837977486605E-2</v>
      </c>
      <c r="Z40" s="21">
        <v>44952</v>
      </c>
      <c r="AA40" s="1">
        <v>1.86</v>
      </c>
      <c r="AB40" s="1">
        <v>1.86</v>
      </c>
      <c r="AC40" s="6">
        <f t="shared" si="54"/>
        <v>0</v>
      </c>
      <c r="AD40" s="21">
        <v>44952</v>
      </c>
      <c r="AE40" s="1">
        <v>7.8</v>
      </c>
      <c r="AF40" s="1">
        <v>7.0548999999999999</v>
      </c>
      <c r="AG40" s="6">
        <f t="shared" si="55"/>
        <v>-2.5590272868656339E-3</v>
      </c>
      <c r="AH40" s="21">
        <v>44952</v>
      </c>
      <c r="AI40" s="1">
        <v>8.6</v>
      </c>
      <c r="AJ40" s="1">
        <v>7.5186999999999999</v>
      </c>
      <c r="AK40" s="6">
        <f t="shared" si="56"/>
        <v>-4.6334908720230272E-3</v>
      </c>
      <c r="AL40" s="21">
        <v>44952</v>
      </c>
      <c r="AM40" s="1">
        <v>1.8</v>
      </c>
      <c r="AN40" s="1">
        <v>1.6879999999999999</v>
      </c>
      <c r="AO40" s="6">
        <v>3.4440495158720497E-2</v>
      </c>
      <c r="AP40" s="21" t="s">
        <v>43</v>
      </c>
      <c r="AQ40" s="1">
        <v>8271.98</v>
      </c>
      <c r="AR40" s="6">
        <v>5.8561593030974635E-3</v>
      </c>
    </row>
    <row r="41" spans="2:44" x14ac:dyDescent="0.35">
      <c r="B41" s="21">
        <v>44953</v>
      </c>
      <c r="C41" s="1">
        <v>0.72</v>
      </c>
      <c r="D41" s="1">
        <v>0.72</v>
      </c>
      <c r="E41" s="6">
        <f t="shared" si="48"/>
        <v>4.3478260869565188E-2</v>
      </c>
      <c r="F41" s="21">
        <v>44953</v>
      </c>
      <c r="G41" s="1">
        <v>22.18</v>
      </c>
      <c r="H41" s="1">
        <v>13.058400000000001</v>
      </c>
      <c r="I41" s="6">
        <f t="shared" si="49"/>
        <v>-4.4396136005253606E-4</v>
      </c>
      <c r="J41" s="21">
        <v>44953</v>
      </c>
      <c r="K41" s="1">
        <v>41</v>
      </c>
      <c r="L41" s="1">
        <v>24.6477</v>
      </c>
      <c r="M41" s="6">
        <f t="shared" si="50"/>
        <v>0</v>
      </c>
      <c r="N41" s="21">
        <v>44953</v>
      </c>
      <c r="O41" s="1">
        <v>24.39</v>
      </c>
      <c r="P41" s="1">
        <v>21.445499999999999</v>
      </c>
      <c r="Q41" s="6">
        <f t="shared" si="51"/>
        <v>1.6249182565181597E-2</v>
      </c>
      <c r="R41" s="21">
        <v>44953</v>
      </c>
      <c r="S41" s="1">
        <v>7.02</v>
      </c>
      <c r="T41" s="1">
        <v>6.2008000000000001</v>
      </c>
      <c r="U41" s="6">
        <f t="shared" si="52"/>
        <v>-9.8681058985086167E-3</v>
      </c>
      <c r="V41" s="21">
        <v>44953</v>
      </c>
      <c r="W41" s="1">
        <v>6.3</v>
      </c>
      <c r="X41" s="1">
        <v>5.351</v>
      </c>
      <c r="Y41" s="6">
        <f t="shared" si="53"/>
        <v>4.6939541870072432E-3</v>
      </c>
      <c r="Z41" s="21">
        <v>44953</v>
      </c>
      <c r="AA41" s="1">
        <v>1.88</v>
      </c>
      <c r="AB41" s="1">
        <v>1.88</v>
      </c>
      <c r="AC41" s="6">
        <f t="shared" si="54"/>
        <v>1.0752688172043001E-2</v>
      </c>
      <c r="AD41" s="21">
        <v>44953</v>
      </c>
      <c r="AE41" s="1">
        <v>7.8</v>
      </c>
      <c r="AF41" s="1">
        <v>7.0548999999999999</v>
      </c>
      <c r="AG41" s="6">
        <f t="shared" si="55"/>
        <v>0</v>
      </c>
      <c r="AH41" s="21">
        <v>44953</v>
      </c>
      <c r="AI41" s="1">
        <v>8.6</v>
      </c>
      <c r="AJ41" s="1">
        <v>7.5186999999999999</v>
      </c>
      <c r="AK41" s="6">
        <f t="shared" si="56"/>
        <v>0</v>
      </c>
      <c r="AL41" s="21">
        <v>44953</v>
      </c>
      <c r="AM41" s="1">
        <v>1.88</v>
      </c>
      <c r="AN41" s="1">
        <v>1.7630999999999999</v>
      </c>
      <c r="AO41" s="6">
        <v>4.4490521327014143E-2</v>
      </c>
      <c r="AP41" s="21" t="s">
        <v>44</v>
      </c>
      <c r="AQ41" s="1">
        <v>8350.48</v>
      </c>
      <c r="AR41" s="6">
        <v>9.4898682056774319E-3</v>
      </c>
    </row>
    <row r="42" spans="2:44" x14ac:dyDescent="0.35">
      <c r="B42" s="21">
        <v>44956</v>
      </c>
      <c r="C42" s="1">
        <v>0.7</v>
      </c>
      <c r="D42" s="1">
        <v>0.7</v>
      </c>
      <c r="E42" s="6">
        <f t="shared" si="48"/>
        <v>-2.777777777777779E-2</v>
      </c>
      <c r="F42" s="21">
        <v>44956</v>
      </c>
      <c r="G42" s="1">
        <v>21.8</v>
      </c>
      <c r="H42" s="1">
        <v>12.8346</v>
      </c>
      <c r="I42" s="6">
        <f t="shared" si="49"/>
        <v>-1.7138393677632813E-2</v>
      </c>
      <c r="J42" s="21">
        <v>44956</v>
      </c>
      <c r="K42" s="1">
        <v>40.299999999999997</v>
      </c>
      <c r="L42" s="1">
        <v>24.226900000000001</v>
      </c>
      <c r="M42" s="6">
        <f t="shared" si="50"/>
        <v>-1.7072586894517516E-2</v>
      </c>
      <c r="N42" s="21">
        <v>44956</v>
      </c>
      <c r="O42" s="1">
        <v>24.3</v>
      </c>
      <c r="P42" s="1">
        <v>21.366399999999999</v>
      </c>
      <c r="Q42" s="6">
        <f t="shared" si="51"/>
        <v>-3.6884194819426508E-3</v>
      </c>
      <c r="R42" s="21">
        <v>44956</v>
      </c>
      <c r="S42" s="1">
        <v>7.15</v>
      </c>
      <c r="T42" s="1">
        <v>6.3155999999999999</v>
      </c>
      <c r="U42" s="6">
        <f t="shared" si="52"/>
        <v>1.8513740162559689E-2</v>
      </c>
      <c r="V42" s="21">
        <v>44956</v>
      </c>
      <c r="W42" s="1">
        <v>6.36</v>
      </c>
      <c r="X42" s="1">
        <v>5.4020000000000001</v>
      </c>
      <c r="Y42" s="6">
        <f t="shared" si="53"/>
        <v>9.5309287983553759E-3</v>
      </c>
      <c r="Z42" s="21">
        <v>44956</v>
      </c>
      <c r="AA42" s="1">
        <v>1.87</v>
      </c>
      <c r="AB42" s="1">
        <v>1.87</v>
      </c>
      <c r="AC42" s="6">
        <f t="shared" si="54"/>
        <v>-5.3191489361701372E-3</v>
      </c>
      <c r="AD42" s="21">
        <v>44956</v>
      </c>
      <c r="AE42" s="1">
        <v>7.78</v>
      </c>
      <c r="AF42" s="1">
        <v>7.0368000000000004</v>
      </c>
      <c r="AG42" s="6">
        <f t="shared" si="55"/>
        <v>-2.5655927086137842E-3</v>
      </c>
      <c r="AH42" s="21">
        <v>44956</v>
      </c>
      <c r="AI42" s="1">
        <v>8.59</v>
      </c>
      <c r="AJ42" s="1">
        <v>7.51</v>
      </c>
      <c r="AK42" s="6">
        <f t="shared" si="56"/>
        <v>-1.1571149267826097E-3</v>
      </c>
      <c r="AL42" s="21">
        <v>44956</v>
      </c>
      <c r="AM42" s="1">
        <v>1.9</v>
      </c>
      <c r="AN42" s="1">
        <v>1.7818000000000001</v>
      </c>
      <c r="AO42" s="6">
        <v>1.0606318416425786E-2</v>
      </c>
      <c r="AP42" s="21" t="s">
        <v>45</v>
      </c>
      <c r="AQ42" s="1">
        <v>8315.26</v>
      </c>
      <c r="AR42" s="6">
        <v>-4.2177216160028674E-3</v>
      </c>
    </row>
    <row r="43" spans="2:44" x14ac:dyDescent="0.35">
      <c r="B43" s="21">
        <v>44957</v>
      </c>
      <c r="C43" s="1">
        <v>0.69</v>
      </c>
      <c r="D43" s="1">
        <v>0.69</v>
      </c>
      <c r="E43" s="6">
        <f t="shared" si="48"/>
        <v>-1.4285714285714346E-2</v>
      </c>
      <c r="F43" s="21">
        <v>44957</v>
      </c>
      <c r="G43" s="1">
        <v>21.6</v>
      </c>
      <c r="H43" s="1">
        <v>12.716900000000001</v>
      </c>
      <c r="I43" s="6">
        <f t="shared" si="49"/>
        <v>-9.1705234288562698E-3</v>
      </c>
      <c r="J43" s="21">
        <v>44957</v>
      </c>
      <c r="K43" s="1">
        <v>40.29</v>
      </c>
      <c r="L43" s="1">
        <v>24.2209</v>
      </c>
      <c r="M43" s="6">
        <f t="shared" si="50"/>
        <v>-2.4765859437236859E-4</v>
      </c>
      <c r="N43" s="21">
        <v>44957</v>
      </c>
      <c r="O43" s="1">
        <v>24.11</v>
      </c>
      <c r="P43" s="1">
        <v>21.199300000000001</v>
      </c>
      <c r="Q43" s="6">
        <f t="shared" si="51"/>
        <v>-7.8206904298336877E-3</v>
      </c>
      <c r="R43" s="21">
        <v>44957</v>
      </c>
      <c r="S43" s="1">
        <v>7.14</v>
      </c>
      <c r="T43" s="1">
        <v>6.3068</v>
      </c>
      <c r="U43" s="6">
        <f t="shared" si="52"/>
        <v>-1.3933751345873713E-3</v>
      </c>
      <c r="V43" s="21">
        <v>44957</v>
      </c>
      <c r="W43" s="1">
        <v>6.39</v>
      </c>
      <c r="X43" s="1">
        <v>5.4279999999999999</v>
      </c>
      <c r="Y43" s="6">
        <f t="shared" si="53"/>
        <v>4.8130322102923895E-3</v>
      </c>
      <c r="Z43" s="21">
        <v>44957</v>
      </c>
      <c r="AA43" s="1">
        <v>1.86</v>
      </c>
      <c r="AB43" s="1">
        <v>1.86</v>
      </c>
      <c r="AC43" s="6">
        <f t="shared" si="54"/>
        <v>-5.3475935828877219E-3</v>
      </c>
      <c r="AD43" s="21">
        <v>44957</v>
      </c>
      <c r="AE43" s="1">
        <v>7.78</v>
      </c>
      <c r="AF43" s="1">
        <v>7.0368000000000004</v>
      </c>
      <c r="AG43" s="6">
        <f t="shared" si="55"/>
        <v>0</v>
      </c>
      <c r="AH43" s="21">
        <v>44957</v>
      </c>
      <c r="AI43" s="1">
        <v>8.52</v>
      </c>
      <c r="AJ43" s="1">
        <v>7.4488000000000003</v>
      </c>
      <c r="AK43" s="6">
        <f t="shared" si="56"/>
        <v>-8.149134487350107E-3</v>
      </c>
      <c r="AL43" s="21">
        <v>44957</v>
      </c>
      <c r="AM43" s="1">
        <v>1.92</v>
      </c>
      <c r="AN43" s="1">
        <v>1.8006</v>
      </c>
      <c r="AO43" s="6">
        <v>1.0551128072735505E-2</v>
      </c>
      <c r="AP43" s="21" t="s">
        <v>46</v>
      </c>
      <c r="AQ43" s="1">
        <v>8277.33</v>
      </c>
      <c r="AR43" s="6">
        <v>-4.5614929659445469E-3</v>
      </c>
    </row>
    <row r="44" spans="2:44" x14ac:dyDescent="0.35">
      <c r="B44" s="21">
        <v>44958</v>
      </c>
      <c r="C44" s="1">
        <v>0.67</v>
      </c>
      <c r="D44" s="1">
        <v>0.67</v>
      </c>
      <c r="E44" s="6">
        <f t="shared" si="48"/>
        <v>-2.8985507246376718E-2</v>
      </c>
      <c r="F44" s="21">
        <v>44958</v>
      </c>
      <c r="G44" s="1">
        <v>21.6</v>
      </c>
      <c r="H44" s="1">
        <v>12.716900000000001</v>
      </c>
      <c r="I44" s="6">
        <f t="shared" si="49"/>
        <v>0</v>
      </c>
      <c r="J44" s="21">
        <v>44958</v>
      </c>
      <c r="K44" s="1">
        <v>40.5</v>
      </c>
      <c r="L44" s="1">
        <v>24.347200000000001</v>
      </c>
      <c r="M44" s="6">
        <f t="shared" si="50"/>
        <v>5.2145048284746309E-3</v>
      </c>
      <c r="N44" s="21">
        <v>44958</v>
      </c>
      <c r="O44" s="1">
        <v>24.25</v>
      </c>
      <c r="P44" s="1">
        <v>21.322399999999998</v>
      </c>
      <c r="Q44" s="6">
        <f t="shared" si="51"/>
        <v>5.8067955073985988E-3</v>
      </c>
      <c r="R44" s="21">
        <v>44958</v>
      </c>
      <c r="S44" s="1">
        <v>7.14</v>
      </c>
      <c r="T44" s="1">
        <v>6.3068</v>
      </c>
      <c r="U44" s="6">
        <f t="shared" si="52"/>
        <v>0</v>
      </c>
      <c r="V44" s="21">
        <v>44958</v>
      </c>
      <c r="W44" s="1">
        <v>6.39</v>
      </c>
      <c r="X44" s="1">
        <v>5.4279999999999999</v>
      </c>
      <c r="Y44" s="6">
        <f t="shared" si="53"/>
        <v>0</v>
      </c>
      <c r="Z44" s="21">
        <v>44958</v>
      </c>
      <c r="AA44" s="1">
        <v>1.85</v>
      </c>
      <c r="AB44" s="1">
        <v>1.85</v>
      </c>
      <c r="AC44" s="6">
        <f t="shared" si="54"/>
        <v>-5.3763440860215006E-3</v>
      </c>
      <c r="AD44" s="21">
        <v>44958</v>
      </c>
      <c r="AE44" s="1">
        <v>7.78</v>
      </c>
      <c r="AF44" s="1">
        <v>7.0368000000000004</v>
      </c>
      <c r="AG44" s="6">
        <f t="shared" si="55"/>
        <v>0</v>
      </c>
      <c r="AH44" s="21">
        <v>44958</v>
      </c>
      <c r="AI44" s="1">
        <v>8.5500000000000007</v>
      </c>
      <c r="AJ44" s="1">
        <v>7.4749999999999996</v>
      </c>
      <c r="AK44" s="6">
        <f t="shared" si="56"/>
        <v>3.5173450757168823E-3</v>
      </c>
      <c r="AL44" s="21">
        <v>44958</v>
      </c>
      <c r="AM44" s="1">
        <v>1.92</v>
      </c>
      <c r="AN44" s="1">
        <v>1.8006</v>
      </c>
      <c r="AO44" s="6">
        <v>0</v>
      </c>
      <c r="AP44" s="21" t="s">
        <v>47</v>
      </c>
      <c r="AQ44" s="1">
        <v>8240.43</v>
      </c>
      <c r="AR44" s="6">
        <v>-4.4579592694745651E-3</v>
      </c>
    </row>
    <row r="45" spans="2:44" x14ac:dyDescent="0.35">
      <c r="B45" s="21">
        <v>44959</v>
      </c>
      <c r="C45" s="1">
        <v>0.65</v>
      </c>
      <c r="D45" s="1">
        <v>0.65</v>
      </c>
      <c r="E45" s="6">
        <f t="shared" si="48"/>
        <v>-2.9850746268656692E-2</v>
      </c>
      <c r="F45" s="21">
        <v>44959</v>
      </c>
      <c r="G45" s="1">
        <v>21.5</v>
      </c>
      <c r="H45" s="1">
        <v>12.657999999999999</v>
      </c>
      <c r="I45" s="6">
        <f t="shared" si="49"/>
        <v>-4.6316319228744129E-3</v>
      </c>
      <c r="J45" s="21">
        <v>44959</v>
      </c>
      <c r="K45" s="1">
        <v>40.1</v>
      </c>
      <c r="L45" s="1">
        <v>24.1067</v>
      </c>
      <c r="M45" s="6">
        <f t="shared" si="50"/>
        <v>-9.8779325754091429E-3</v>
      </c>
      <c r="N45" s="21">
        <v>44959</v>
      </c>
      <c r="O45" s="1">
        <v>24.14</v>
      </c>
      <c r="P45" s="1">
        <v>21.2257</v>
      </c>
      <c r="Q45" s="6">
        <f t="shared" si="51"/>
        <v>-4.5351367575882096E-3</v>
      </c>
      <c r="R45" s="21">
        <v>44959</v>
      </c>
      <c r="S45" s="1">
        <v>7.13</v>
      </c>
      <c r="T45" s="1">
        <v>6.298</v>
      </c>
      <c r="U45" s="6">
        <f t="shared" si="52"/>
        <v>-1.3953193378575257E-3</v>
      </c>
      <c r="V45" s="21">
        <v>44959</v>
      </c>
      <c r="W45" s="1">
        <v>6.39</v>
      </c>
      <c r="X45" s="1">
        <v>5.4279999999999999</v>
      </c>
      <c r="Y45" s="6">
        <f t="shared" si="53"/>
        <v>0</v>
      </c>
      <c r="Z45" s="21">
        <v>44959</v>
      </c>
      <c r="AA45" s="1">
        <v>1.86</v>
      </c>
      <c r="AB45" s="1">
        <v>1.86</v>
      </c>
      <c r="AC45" s="6">
        <f t="shared" si="54"/>
        <v>5.4054054054053502E-3</v>
      </c>
      <c r="AD45" s="21">
        <v>44959</v>
      </c>
      <c r="AE45" s="1">
        <v>7.75</v>
      </c>
      <c r="AF45" s="1">
        <v>7.0096999999999996</v>
      </c>
      <c r="AG45" s="6">
        <f t="shared" si="55"/>
        <v>-3.8511823556163227E-3</v>
      </c>
      <c r="AH45" s="21">
        <v>44959</v>
      </c>
      <c r="AI45" s="1">
        <v>8.49</v>
      </c>
      <c r="AJ45" s="1">
        <v>7.4226000000000001</v>
      </c>
      <c r="AK45" s="6">
        <f t="shared" si="56"/>
        <v>-7.0100334448159884E-3</v>
      </c>
      <c r="AL45" s="21">
        <v>44959</v>
      </c>
      <c r="AM45" s="1">
        <v>1.92</v>
      </c>
      <c r="AN45" s="1">
        <v>1.8006</v>
      </c>
      <c r="AO45" s="6">
        <v>0</v>
      </c>
      <c r="AP45" s="21" t="s">
        <v>48</v>
      </c>
      <c r="AQ45" s="1">
        <v>8188.49</v>
      </c>
      <c r="AR45" s="6">
        <v>-6.3030691359553526E-3</v>
      </c>
    </row>
    <row r="46" spans="2:44" x14ac:dyDescent="0.35">
      <c r="B46" s="21">
        <v>44960</v>
      </c>
      <c r="C46" s="1">
        <v>0.64</v>
      </c>
      <c r="D46" s="1">
        <v>0.64</v>
      </c>
      <c r="E46" s="6">
        <f t="shared" si="48"/>
        <v>-1.5384615384615441E-2</v>
      </c>
      <c r="F46" s="21">
        <v>44960</v>
      </c>
      <c r="G46" s="1">
        <v>21.5</v>
      </c>
      <c r="H46" s="1">
        <v>12.657999999999999</v>
      </c>
      <c r="I46" s="6">
        <f t="shared" si="49"/>
        <v>0</v>
      </c>
      <c r="J46" s="21">
        <v>44960</v>
      </c>
      <c r="K46" s="1">
        <v>40.5</v>
      </c>
      <c r="L46" s="1">
        <v>24.347200000000001</v>
      </c>
      <c r="M46" s="6">
        <f t="shared" si="50"/>
        <v>9.9764795679209151E-3</v>
      </c>
      <c r="N46" s="21">
        <v>44960</v>
      </c>
      <c r="O46" s="1">
        <v>25.15</v>
      </c>
      <c r="P46" s="1">
        <v>22.113700000000001</v>
      </c>
      <c r="Q46" s="6">
        <f t="shared" si="51"/>
        <v>4.1836076077585327E-2</v>
      </c>
      <c r="R46" s="21">
        <v>44960</v>
      </c>
      <c r="S46" s="1">
        <v>7.38</v>
      </c>
      <c r="T46" s="1">
        <v>6.5187999999999997</v>
      </c>
      <c r="U46" s="6">
        <f t="shared" si="52"/>
        <v>3.5058748809145612E-2</v>
      </c>
      <c r="V46" s="21">
        <v>44960</v>
      </c>
      <c r="W46" s="1">
        <v>6.39</v>
      </c>
      <c r="X46" s="1">
        <v>5.4279999999999999</v>
      </c>
      <c r="Y46" s="6">
        <f t="shared" si="53"/>
        <v>0</v>
      </c>
      <c r="Z46" s="21">
        <v>44960</v>
      </c>
      <c r="AA46" s="1">
        <v>1.85</v>
      </c>
      <c r="AB46" s="1">
        <v>1.85</v>
      </c>
      <c r="AC46" s="6">
        <f t="shared" si="54"/>
        <v>-5.3763440860215006E-3</v>
      </c>
      <c r="AD46" s="21">
        <v>44960</v>
      </c>
      <c r="AE46" s="1">
        <v>7.96</v>
      </c>
      <c r="AF46" s="1">
        <v>7.1996000000000002</v>
      </c>
      <c r="AG46" s="6">
        <f t="shared" si="55"/>
        <v>2.7091030999900179E-2</v>
      </c>
      <c r="AH46" s="21">
        <v>44960</v>
      </c>
      <c r="AI46" s="1">
        <v>8.44</v>
      </c>
      <c r="AJ46" s="1">
        <v>7.3788999999999998</v>
      </c>
      <c r="AK46" s="6">
        <f t="shared" si="56"/>
        <v>-5.8874248915474769E-3</v>
      </c>
      <c r="AL46" s="21">
        <v>44960</v>
      </c>
      <c r="AM46" s="1">
        <v>1.92</v>
      </c>
      <c r="AN46" s="1">
        <v>1.8006</v>
      </c>
      <c r="AO46" s="6">
        <v>0</v>
      </c>
      <c r="AP46" s="21" t="s">
        <v>49</v>
      </c>
      <c r="AQ46" s="1">
        <v>8220.06</v>
      </c>
      <c r="AR46" s="6">
        <v>3.8554116815188166E-3</v>
      </c>
    </row>
    <row r="47" spans="2:44" x14ac:dyDescent="0.35">
      <c r="B47" s="21">
        <v>44963</v>
      </c>
      <c r="C47" s="1">
        <v>0.61</v>
      </c>
      <c r="D47" s="1">
        <v>0.61</v>
      </c>
      <c r="E47" s="6">
        <f t="shared" si="48"/>
        <v>-4.6875E-2</v>
      </c>
      <c r="F47" s="21">
        <v>44963</v>
      </c>
      <c r="G47" s="1">
        <v>21.5</v>
      </c>
      <c r="H47" s="1">
        <v>12.657999999999999</v>
      </c>
      <c r="I47" s="6">
        <f t="shared" si="49"/>
        <v>0</v>
      </c>
      <c r="J47" s="21">
        <v>44963</v>
      </c>
      <c r="K47" s="1">
        <v>40.64</v>
      </c>
      <c r="L47" s="1">
        <v>24.4313</v>
      </c>
      <c r="M47" s="6">
        <f t="shared" si="50"/>
        <v>3.4541959650391529E-3</v>
      </c>
      <c r="N47" s="21">
        <v>44963</v>
      </c>
      <c r="O47" s="1">
        <v>26.65</v>
      </c>
      <c r="P47" s="1">
        <v>23.432700000000001</v>
      </c>
      <c r="Q47" s="6">
        <f t="shared" si="51"/>
        <v>5.9646282621180546E-2</v>
      </c>
      <c r="R47" s="21">
        <v>44963</v>
      </c>
      <c r="S47" s="1">
        <v>7.37</v>
      </c>
      <c r="T47" s="1">
        <v>6.51</v>
      </c>
      <c r="U47" s="6">
        <f t="shared" si="52"/>
        <v>-1.3499417070625963E-3</v>
      </c>
      <c r="V47" s="21">
        <v>44963</v>
      </c>
      <c r="W47" s="1">
        <v>6.35</v>
      </c>
      <c r="X47" s="1">
        <v>5.3940000000000001</v>
      </c>
      <c r="Y47" s="6">
        <f t="shared" si="53"/>
        <v>-6.2638172439203332E-3</v>
      </c>
      <c r="Z47" s="21">
        <v>44963</v>
      </c>
      <c r="AA47" s="1">
        <v>1.86</v>
      </c>
      <c r="AB47" s="1">
        <v>1.86</v>
      </c>
      <c r="AC47" s="6">
        <f t="shared" si="54"/>
        <v>5.4054054054053502E-3</v>
      </c>
      <c r="AD47" s="21">
        <v>44963</v>
      </c>
      <c r="AE47" s="1">
        <v>7.95</v>
      </c>
      <c r="AF47" s="1">
        <v>7.1905999999999999</v>
      </c>
      <c r="AG47" s="6">
        <f t="shared" si="55"/>
        <v>-1.2500694483027486E-3</v>
      </c>
      <c r="AH47" s="21">
        <v>44963</v>
      </c>
      <c r="AI47" s="1">
        <v>8.35</v>
      </c>
      <c r="AJ47" s="1">
        <v>7.3002000000000002</v>
      </c>
      <c r="AK47" s="6">
        <f t="shared" si="56"/>
        <v>-1.0665546355147715E-2</v>
      </c>
      <c r="AL47" s="21">
        <v>44963</v>
      </c>
      <c r="AM47" s="1">
        <v>1.93</v>
      </c>
      <c r="AN47" s="1">
        <v>1.81</v>
      </c>
      <c r="AO47" s="6">
        <v>5.2204820615351366E-3</v>
      </c>
      <c r="AP47" s="21" t="s">
        <v>50</v>
      </c>
      <c r="AQ47" s="1">
        <v>8205.25</v>
      </c>
      <c r="AR47" s="6">
        <v>-1.8016900119950385E-3</v>
      </c>
    </row>
    <row r="48" spans="2:44" x14ac:dyDescent="0.35">
      <c r="B48" s="21">
        <v>44964</v>
      </c>
      <c r="C48" s="1">
        <v>0.64</v>
      </c>
      <c r="D48" s="1">
        <v>0.64</v>
      </c>
      <c r="E48" s="6">
        <f t="shared" si="48"/>
        <v>4.9180327868852514E-2</v>
      </c>
      <c r="F48" s="21">
        <v>44964</v>
      </c>
      <c r="G48" s="1">
        <v>21.5</v>
      </c>
      <c r="H48" s="1">
        <v>12.657999999999999</v>
      </c>
      <c r="I48" s="6">
        <f t="shared" si="49"/>
        <v>0</v>
      </c>
      <c r="J48" s="21">
        <v>44964</v>
      </c>
      <c r="K48" s="1">
        <v>40.200000000000003</v>
      </c>
      <c r="L48" s="1">
        <v>24.166799999999999</v>
      </c>
      <c r="M48" s="6">
        <f t="shared" si="50"/>
        <v>-1.0826276129391466E-2</v>
      </c>
      <c r="N48" s="21">
        <v>44964</v>
      </c>
      <c r="O48" s="1">
        <v>27</v>
      </c>
      <c r="P48" s="1">
        <v>23.740400000000001</v>
      </c>
      <c r="Q48" s="6">
        <f t="shared" si="51"/>
        <v>1.313122260772337E-2</v>
      </c>
      <c r="R48" s="21">
        <v>44964</v>
      </c>
      <c r="S48" s="1">
        <v>7.34</v>
      </c>
      <c r="T48" s="1">
        <v>6.4835000000000003</v>
      </c>
      <c r="U48" s="6">
        <f t="shared" si="52"/>
        <v>-4.0706605222733394E-3</v>
      </c>
      <c r="V48" s="21">
        <v>44964</v>
      </c>
      <c r="W48" s="1">
        <v>6.34</v>
      </c>
      <c r="X48" s="1">
        <v>5.3849999999999998</v>
      </c>
      <c r="Y48" s="6">
        <f t="shared" si="53"/>
        <v>-1.6685205784204848E-3</v>
      </c>
      <c r="Z48" s="21">
        <v>44964</v>
      </c>
      <c r="AA48" s="1">
        <v>1.86</v>
      </c>
      <c r="AB48" s="1">
        <v>1.86</v>
      </c>
      <c r="AC48" s="6">
        <f t="shared" si="54"/>
        <v>0</v>
      </c>
      <c r="AD48" s="21">
        <v>44964</v>
      </c>
      <c r="AE48" s="1">
        <v>7.92</v>
      </c>
      <c r="AF48" s="1">
        <v>7.1634000000000002</v>
      </c>
      <c r="AG48" s="6">
        <f t="shared" si="55"/>
        <v>-3.7827163240897743E-3</v>
      </c>
      <c r="AH48" s="21">
        <v>44964</v>
      </c>
      <c r="AI48" s="1">
        <v>8.5500000000000007</v>
      </c>
      <c r="AJ48" s="1">
        <v>7.4749999999999996</v>
      </c>
      <c r="AK48" s="6">
        <f t="shared" si="56"/>
        <v>2.3944549464398168E-2</v>
      </c>
      <c r="AL48" s="21">
        <v>44964</v>
      </c>
      <c r="AM48" s="1">
        <v>1.93</v>
      </c>
      <c r="AN48" s="1">
        <v>1.81</v>
      </c>
      <c r="AO48" s="6">
        <v>0</v>
      </c>
      <c r="AP48" s="21" t="s">
        <v>51</v>
      </c>
      <c r="AQ48" s="1">
        <v>8178.37</v>
      </c>
      <c r="AR48" s="6">
        <v>-3.2759513725968414E-3</v>
      </c>
    </row>
    <row r="49" spans="2:44" x14ac:dyDescent="0.35">
      <c r="B49" s="21">
        <v>44965</v>
      </c>
      <c r="C49" s="1">
        <v>0.64</v>
      </c>
      <c r="D49" s="1">
        <v>0.64</v>
      </c>
      <c r="E49" s="6">
        <f t="shared" si="48"/>
        <v>0</v>
      </c>
      <c r="F49" s="21">
        <v>44965</v>
      </c>
      <c r="G49" s="1">
        <v>21.2</v>
      </c>
      <c r="H49" s="1">
        <v>12.481400000000001</v>
      </c>
      <c r="I49" s="6">
        <f t="shared" si="49"/>
        <v>-1.3951651129720188E-2</v>
      </c>
      <c r="J49" s="21">
        <v>44965</v>
      </c>
      <c r="K49" s="1">
        <v>40.14</v>
      </c>
      <c r="L49" s="1">
        <v>24.130700000000001</v>
      </c>
      <c r="M49" s="6">
        <f t="shared" si="50"/>
        <v>-1.4937848618765681E-3</v>
      </c>
      <c r="N49" s="21">
        <v>44965</v>
      </c>
      <c r="O49" s="1">
        <v>26.67</v>
      </c>
      <c r="P49" s="1">
        <v>23.450199999999999</v>
      </c>
      <c r="Q49" s="6">
        <f t="shared" si="51"/>
        <v>-1.222388839278199E-2</v>
      </c>
      <c r="R49" s="21">
        <v>44965</v>
      </c>
      <c r="S49" s="1">
        <v>7.33</v>
      </c>
      <c r="T49" s="1">
        <v>6.4745999999999997</v>
      </c>
      <c r="U49" s="6">
        <f t="shared" si="52"/>
        <v>-1.3727153543611204E-3</v>
      </c>
      <c r="V49" s="21">
        <v>44965</v>
      </c>
      <c r="W49" s="1">
        <v>6.24</v>
      </c>
      <c r="X49" s="1">
        <v>5.3</v>
      </c>
      <c r="Y49" s="6">
        <f t="shared" si="53"/>
        <v>-1.578458681522743E-2</v>
      </c>
      <c r="Z49" s="21">
        <v>44965</v>
      </c>
      <c r="AA49" s="1">
        <v>1.84</v>
      </c>
      <c r="AB49" s="1">
        <v>1.84</v>
      </c>
      <c r="AC49" s="6">
        <f t="shared" si="54"/>
        <v>-1.0752688172043001E-2</v>
      </c>
      <c r="AD49" s="21">
        <v>44965</v>
      </c>
      <c r="AE49" s="1">
        <v>7.95</v>
      </c>
      <c r="AF49" s="1">
        <v>7.1905999999999999</v>
      </c>
      <c r="AG49" s="6">
        <f t="shared" si="55"/>
        <v>3.7970795990729389E-3</v>
      </c>
      <c r="AH49" s="21">
        <v>44965</v>
      </c>
      <c r="AI49" s="1">
        <v>8.5500000000000007</v>
      </c>
      <c r="AJ49" s="1">
        <v>7.4749999999999996</v>
      </c>
      <c r="AK49" s="6">
        <f t="shared" si="56"/>
        <v>0</v>
      </c>
      <c r="AL49" s="21">
        <v>44965</v>
      </c>
      <c r="AM49" s="1">
        <v>1.92</v>
      </c>
      <c r="AN49" s="1">
        <v>1.8006</v>
      </c>
      <c r="AO49" s="6">
        <v>-5.1933701657459475E-3</v>
      </c>
      <c r="AP49" s="21" t="s">
        <v>52</v>
      </c>
      <c r="AQ49" s="1">
        <v>8120.12</v>
      </c>
      <c r="AR49" s="6">
        <v>-7.1224461598093924E-3</v>
      </c>
    </row>
    <row r="50" spans="2:44" x14ac:dyDescent="0.35">
      <c r="B50" s="21">
        <v>44966</v>
      </c>
      <c r="C50" s="1">
        <v>0.64</v>
      </c>
      <c r="D50" s="1">
        <v>0.64</v>
      </c>
      <c r="E50" s="6">
        <f t="shared" si="48"/>
        <v>0</v>
      </c>
      <c r="F50" s="21">
        <v>44966</v>
      </c>
      <c r="G50" s="1">
        <v>21.2</v>
      </c>
      <c r="H50" s="1">
        <v>12.481400000000001</v>
      </c>
      <c r="I50" s="6">
        <f t="shared" si="49"/>
        <v>0</v>
      </c>
      <c r="J50" s="21">
        <v>44966</v>
      </c>
      <c r="K50" s="1">
        <v>39.99</v>
      </c>
      <c r="L50" s="1">
        <v>24.040600000000001</v>
      </c>
      <c r="M50" s="6">
        <f t="shared" si="50"/>
        <v>-3.733832835350781E-3</v>
      </c>
      <c r="N50" s="21">
        <v>44966</v>
      </c>
      <c r="O50" s="1">
        <v>26</v>
      </c>
      <c r="P50" s="1">
        <v>22.8611</v>
      </c>
      <c r="Q50" s="6">
        <f t="shared" si="51"/>
        <v>-2.5121320926900337E-2</v>
      </c>
      <c r="R50" s="21">
        <v>44966</v>
      </c>
      <c r="S50" s="1">
        <v>7.11</v>
      </c>
      <c r="T50" s="1">
        <v>6.2803000000000004</v>
      </c>
      <c r="U50" s="6">
        <f t="shared" si="52"/>
        <v>-3.0009575881135397E-2</v>
      </c>
      <c r="V50" s="21">
        <v>44966</v>
      </c>
      <c r="W50" s="1">
        <v>6.1</v>
      </c>
      <c r="X50" s="1">
        <v>5.181</v>
      </c>
      <c r="Y50" s="6">
        <f t="shared" si="53"/>
        <v>-2.2452830188679163E-2</v>
      </c>
      <c r="Z50" s="21">
        <v>44966</v>
      </c>
      <c r="AA50" s="1">
        <v>1.83</v>
      </c>
      <c r="AB50" s="1">
        <v>1.83</v>
      </c>
      <c r="AC50" s="6">
        <f t="shared" si="54"/>
        <v>-5.4347826086956763E-3</v>
      </c>
      <c r="AD50" s="21">
        <v>44966</v>
      </c>
      <c r="AE50" s="1">
        <v>7.7</v>
      </c>
      <c r="AF50" s="1">
        <v>6.9645000000000001</v>
      </c>
      <c r="AG50" s="6">
        <f t="shared" si="55"/>
        <v>-3.1443829443996263E-2</v>
      </c>
      <c r="AH50" s="21">
        <v>44966</v>
      </c>
      <c r="AI50" s="1">
        <v>8.64</v>
      </c>
      <c r="AJ50" s="1">
        <v>7.5537000000000001</v>
      </c>
      <c r="AK50" s="6">
        <f t="shared" si="56"/>
        <v>1.0528428093645514E-2</v>
      </c>
      <c r="AL50" s="21">
        <v>44966</v>
      </c>
      <c r="AM50" s="1">
        <v>1.93</v>
      </c>
      <c r="AN50" s="1">
        <v>1.81</v>
      </c>
      <c r="AO50" s="6">
        <v>5.2204820615351366E-3</v>
      </c>
      <c r="AP50" s="21" t="s">
        <v>53</v>
      </c>
      <c r="AQ50" s="1">
        <v>8071.08</v>
      </c>
      <c r="AR50" s="6">
        <v>-6.0393196159662654E-3</v>
      </c>
    </row>
    <row r="51" spans="2:44" x14ac:dyDescent="0.35">
      <c r="B51" s="21">
        <v>44967</v>
      </c>
      <c r="C51" s="1">
        <v>0.63</v>
      </c>
      <c r="D51" s="1">
        <v>0.63</v>
      </c>
      <c r="E51" s="6">
        <f t="shared" si="48"/>
        <v>-1.5625E-2</v>
      </c>
      <c r="F51" s="21">
        <v>44967</v>
      </c>
      <c r="G51" s="1">
        <v>21.5</v>
      </c>
      <c r="H51" s="1">
        <v>12.657999999999999</v>
      </c>
      <c r="I51" s="6">
        <f t="shared" si="49"/>
        <v>1.4149053792042565E-2</v>
      </c>
      <c r="J51" s="21">
        <v>44967</v>
      </c>
      <c r="K51" s="1">
        <v>40.090000000000003</v>
      </c>
      <c r="L51" s="1">
        <v>24.1007</v>
      </c>
      <c r="M51" s="6">
        <f t="shared" si="50"/>
        <v>2.4999376055505618E-3</v>
      </c>
      <c r="N51" s="21">
        <v>44967</v>
      </c>
      <c r="O51" s="1">
        <v>25.5</v>
      </c>
      <c r="P51" s="1">
        <v>22.421500000000002</v>
      </c>
      <c r="Q51" s="6">
        <f t="shared" si="51"/>
        <v>-1.9229170949779273E-2</v>
      </c>
      <c r="R51" s="21">
        <v>44967</v>
      </c>
      <c r="S51" s="1">
        <v>7.33</v>
      </c>
      <c r="T51" s="1">
        <v>6.4745999999999997</v>
      </c>
      <c r="U51" s="6">
        <f t="shared" si="52"/>
        <v>3.0938012515325575E-2</v>
      </c>
      <c r="V51" s="21">
        <v>44967</v>
      </c>
      <c r="W51" s="1">
        <v>6.14</v>
      </c>
      <c r="X51" s="1">
        <v>5.2149999999999999</v>
      </c>
      <c r="Y51" s="6">
        <f t="shared" si="53"/>
        <v>6.5624396834587095E-3</v>
      </c>
      <c r="Z51" s="21">
        <v>44967</v>
      </c>
      <c r="AA51" s="1">
        <v>1.83</v>
      </c>
      <c r="AB51" s="1">
        <v>1.83</v>
      </c>
      <c r="AC51" s="6">
        <f t="shared" si="54"/>
        <v>0</v>
      </c>
      <c r="AD51" s="21">
        <v>44967</v>
      </c>
      <c r="AE51" s="1">
        <v>7.84</v>
      </c>
      <c r="AF51" s="1">
        <v>7.0911</v>
      </c>
      <c r="AG51" s="6">
        <f t="shared" si="55"/>
        <v>1.8177902218393216E-2</v>
      </c>
      <c r="AH51" s="21">
        <v>44967</v>
      </c>
      <c r="AI51" s="1">
        <v>8.64</v>
      </c>
      <c r="AJ51" s="1">
        <v>7.5537000000000001</v>
      </c>
      <c r="AK51" s="6">
        <f t="shared" si="56"/>
        <v>0</v>
      </c>
      <c r="AL51" s="21">
        <v>44967</v>
      </c>
      <c r="AM51" s="1">
        <v>1.85</v>
      </c>
      <c r="AN51" s="1">
        <v>1.7349000000000001</v>
      </c>
      <c r="AO51" s="6">
        <v>-4.1491712707182327E-2</v>
      </c>
      <c r="AP51" s="21" t="s">
        <v>54</v>
      </c>
      <c r="AQ51" s="1">
        <v>8048.99</v>
      </c>
      <c r="AR51" s="6">
        <v>-2.7369323560167969E-3</v>
      </c>
    </row>
    <row r="52" spans="2:44" x14ac:dyDescent="0.35">
      <c r="B52" s="21">
        <v>44970</v>
      </c>
      <c r="C52" s="1">
        <v>0.62</v>
      </c>
      <c r="D52" s="1">
        <v>0.62</v>
      </c>
      <c r="E52" s="6">
        <f t="shared" si="48"/>
        <v>-1.5873015873015928E-2</v>
      </c>
      <c r="F52" s="21">
        <v>44970</v>
      </c>
      <c r="G52" s="1">
        <v>21.5</v>
      </c>
      <c r="H52" s="1">
        <v>12.657999999999999</v>
      </c>
      <c r="I52" s="6">
        <f t="shared" si="49"/>
        <v>0</v>
      </c>
      <c r="J52" s="21">
        <v>44970</v>
      </c>
      <c r="K52" s="1">
        <v>39.799999999999997</v>
      </c>
      <c r="L52" s="1">
        <v>23.926300000000001</v>
      </c>
      <c r="M52" s="6">
        <f t="shared" si="50"/>
        <v>-7.2363043397078997E-3</v>
      </c>
      <c r="N52" s="21">
        <v>44970</v>
      </c>
      <c r="O52" s="1">
        <v>25.18</v>
      </c>
      <c r="P52" s="1">
        <v>22.1401</v>
      </c>
      <c r="Q52" s="6">
        <f t="shared" si="51"/>
        <v>-1.255045380549924E-2</v>
      </c>
      <c r="R52" s="21">
        <v>44970</v>
      </c>
      <c r="S52" s="1">
        <v>7.3</v>
      </c>
      <c r="T52" s="1">
        <v>6.4481000000000002</v>
      </c>
      <c r="U52" s="6">
        <f t="shared" si="52"/>
        <v>-4.0929169369535723E-3</v>
      </c>
      <c r="V52" s="21">
        <v>44970</v>
      </c>
      <c r="W52" s="1">
        <v>6.13</v>
      </c>
      <c r="X52" s="1">
        <v>5.2069999999999999</v>
      </c>
      <c r="Y52" s="6">
        <f t="shared" si="53"/>
        <v>-1.534036433365249E-3</v>
      </c>
      <c r="Z52" s="21">
        <v>44970</v>
      </c>
      <c r="AA52" s="1">
        <v>1.82</v>
      </c>
      <c r="AB52" s="1">
        <v>1.82</v>
      </c>
      <c r="AC52" s="6">
        <f t="shared" si="54"/>
        <v>-5.464480874316946E-3</v>
      </c>
      <c r="AD52" s="21">
        <v>44970</v>
      </c>
      <c r="AE52" s="1">
        <v>7.85</v>
      </c>
      <c r="AF52" s="1">
        <v>7.1001000000000003</v>
      </c>
      <c r="AG52" s="6">
        <f t="shared" si="55"/>
        <v>1.2691965985531795E-3</v>
      </c>
      <c r="AH52" s="21">
        <v>44970</v>
      </c>
      <c r="AI52" s="1">
        <v>8.75</v>
      </c>
      <c r="AJ52" s="1">
        <v>7.6498999999999997</v>
      </c>
      <c r="AK52" s="6">
        <f t="shared" si="56"/>
        <v>1.2735480625388762E-2</v>
      </c>
      <c r="AL52" s="21">
        <v>44970</v>
      </c>
      <c r="AM52" s="1">
        <v>1.93</v>
      </c>
      <c r="AN52" s="1">
        <v>1.81</v>
      </c>
      <c r="AO52" s="6">
        <v>4.3287797567583164E-2</v>
      </c>
      <c r="AP52" s="21" t="s">
        <v>55</v>
      </c>
      <c r="AQ52" s="1">
        <v>8101.45</v>
      </c>
      <c r="AR52" s="6">
        <v>6.5175879209689036E-3</v>
      </c>
    </row>
    <row r="53" spans="2:44" x14ac:dyDescent="0.35">
      <c r="B53" s="21">
        <v>44971</v>
      </c>
      <c r="C53" s="1">
        <v>0.62</v>
      </c>
      <c r="D53" s="1">
        <v>0.62</v>
      </c>
      <c r="E53" s="6">
        <f t="shared" si="48"/>
        <v>0</v>
      </c>
      <c r="F53" s="21">
        <v>44971</v>
      </c>
      <c r="G53" s="1">
        <v>21.5</v>
      </c>
      <c r="H53" s="1">
        <v>12.657999999999999</v>
      </c>
      <c r="I53" s="6">
        <f t="shared" si="49"/>
        <v>0</v>
      </c>
      <c r="J53" s="21">
        <v>44971</v>
      </c>
      <c r="K53" s="1">
        <v>40.130000000000003</v>
      </c>
      <c r="L53" s="1">
        <v>24.124700000000001</v>
      </c>
      <c r="M53" s="6">
        <f t="shared" si="50"/>
        <v>8.2921304171559296E-3</v>
      </c>
      <c r="N53" s="21">
        <v>44971</v>
      </c>
      <c r="O53" s="1">
        <v>25.2</v>
      </c>
      <c r="P53" s="1">
        <v>22.157699999999998</v>
      </c>
      <c r="Q53" s="6">
        <f t="shared" si="51"/>
        <v>7.9493769224159294E-4</v>
      </c>
      <c r="R53" s="21">
        <v>44971</v>
      </c>
      <c r="S53" s="1">
        <v>7.3</v>
      </c>
      <c r="T53" s="1">
        <v>6.4481000000000002</v>
      </c>
      <c r="U53" s="6">
        <f t="shared" si="52"/>
        <v>0</v>
      </c>
      <c r="V53" s="21">
        <v>44971</v>
      </c>
      <c r="W53" s="1">
        <v>6.1</v>
      </c>
      <c r="X53" s="1">
        <v>5.181</v>
      </c>
      <c r="Y53" s="6">
        <f t="shared" si="53"/>
        <v>-4.9932782792394548E-3</v>
      </c>
      <c r="Z53" s="21">
        <v>44971</v>
      </c>
      <c r="AA53" s="1">
        <v>1.82</v>
      </c>
      <c r="AB53" s="1">
        <v>1.82</v>
      </c>
      <c r="AC53" s="6">
        <f t="shared" si="54"/>
        <v>0</v>
      </c>
      <c r="AD53" s="21">
        <v>44971</v>
      </c>
      <c r="AE53" s="1">
        <v>7.65</v>
      </c>
      <c r="AF53" s="1">
        <v>6.9192</v>
      </c>
      <c r="AG53" s="6">
        <f t="shared" si="55"/>
        <v>-2.5478514387121343E-2</v>
      </c>
      <c r="AH53" s="21">
        <v>44971</v>
      </c>
      <c r="AI53" s="1">
        <v>9.06</v>
      </c>
      <c r="AJ53" s="1">
        <v>7.9208999999999996</v>
      </c>
      <c r="AK53" s="6">
        <f t="shared" si="56"/>
        <v>3.5425299677120048E-2</v>
      </c>
      <c r="AL53" s="21">
        <v>44971</v>
      </c>
      <c r="AM53" s="1">
        <v>1.92</v>
      </c>
      <c r="AN53" s="1">
        <v>1.8006</v>
      </c>
      <c r="AO53" s="6">
        <v>-5.1933701657459475E-3</v>
      </c>
      <c r="AP53" s="21" t="s">
        <v>56</v>
      </c>
      <c r="AQ53" s="1">
        <v>8161.99</v>
      </c>
      <c r="AR53" s="6">
        <v>7.4727363620092913E-3</v>
      </c>
    </row>
    <row r="54" spans="2:44" x14ac:dyDescent="0.35">
      <c r="B54" s="21">
        <v>44972</v>
      </c>
      <c r="C54" s="1">
        <v>0.59</v>
      </c>
      <c r="D54" s="1">
        <v>0.59</v>
      </c>
      <c r="E54" s="6">
        <f t="shared" si="48"/>
        <v>-4.8387096774193616E-2</v>
      </c>
      <c r="F54" s="21">
        <v>44972</v>
      </c>
      <c r="G54" s="1">
        <v>21.6</v>
      </c>
      <c r="H54" s="1">
        <v>12.716900000000001</v>
      </c>
      <c r="I54" s="6">
        <f t="shared" si="49"/>
        <v>4.6531837573078327E-3</v>
      </c>
      <c r="J54" s="21">
        <v>44972</v>
      </c>
      <c r="K54" s="1">
        <v>40</v>
      </c>
      <c r="L54" s="1">
        <v>24.046600000000002</v>
      </c>
      <c r="M54" s="6">
        <f t="shared" si="50"/>
        <v>-3.2373459566336082E-3</v>
      </c>
      <c r="N54" s="21">
        <v>44972</v>
      </c>
      <c r="O54" s="1">
        <v>25.8</v>
      </c>
      <c r="P54" s="1">
        <v>22.685300000000002</v>
      </c>
      <c r="Q54" s="6">
        <f t="shared" si="51"/>
        <v>2.3811135632308522E-2</v>
      </c>
      <c r="R54" s="21">
        <v>44972</v>
      </c>
      <c r="S54" s="1">
        <v>7.1</v>
      </c>
      <c r="T54" s="1">
        <v>6.2714999999999996</v>
      </c>
      <c r="U54" s="6">
        <f t="shared" si="52"/>
        <v>-2.7387912718475294E-2</v>
      </c>
      <c r="V54" s="21">
        <v>44972</v>
      </c>
      <c r="W54" s="1">
        <v>6.09</v>
      </c>
      <c r="X54" s="1">
        <v>5.173</v>
      </c>
      <c r="Y54" s="6">
        <f t="shared" si="53"/>
        <v>-1.5441034549315003E-3</v>
      </c>
      <c r="Z54" s="21">
        <v>44972</v>
      </c>
      <c r="AA54" s="1">
        <v>1.82</v>
      </c>
      <c r="AB54" s="1">
        <v>1.82</v>
      </c>
      <c r="AC54" s="6">
        <f t="shared" si="54"/>
        <v>0</v>
      </c>
      <c r="AD54" s="21">
        <v>44972</v>
      </c>
      <c r="AE54" s="1">
        <v>7.65</v>
      </c>
      <c r="AF54" s="1">
        <v>6.9192</v>
      </c>
      <c r="AG54" s="6">
        <f t="shared" si="55"/>
        <v>0</v>
      </c>
      <c r="AH54" s="21">
        <v>44972</v>
      </c>
      <c r="AI54" s="1">
        <v>8.86</v>
      </c>
      <c r="AJ54" s="1">
        <v>7.7460000000000004</v>
      </c>
      <c r="AK54" s="6">
        <f t="shared" si="56"/>
        <v>-2.2080824148770883E-2</v>
      </c>
      <c r="AL54" s="21">
        <v>44972</v>
      </c>
      <c r="AM54" s="1">
        <v>1.92</v>
      </c>
      <c r="AN54" s="1">
        <v>1.8006</v>
      </c>
      <c r="AO54" s="6">
        <v>0</v>
      </c>
      <c r="AP54" s="21" t="s">
        <v>57</v>
      </c>
      <c r="AQ54" s="1">
        <v>8121.33</v>
      </c>
      <c r="AR54" s="6">
        <v>-4.9816282548741375E-3</v>
      </c>
    </row>
    <row r="55" spans="2:44" x14ac:dyDescent="0.35">
      <c r="B55" s="21">
        <v>44973</v>
      </c>
      <c r="C55" s="1">
        <v>0.59</v>
      </c>
      <c r="D55" s="1">
        <v>0.59</v>
      </c>
      <c r="E55" s="6">
        <f t="shared" si="48"/>
        <v>0</v>
      </c>
      <c r="F55" s="21">
        <v>44973</v>
      </c>
      <c r="G55" s="1">
        <v>21.5</v>
      </c>
      <c r="H55" s="1">
        <v>12.657999999999999</v>
      </c>
      <c r="I55" s="6">
        <f t="shared" si="49"/>
        <v>-4.6316319228744129E-3</v>
      </c>
      <c r="J55" s="21">
        <v>44973</v>
      </c>
      <c r="K55" s="1">
        <v>40</v>
      </c>
      <c r="L55" s="1">
        <v>24.046600000000002</v>
      </c>
      <c r="M55" s="6">
        <f t="shared" si="50"/>
        <v>0</v>
      </c>
      <c r="N55" s="21">
        <v>44973</v>
      </c>
      <c r="O55" s="1">
        <v>26</v>
      </c>
      <c r="P55" s="1">
        <v>22.8611</v>
      </c>
      <c r="Q55" s="6">
        <f t="shared" si="51"/>
        <v>7.7495117983892303E-3</v>
      </c>
      <c r="R55" s="21">
        <v>44973</v>
      </c>
      <c r="S55" s="1">
        <v>7.24</v>
      </c>
      <c r="T55" s="1">
        <v>6.3951000000000002</v>
      </c>
      <c r="U55" s="6">
        <f t="shared" si="52"/>
        <v>1.9708203779000399E-2</v>
      </c>
      <c r="V55" s="21">
        <v>44973</v>
      </c>
      <c r="W55" s="1">
        <v>6.08</v>
      </c>
      <c r="X55" s="1">
        <v>5.1639999999999997</v>
      </c>
      <c r="Y55" s="6">
        <f t="shared" si="53"/>
        <v>-1.7398028223468698E-3</v>
      </c>
      <c r="Z55" s="21">
        <v>44973</v>
      </c>
      <c r="AA55" s="1">
        <v>1.8</v>
      </c>
      <c r="AB55" s="1">
        <v>1.8</v>
      </c>
      <c r="AC55" s="6">
        <f t="shared" si="54"/>
        <v>-1.098901098901095E-2</v>
      </c>
      <c r="AD55" s="21">
        <v>44973</v>
      </c>
      <c r="AE55" s="1">
        <v>7.7</v>
      </c>
      <c r="AF55" s="1">
        <v>6.9645000000000001</v>
      </c>
      <c r="AG55" s="6">
        <f t="shared" si="55"/>
        <v>6.5469996531390962E-3</v>
      </c>
      <c r="AH55" s="21">
        <v>44973</v>
      </c>
      <c r="AI55" s="1">
        <v>9.0399999999999991</v>
      </c>
      <c r="AJ55" s="1">
        <v>7.9034000000000004</v>
      </c>
      <c r="AK55" s="6">
        <f t="shared" si="56"/>
        <v>2.0320165246578981E-2</v>
      </c>
      <c r="AL55" s="21">
        <v>44973</v>
      </c>
      <c r="AM55" s="1">
        <v>1.93</v>
      </c>
      <c r="AN55" s="1">
        <v>1.81</v>
      </c>
      <c r="AO55" s="6">
        <v>5.2204820615351366E-3</v>
      </c>
      <c r="AP55" s="21" t="s">
        <v>58</v>
      </c>
      <c r="AQ55" s="1">
        <v>8126.22</v>
      </c>
      <c r="AR55" s="6">
        <v>6.0211812597210645E-4</v>
      </c>
    </row>
    <row r="56" spans="2:44" x14ac:dyDescent="0.35">
      <c r="B56" s="21">
        <v>44974</v>
      </c>
      <c r="C56" s="1">
        <v>0.6</v>
      </c>
      <c r="D56" s="1">
        <v>0.6</v>
      </c>
      <c r="E56" s="6">
        <f t="shared" si="48"/>
        <v>1.6949152542372836E-2</v>
      </c>
      <c r="F56" s="21">
        <v>44974</v>
      </c>
      <c r="G56" s="1">
        <v>21.4</v>
      </c>
      <c r="H56" s="1">
        <v>12.5991</v>
      </c>
      <c r="I56" s="6">
        <f t="shared" si="49"/>
        <v>-4.6531837573076107E-3</v>
      </c>
      <c r="J56" s="21">
        <v>44974</v>
      </c>
      <c r="K56" s="1">
        <v>40</v>
      </c>
      <c r="L56" s="1">
        <v>24.046600000000002</v>
      </c>
      <c r="M56" s="6">
        <f t="shared" si="50"/>
        <v>0</v>
      </c>
      <c r="N56" s="21">
        <v>44974</v>
      </c>
      <c r="O56" s="1">
        <v>25.81</v>
      </c>
      <c r="P56" s="1">
        <v>22.694099999999999</v>
      </c>
      <c r="Q56" s="6">
        <f t="shared" si="51"/>
        <v>-7.3049853244158136E-3</v>
      </c>
      <c r="R56" s="21">
        <v>44974</v>
      </c>
      <c r="S56" s="1">
        <v>7.1</v>
      </c>
      <c r="T56" s="1">
        <v>6.2714999999999996</v>
      </c>
      <c r="U56" s="6">
        <f t="shared" si="52"/>
        <v>-1.9327297462119475E-2</v>
      </c>
      <c r="V56" s="21">
        <v>44974</v>
      </c>
      <c r="W56" s="1">
        <v>6.1</v>
      </c>
      <c r="X56" s="1">
        <v>5.181</v>
      </c>
      <c r="Y56" s="6">
        <f t="shared" si="53"/>
        <v>3.2920216886136444E-3</v>
      </c>
      <c r="Z56" s="21">
        <v>44974</v>
      </c>
      <c r="AA56" s="1">
        <v>1.82</v>
      </c>
      <c r="AB56" s="1">
        <v>1.82</v>
      </c>
      <c r="AC56" s="6">
        <f t="shared" si="54"/>
        <v>1.1111111111111072E-2</v>
      </c>
      <c r="AD56" s="21">
        <v>44974</v>
      </c>
      <c r="AE56" s="1">
        <v>7.85</v>
      </c>
      <c r="AF56" s="1">
        <v>7.1001000000000003</v>
      </c>
      <c r="AG56" s="6">
        <f t="shared" si="55"/>
        <v>1.9470170148610855E-2</v>
      </c>
      <c r="AH56" s="21">
        <v>44974</v>
      </c>
      <c r="AI56" s="1">
        <v>9</v>
      </c>
      <c r="AJ56" s="1">
        <v>7.8684000000000003</v>
      </c>
      <c r="AK56" s="6">
        <f t="shared" si="56"/>
        <v>-4.4284738213933306E-3</v>
      </c>
      <c r="AL56" s="21">
        <v>44974</v>
      </c>
      <c r="AM56" s="1">
        <v>1.93</v>
      </c>
      <c r="AN56" s="1">
        <v>1.81</v>
      </c>
      <c r="AO56" s="6">
        <v>0</v>
      </c>
      <c r="AP56" s="21" t="s">
        <v>59</v>
      </c>
      <c r="AQ56" s="1">
        <v>8131.73</v>
      </c>
      <c r="AR56" s="6">
        <v>6.7805203403303871E-4</v>
      </c>
    </row>
    <row r="57" spans="2:44" x14ac:dyDescent="0.35">
      <c r="B57" s="21">
        <v>44977</v>
      </c>
      <c r="C57" s="1">
        <v>0.59</v>
      </c>
      <c r="D57" s="1">
        <v>0.59</v>
      </c>
      <c r="E57" s="6">
        <f t="shared" si="48"/>
        <v>-1.6666666666666718E-2</v>
      </c>
      <c r="F57" s="21">
        <v>44977</v>
      </c>
      <c r="G57" s="1">
        <v>21.6</v>
      </c>
      <c r="H57" s="1">
        <v>12.716900000000001</v>
      </c>
      <c r="I57" s="6">
        <f t="shared" si="49"/>
        <v>9.3498741973634392E-3</v>
      </c>
      <c r="J57" s="21">
        <v>44977</v>
      </c>
      <c r="K57" s="1">
        <v>39.9</v>
      </c>
      <c r="L57" s="1">
        <v>23.986499999999999</v>
      </c>
      <c r="M57" s="6">
        <f t="shared" si="50"/>
        <v>-2.499313832309058E-3</v>
      </c>
      <c r="N57" s="21">
        <v>44977</v>
      </c>
      <c r="O57" s="1">
        <v>25.98</v>
      </c>
      <c r="P57" s="1">
        <v>22.843499999999999</v>
      </c>
      <c r="Q57" s="6">
        <f t="shared" si="51"/>
        <v>6.5832088516397658E-3</v>
      </c>
      <c r="R57" s="21">
        <v>44977</v>
      </c>
      <c r="S57" s="1">
        <v>7.15</v>
      </c>
      <c r="T57" s="1">
        <v>6.3155999999999999</v>
      </c>
      <c r="U57" s="6">
        <f t="shared" si="52"/>
        <v>7.031810571633601E-3</v>
      </c>
      <c r="V57" s="21">
        <v>44977</v>
      </c>
      <c r="W57" s="1">
        <v>6.08</v>
      </c>
      <c r="X57" s="1">
        <v>5.1639999999999997</v>
      </c>
      <c r="Y57" s="6">
        <f t="shared" si="53"/>
        <v>-3.2812198417294658E-3</v>
      </c>
      <c r="Z57" s="21">
        <v>44977</v>
      </c>
      <c r="AA57" s="1">
        <v>1.82</v>
      </c>
      <c r="AB57" s="1">
        <v>1.82</v>
      </c>
      <c r="AC57" s="6">
        <f t="shared" si="54"/>
        <v>0</v>
      </c>
      <c r="AD57" s="21">
        <v>44977</v>
      </c>
      <c r="AE57" s="1">
        <v>7.6</v>
      </c>
      <c r="AF57" s="1">
        <v>6.8739999999999997</v>
      </c>
      <c r="AG57" s="6">
        <f t="shared" si="55"/>
        <v>-3.1844621906733761E-2</v>
      </c>
      <c r="AH57" s="21">
        <v>44977</v>
      </c>
      <c r="AI57" s="1">
        <v>9</v>
      </c>
      <c r="AJ57" s="1">
        <v>7.8684000000000003</v>
      </c>
      <c r="AK57" s="6">
        <f t="shared" si="56"/>
        <v>0</v>
      </c>
      <c r="AL57" s="21">
        <v>44977</v>
      </c>
      <c r="AM57" s="1">
        <v>1.93</v>
      </c>
      <c r="AN57" s="1">
        <v>1.81</v>
      </c>
      <c r="AO57" s="6">
        <v>0</v>
      </c>
      <c r="AP57" s="21" t="s">
        <v>60</v>
      </c>
      <c r="AQ57" s="1">
        <v>8099.49</v>
      </c>
      <c r="AR57" s="6">
        <v>-3.9647159952432842E-3</v>
      </c>
    </row>
    <row r="58" spans="2:44" x14ac:dyDescent="0.35">
      <c r="B58" s="21">
        <v>44978</v>
      </c>
      <c r="C58" s="1">
        <v>0.59</v>
      </c>
      <c r="D58" s="1">
        <v>0.59</v>
      </c>
      <c r="E58" s="6">
        <f t="shared" si="48"/>
        <v>0</v>
      </c>
      <c r="F58" s="21">
        <v>44978</v>
      </c>
      <c r="G58" s="1">
        <v>21.6</v>
      </c>
      <c r="H58" s="1">
        <v>12.716900000000001</v>
      </c>
      <c r="I58" s="6">
        <f t="shared" si="49"/>
        <v>0</v>
      </c>
      <c r="J58" s="21">
        <v>44978</v>
      </c>
      <c r="K58" s="1">
        <v>39.9</v>
      </c>
      <c r="L58" s="1">
        <v>23.986499999999999</v>
      </c>
      <c r="M58" s="6">
        <f t="shared" si="50"/>
        <v>0</v>
      </c>
      <c r="N58" s="21">
        <v>44978</v>
      </c>
      <c r="O58" s="1">
        <v>25.93</v>
      </c>
      <c r="P58" s="1">
        <v>22.799600000000002</v>
      </c>
      <c r="Q58" s="6">
        <f t="shared" si="51"/>
        <v>-1.9217720576968356E-3</v>
      </c>
      <c r="R58" s="21">
        <v>44978</v>
      </c>
      <c r="S58" s="1">
        <v>7.15</v>
      </c>
      <c r="T58" s="1">
        <v>6.3155999999999999</v>
      </c>
      <c r="U58" s="6">
        <f t="shared" si="52"/>
        <v>0</v>
      </c>
      <c r="V58" s="21">
        <v>44978</v>
      </c>
      <c r="W58" s="1">
        <v>6.08</v>
      </c>
      <c r="X58" s="1">
        <v>5.1639999999999997</v>
      </c>
      <c r="Y58" s="6">
        <f t="shared" si="53"/>
        <v>0</v>
      </c>
      <c r="Z58" s="21">
        <v>44978</v>
      </c>
      <c r="AA58" s="1">
        <v>1.79</v>
      </c>
      <c r="AB58" s="1">
        <v>1.79</v>
      </c>
      <c r="AC58" s="6">
        <f t="shared" si="54"/>
        <v>-1.6483516483516536E-2</v>
      </c>
      <c r="AD58" s="21">
        <v>44978</v>
      </c>
      <c r="AE58" s="1">
        <v>7.7</v>
      </c>
      <c r="AF58" s="1">
        <v>6.9645000000000001</v>
      </c>
      <c r="AG58" s="6">
        <f t="shared" si="55"/>
        <v>1.3165551352924076E-2</v>
      </c>
      <c r="AH58" s="21">
        <v>44978</v>
      </c>
      <c r="AI58" s="1">
        <v>9</v>
      </c>
      <c r="AJ58" s="1">
        <v>7.8684000000000003</v>
      </c>
      <c r="AK58" s="6">
        <f t="shared" si="56"/>
        <v>0</v>
      </c>
      <c r="AL58" s="21">
        <v>44978</v>
      </c>
      <c r="AM58" s="1">
        <v>1.93</v>
      </c>
      <c r="AN58" s="1">
        <v>1.81</v>
      </c>
      <c r="AO58" s="6">
        <v>0</v>
      </c>
      <c r="AP58" s="21" t="s">
        <v>61</v>
      </c>
      <c r="AQ58" s="1">
        <v>8089.66</v>
      </c>
      <c r="AR58" s="6">
        <v>-1.2136566623330847E-3</v>
      </c>
    </row>
    <row r="59" spans="2:44" x14ac:dyDescent="0.35">
      <c r="B59" s="21">
        <v>44979</v>
      </c>
      <c r="C59" s="1">
        <v>0.62</v>
      </c>
      <c r="D59" s="1">
        <v>0.62</v>
      </c>
      <c r="E59" s="6">
        <f t="shared" si="48"/>
        <v>5.0847457627118731E-2</v>
      </c>
      <c r="F59" s="21">
        <v>44979</v>
      </c>
      <c r="G59" s="1">
        <v>21.6</v>
      </c>
      <c r="H59" s="1">
        <v>12.716900000000001</v>
      </c>
      <c r="I59" s="6">
        <f t="shared" si="49"/>
        <v>0</v>
      </c>
      <c r="J59" s="21">
        <v>44979</v>
      </c>
      <c r="K59" s="1">
        <v>38.979999999999997</v>
      </c>
      <c r="L59" s="1">
        <v>23.433399999999999</v>
      </c>
      <c r="M59" s="6">
        <f t="shared" si="50"/>
        <v>-2.3058803910533054E-2</v>
      </c>
      <c r="N59" s="21">
        <v>44979</v>
      </c>
      <c r="O59" s="1">
        <v>25.95</v>
      </c>
      <c r="P59" s="1">
        <v>22.8172</v>
      </c>
      <c r="Q59" s="6">
        <f t="shared" si="51"/>
        <v>7.7194336742736347E-4</v>
      </c>
      <c r="R59" s="21">
        <v>44979</v>
      </c>
      <c r="S59" s="1">
        <v>7.25</v>
      </c>
      <c r="T59" s="1">
        <v>6.4039999999999999</v>
      </c>
      <c r="U59" s="6">
        <f t="shared" si="52"/>
        <v>1.3997086579264018E-2</v>
      </c>
      <c r="V59" s="21">
        <v>44979</v>
      </c>
      <c r="W59" s="1">
        <v>6.08</v>
      </c>
      <c r="X59" s="1">
        <v>5.1639999999999997</v>
      </c>
      <c r="Y59" s="6">
        <f t="shared" si="53"/>
        <v>0</v>
      </c>
      <c r="Z59" s="21">
        <v>44979</v>
      </c>
      <c r="AA59" s="1">
        <v>1.78</v>
      </c>
      <c r="AB59" s="1">
        <v>1.78</v>
      </c>
      <c r="AC59" s="6">
        <f t="shared" si="54"/>
        <v>-5.5865921787709993E-3</v>
      </c>
      <c r="AD59" s="21">
        <v>44979</v>
      </c>
      <c r="AE59" s="1">
        <v>7.7</v>
      </c>
      <c r="AF59" s="1">
        <v>6.9645000000000001</v>
      </c>
      <c r="AG59" s="6">
        <f t="shared" si="55"/>
        <v>0</v>
      </c>
      <c r="AH59" s="21">
        <v>44979</v>
      </c>
      <c r="AI59" s="1">
        <v>8.9</v>
      </c>
      <c r="AJ59" s="1">
        <v>7.7809999999999997</v>
      </c>
      <c r="AK59" s="6">
        <f t="shared" si="56"/>
        <v>-1.1107722027349998E-2</v>
      </c>
      <c r="AL59" s="21">
        <v>44979</v>
      </c>
      <c r="AM59" s="1">
        <v>1.93</v>
      </c>
      <c r="AN59" s="1">
        <v>1.81</v>
      </c>
      <c r="AO59" s="6">
        <v>0</v>
      </c>
      <c r="AP59" s="21" t="s">
        <v>62</v>
      </c>
      <c r="AQ59" s="1">
        <v>8045.4</v>
      </c>
      <c r="AR59" s="6">
        <v>-5.4711817307526722E-3</v>
      </c>
    </row>
    <row r="60" spans="2:44" x14ac:dyDescent="0.35">
      <c r="B60" s="21">
        <v>44980</v>
      </c>
      <c r="C60" s="1">
        <v>0.6</v>
      </c>
      <c r="D60" s="1">
        <v>0.6</v>
      </c>
      <c r="E60" s="6">
        <f t="shared" si="48"/>
        <v>-3.2258064516129115E-2</v>
      </c>
      <c r="F60" s="21">
        <v>44980</v>
      </c>
      <c r="G60" s="1">
        <v>21.6</v>
      </c>
      <c r="H60" s="1">
        <v>12.716900000000001</v>
      </c>
      <c r="I60" s="6">
        <f t="shared" si="49"/>
        <v>0</v>
      </c>
      <c r="J60" s="21">
        <v>44980</v>
      </c>
      <c r="K60" s="1">
        <v>38.479999999999997</v>
      </c>
      <c r="L60" s="1">
        <v>23.1328</v>
      </c>
      <c r="M60" s="6">
        <f t="shared" si="50"/>
        <v>-1.2827844017513468E-2</v>
      </c>
      <c r="N60" s="21">
        <v>44980</v>
      </c>
      <c r="O60" s="1">
        <v>26.29</v>
      </c>
      <c r="P60" s="1">
        <v>23.116099999999999</v>
      </c>
      <c r="Q60" s="6">
        <f t="shared" si="51"/>
        <v>1.3099766842557425E-2</v>
      </c>
      <c r="R60" s="21">
        <v>44980</v>
      </c>
      <c r="S60" s="1">
        <v>7.1</v>
      </c>
      <c r="T60" s="1">
        <v>6.2714999999999996</v>
      </c>
      <c r="U60" s="6">
        <f t="shared" si="52"/>
        <v>-2.0690193628981945E-2</v>
      </c>
      <c r="V60" s="21">
        <v>44980</v>
      </c>
      <c r="W60" s="1">
        <v>6.08</v>
      </c>
      <c r="X60" s="1">
        <v>5.1639999999999997</v>
      </c>
      <c r="Y60" s="6">
        <f t="shared" si="53"/>
        <v>0</v>
      </c>
      <c r="Z60" s="21">
        <v>44980</v>
      </c>
      <c r="AA60" s="1">
        <v>1.8</v>
      </c>
      <c r="AB60" s="1">
        <v>1.8</v>
      </c>
      <c r="AC60" s="6">
        <f t="shared" si="54"/>
        <v>1.1235955056179803E-2</v>
      </c>
      <c r="AD60" s="21">
        <v>44980</v>
      </c>
      <c r="AE60" s="1">
        <v>8.08</v>
      </c>
      <c r="AF60" s="1">
        <v>7.3082000000000003</v>
      </c>
      <c r="AG60" s="6">
        <f t="shared" si="55"/>
        <v>4.9350276401751714E-2</v>
      </c>
      <c r="AH60" s="21">
        <v>44980</v>
      </c>
      <c r="AI60" s="1">
        <v>8.8699999999999992</v>
      </c>
      <c r="AJ60" s="1">
        <v>7.7548000000000004</v>
      </c>
      <c r="AK60" s="6">
        <f t="shared" si="56"/>
        <v>-3.367176455468357E-3</v>
      </c>
      <c r="AL60" s="21">
        <v>44980</v>
      </c>
      <c r="AM60" s="1">
        <v>1.85</v>
      </c>
      <c r="AN60" s="1">
        <v>1.7349000000000001</v>
      </c>
      <c r="AO60" s="6">
        <v>-4.1491712707182327E-2</v>
      </c>
      <c r="AP60" s="21" t="s">
        <v>63</v>
      </c>
      <c r="AQ60" s="1">
        <v>8040.28</v>
      </c>
      <c r="AR60" s="6">
        <v>-6.363884952892418E-4</v>
      </c>
    </row>
    <row r="61" spans="2:44" x14ac:dyDescent="0.35">
      <c r="B61" s="21">
        <v>44981</v>
      </c>
      <c r="C61" s="1">
        <v>0.61</v>
      </c>
      <c r="D61" s="1">
        <v>0.61</v>
      </c>
      <c r="E61" s="6">
        <f t="shared" si="48"/>
        <v>1.6666666666666607E-2</v>
      </c>
      <c r="F61" s="21">
        <v>44981</v>
      </c>
      <c r="G61" s="1">
        <v>21.6</v>
      </c>
      <c r="H61" s="1">
        <v>12.716900000000001</v>
      </c>
      <c r="I61" s="6">
        <f t="shared" si="49"/>
        <v>0</v>
      </c>
      <c r="J61" s="21">
        <v>44981</v>
      </c>
      <c r="K61" s="1">
        <v>38.47</v>
      </c>
      <c r="L61" s="1">
        <v>23.126799999999999</v>
      </c>
      <c r="M61" s="6">
        <f t="shared" si="50"/>
        <v>-2.5937197399361622E-4</v>
      </c>
      <c r="N61" s="21">
        <v>44981</v>
      </c>
      <c r="O61" s="1">
        <v>25.95</v>
      </c>
      <c r="P61" s="1">
        <v>22.8172</v>
      </c>
      <c r="Q61" s="6">
        <f t="shared" si="51"/>
        <v>-1.2930381855070672E-2</v>
      </c>
      <c r="R61" s="21">
        <v>44981</v>
      </c>
      <c r="S61" s="1">
        <v>7.08</v>
      </c>
      <c r="T61" s="1">
        <v>6.2538</v>
      </c>
      <c r="U61" s="6">
        <f t="shared" si="52"/>
        <v>-2.8222913178664877E-3</v>
      </c>
      <c r="V61" s="21">
        <v>44981</v>
      </c>
      <c r="W61" s="1">
        <v>6.07</v>
      </c>
      <c r="X61" s="1">
        <v>5.1559999999999997</v>
      </c>
      <c r="Y61" s="6">
        <f t="shared" si="53"/>
        <v>-1.5491866769945517E-3</v>
      </c>
      <c r="Z61" s="21">
        <v>44981</v>
      </c>
      <c r="AA61" s="1">
        <v>1.8</v>
      </c>
      <c r="AB61" s="1">
        <v>1.8</v>
      </c>
      <c r="AC61" s="6">
        <f t="shared" si="54"/>
        <v>0</v>
      </c>
      <c r="AD61" s="21">
        <v>44981</v>
      </c>
      <c r="AE61" s="1">
        <v>8</v>
      </c>
      <c r="AF61" s="1">
        <v>7.2358000000000002</v>
      </c>
      <c r="AG61" s="6">
        <f t="shared" si="55"/>
        <v>-9.906680167483084E-3</v>
      </c>
      <c r="AH61" s="21">
        <v>44981</v>
      </c>
      <c r="AI61" s="1">
        <v>8.98</v>
      </c>
      <c r="AJ61" s="1">
        <v>7.851</v>
      </c>
      <c r="AK61" s="6">
        <f t="shared" si="56"/>
        <v>1.240521999277866E-2</v>
      </c>
      <c r="AL61" s="21">
        <v>44981</v>
      </c>
      <c r="AM61" s="1">
        <v>1.82</v>
      </c>
      <c r="AN61" s="1">
        <v>1.7068000000000001</v>
      </c>
      <c r="AO61" s="6">
        <v>-1.6196898956712169E-2</v>
      </c>
      <c r="AP61" s="21" t="s">
        <v>64</v>
      </c>
      <c r="AQ61" s="1">
        <v>8040.88</v>
      </c>
      <c r="AR61" s="6">
        <v>7.4624266816591955E-5</v>
      </c>
    </row>
    <row r="62" spans="2:44" x14ac:dyDescent="0.35">
      <c r="B62" s="21">
        <v>44984</v>
      </c>
      <c r="C62" s="1">
        <v>0.62</v>
      </c>
      <c r="D62" s="1">
        <v>0.62</v>
      </c>
      <c r="E62" s="6">
        <f t="shared" si="48"/>
        <v>1.6393442622950838E-2</v>
      </c>
      <c r="F62" s="21">
        <v>44984</v>
      </c>
      <c r="G62" s="1">
        <v>21.6</v>
      </c>
      <c r="H62" s="1">
        <v>12.716900000000001</v>
      </c>
      <c r="I62" s="6">
        <f t="shared" si="49"/>
        <v>0</v>
      </c>
      <c r="J62" s="21">
        <v>44984</v>
      </c>
      <c r="K62" s="1">
        <v>37.65</v>
      </c>
      <c r="L62" s="1">
        <v>22.633800000000001</v>
      </c>
      <c r="M62" s="6">
        <f t="shared" si="50"/>
        <v>-2.1317259629520691E-2</v>
      </c>
      <c r="N62" s="21">
        <v>44984</v>
      </c>
      <c r="O62" s="1">
        <v>25.62</v>
      </c>
      <c r="P62" s="1">
        <v>22.527000000000001</v>
      </c>
      <c r="Q62" s="6">
        <f t="shared" si="51"/>
        <v>-1.2718475535999141E-2</v>
      </c>
      <c r="R62" s="21">
        <v>44984</v>
      </c>
      <c r="S62" s="1">
        <v>7.1</v>
      </c>
      <c r="T62" s="1">
        <v>6.2714999999999996</v>
      </c>
      <c r="U62" s="6">
        <f t="shared" si="52"/>
        <v>2.8302791902523605E-3</v>
      </c>
      <c r="V62" s="21">
        <v>44984</v>
      </c>
      <c r="W62" s="1">
        <v>6.07</v>
      </c>
      <c r="X62" s="1">
        <v>5.1559999999999997</v>
      </c>
      <c r="Y62" s="6">
        <f t="shared" si="53"/>
        <v>0</v>
      </c>
      <c r="Z62" s="21">
        <v>44984</v>
      </c>
      <c r="AA62" s="1">
        <v>1.8</v>
      </c>
      <c r="AB62" s="1">
        <v>1.8</v>
      </c>
      <c r="AC62" s="6">
        <f t="shared" si="54"/>
        <v>0</v>
      </c>
      <c r="AD62" s="21">
        <v>44984</v>
      </c>
      <c r="AE62" s="1">
        <v>7.95</v>
      </c>
      <c r="AF62" s="1">
        <v>7.1905999999999999</v>
      </c>
      <c r="AG62" s="6">
        <f t="shared" si="55"/>
        <v>-6.2467177091684034E-3</v>
      </c>
      <c r="AH62" s="21">
        <v>44984</v>
      </c>
      <c r="AI62" s="1">
        <v>8.93</v>
      </c>
      <c r="AJ62" s="1">
        <v>7.8071999999999999</v>
      </c>
      <c r="AK62" s="6">
        <f t="shared" si="56"/>
        <v>-5.5789071455865091E-3</v>
      </c>
      <c r="AL62" s="21">
        <v>44984</v>
      </c>
      <c r="AM62" s="1">
        <v>1.84</v>
      </c>
      <c r="AN62" s="1">
        <v>1.7256</v>
      </c>
      <c r="AO62" s="6">
        <v>1.1014764471525718E-2</v>
      </c>
      <c r="AP62" s="21" t="s">
        <v>65</v>
      </c>
      <c r="AQ62" s="1">
        <v>8021</v>
      </c>
      <c r="AR62" s="6">
        <v>-2.4723662086736375E-3</v>
      </c>
    </row>
    <row r="63" spans="2:44" x14ac:dyDescent="0.35">
      <c r="B63" s="21">
        <v>44985</v>
      </c>
      <c r="C63" s="1">
        <v>0.65</v>
      </c>
      <c r="D63" s="1">
        <v>0.65</v>
      </c>
      <c r="E63" s="6">
        <f t="shared" si="48"/>
        <v>4.8387096774193505E-2</v>
      </c>
      <c r="F63" s="21">
        <v>44985</v>
      </c>
      <c r="G63" s="1">
        <v>21.6</v>
      </c>
      <c r="H63" s="1">
        <v>12.716900000000001</v>
      </c>
      <c r="I63" s="6">
        <f t="shared" si="49"/>
        <v>0</v>
      </c>
      <c r="J63" s="21">
        <v>44985</v>
      </c>
      <c r="K63" s="1">
        <v>38.5</v>
      </c>
      <c r="L63" s="1">
        <v>23.1448</v>
      </c>
      <c r="M63" s="6">
        <f t="shared" si="50"/>
        <v>2.2576854085482712E-2</v>
      </c>
      <c r="N63" s="21">
        <v>44985</v>
      </c>
      <c r="O63" s="1">
        <v>25.95</v>
      </c>
      <c r="P63" s="1">
        <v>22.8172</v>
      </c>
      <c r="Q63" s="6">
        <f t="shared" si="51"/>
        <v>1.2882318994983821E-2</v>
      </c>
      <c r="R63" s="21">
        <v>44985</v>
      </c>
      <c r="S63" s="1">
        <v>7.2</v>
      </c>
      <c r="T63" s="1">
        <v>6.3597999999999999</v>
      </c>
      <c r="U63" s="6">
        <f t="shared" si="52"/>
        <v>1.4079566291955725E-2</v>
      </c>
      <c r="V63" s="21">
        <v>44985</v>
      </c>
      <c r="W63" s="1">
        <v>6.07</v>
      </c>
      <c r="X63" s="1">
        <v>5.1559999999999997</v>
      </c>
      <c r="Y63" s="6">
        <f t="shared" si="53"/>
        <v>0</v>
      </c>
      <c r="Z63" s="21">
        <v>44985</v>
      </c>
      <c r="AA63" s="1">
        <v>1.8</v>
      </c>
      <c r="AB63" s="1">
        <v>1.8</v>
      </c>
      <c r="AC63" s="6">
        <f t="shared" si="54"/>
        <v>0</v>
      </c>
      <c r="AD63" s="21">
        <v>44985</v>
      </c>
      <c r="AE63" s="1">
        <v>8</v>
      </c>
      <c r="AF63" s="1">
        <v>7.2358000000000002</v>
      </c>
      <c r="AG63" s="6">
        <f t="shared" si="55"/>
        <v>6.2859844797373832E-3</v>
      </c>
      <c r="AH63" s="21">
        <v>44985</v>
      </c>
      <c r="AI63" s="1">
        <v>9.0500000000000007</v>
      </c>
      <c r="AJ63" s="1">
        <v>7.9122000000000003</v>
      </c>
      <c r="AK63" s="6">
        <f t="shared" si="56"/>
        <v>1.344912388564401E-2</v>
      </c>
      <c r="AL63" s="21">
        <v>44985</v>
      </c>
      <c r="AM63" s="1">
        <v>1.8</v>
      </c>
      <c r="AN63" s="1">
        <v>1.6879999999999999</v>
      </c>
      <c r="AO63" s="6">
        <v>-2.1789522484932822E-2</v>
      </c>
      <c r="AP63" s="21" t="s">
        <v>66</v>
      </c>
      <c r="AQ63" s="1">
        <v>8044.81</v>
      </c>
      <c r="AR63" s="6">
        <v>2.968457798279589E-3</v>
      </c>
    </row>
    <row r="64" spans="2:44" x14ac:dyDescent="0.35">
      <c r="B64" s="21">
        <v>44986</v>
      </c>
      <c r="C64" s="1">
        <v>0.66</v>
      </c>
      <c r="D64" s="1">
        <v>0.66</v>
      </c>
      <c r="E64" s="6">
        <f t="shared" si="48"/>
        <v>1.538461538461533E-2</v>
      </c>
      <c r="F64" s="21">
        <v>44986</v>
      </c>
      <c r="G64" s="1">
        <v>22</v>
      </c>
      <c r="H64" s="1">
        <v>12.952400000000001</v>
      </c>
      <c r="I64" s="6">
        <f t="shared" si="49"/>
        <v>1.8518664139845376E-2</v>
      </c>
      <c r="J64" s="21">
        <v>44986</v>
      </c>
      <c r="K64" s="1">
        <v>38.99</v>
      </c>
      <c r="L64" s="1">
        <v>23.439399999999999</v>
      </c>
      <c r="M64" s="6">
        <f t="shared" si="50"/>
        <v>1.2728561059071497E-2</v>
      </c>
      <c r="N64" s="21">
        <v>44986</v>
      </c>
      <c r="O64" s="1">
        <v>25.95</v>
      </c>
      <c r="P64" s="1">
        <v>22.8172</v>
      </c>
      <c r="Q64" s="6">
        <f t="shared" si="51"/>
        <v>0</v>
      </c>
      <c r="R64" s="21">
        <v>44986</v>
      </c>
      <c r="S64" s="1">
        <v>7.29</v>
      </c>
      <c r="T64" s="1">
        <v>6.4393000000000002</v>
      </c>
      <c r="U64" s="6">
        <f t="shared" si="52"/>
        <v>1.2500393094122542E-2</v>
      </c>
      <c r="V64" s="21">
        <v>44986</v>
      </c>
      <c r="W64" s="1">
        <v>6.06</v>
      </c>
      <c r="X64" s="1">
        <v>5.1470000000000002</v>
      </c>
      <c r="Y64" s="6">
        <f t="shared" si="53"/>
        <v>-1.7455391776569629E-3</v>
      </c>
      <c r="Z64" s="21">
        <v>44986</v>
      </c>
      <c r="AA64" s="1">
        <v>1.8</v>
      </c>
      <c r="AB64" s="1">
        <v>1.8</v>
      </c>
      <c r="AC64" s="6">
        <f t="shared" si="54"/>
        <v>0</v>
      </c>
      <c r="AD64" s="21">
        <v>44986</v>
      </c>
      <c r="AE64" s="1">
        <v>7.9</v>
      </c>
      <c r="AF64" s="1">
        <v>7.1454000000000004</v>
      </c>
      <c r="AG64" s="6">
        <f t="shared" si="55"/>
        <v>-1.2493435418336585E-2</v>
      </c>
      <c r="AH64" s="21">
        <v>44986</v>
      </c>
      <c r="AI64" s="1">
        <v>8.9499999999999993</v>
      </c>
      <c r="AJ64" s="1">
        <v>7.8247</v>
      </c>
      <c r="AK64" s="6">
        <f t="shared" si="56"/>
        <v>-1.105887111043713E-2</v>
      </c>
      <c r="AL64" s="21">
        <v>44986</v>
      </c>
      <c r="AM64" s="1">
        <v>1.81</v>
      </c>
      <c r="AN64" s="1">
        <v>1.6974</v>
      </c>
      <c r="AO64" s="6">
        <v>5.5687203791470186E-3</v>
      </c>
      <c r="AP64" s="21" t="s">
        <v>67</v>
      </c>
      <c r="AQ64" s="1">
        <v>8034.45</v>
      </c>
      <c r="AR64" s="6">
        <v>-1.2877867842746582E-3</v>
      </c>
    </row>
    <row r="65" spans="2:44" x14ac:dyDescent="0.35">
      <c r="B65" s="21">
        <v>44987</v>
      </c>
      <c r="C65" s="1">
        <v>0.65</v>
      </c>
      <c r="D65" s="1">
        <v>0.65</v>
      </c>
      <c r="E65" s="6">
        <f t="shared" si="48"/>
        <v>-1.5151515151515138E-2</v>
      </c>
      <c r="F65" s="21">
        <v>44987</v>
      </c>
      <c r="G65" s="1">
        <v>21.7</v>
      </c>
      <c r="H65" s="1">
        <v>12.7758</v>
      </c>
      <c r="I65" s="6">
        <f t="shared" si="49"/>
        <v>-1.3634538772737126E-2</v>
      </c>
      <c r="J65" s="21">
        <v>44987</v>
      </c>
      <c r="K65" s="1">
        <v>39</v>
      </c>
      <c r="L65" s="1">
        <v>23.445399999999999</v>
      </c>
      <c r="M65" s="6">
        <f t="shared" si="50"/>
        <v>2.5597924861564536E-4</v>
      </c>
      <c r="N65" s="21">
        <v>44987</v>
      </c>
      <c r="O65" s="1">
        <v>26.19</v>
      </c>
      <c r="P65" s="1">
        <v>23.028199999999998</v>
      </c>
      <c r="Q65" s="6">
        <f t="shared" si="51"/>
        <v>9.2474098487105305E-3</v>
      </c>
      <c r="R65" s="21">
        <v>44987</v>
      </c>
      <c r="S65" s="1">
        <v>7.28</v>
      </c>
      <c r="T65" s="1">
        <v>6.4305000000000003</v>
      </c>
      <c r="U65" s="6">
        <f t="shared" si="52"/>
        <v>-1.3666081716956491E-3</v>
      </c>
      <c r="V65" s="21">
        <v>44987</v>
      </c>
      <c r="W65" s="1">
        <v>6.05</v>
      </c>
      <c r="X65" s="1">
        <v>5.1390000000000002</v>
      </c>
      <c r="Y65" s="6">
        <f t="shared" si="53"/>
        <v>-1.5543034777539821E-3</v>
      </c>
      <c r="Z65" s="21">
        <v>44987</v>
      </c>
      <c r="AA65" s="1">
        <v>1.79</v>
      </c>
      <c r="AB65" s="1">
        <v>1.79</v>
      </c>
      <c r="AC65" s="6">
        <f t="shared" si="54"/>
        <v>-5.5555555555555358E-3</v>
      </c>
      <c r="AD65" s="21">
        <v>44987</v>
      </c>
      <c r="AE65" s="1">
        <v>8</v>
      </c>
      <c r="AF65" s="1">
        <v>7.2358000000000002</v>
      </c>
      <c r="AG65" s="6">
        <f t="shared" si="55"/>
        <v>1.2651496067400014E-2</v>
      </c>
      <c r="AH65" s="21">
        <v>44987</v>
      </c>
      <c r="AI65" s="1">
        <v>9</v>
      </c>
      <c r="AJ65" s="1">
        <v>7.8684000000000003</v>
      </c>
      <c r="AK65" s="6">
        <f t="shared" si="56"/>
        <v>5.5848786534946626E-3</v>
      </c>
      <c r="AL65" s="21">
        <v>44987</v>
      </c>
      <c r="AM65" s="1">
        <v>1.8</v>
      </c>
      <c r="AN65" s="1">
        <v>1.6879999999999999</v>
      </c>
      <c r="AO65" s="6">
        <v>-5.5378814657712772E-3</v>
      </c>
      <c r="AP65" s="21" t="s">
        <v>68</v>
      </c>
      <c r="AQ65" s="1">
        <v>8083.41</v>
      </c>
      <c r="AR65" s="6">
        <v>6.0937587513769653E-3</v>
      </c>
    </row>
    <row r="66" spans="2:44" x14ac:dyDescent="0.35">
      <c r="B66" s="21">
        <v>44988</v>
      </c>
      <c r="C66" s="1">
        <v>0.66</v>
      </c>
      <c r="D66" s="1">
        <v>0.66</v>
      </c>
      <c r="E66" s="6">
        <f t="shared" si="48"/>
        <v>1.538461538461533E-2</v>
      </c>
      <c r="F66" s="21">
        <v>44988</v>
      </c>
      <c r="G66" s="1">
        <v>21.9</v>
      </c>
      <c r="H66" s="1">
        <v>12.8935</v>
      </c>
      <c r="I66" s="6">
        <f t="shared" si="49"/>
        <v>9.2127303182578668E-3</v>
      </c>
      <c r="J66" s="21">
        <v>44988</v>
      </c>
      <c r="K66" s="1">
        <v>38.9</v>
      </c>
      <c r="L66" s="1">
        <v>23.385300000000001</v>
      </c>
      <c r="M66" s="6">
        <f t="shared" si="50"/>
        <v>-2.5634026290870526E-3</v>
      </c>
      <c r="N66" s="21">
        <v>44988</v>
      </c>
      <c r="O66" s="1">
        <v>26.1</v>
      </c>
      <c r="P66" s="1">
        <v>22.949100000000001</v>
      </c>
      <c r="Q66" s="6">
        <f t="shared" si="51"/>
        <v>-3.4349189254911927E-3</v>
      </c>
      <c r="R66" s="21">
        <v>44988</v>
      </c>
      <c r="S66" s="1">
        <v>7.27</v>
      </c>
      <c r="T66" s="1">
        <v>6.4215999999999998</v>
      </c>
      <c r="U66" s="6">
        <f t="shared" si="52"/>
        <v>-1.3840292356738226E-3</v>
      </c>
      <c r="V66" s="21">
        <v>44988</v>
      </c>
      <c r="W66" s="1">
        <v>6.05</v>
      </c>
      <c r="X66" s="1">
        <v>5.1390000000000002</v>
      </c>
      <c r="Y66" s="6">
        <f t="shared" si="53"/>
        <v>0</v>
      </c>
      <c r="Z66" s="21">
        <v>44988</v>
      </c>
      <c r="AA66" s="1">
        <v>1.8</v>
      </c>
      <c r="AB66" s="1">
        <v>1.8</v>
      </c>
      <c r="AC66" s="6">
        <f t="shared" si="54"/>
        <v>5.5865921787709993E-3</v>
      </c>
      <c r="AD66" s="21">
        <v>44988</v>
      </c>
      <c r="AE66" s="1">
        <v>7.8</v>
      </c>
      <c r="AF66" s="1">
        <v>7.0548999999999999</v>
      </c>
      <c r="AG66" s="6">
        <f t="shared" si="55"/>
        <v>-2.5000691008596143E-2</v>
      </c>
      <c r="AH66" s="21">
        <v>44988</v>
      </c>
      <c r="AI66" s="1">
        <v>9.0399999999999991</v>
      </c>
      <c r="AJ66" s="1">
        <v>7.9034000000000004</v>
      </c>
      <c r="AK66" s="6">
        <f t="shared" si="56"/>
        <v>4.4481724365816877E-3</v>
      </c>
      <c r="AL66" s="21">
        <v>44988</v>
      </c>
      <c r="AM66" s="1">
        <v>1.8</v>
      </c>
      <c r="AN66" s="1">
        <v>1.6879999999999999</v>
      </c>
      <c r="AO66" s="6">
        <v>0</v>
      </c>
      <c r="AP66" s="21" t="s">
        <v>69</v>
      </c>
      <c r="AQ66" s="1">
        <v>8101.07</v>
      </c>
      <c r="AR66" s="6">
        <v>2.1847215469708026E-3</v>
      </c>
    </row>
    <row r="67" spans="2:44" x14ac:dyDescent="0.35">
      <c r="B67" s="21">
        <v>44991</v>
      </c>
      <c r="C67" s="1">
        <v>0.65</v>
      </c>
      <c r="D67" s="1">
        <v>0.65</v>
      </c>
      <c r="E67" s="6">
        <f t="shared" si="48"/>
        <v>-1.5151515151515138E-2</v>
      </c>
      <c r="F67" s="21">
        <v>44991</v>
      </c>
      <c r="G67" s="1">
        <v>22.1</v>
      </c>
      <c r="H67" s="1">
        <v>13.0113</v>
      </c>
      <c r="I67" s="6">
        <f t="shared" si="49"/>
        <v>9.1363865513631737E-3</v>
      </c>
      <c r="J67" s="21">
        <v>44991</v>
      </c>
      <c r="K67" s="1">
        <v>38.9</v>
      </c>
      <c r="L67" s="1">
        <v>23.385300000000001</v>
      </c>
      <c r="M67" s="6">
        <f t="shared" ref="M67:M130" si="57">(L67/L66)-1</f>
        <v>0</v>
      </c>
      <c r="N67" s="21">
        <v>44991</v>
      </c>
      <c r="O67" s="1">
        <v>26.1</v>
      </c>
      <c r="P67" s="1">
        <v>22.949100000000001</v>
      </c>
      <c r="Q67" s="6">
        <f t="shared" ref="Q67:Q130" si="58">(P67/P66)-1</f>
        <v>0</v>
      </c>
      <c r="R67" s="21">
        <v>44991</v>
      </c>
      <c r="S67" s="1">
        <v>7.27</v>
      </c>
      <c r="T67" s="1">
        <v>6.4215999999999998</v>
      </c>
      <c r="U67" s="6">
        <f t="shared" si="52"/>
        <v>0</v>
      </c>
      <c r="V67" s="21">
        <v>44991</v>
      </c>
      <c r="W67" s="1">
        <v>6.04</v>
      </c>
      <c r="X67" s="1">
        <v>5.13</v>
      </c>
      <c r="Y67" s="6">
        <f t="shared" si="53"/>
        <v>-1.7513134851139256E-3</v>
      </c>
      <c r="Z67" s="21">
        <v>44991</v>
      </c>
      <c r="AA67" s="1">
        <v>1.81</v>
      </c>
      <c r="AB67" s="1">
        <v>1.81</v>
      </c>
      <c r="AC67" s="6">
        <f t="shared" ref="AC67:AC130" si="59">(AB67/AB66)-1</f>
        <v>5.5555555555555358E-3</v>
      </c>
      <c r="AD67" s="21">
        <v>44991</v>
      </c>
      <c r="AE67" s="1">
        <v>8.18</v>
      </c>
      <c r="AF67" s="1">
        <v>7.3986000000000001</v>
      </c>
      <c r="AG67" s="6">
        <f t="shared" ref="AG67:AG130" si="60">(AF67/AF66)-1</f>
        <v>4.8717912372960637E-2</v>
      </c>
      <c r="AH67" s="21">
        <v>44991</v>
      </c>
      <c r="AI67" s="1">
        <v>9</v>
      </c>
      <c r="AJ67" s="1">
        <v>7.8684000000000003</v>
      </c>
      <c r="AK67" s="6">
        <f t="shared" ref="AK67:AK130" si="61">(AJ67/AJ66)-1</f>
        <v>-4.4284738213933306E-3</v>
      </c>
      <c r="AL67" s="21">
        <v>44991</v>
      </c>
      <c r="AM67" s="1">
        <v>1.77</v>
      </c>
      <c r="AN67" s="1">
        <v>1.6598999999999999</v>
      </c>
      <c r="AO67" s="6">
        <v>-1.6646919431279605E-2</v>
      </c>
      <c r="AP67" s="21" t="s">
        <v>70</v>
      </c>
      <c r="AQ67" s="1">
        <v>8131.78</v>
      </c>
      <c r="AR67" s="6">
        <v>3.7908572571276888E-3</v>
      </c>
    </row>
    <row r="68" spans="2:44" x14ac:dyDescent="0.35">
      <c r="B68" s="21">
        <v>44992</v>
      </c>
      <c r="C68" s="1">
        <v>0.64</v>
      </c>
      <c r="D68" s="1">
        <v>0.64</v>
      </c>
      <c r="E68" s="6">
        <f t="shared" si="48"/>
        <v>-1.5384615384615441E-2</v>
      </c>
      <c r="F68" s="21">
        <v>44992</v>
      </c>
      <c r="G68" s="1">
        <v>22</v>
      </c>
      <c r="H68" s="1">
        <v>12.952400000000001</v>
      </c>
      <c r="I68" s="6">
        <f t="shared" si="49"/>
        <v>-4.5268343670501476E-3</v>
      </c>
      <c r="J68" s="21">
        <v>44992</v>
      </c>
      <c r="K68" s="1">
        <v>38.5</v>
      </c>
      <c r="L68" s="1">
        <v>23.1448</v>
      </c>
      <c r="M68" s="6">
        <f t="shared" si="57"/>
        <v>-1.0284238389073552E-2</v>
      </c>
      <c r="N68" s="21">
        <v>44992</v>
      </c>
      <c r="O68" s="1">
        <v>26.04</v>
      </c>
      <c r="P68" s="1">
        <v>22.8963</v>
      </c>
      <c r="Q68" s="6">
        <f t="shared" si="58"/>
        <v>-2.3007438200191022E-3</v>
      </c>
      <c r="R68" s="21">
        <v>44992</v>
      </c>
      <c r="S68" s="1">
        <v>7.26</v>
      </c>
      <c r="T68" s="1">
        <v>6.4127999999999998</v>
      </c>
      <c r="U68" s="6">
        <f t="shared" si="52"/>
        <v>-1.3703749844274915E-3</v>
      </c>
      <c r="V68" s="21">
        <v>44992</v>
      </c>
      <c r="W68" s="1">
        <v>6</v>
      </c>
      <c r="X68" s="1">
        <v>5.0960000000000001</v>
      </c>
      <c r="Y68" s="6">
        <f t="shared" si="53"/>
        <v>-6.6276803118907601E-3</v>
      </c>
      <c r="Z68" s="21">
        <v>44992</v>
      </c>
      <c r="AA68" s="1">
        <v>1.81</v>
      </c>
      <c r="AB68" s="1">
        <v>1.81</v>
      </c>
      <c r="AC68" s="6">
        <f t="shared" si="59"/>
        <v>0</v>
      </c>
      <c r="AD68" s="21">
        <v>44992</v>
      </c>
      <c r="AE68" s="1">
        <v>8.18</v>
      </c>
      <c r="AF68" s="1">
        <v>7.3986000000000001</v>
      </c>
      <c r="AG68" s="6">
        <f t="shared" si="60"/>
        <v>0</v>
      </c>
      <c r="AH68" s="21">
        <v>44992</v>
      </c>
      <c r="AI68" s="1">
        <v>8.9</v>
      </c>
      <c r="AJ68" s="1">
        <v>7.7809999999999997</v>
      </c>
      <c r="AK68" s="6">
        <f t="shared" si="61"/>
        <v>-1.1107722027349998E-2</v>
      </c>
      <c r="AL68" s="21">
        <v>44992</v>
      </c>
      <c r="AM68" s="1">
        <v>1.72</v>
      </c>
      <c r="AN68" s="1">
        <v>1.613</v>
      </c>
      <c r="AO68" s="6">
        <v>-2.8254714139405945E-2</v>
      </c>
      <c r="AP68" s="21" t="s">
        <v>71</v>
      </c>
      <c r="AQ68" s="1">
        <v>8105.62</v>
      </c>
      <c r="AR68" s="6">
        <v>-3.217007838382191E-3</v>
      </c>
    </row>
    <row r="69" spans="2:44" x14ac:dyDescent="0.35">
      <c r="B69" s="21">
        <v>44993</v>
      </c>
      <c r="C69" s="1">
        <v>0.66</v>
      </c>
      <c r="D69" s="1">
        <v>0.66</v>
      </c>
      <c r="E69" s="6">
        <f t="shared" si="48"/>
        <v>3.125E-2</v>
      </c>
      <c r="F69" s="21">
        <v>44993</v>
      </c>
      <c r="G69" s="1">
        <v>21.7</v>
      </c>
      <c r="H69" s="1">
        <v>12.7758</v>
      </c>
      <c r="I69" s="6">
        <f t="shared" si="49"/>
        <v>-1.3634538772737126E-2</v>
      </c>
      <c r="J69" s="21">
        <v>44993</v>
      </c>
      <c r="K69" s="1">
        <v>37.549999999999997</v>
      </c>
      <c r="L69" s="1">
        <v>22.573699999999999</v>
      </c>
      <c r="M69" s="6">
        <f t="shared" si="57"/>
        <v>-2.4675089004873696E-2</v>
      </c>
      <c r="N69" s="21">
        <v>44993</v>
      </c>
      <c r="O69" s="1">
        <v>26</v>
      </c>
      <c r="P69" s="1">
        <v>22.8611</v>
      </c>
      <c r="Q69" s="6">
        <f t="shared" si="58"/>
        <v>-1.5373662993584114E-3</v>
      </c>
      <c r="R69" s="21">
        <v>44993</v>
      </c>
      <c r="S69" s="1">
        <v>7.1</v>
      </c>
      <c r="T69" s="1">
        <v>6.2714999999999996</v>
      </c>
      <c r="U69" s="6">
        <f t="shared" si="52"/>
        <v>-2.2034056886227615E-2</v>
      </c>
      <c r="V69" s="21">
        <v>44993</v>
      </c>
      <c r="W69" s="1">
        <v>6</v>
      </c>
      <c r="X69" s="1">
        <v>5.0960000000000001</v>
      </c>
      <c r="Y69" s="6">
        <f t="shared" si="53"/>
        <v>0</v>
      </c>
      <c r="Z69" s="21">
        <v>44993</v>
      </c>
      <c r="AA69" s="1">
        <v>1.81</v>
      </c>
      <c r="AB69" s="1">
        <v>1.81</v>
      </c>
      <c r="AC69" s="6">
        <f t="shared" si="59"/>
        <v>0</v>
      </c>
      <c r="AD69" s="21">
        <v>44993</v>
      </c>
      <c r="AE69" s="1">
        <v>8.18</v>
      </c>
      <c r="AF69" s="1">
        <v>7.3986000000000001</v>
      </c>
      <c r="AG69" s="6">
        <f t="shared" si="60"/>
        <v>0</v>
      </c>
      <c r="AH69" s="21">
        <v>44993</v>
      </c>
      <c r="AI69" s="1">
        <v>8.9</v>
      </c>
      <c r="AJ69" s="1">
        <v>7.7809999999999997</v>
      </c>
      <c r="AK69" s="6">
        <f t="shared" si="61"/>
        <v>0</v>
      </c>
      <c r="AL69" s="21">
        <v>44993</v>
      </c>
      <c r="AM69" s="1">
        <v>1.7</v>
      </c>
      <c r="AN69" s="1">
        <v>1.5943000000000001</v>
      </c>
      <c r="AO69" s="6">
        <v>-1.1593304401735893E-2</v>
      </c>
      <c r="AP69" s="21" t="s">
        <v>72</v>
      </c>
      <c r="AQ69" s="1">
        <v>8092.05</v>
      </c>
      <c r="AR69" s="6">
        <v>-1.6741470732651864E-3</v>
      </c>
    </row>
    <row r="70" spans="2:44" x14ac:dyDescent="0.35">
      <c r="B70" s="21">
        <v>44994</v>
      </c>
      <c r="C70" s="1">
        <v>0.66</v>
      </c>
      <c r="D70" s="1">
        <v>0.66</v>
      </c>
      <c r="E70" s="6">
        <f t="shared" si="48"/>
        <v>0</v>
      </c>
      <c r="F70" s="21">
        <v>44994</v>
      </c>
      <c r="G70" s="1">
        <v>21.99</v>
      </c>
      <c r="H70" s="1">
        <v>12.9465</v>
      </c>
      <c r="I70" s="6">
        <f t="shared" si="49"/>
        <v>1.3361198515944306E-2</v>
      </c>
      <c r="J70" s="21">
        <v>44994</v>
      </c>
      <c r="K70" s="1">
        <v>38.4</v>
      </c>
      <c r="L70" s="1">
        <v>23.084700000000002</v>
      </c>
      <c r="M70" s="6">
        <f t="shared" si="57"/>
        <v>2.2636962482889489E-2</v>
      </c>
      <c r="N70" s="21">
        <v>44994</v>
      </c>
      <c r="O70" s="1">
        <v>25.83</v>
      </c>
      <c r="P70" s="1">
        <v>22.7117</v>
      </c>
      <c r="Q70" s="6">
        <f t="shared" si="58"/>
        <v>-6.5351186075910395E-3</v>
      </c>
      <c r="R70" s="21">
        <v>44994</v>
      </c>
      <c r="S70" s="1">
        <v>7.1</v>
      </c>
      <c r="T70" s="1">
        <v>6.2714999999999996</v>
      </c>
      <c r="U70" s="6">
        <f t="shared" si="52"/>
        <v>0</v>
      </c>
      <c r="V70" s="21">
        <v>44994</v>
      </c>
      <c r="W70" s="1">
        <v>5.99</v>
      </c>
      <c r="X70" s="1">
        <v>5.0880000000000001</v>
      </c>
      <c r="Y70" s="6">
        <f t="shared" si="53"/>
        <v>-1.5698587127158659E-3</v>
      </c>
      <c r="Z70" s="21">
        <v>44994</v>
      </c>
      <c r="AA70" s="1">
        <v>1.81</v>
      </c>
      <c r="AB70" s="1">
        <v>1.81</v>
      </c>
      <c r="AC70" s="6">
        <f t="shared" si="59"/>
        <v>0</v>
      </c>
      <c r="AD70" s="21">
        <v>44994</v>
      </c>
      <c r="AE70" s="1">
        <v>8.08</v>
      </c>
      <c r="AF70" s="1">
        <v>7.3082000000000003</v>
      </c>
      <c r="AG70" s="6">
        <f t="shared" si="60"/>
        <v>-1.2218527829589321E-2</v>
      </c>
      <c r="AH70" s="21">
        <v>44994</v>
      </c>
      <c r="AI70" s="1">
        <v>8.9</v>
      </c>
      <c r="AJ70" s="1">
        <v>7.7809999999999997</v>
      </c>
      <c r="AK70" s="6">
        <f t="shared" si="61"/>
        <v>0</v>
      </c>
      <c r="AL70" s="21">
        <v>44994</v>
      </c>
      <c r="AM70" s="1">
        <v>1.7</v>
      </c>
      <c r="AN70" s="1">
        <v>1.5943000000000001</v>
      </c>
      <c r="AO70" s="6">
        <v>0</v>
      </c>
      <c r="AP70" s="21" t="s">
        <v>73</v>
      </c>
      <c r="AQ70" s="1">
        <v>8109.47</v>
      </c>
      <c r="AR70" s="6">
        <v>2.1527301487263006E-3</v>
      </c>
    </row>
    <row r="71" spans="2:44" x14ac:dyDescent="0.35">
      <c r="B71" s="21">
        <v>44995</v>
      </c>
      <c r="C71" s="1">
        <v>0.66</v>
      </c>
      <c r="D71" s="1">
        <v>0.66</v>
      </c>
      <c r="E71" s="6">
        <f t="shared" si="48"/>
        <v>0</v>
      </c>
      <c r="F71" s="21">
        <v>44995</v>
      </c>
      <c r="G71" s="1">
        <v>21.9</v>
      </c>
      <c r="H71" s="1">
        <v>12.8935</v>
      </c>
      <c r="I71" s="6">
        <f t="shared" ref="I71:I134" si="62">(H71/H70)-1</f>
        <v>-4.0937705171282257E-3</v>
      </c>
      <c r="J71" s="21">
        <v>44995</v>
      </c>
      <c r="K71" s="1">
        <v>38.36</v>
      </c>
      <c r="L71" s="1">
        <v>23.060700000000001</v>
      </c>
      <c r="M71" s="6">
        <f t="shared" si="57"/>
        <v>-1.0396496380720155E-3</v>
      </c>
      <c r="N71" s="21">
        <v>44995</v>
      </c>
      <c r="O71" s="1">
        <v>25.97</v>
      </c>
      <c r="P71" s="1">
        <v>22.834700000000002</v>
      </c>
      <c r="Q71" s="6">
        <f t="shared" si="58"/>
        <v>5.4157108450711977E-3</v>
      </c>
      <c r="R71" s="21">
        <v>44995</v>
      </c>
      <c r="S71" s="1">
        <v>7.1</v>
      </c>
      <c r="T71" s="1">
        <v>6.2714999999999996</v>
      </c>
      <c r="U71" s="6">
        <f t="shared" si="52"/>
        <v>0</v>
      </c>
      <c r="V71" s="21">
        <v>44995</v>
      </c>
      <c r="W71" s="1">
        <v>6.25</v>
      </c>
      <c r="X71" s="1">
        <v>5.3090000000000002</v>
      </c>
      <c r="Y71" s="6">
        <f t="shared" si="53"/>
        <v>4.343553459119498E-2</v>
      </c>
      <c r="Z71" s="21">
        <v>44995</v>
      </c>
      <c r="AA71" s="1">
        <v>1.79</v>
      </c>
      <c r="AB71" s="1">
        <v>1.79</v>
      </c>
      <c r="AC71" s="6">
        <f t="shared" si="59"/>
        <v>-1.1049723756906049E-2</v>
      </c>
      <c r="AD71" s="21">
        <v>44995</v>
      </c>
      <c r="AE71" s="1">
        <v>7.7</v>
      </c>
      <c r="AF71" s="1">
        <v>6.9645000000000001</v>
      </c>
      <c r="AG71" s="6">
        <f t="shared" si="60"/>
        <v>-4.7029364275745111E-2</v>
      </c>
      <c r="AH71" s="21">
        <v>44995</v>
      </c>
      <c r="AI71" s="1">
        <v>8.98</v>
      </c>
      <c r="AJ71" s="1">
        <v>7.851</v>
      </c>
      <c r="AK71" s="6">
        <f t="shared" si="61"/>
        <v>8.9962729726256185E-3</v>
      </c>
      <c r="AL71" s="21">
        <v>44995</v>
      </c>
      <c r="AM71" s="1">
        <v>1.69</v>
      </c>
      <c r="AN71" s="1">
        <v>1.5849</v>
      </c>
      <c r="AO71" s="6">
        <v>-5.8960045160886265E-3</v>
      </c>
      <c r="AP71" s="21" t="s">
        <v>74</v>
      </c>
      <c r="AQ71" s="1">
        <v>8086.27</v>
      </c>
      <c r="AR71" s="6">
        <v>-2.860852805423808E-3</v>
      </c>
    </row>
    <row r="72" spans="2:44" x14ac:dyDescent="0.35">
      <c r="B72" s="21">
        <v>44998</v>
      </c>
      <c r="C72" s="1">
        <v>0.66</v>
      </c>
      <c r="D72" s="1">
        <v>0.66</v>
      </c>
      <c r="E72" s="6">
        <f t="shared" si="48"/>
        <v>0</v>
      </c>
      <c r="F72" s="21">
        <v>44998</v>
      </c>
      <c r="G72" s="1">
        <v>21.97</v>
      </c>
      <c r="H72" s="1">
        <v>12.934699999999999</v>
      </c>
      <c r="I72" s="6">
        <f t="shared" si="62"/>
        <v>3.1954085391863174E-3</v>
      </c>
      <c r="J72" s="21">
        <v>44998</v>
      </c>
      <c r="K72" s="1">
        <v>38.36</v>
      </c>
      <c r="L72" s="1">
        <v>23.060700000000001</v>
      </c>
      <c r="M72" s="6">
        <f t="shared" si="57"/>
        <v>0</v>
      </c>
      <c r="N72" s="21">
        <v>44998</v>
      </c>
      <c r="O72" s="1">
        <v>25.7</v>
      </c>
      <c r="P72" s="1">
        <v>22.597300000000001</v>
      </c>
      <c r="Q72" s="6">
        <f t="shared" si="58"/>
        <v>-1.0396458022220556E-2</v>
      </c>
      <c r="R72" s="21">
        <v>44998</v>
      </c>
      <c r="S72" s="1">
        <v>7.05</v>
      </c>
      <c r="T72" s="1">
        <v>6.2272999999999996</v>
      </c>
      <c r="U72" s="6">
        <f t="shared" si="52"/>
        <v>-7.0477557203221242E-3</v>
      </c>
      <c r="V72" s="21">
        <v>44998</v>
      </c>
      <c r="W72" s="1">
        <v>6.28</v>
      </c>
      <c r="X72" s="1">
        <v>5.3339999999999996</v>
      </c>
      <c r="Y72" s="6">
        <f t="shared" si="53"/>
        <v>4.7089847428893883E-3</v>
      </c>
      <c r="Z72" s="21">
        <v>44998</v>
      </c>
      <c r="AA72" s="1">
        <v>1.81</v>
      </c>
      <c r="AB72" s="1">
        <v>1.81</v>
      </c>
      <c r="AC72" s="6">
        <f t="shared" si="59"/>
        <v>1.1173184357541999E-2</v>
      </c>
      <c r="AD72" s="21">
        <v>44998</v>
      </c>
      <c r="AE72" s="1">
        <v>8.08</v>
      </c>
      <c r="AF72" s="1">
        <v>7.3082000000000003</v>
      </c>
      <c r="AG72" s="6">
        <f t="shared" si="60"/>
        <v>4.9350276401751714E-2</v>
      </c>
      <c r="AH72" s="21">
        <v>44998</v>
      </c>
      <c r="AI72" s="1">
        <v>8.98</v>
      </c>
      <c r="AJ72" s="1">
        <v>7.851</v>
      </c>
      <c r="AK72" s="6">
        <f t="shared" si="61"/>
        <v>0</v>
      </c>
      <c r="AL72" s="21">
        <v>44998</v>
      </c>
      <c r="AM72" s="1">
        <v>1.62</v>
      </c>
      <c r="AN72" s="1">
        <v>1.5192000000000001</v>
      </c>
      <c r="AO72" s="6">
        <v>-4.1453719477569484E-2</v>
      </c>
      <c r="AP72" s="21" t="s">
        <v>75</v>
      </c>
      <c r="AQ72" s="1">
        <v>8089.51</v>
      </c>
      <c r="AR72" s="6">
        <v>4.00679175936558E-4</v>
      </c>
    </row>
    <row r="73" spans="2:44" x14ac:dyDescent="0.35">
      <c r="B73" s="21">
        <v>44999</v>
      </c>
      <c r="C73" s="1">
        <v>0.65</v>
      </c>
      <c r="D73" s="1">
        <v>0.65</v>
      </c>
      <c r="E73" s="6">
        <f t="shared" si="48"/>
        <v>-1.5151515151515138E-2</v>
      </c>
      <c r="F73" s="21">
        <v>44999</v>
      </c>
      <c r="G73" s="1">
        <v>21.97</v>
      </c>
      <c r="H73" s="1">
        <v>12.934699999999999</v>
      </c>
      <c r="I73" s="6">
        <f t="shared" si="62"/>
        <v>0</v>
      </c>
      <c r="J73" s="21">
        <v>44999</v>
      </c>
      <c r="K73" s="1">
        <v>37.950000000000003</v>
      </c>
      <c r="L73" s="1">
        <v>22.8142</v>
      </c>
      <c r="M73" s="6">
        <f t="shared" si="57"/>
        <v>-1.0689181161022909E-2</v>
      </c>
      <c r="N73" s="21">
        <v>44999</v>
      </c>
      <c r="O73" s="1">
        <v>25.9</v>
      </c>
      <c r="P73" s="1">
        <v>22.773199999999999</v>
      </c>
      <c r="Q73" s="6">
        <f t="shared" si="58"/>
        <v>7.7841158014453349E-3</v>
      </c>
      <c r="R73" s="21">
        <v>44999</v>
      </c>
      <c r="S73" s="1">
        <v>7.09</v>
      </c>
      <c r="T73" s="1">
        <v>6.2625999999999999</v>
      </c>
      <c r="U73" s="6">
        <f t="shared" ref="U73:U136" si="63">(T73/T72)-1</f>
        <v>5.6685883127520764E-3</v>
      </c>
      <c r="V73" s="21">
        <v>44999</v>
      </c>
      <c r="W73" s="1">
        <v>6.27</v>
      </c>
      <c r="X73" s="1">
        <v>5.3259999999999996</v>
      </c>
      <c r="Y73" s="6">
        <f t="shared" si="53"/>
        <v>-1.4998125234345627E-3</v>
      </c>
      <c r="Z73" s="21">
        <v>44999</v>
      </c>
      <c r="AA73" s="1">
        <v>1.79</v>
      </c>
      <c r="AB73" s="1">
        <v>1.79</v>
      </c>
      <c r="AC73" s="6">
        <f t="shared" si="59"/>
        <v>-1.1049723756906049E-2</v>
      </c>
      <c r="AD73" s="21">
        <v>44999</v>
      </c>
      <c r="AE73" s="1">
        <v>8</v>
      </c>
      <c r="AF73" s="1">
        <v>7.2358000000000002</v>
      </c>
      <c r="AG73" s="6">
        <f t="shared" si="60"/>
        <v>-9.906680167483084E-3</v>
      </c>
      <c r="AH73" s="21">
        <v>44999</v>
      </c>
      <c r="AI73" s="1">
        <v>8.9</v>
      </c>
      <c r="AJ73" s="1">
        <v>7.7809999999999997</v>
      </c>
      <c r="AK73" s="6">
        <f t="shared" si="61"/>
        <v>-8.9160616481976929E-3</v>
      </c>
      <c r="AL73" s="21">
        <v>44999</v>
      </c>
      <c r="AM73" s="1">
        <v>1.57</v>
      </c>
      <c r="AN73" s="1">
        <v>1.4722999999999999</v>
      </c>
      <c r="AO73" s="6">
        <v>-3.0871511321748368E-2</v>
      </c>
      <c r="AP73" s="21" t="s">
        <v>76</v>
      </c>
      <c r="AQ73" s="1">
        <v>8100.5</v>
      </c>
      <c r="AR73" s="6">
        <v>1.3585495289578642E-3</v>
      </c>
    </row>
    <row r="74" spans="2:44" x14ac:dyDescent="0.35">
      <c r="B74" s="21">
        <v>45000</v>
      </c>
      <c r="C74" s="1">
        <v>0.65</v>
      </c>
      <c r="D74" s="1">
        <v>0.65</v>
      </c>
      <c r="E74" s="6">
        <f t="shared" si="48"/>
        <v>0</v>
      </c>
      <c r="F74" s="21">
        <v>45000</v>
      </c>
      <c r="G74" s="1">
        <v>21.97</v>
      </c>
      <c r="H74" s="1">
        <v>12.934699999999999</v>
      </c>
      <c r="I74" s="6">
        <f t="shared" si="62"/>
        <v>0</v>
      </c>
      <c r="J74" s="21">
        <v>45000</v>
      </c>
      <c r="K74" s="1">
        <v>38</v>
      </c>
      <c r="L74" s="1">
        <v>22.844200000000001</v>
      </c>
      <c r="M74" s="6">
        <f t="shared" si="57"/>
        <v>1.3149705008284052E-3</v>
      </c>
      <c r="N74" s="21">
        <v>45000</v>
      </c>
      <c r="O74" s="1">
        <v>25.64</v>
      </c>
      <c r="P74" s="1">
        <v>22.544599999999999</v>
      </c>
      <c r="Q74" s="6">
        <f t="shared" si="58"/>
        <v>-1.0038114977253931E-2</v>
      </c>
      <c r="R74" s="21">
        <v>45000</v>
      </c>
      <c r="S74" s="1">
        <v>7.05</v>
      </c>
      <c r="T74" s="1">
        <v>6.2272999999999996</v>
      </c>
      <c r="U74" s="6">
        <f t="shared" si="63"/>
        <v>-5.6366365407339858E-3</v>
      </c>
      <c r="V74" s="21">
        <v>45000</v>
      </c>
      <c r="W74" s="1">
        <v>6.34</v>
      </c>
      <c r="X74" s="1">
        <v>5.3849999999999998</v>
      </c>
      <c r="Y74" s="6">
        <f t="shared" si="53"/>
        <v>1.1077731881336872E-2</v>
      </c>
      <c r="Z74" s="21">
        <v>45000</v>
      </c>
      <c r="AA74" s="1">
        <v>1.8</v>
      </c>
      <c r="AB74" s="1">
        <v>1.8</v>
      </c>
      <c r="AC74" s="6">
        <f t="shared" si="59"/>
        <v>5.5865921787709993E-3</v>
      </c>
      <c r="AD74" s="21">
        <v>45000</v>
      </c>
      <c r="AE74" s="1">
        <v>7.99</v>
      </c>
      <c r="AF74" s="1">
        <v>7.2267999999999999</v>
      </c>
      <c r="AG74" s="6">
        <f t="shared" si="60"/>
        <v>-1.2438154730645135E-3</v>
      </c>
      <c r="AH74" s="21">
        <v>45000</v>
      </c>
      <c r="AI74" s="1">
        <v>8.9</v>
      </c>
      <c r="AJ74" s="1">
        <v>7.7809999999999997</v>
      </c>
      <c r="AK74" s="6">
        <f t="shared" si="61"/>
        <v>0</v>
      </c>
      <c r="AL74" s="21">
        <v>45000</v>
      </c>
      <c r="AM74" s="1">
        <v>1.53</v>
      </c>
      <c r="AN74" s="1">
        <v>1.4348000000000001</v>
      </c>
      <c r="AO74" s="6">
        <v>-2.5470352509678662E-2</v>
      </c>
      <c r="AP74" s="21" t="s">
        <v>77</v>
      </c>
      <c r="AQ74" s="1">
        <v>8093.37</v>
      </c>
      <c r="AR74" s="6">
        <v>-8.8019258070493045E-4</v>
      </c>
    </row>
    <row r="75" spans="2:44" x14ac:dyDescent="0.35">
      <c r="B75" s="21">
        <v>45001</v>
      </c>
      <c r="C75" s="1">
        <v>0.64</v>
      </c>
      <c r="D75" s="1">
        <v>0.64</v>
      </c>
      <c r="E75" s="6">
        <f t="shared" si="48"/>
        <v>-1.5384615384615441E-2</v>
      </c>
      <c r="F75" s="21">
        <v>45001</v>
      </c>
      <c r="G75" s="1">
        <v>21.97</v>
      </c>
      <c r="H75" s="1">
        <v>12.934699999999999</v>
      </c>
      <c r="I75" s="6">
        <f t="shared" si="62"/>
        <v>0</v>
      </c>
      <c r="J75" s="21">
        <v>45001</v>
      </c>
      <c r="K75" s="1">
        <v>38.200000000000003</v>
      </c>
      <c r="L75" s="1">
        <v>22.964500000000001</v>
      </c>
      <c r="M75" s="6">
        <f t="shared" si="57"/>
        <v>5.2661069330508514E-3</v>
      </c>
      <c r="N75" s="21">
        <v>45001</v>
      </c>
      <c r="O75" s="1">
        <v>25.5</v>
      </c>
      <c r="P75" s="1">
        <v>22.421500000000002</v>
      </c>
      <c r="Q75" s="6">
        <f t="shared" si="58"/>
        <v>-5.4602876076753626E-3</v>
      </c>
      <c r="R75" s="21">
        <v>45001</v>
      </c>
      <c r="S75" s="1">
        <v>7.18</v>
      </c>
      <c r="T75" s="1">
        <v>6.3421000000000003</v>
      </c>
      <c r="U75" s="6">
        <f t="shared" si="63"/>
        <v>1.8434955759317972E-2</v>
      </c>
      <c r="V75" s="21">
        <v>45001</v>
      </c>
      <c r="W75" s="1">
        <v>6.4</v>
      </c>
      <c r="X75" s="1">
        <v>5.4359999999999999</v>
      </c>
      <c r="Y75" s="6">
        <f t="shared" si="53"/>
        <v>9.4707520891366137E-3</v>
      </c>
      <c r="Z75" s="21">
        <v>45001</v>
      </c>
      <c r="AA75" s="1">
        <v>1.79</v>
      </c>
      <c r="AB75" s="1">
        <v>1.79</v>
      </c>
      <c r="AC75" s="6">
        <f t="shared" si="59"/>
        <v>-5.5555555555555358E-3</v>
      </c>
      <c r="AD75" s="21">
        <v>45001</v>
      </c>
      <c r="AE75" s="1">
        <v>7.99</v>
      </c>
      <c r="AF75" s="1">
        <v>7.2267999999999999</v>
      </c>
      <c r="AG75" s="6">
        <f t="shared" si="60"/>
        <v>0</v>
      </c>
      <c r="AH75" s="21">
        <v>45001</v>
      </c>
      <c r="AI75" s="1">
        <v>8.9</v>
      </c>
      <c r="AJ75" s="1">
        <v>7.7809999999999997</v>
      </c>
      <c r="AK75" s="6">
        <f t="shared" si="61"/>
        <v>0</v>
      </c>
      <c r="AL75" s="21">
        <v>45001</v>
      </c>
      <c r="AM75" s="1">
        <v>1.57</v>
      </c>
      <c r="AN75" s="1">
        <v>1.4722999999999999</v>
      </c>
      <c r="AO75" s="6">
        <v>2.6136046835795845E-2</v>
      </c>
      <c r="AP75" s="21" t="s">
        <v>78</v>
      </c>
      <c r="AQ75" s="1">
        <v>8081.02</v>
      </c>
      <c r="AR75" s="6">
        <v>-1.525940368474421E-3</v>
      </c>
    </row>
    <row r="76" spans="2:44" x14ac:dyDescent="0.35">
      <c r="B76" s="21">
        <v>45002</v>
      </c>
      <c r="C76" s="1">
        <v>0.63</v>
      </c>
      <c r="D76" s="1">
        <v>0.63</v>
      </c>
      <c r="E76" s="6">
        <f t="shared" si="48"/>
        <v>-1.5625E-2</v>
      </c>
      <c r="F76" s="21">
        <v>45002</v>
      </c>
      <c r="G76" s="1">
        <v>21.8</v>
      </c>
      <c r="H76" s="1">
        <v>12.8346</v>
      </c>
      <c r="I76" s="6">
        <f t="shared" si="62"/>
        <v>-7.7388729541465473E-3</v>
      </c>
      <c r="J76" s="21">
        <v>45002</v>
      </c>
      <c r="K76" s="1">
        <v>38</v>
      </c>
      <c r="L76" s="1">
        <v>22.844200000000001</v>
      </c>
      <c r="M76" s="6">
        <f t="shared" si="57"/>
        <v>-5.2385203248492829E-3</v>
      </c>
      <c r="N76" s="21">
        <v>45002</v>
      </c>
      <c r="O76" s="1">
        <v>25.4</v>
      </c>
      <c r="P76" s="1">
        <v>22.333600000000001</v>
      </c>
      <c r="Q76" s="6">
        <f t="shared" si="58"/>
        <v>-3.920344312378754E-3</v>
      </c>
      <c r="R76" s="21">
        <v>45002</v>
      </c>
      <c r="S76" s="1">
        <v>7.18</v>
      </c>
      <c r="T76" s="1">
        <v>6.3421000000000003</v>
      </c>
      <c r="U76" s="6">
        <f t="shared" si="63"/>
        <v>0</v>
      </c>
      <c r="V76" s="21">
        <v>45002</v>
      </c>
      <c r="W76" s="1">
        <v>6.4</v>
      </c>
      <c r="X76" s="1">
        <v>5.4359999999999999</v>
      </c>
      <c r="Y76" s="6">
        <f t="shared" si="53"/>
        <v>0</v>
      </c>
      <c r="Z76" s="21">
        <v>45002</v>
      </c>
      <c r="AA76" s="1">
        <v>1.77</v>
      </c>
      <c r="AB76" s="1">
        <v>1.77</v>
      </c>
      <c r="AC76" s="6">
        <f t="shared" si="59"/>
        <v>-1.1173184357541888E-2</v>
      </c>
      <c r="AD76" s="21">
        <v>45002</v>
      </c>
      <c r="AE76" s="1">
        <v>7.98</v>
      </c>
      <c r="AF76" s="1">
        <v>7.2176999999999998</v>
      </c>
      <c r="AG76" s="6">
        <f t="shared" si="60"/>
        <v>-1.2592018597442634E-3</v>
      </c>
      <c r="AH76" s="21">
        <v>45002</v>
      </c>
      <c r="AI76" s="1">
        <v>8.89</v>
      </c>
      <c r="AJ76" s="1">
        <v>7.7723000000000004</v>
      </c>
      <c r="AK76" s="6">
        <f t="shared" si="61"/>
        <v>-1.1181082123119523E-3</v>
      </c>
      <c r="AL76" s="21">
        <v>45002</v>
      </c>
      <c r="AM76" s="1">
        <v>1.64</v>
      </c>
      <c r="AN76" s="1">
        <v>1.538</v>
      </c>
      <c r="AO76" s="6">
        <v>4.4624057596957201E-2</v>
      </c>
      <c r="AP76" s="21" t="s">
        <v>79</v>
      </c>
      <c r="AQ76" s="1">
        <v>8076.18</v>
      </c>
      <c r="AR76" s="6">
        <v>-5.9893429294821665E-4</v>
      </c>
    </row>
    <row r="77" spans="2:44" x14ac:dyDescent="0.35">
      <c r="B77" s="21">
        <v>45006</v>
      </c>
      <c r="C77" s="1">
        <v>0.62</v>
      </c>
      <c r="D77" s="1">
        <v>0.62</v>
      </c>
      <c r="E77" s="6">
        <f t="shared" si="48"/>
        <v>-1.5873015873015928E-2</v>
      </c>
      <c r="F77" s="21">
        <v>45006</v>
      </c>
      <c r="G77" s="1">
        <v>21.75</v>
      </c>
      <c r="H77" s="1">
        <v>12.805199999999999</v>
      </c>
      <c r="I77" s="6">
        <f t="shared" si="62"/>
        <v>-2.2906829975223308E-3</v>
      </c>
      <c r="J77" s="21">
        <v>45006</v>
      </c>
      <c r="K77" s="1">
        <v>38.19</v>
      </c>
      <c r="L77" s="1">
        <v>22.958500000000001</v>
      </c>
      <c r="M77" s="6">
        <f t="shared" si="57"/>
        <v>5.003458208210354E-3</v>
      </c>
      <c r="N77" s="21">
        <v>45006</v>
      </c>
      <c r="O77" s="1">
        <v>23.88</v>
      </c>
      <c r="P77" s="1">
        <v>20.9971</v>
      </c>
      <c r="Q77" s="6">
        <f t="shared" si="58"/>
        <v>-5.9842569043951799E-2</v>
      </c>
      <c r="R77" s="21">
        <v>45006</v>
      </c>
      <c r="S77" s="1">
        <v>7.18</v>
      </c>
      <c r="T77" s="1">
        <v>6.3421000000000003</v>
      </c>
      <c r="U77" s="6">
        <f t="shared" si="63"/>
        <v>0</v>
      </c>
      <c r="V77" s="21">
        <v>45006</v>
      </c>
      <c r="W77" s="1">
        <v>6.35</v>
      </c>
      <c r="X77" s="1">
        <v>5.3940000000000001</v>
      </c>
      <c r="Y77" s="6">
        <f t="shared" si="53"/>
        <v>-7.7262693156732176E-3</v>
      </c>
      <c r="Z77" s="21">
        <v>45006</v>
      </c>
      <c r="AA77" s="1">
        <v>1.77</v>
      </c>
      <c r="AB77" s="1">
        <v>1.77</v>
      </c>
      <c r="AC77" s="6">
        <f t="shared" si="59"/>
        <v>0</v>
      </c>
      <c r="AD77" s="21">
        <v>45006</v>
      </c>
      <c r="AE77" s="1">
        <v>7.95</v>
      </c>
      <c r="AF77" s="1">
        <v>7.1905999999999999</v>
      </c>
      <c r="AG77" s="6">
        <f t="shared" si="60"/>
        <v>-3.7546586862851061E-3</v>
      </c>
      <c r="AH77" s="21">
        <v>45006</v>
      </c>
      <c r="AI77" s="1">
        <v>8.85</v>
      </c>
      <c r="AJ77" s="1">
        <v>7.7373000000000003</v>
      </c>
      <c r="AK77" s="6">
        <f t="shared" si="61"/>
        <v>-4.503171519370075E-3</v>
      </c>
      <c r="AL77" s="21">
        <v>45006</v>
      </c>
      <c r="AM77" s="1">
        <v>1.67</v>
      </c>
      <c r="AN77" s="1">
        <v>1.5661</v>
      </c>
      <c r="AO77" s="6">
        <v>1.8270481144343265E-2</v>
      </c>
      <c r="AP77" s="21" t="s">
        <v>80</v>
      </c>
      <c r="AQ77" s="1">
        <v>8046.79</v>
      </c>
      <c r="AR77" s="6">
        <v>-3.6390967016585174E-3</v>
      </c>
    </row>
    <row r="78" spans="2:44" x14ac:dyDescent="0.35">
      <c r="B78" s="21">
        <v>45007</v>
      </c>
      <c r="C78" s="1">
        <v>0.62</v>
      </c>
      <c r="D78" s="1">
        <v>0.62</v>
      </c>
      <c r="E78" s="6">
        <f t="shared" si="48"/>
        <v>0</v>
      </c>
      <c r="F78" s="21">
        <v>45007</v>
      </c>
      <c r="G78" s="1">
        <v>21.65</v>
      </c>
      <c r="H78" s="1">
        <v>12.7463</v>
      </c>
      <c r="I78" s="6">
        <f t="shared" si="62"/>
        <v>-4.5996938743635418E-3</v>
      </c>
      <c r="J78" s="21">
        <v>45007</v>
      </c>
      <c r="K78" s="1">
        <v>37.6</v>
      </c>
      <c r="L78" s="1">
        <v>22.6038</v>
      </c>
      <c r="M78" s="6">
        <f t="shared" si="57"/>
        <v>-1.5449615610776068E-2</v>
      </c>
      <c r="N78" s="21">
        <v>45007</v>
      </c>
      <c r="O78" s="1">
        <v>22.45</v>
      </c>
      <c r="P78" s="1">
        <v>19.739699999999999</v>
      </c>
      <c r="Q78" s="6">
        <f t="shared" si="58"/>
        <v>-5.9884460234984838E-2</v>
      </c>
      <c r="R78" s="21">
        <v>45007</v>
      </c>
      <c r="S78" s="1">
        <v>7.29</v>
      </c>
      <c r="T78" s="1">
        <v>6.4393000000000002</v>
      </c>
      <c r="U78" s="6">
        <f t="shared" si="63"/>
        <v>1.5326153797637909E-2</v>
      </c>
      <c r="V78" s="21">
        <v>45007</v>
      </c>
      <c r="W78" s="1">
        <v>6.35</v>
      </c>
      <c r="X78" s="1">
        <v>5.3940000000000001</v>
      </c>
      <c r="Y78" s="6">
        <f t="shared" si="53"/>
        <v>0</v>
      </c>
      <c r="Z78" s="21">
        <v>45007</v>
      </c>
      <c r="AA78" s="1">
        <v>1.76</v>
      </c>
      <c r="AB78" s="1">
        <v>1.76</v>
      </c>
      <c r="AC78" s="6">
        <f t="shared" si="59"/>
        <v>-5.6497175141243527E-3</v>
      </c>
      <c r="AD78" s="21">
        <v>45007</v>
      </c>
      <c r="AE78" s="1">
        <v>7.89</v>
      </c>
      <c r="AF78" s="1">
        <v>7.1363000000000003</v>
      </c>
      <c r="AG78" s="6">
        <f t="shared" si="60"/>
        <v>-7.5515256028703126E-3</v>
      </c>
      <c r="AH78" s="21">
        <v>45007</v>
      </c>
      <c r="AI78" s="1">
        <v>8.9600000000000009</v>
      </c>
      <c r="AJ78" s="1">
        <v>7.8334999999999999</v>
      </c>
      <c r="AK78" s="6">
        <f t="shared" si="61"/>
        <v>1.2433277758391093E-2</v>
      </c>
      <c r="AL78" s="21">
        <v>45007</v>
      </c>
      <c r="AM78" s="1">
        <v>1.74</v>
      </c>
      <c r="AN78" s="1">
        <v>1.6317999999999999</v>
      </c>
      <c r="AO78" s="6">
        <v>4.1951344103186239E-2</v>
      </c>
      <c r="AP78" s="21" t="s">
        <v>81</v>
      </c>
      <c r="AQ78" s="1">
        <v>8013.47</v>
      </c>
      <c r="AR78" s="6">
        <v>-4.1407816035958778E-3</v>
      </c>
    </row>
    <row r="79" spans="2:44" x14ac:dyDescent="0.35">
      <c r="B79" s="21">
        <v>45008</v>
      </c>
      <c r="C79" s="1">
        <v>0.62</v>
      </c>
      <c r="D79" s="1">
        <v>0.62</v>
      </c>
      <c r="E79" s="6">
        <f t="shared" si="48"/>
        <v>0</v>
      </c>
      <c r="F79" s="21">
        <v>45008</v>
      </c>
      <c r="G79" s="1">
        <v>21.5</v>
      </c>
      <c r="H79" s="1">
        <v>12.657999999999999</v>
      </c>
      <c r="I79" s="6">
        <f t="shared" si="62"/>
        <v>-6.9275005295654779E-3</v>
      </c>
      <c r="J79" s="21">
        <v>45008</v>
      </c>
      <c r="K79" s="1">
        <v>38.18</v>
      </c>
      <c r="L79" s="1">
        <v>22.952500000000001</v>
      </c>
      <c r="M79" s="6">
        <f t="shared" si="57"/>
        <v>1.5426609685097237E-2</v>
      </c>
      <c r="N79" s="21">
        <v>45008</v>
      </c>
      <c r="O79" s="1">
        <v>21.49</v>
      </c>
      <c r="P79" s="1">
        <v>18.895600000000002</v>
      </c>
      <c r="Q79" s="6">
        <f t="shared" si="58"/>
        <v>-4.2761541462129515E-2</v>
      </c>
      <c r="R79" s="21">
        <v>45008</v>
      </c>
      <c r="S79" s="1">
        <v>7.33</v>
      </c>
      <c r="T79" s="1">
        <v>6.4745999999999997</v>
      </c>
      <c r="U79" s="6">
        <f t="shared" si="63"/>
        <v>5.4819623250974558E-3</v>
      </c>
      <c r="V79" s="21">
        <v>45008</v>
      </c>
      <c r="W79" s="1">
        <v>6.34</v>
      </c>
      <c r="X79" s="1">
        <v>5.3849999999999998</v>
      </c>
      <c r="Y79" s="6">
        <f t="shared" si="53"/>
        <v>-1.6685205784204848E-3</v>
      </c>
      <c r="Z79" s="21">
        <v>45008</v>
      </c>
      <c r="AA79" s="1">
        <v>1.75</v>
      </c>
      <c r="AB79" s="1">
        <v>1.75</v>
      </c>
      <c r="AC79" s="6">
        <f t="shared" si="59"/>
        <v>-5.6818181818182323E-3</v>
      </c>
      <c r="AD79" s="21">
        <v>45008</v>
      </c>
      <c r="AE79" s="1">
        <v>7.89</v>
      </c>
      <c r="AF79" s="1">
        <v>7.1363000000000003</v>
      </c>
      <c r="AG79" s="6">
        <f t="shared" si="60"/>
        <v>0</v>
      </c>
      <c r="AH79" s="21">
        <v>45008</v>
      </c>
      <c r="AI79" s="1">
        <v>9.07</v>
      </c>
      <c r="AJ79" s="1">
        <v>7.9295999999999998</v>
      </c>
      <c r="AK79" s="6">
        <f t="shared" si="61"/>
        <v>1.2267824088849189E-2</v>
      </c>
      <c r="AL79" s="21">
        <v>45008</v>
      </c>
      <c r="AM79" s="1">
        <v>1.74</v>
      </c>
      <c r="AN79" s="1">
        <v>1.6317999999999999</v>
      </c>
      <c r="AO79" s="6">
        <v>0</v>
      </c>
      <c r="AP79" s="21" t="s">
        <v>82</v>
      </c>
      <c r="AQ79" s="1">
        <v>8043.79</v>
      </c>
      <c r="AR79" s="6">
        <v>3.7836293141422228E-3</v>
      </c>
    </row>
    <row r="80" spans="2:44" x14ac:dyDescent="0.35">
      <c r="B80" s="21">
        <v>45009</v>
      </c>
      <c r="C80" s="1">
        <v>0.62</v>
      </c>
      <c r="D80" s="1">
        <v>0.62</v>
      </c>
      <c r="E80" s="6">
        <f t="shared" si="48"/>
        <v>0</v>
      </c>
      <c r="F80" s="21">
        <v>45009</v>
      </c>
      <c r="G80" s="1">
        <v>21.6</v>
      </c>
      <c r="H80" s="1">
        <v>12.716900000000001</v>
      </c>
      <c r="I80" s="6">
        <f t="shared" si="62"/>
        <v>4.6531837573078327E-3</v>
      </c>
      <c r="J80" s="21">
        <v>45009</v>
      </c>
      <c r="K80" s="1">
        <v>38</v>
      </c>
      <c r="L80" s="1">
        <v>22.844200000000001</v>
      </c>
      <c r="M80" s="6">
        <f t="shared" si="57"/>
        <v>-4.7184402570525918E-3</v>
      </c>
      <c r="N80" s="21">
        <v>45009</v>
      </c>
      <c r="O80" s="1">
        <v>21</v>
      </c>
      <c r="P80" s="1">
        <v>18.4648</v>
      </c>
      <c r="Q80" s="6">
        <f t="shared" si="58"/>
        <v>-2.2798958487690313E-2</v>
      </c>
      <c r="R80" s="21">
        <v>45009</v>
      </c>
      <c r="S80" s="1">
        <v>7.48</v>
      </c>
      <c r="T80" s="1">
        <v>6.6071</v>
      </c>
      <c r="U80" s="6">
        <f t="shared" si="63"/>
        <v>2.0464584684768194E-2</v>
      </c>
      <c r="V80" s="21">
        <v>45009</v>
      </c>
      <c r="W80" s="1">
        <v>6.34</v>
      </c>
      <c r="X80" s="1">
        <v>5.3849999999999998</v>
      </c>
      <c r="Y80" s="6">
        <f t="shared" si="53"/>
        <v>0</v>
      </c>
      <c r="Z80" s="21">
        <v>45009</v>
      </c>
      <c r="AA80" s="1">
        <v>1.72</v>
      </c>
      <c r="AB80" s="1">
        <v>1.72</v>
      </c>
      <c r="AC80" s="6">
        <f t="shared" si="59"/>
        <v>-1.7142857142857126E-2</v>
      </c>
      <c r="AD80" s="21">
        <v>45009</v>
      </c>
      <c r="AE80" s="1">
        <v>7.95</v>
      </c>
      <c r="AF80" s="1">
        <v>7.1905999999999999</v>
      </c>
      <c r="AG80" s="6">
        <f t="shared" si="60"/>
        <v>7.6089850482743415E-3</v>
      </c>
      <c r="AH80" s="21">
        <v>45009</v>
      </c>
      <c r="AI80" s="1">
        <v>9.49</v>
      </c>
      <c r="AJ80" s="1">
        <v>8.2967999999999993</v>
      </c>
      <c r="AK80" s="6">
        <f t="shared" si="61"/>
        <v>4.6307506053268721E-2</v>
      </c>
      <c r="AL80" s="21">
        <v>45009</v>
      </c>
      <c r="AM80" s="1">
        <v>1.74</v>
      </c>
      <c r="AN80" s="1">
        <v>1.6317999999999999</v>
      </c>
      <c r="AO80" s="6">
        <v>0</v>
      </c>
      <c r="AP80" s="21" t="s">
        <v>83</v>
      </c>
      <c r="AQ80" s="1">
        <v>8069.11</v>
      </c>
      <c r="AR80" s="6">
        <v>3.147769894539687E-3</v>
      </c>
    </row>
    <row r="81" spans="2:44" x14ac:dyDescent="0.35">
      <c r="B81" s="21">
        <v>45012</v>
      </c>
      <c r="C81" s="1">
        <v>0.61</v>
      </c>
      <c r="D81" s="1">
        <v>0.61</v>
      </c>
      <c r="E81" s="6">
        <f t="shared" ref="E81:E144" si="64">(D81/D80)-1</f>
        <v>-1.6129032258064502E-2</v>
      </c>
      <c r="F81" s="21">
        <v>45012</v>
      </c>
      <c r="G81" s="1">
        <v>21.6</v>
      </c>
      <c r="H81" s="1">
        <v>12.716900000000001</v>
      </c>
      <c r="I81" s="6">
        <f t="shared" si="62"/>
        <v>0</v>
      </c>
      <c r="J81" s="21">
        <v>45012</v>
      </c>
      <c r="K81" s="1">
        <v>38</v>
      </c>
      <c r="L81" s="1">
        <v>22.844200000000001</v>
      </c>
      <c r="M81" s="6">
        <f t="shared" si="57"/>
        <v>0</v>
      </c>
      <c r="N81" s="21">
        <v>45012</v>
      </c>
      <c r="O81" s="1">
        <v>21.9</v>
      </c>
      <c r="P81" s="1">
        <v>19.2561</v>
      </c>
      <c r="Q81" s="6">
        <f t="shared" si="58"/>
        <v>4.2854512369481457E-2</v>
      </c>
      <c r="R81" s="21">
        <v>45012</v>
      </c>
      <c r="S81" s="1">
        <v>7.44</v>
      </c>
      <c r="T81" s="1">
        <v>6.5717999999999996</v>
      </c>
      <c r="U81" s="6">
        <f t="shared" si="63"/>
        <v>-5.3427373582963789E-3</v>
      </c>
      <c r="V81" s="21">
        <v>45012</v>
      </c>
      <c r="W81" s="1">
        <v>6.3</v>
      </c>
      <c r="X81" s="1">
        <v>5.351</v>
      </c>
      <c r="Y81" s="6">
        <f t="shared" si="53"/>
        <v>-6.3138347260909278E-3</v>
      </c>
      <c r="Z81" s="21">
        <v>45012</v>
      </c>
      <c r="AA81" s="1">
        <v>1.73</v>
      </c>
      <c r="AB81" s="1">
        <v>1.73</v>
      </c>
      <c r="AC81" s="6">
        <f t="shared" si="59"/>
        <v>5.8139534883721034E-3</v>
      </c>
      <c r="AD81" s="21">
        <v>45012</v>
      </c>
      <c r="AE81" s="1">
        <v>7.98</v>
      </c>
      <c r="AF81" s="1">
        <v>7.2176999999999998</v>
      </c>
      <c r="AG81" s="6">
        <f t="shared" si="60"/>
        <v>3.7688092787806493E-3</v>
      </c>
      <c r="AH81" s="21">
        <v>45012</v>
      </c>
      <c r="AI81" s="1">
        <v>9.48</v>
      </c>
      <c r="AJ81" s="1">
        <v>8.2881</v>
      </c>
      <c r="AK81" s="6">
        <f t="shared" si="61"/>
        <v>-1.0485970494648056E-3</v>
      </c>
      <c r="AL81" s="21">
        <v>45012</v>
      </c>
      <c r="AM81" s="1">
        <v>1.74</v>
      </c>
      <c r="AN81" s="1">
        <v>1.6317999999999999</v>
      </c>
      <c r="AO81" s="6">
        <v>0</v>
      </c>
      <c r="AP81" s="21" t="s">
        <v>84</v>
      </c>
      <c r="AQ81" s="1">
        <v>8104.22</v>
      </c>
      <c r="AR81" s="6">
        <v>4.3511614044176028E-3</v>
      </c>
    </row>
    <row r="82" spans="2:44" x14ac:dyDescent="0.35">
      <c r="B82" s="21">
        <v>45013</v>
      </c>
      <c r="C82" s="1">
        <v>0.61</v>
      </c>
      <c r="D82" s="1">
        <v>0.61</v>
      </c>
      <c r="E82" s="6">
        <f t="shared" si="64"/>
        <v>0</v>
      </c>
      <c r="F82" s="21">
        <v>45013</v>
      </c>
      <c r="G82" s="1">
        <v>21.65</v>
      </c>
      <c r="H82" s="1">
        <v>12.7463</v>
      </c>
      <c r="I82" s="6">
        <f t="shared" si="62"/>
        <v>2.3118841856111239E-3</v>
      </c>
      <c r="J82" s="21">
        <v>45013</v>
      </c>
      <c r="K82" s="1">
        <v>38</v>
      </c>
      <c r="L82" s="1">
        <v>22.844200000000001</v>
      </c>
      <c r="M82" s="6">
        <f t="shared" si="57"/>
        <v>0</v>
      </c>
      <c r="N82" s="21">
        <v>45013</v>
      </c>
      <c r="O82" s="1">
        <v>21.45</v>
      </c>
      <c r="P82" s="1">
        <v>18.860399999999998</v>
      </c>
      <c r="Q82" s="6">
        <f t="shared" si="58"/>
        <v>-2.0549332419337318E-2</v>
      </c>
      <c r="R82" s="21">
        <v>45013</v>
      </c>
      <c r="S82" s="1">
        <v>7.34</v>
      </c>
      <c r="T82" s="1">
        <v>6.4835000000000003</v>
      </c>
      <c r="U82" s="6">
        <f t="shared" si="63"/>
        <v>-1.3436197084512491E-2</v>
      </c>
      <c r="V82" s="21">
        <v>45013</v>
      </c>
      <c r="W82" s="1">
        <v>6.27</v>
      </c>
      <c r="X82" s="1">
        <v>5.3259999999999996</v>
      </c>
      <c r="Y82" s="6">
        <f t="shared" si="53"/>
        <v>-4.6720239207624914E-3</v>
      </c>
      <c r="Z82" s="21">
        <v>45013</v>
      </c>
      <c r="AA82" s="1">
        <v>1.77</v>
      </c>
      <c r="AB82" s="1">
        <v>1.77</v>
      </c>
      <c r="AC82" s="6">
        <f t="shared" si="59"/>
        <v>2.3121387283236983E-2</v>
      </c>
      <c r="AD82" s="21">
        <v>45013</v>
      </c>
      <c r="AE82" s="1">
        <v>7.98</v>
      </c>
      <c r="AF82" s="1">
        <v>7.2176999999999998</v>
      </c>
      <c r="AG82" s="6">
        <f t="shared" si="60"/>
        <v>0</v>
      </c>
      <c r="AH82" s="21">
        <v>45013</v>
      </c>
      <c r="AI82" s="1">
        <v>9.4</v>
      </c>
      <c r="AJ82" s="1">
        <v>8.2181999999999995</v>
      </c>
      <c r="AK82" s="6">
        <f t="shared" si="61"/>
        <v>-8.4337785499692952E-3</v>
      </c>
      <c r="AL82" s="21">
        <v>45013</v>
      </c>
      <c r="AM82" s="1">
        <v>1.74</v>
      </c>
      <c r="AN82" s="1">
        <v>1.6317999999999999</v>
      </c>
      <c r="AO82" s="6">
        <v>0</v>
      </c>
      <c r="AP82" s="21" t="s">
        <v>85</v>
      </c>
      <c r="AQ82" s="1">
        <v>8095.51</v>
      </c>
      <c r="AR82" s="6">
        <v>-1.0747487111653076E-3</v>
      </c>
    </row>
    <row r="83" spans="2:44" x14ac:dyDescent="0.35">
      <c r="B83" s="21">
        <v>45014</v>
      </c>
      <c r="C83" s="1">
        <v>0.59</v>
      </c>
      <c r="D83" s="1">
        <v>0.59</v>
      </c>
      <c r="E83" s="6">
        <f t="shared" si="64"/>
        <v>-3.2786885245901676E-2</v>
      </c>
      <c r="F83" s="21">
        <v>45014</v>
      </c>
      <c r="G83" s="1">
        <v>22.94</v>
      </c>
      <c r="H83" s="1">
        <v>13.505800000000001</v>
      </c>
      <c r="I83" s="6">
        <f t="shared" si="62"/>
        <v>5.9585919051018843E-2</v>
      </c>
      <c r="J83" s="21">
        <v>45014</v>
      </c>
      <c r="K83" s="1">
        <v>38</v>
      </c>
      <c r="L83" s="1">
        <v>22.844200000000001</v>
      </c>
      <c r="M83" s="6">
        <f t="shared" si="57"/>
        <v>0</v>
      </c>
      <c r="N83" s="21">
        <v>45014</v>
      </c>
      <c r="O83" s="1">
        <v>21</v>
      </c>
      <c r="P83" s="1">
        <v>18.4648</v>
      </c>
      <c r="Q83" s="6">
        <f t="shared" si="58"/>
        <v>-2.0975164895760345E-2</v>
      </c>
      <c r="R83" s="21">
        <v>45014</v>
      </c>
      <c r="S83" s="1">
        <v>7.3</v>
      </c>
      <c r="T83" s="1">
        <v>6.4481000000000002</v>
      </c>
      <c r="U83" s="6">
        <f t="shared" si="63"/>
        <v>-5.4600138813912791E-3</v>
      </c>
      <c r="V83" s="21">
        <v>45014</v>
      </c>
      <c r="W83" s="1">
        <v>6.24</v>
      </c>
      <c r="X83" s="1">
        <v>5.3</v>
      </c>
      <c r="Y83" s="6">
        <f t="shared" si="53"/>
        <v>-4.8817123544874219E-3</v>
      </c>
      <c r="Z83" s="21">
        <v>45014</v>
      </c>
      <c r="AA83" s="1">
        <v>1.75</v>
      </c>
      <c r="AB83" s="1">
        <v>1.75</v>
      </c>
      <c r="AC83" s="6">
        <f t="shared" si="59"/>
        <v>-1.1299435028248594E-2</v>
      </c>
      <c r="AD83" s="21">
        <v>45014</v>
      </c>
      <c r="AE83" s="1">
        <v>7.9</v>
      </c>
      <c r="AF83" s="1">
        <v>7.1454000000000004</v>
      </c>
      <c r="AG83" s="6">
        <f t="shared" si="60"/>
        <v>-1.0017041439793761E-2</v>
      </c>
      <c r="AH83" s="21">
        <v>45014</v>
      </c>
      <c r="AI83" s="1">
        <v>9.64</v>
      </c>
      <c r="AJ83" s="1">
        <v>8.4280000000000008</v>
      </c>
      <c r="AK83" s="6">
        <f t="shared" si="61"/>
        <v>2.5528704582512107E-2</v>
      </c>
      <c r="AL83" s="21">
        <v>45014</v>
      </c>
      <c r="AM83" s="1">
        <v>1.74</v>
      </c>
      <c r="AN83" s="1">
        <v>1.6317999999999999</v>
      </c>
      <c r="AO83" s="6">
        <v>0</v>
      </c>
      <c r="AP83" s="21" t="s">
        <v>86</v>
      </c>
      <c r="AQ83" s="1">
        <v>8116.27</v>
      </c>
      <c r="AR83" s="6">
        <v>2.5643844550868877E-3</v>
      </c>
    </row>
    <row r="84" spans="2:44" x14ac:dyDescent="0.35">
      <c r="B84" s="21">
        <v>45015</v>
      </c>
      <c r="C84" s="1">
        <v>0.6</v>
      </c>
      <c r="D84" s="1">
        <v>0.6</v>
      </c>
      <c r="E84" s="6">
        <f t="shared" si="64"/>
        <v>1.6949152542372836E-2</v>
      </c>
      <c r="F84" s="21">
        <v>45015</v>
      </c>
      <c r="G84" s="1">
        <v>23.47</v>
      </c>
      <c r="H84" s="1">
        <v>13.8178</v>
      </c>
      <c r="I84" s="6">
        <f t="shared" si="62"/>
        <v>2.3101186157058473E-2</v>
      </c>
      <c r="J84" s="21">
        <v>45015</v>
      </c>
      <c r="K84" s="1">
        <v>38</v>
      </c>
      <c r="L84" s="1">
        <v>22.844200000000001</v>
      </c>
      <c r="M84" s="6">
        <f t="shared" si="57"/>
        <v>0</v>
      </c>
      <c r="N84" s="21">
        <v>45015</v>
      </c>
      <c r="O84" s="1">
        <v>19.739999999999998</v>
      </c>
      <c r="P84" s="1">
        <v>17.3569</v>
      </c>
      <c r="Q84" s="6">
        <f t="shared" si="58"/>
        <v>-6.0000649885186941E-2</v>
      </c>
      <c r="R84" s="21">
        <v>45015</v>
      </c>
      <c r="S84" s="1">
        <v>7.3</v>
      </c>
      <c r="T84" s="1">
        <v>6.4481000000000002</v>
      </c>
      <c r="U84" s="6">
        <f t="shared" si="63"/>
        <v>0</v>
      </c>
      <c r="V84" s="21">
        <v>45015</v>
      </c>
      <c r="W84" s="1">
        <v>6.22</v>
      </c>
      <c r="X84" s="1">
        <v>5.2830000000000004</v>
      </c>
      <c r="Y84" s="6">
        <f t="shared" si="53"/>
        <v>-3.2075471698111979E-3</v>
      </c>
      <c r="Z84" s="21">
        <v>45015</v>
      </c>
      <c r="AA84" s="1">
        <v>1.75</v>
      </c>
      <c r="AB84" s="1">
        <v>1.75</v>
      </c>
      <c r="AC84" s="6">
        <f t="shared" si="59"/>
        <v>0</v>
      </c>
      <c r="AD84" s="21">
        <v>45015</v>
      </c>
      <c r="AE84" s="1">
        <v>7.98</v>
      </c>
      <c r="AF84" s="1">
        <v>7.2176999999999998</v>
      </c>
      <c r="AG84" s="6">
        <f t="shared" si="60"/>
        <v>1.0118397850365168E-2</v>
      </c>
      <c r="AH84" s="21">
        <v>45015</v>
      </c>
      <c r="AI84" s="1">
        <v>9.6</v>
      </c>
      <c r="AJ84" s="1">
        <v>8.3930000000000007</v>
      </c>
      <c r="AK84" s="6">
        <f t="shared" si="61"/>
        <v>-4.1528239202658357E-3</v>
      </c>
      <c r="AL84" s="21">
        <v>45015</v>
      </c>
      <c r="AM84" s="1">
        <v>1.67</v>
      </c>
      <c r="AN84" s="1">
        <v>1.5661</v>
      </c>
      <c r="AO84" s="6">
        <v>-4.0262287044980916E-2</v>
      </c>
      <c r="AP84" s="21" t="s">
        <v>87</v>
      </c>
      <c r="AQ84" s="1">
        <v>8122.64</v>
      </c>
      <c r="AR84" s="6">
        <v>7.8484328392236513E-4</v>
      </c>
    </row>
    <row r="85" spans="2:44" x14ac:dyDescent="0.35">
      <c r="B85" s="21">
        <v>45016</v>
      </c>
      <c r="C85" s="1">
        <v>0.6</v>
      </c>
      <c r="D85" s="1">
        <v>0.6</v>
      </c>
      <c r="E85" s="6">
        <f t="shared" si="64"/>
        <v>0</v>
      </c>
      <c r="F85" s="21">
        <v>45016</v>
      </c>
      <c r="G85" s="1">
        <v>23.1</v>
      </c>
      <c r="H85" s="1">
        <v>13.6</v>
      </c>
      <c r="I85" s="6">
        <f t="shared" si="62"/>
        <v>-1.5762277641882205E-2</v>
      </c>
      <c r="J85" s="21">
        <v>45016</v>
      </c>
      <c r="K85" s="1">
        <v>38</v>
      </c>
      <c r="L85" s="1">
        <v>22.844200000000001</v>
      </c>
      <c r="M85" s="6">
        <f t="shared" si="57"/>
        <v>0</v>
      </c>
      <c r="N85" s="21">
        <v>45016</v>
      </c>
      <c r="O85" s="1">
        <v>20.2</v>
      </c>
      <c r="P85" s="1">
        <v>17.761299999999999</v>
      </c>
      <c r="Q85" s="6">
        <f t="shared" si="58"/>
        <v>2.3299091427616547E-2</v>
      </c>
      <c r="R85" s="21">
        <v>45016</v>
      </c>
      <c r="S85" s="1">
        <v>7.34</v>
      </c>
      <c r="T85" s="1">
        <v>6.4835000000000003</v>
      </c>
      <c r="U85" s="6">
        <f t="shared" si="63"/>
        <v>5.4899892991733257E-3</v>
      </c>
      <c r="V85" s="21">
        <v>45016</v>
      </c>
      <c r="W85" s="1">
        <v>6.26</v>
      </c>
      <c r="X85" s="1">
        <v>5.3170000000000002</v>
      </c>
      <c r="Y85" s="6">
        <f t="shared" ref="Y85:Y148" si="65">(X85/X84)-1</f>
        <v>6.4357372704901827E-3</v>
      </c>
      <c r="Z85" s="21">
        <v>45016</v>
      </c>
      <c r="AA85" s="1">
        <v>1.72</v>
      </c>
      <c r="AB85" s="1">
        <v>1.72</v>
      </c>
      <c r="AC85" s="6">
        <f t="shared" si="59"/>
        <v>-1.7142857142857126E-2</v>
      </c>
      <c r="AD85" s="21">
        <v>45016</v>
      </c>
      <c r="AE85" s="1">
        <v>7.83</v>
      </c>
      <c r="AF85" s="1">
        <v>7.0819999999999999</v>
      </c>
      <c r="AG85" s="6">
        <f t="shared" si="60"/>
        <v>-1.8801003089626844E-2</v>
      </c>
      <c r="AH85" s="21">
        <v>45016</v>
      </c>
      <c r="AI85" s="1">
        <v>9.64</v>
      </c>
      <c r="AJ85" s="1">
        <v>8.4280000000000008</v>
      </c>
      <c r="AK85" s="6">
        <f t="shared" si="61"/>
        <v>4.17014178482078E-3</v>
      </c>
      <c r="AL85" s="21">
        <v>45016</v>
      </c>
      <c r="AM85" s="1">
        <v>1.62</v>
      </c>
      <c r="AN85" s="1">
        <v>1.5192000000000001</v>
      </c>
      <c r="AO85" s="6">
        <v>-2.9947002107145071E-2</v>
      </c>
      <c r="AP85" s="21" t="s">
        <v>88</v>
      </c>
      <c r="AQ85" s="1">
        <v>8128.74</v>
      </c>
      <c r="AR85" s="6">
        <v>7.5098736371415065E-4</v>
      </c>
    </row>
    <row r="86" spans="2:44" x14ac:dyDescent="0.35">
      <c r="B86" s="21">
        <v>45019</v>
      </c>
      <c r="C86" s="1">
        <v>0.59</v>
      </c>
      <c r="D86" s="1">
        <v>0.59</v>
      </c>
      <c r="E86" s="6">
        <f t="shared" si="64"/>
        <v>-1.6666666666666718E-2</v>
      </c>
      <c r="F86" s="21">
        <v>45019</v>
      </c>
      <c r="G86" s="1">
        <v>23.05</v>
      </c>
      <c r="H86" s="1">
        <v>13.570600000000001</v>
      </c>
      <c r="I86" s="6">
        <f t="shared" si="62"/>
        <v>-2.161764705882252E-3</v>
      </c>
      <c r="J86" s="21">
        <v>45019</v>
      </c>
      <c r="K86" s="1">
        <v>38.49</v>
      </c>
      <c r="L86" s="1">
        <v>23.1388</v>
      </c>
      <c r="M86" s="6">
        <f t="shared" si="57"/>
        <v>1.2896052389665513E-2</v>
      </c>
      <c r="N86" s="21">
        <v>45019</v>
      </c>
      <c r="O86" s="1">
        <v>19.7</v>
      </c>
      <c r="P86" s="1">
        <v>17.3217</v>
      </c>
      <c r="Q86" s="6">
        <f t="shared" si="58"/>
        <v>-2.4750440564598186E-2</v>
      </c>
      <c r="R86" s="21">
        <v>45019</v>
      </c>
      <c r="S86" s="1">
        <v>7.3</v>
      </c>
      <c r="T86" s="1">
        <v>6.4481000000000002</v>
      </c>
      <c r="U86" s="6">
        <f t="shared" si="63"/>
        <v>-5.4600138813912791E-3</v>
      </c>
      <c r="V86" s="21">
        <v>45019</v>
      </c>
      <c r="W86" s="1">
        <v>6.3</v>
      </c>
      <c r="X86" s="1">
        <v>5.351</v>
      </c>
      <c r="Y86" s="6">
        <f t="shared" si="65"/>
        <v>6.3945834116982958E-3</v>
      </c>
      <c r="Z86" s="21">
        <v>45019</v>
      </c>
      <c r="AA86" s="1">
        <v>1.75</v>
      </c>
      <c r="AB86" s="1">
        <v>1.75</v>
      </c>
      <c r="AC86" s="6">
        <f t="shared" si="59"/>
        <v>1.744186046511631E-2</v>
      </c>
      <c r="AD86" s="21">
        <v>45019</v>
      </c>
      <c r="AE86" s="1">
        <v>7.4</v>
      </c>
      <c r="AF86" s="1">
        <v>6.6931000000000003</v>
      </c>
      <c r="AG86" s="6">
        <f t="shared" si="60"/>
        <v>-5.4913866139508549E-2</v>
      </c>
      <c r="AH86" s="21">
        <v>45019</v>
      </c>
      <c r="AI86" s="1">
        <v>9.49</v>
      </c>
      <c r="AJ86" s="1">
        <v>8.2967999999999993</v>
      </c>
      <c r="AK86" s="6">
        <f t="shared" si="61"/>
        <v>-1.5567157095396467E-2</v>
      </c>
      <c r="AL86" s="21">
        <v>45019</v>
      </c>
      <c r="AM86" s="1">
        <v>1.55</v>
      </c>
      <c r="AN86" s="1">
        <v>1.4536</v>
      </c>
      <c r="AO86" s="6">
        <v>-4.31806213796736E-2</v>
      </c>
      <c r="AP86" s="21" t="s">
        <v>89</v>
      </c>
      <c r="AQ86" s="1">
        <v>8133.32</v>
      </c>
      <c r="AR86" s="6">
        <v>5.6343295516891878E-4</v>
      </c>
    </row>
    <row r="87" spans="2:44" x14ac:dyDescent="0.35">
      <c r="B87" s="21">
        <v>45020</v>
      </c>
      <c r="C87" s="1">
        <v>0.6</v>
      </c>
      <c r="D87" s="1">
        <v>0.6</v>
      </c>
      <c r="E87" s="6">
        <f t="shared" si="64"/>
        <v>1.6949152542372836E-2</v>
      </c>
      <c r="F87" s="21">
        <v>45020</v>
      </c>
      <c r="G87" s="1">
        <v>22.8</v>
      </c>
      <c r="H87" s="1">
        <v>13.423400000000001</v>
      </c>
      <c r="I87" s="6">
        <f t="shared" si="62"/>
        <v>-1.0846978026026854E-2</v>
      </c>
      <c r="J87" s="21">
        <v>45020</v>
      </c>
      <c r="K87" s="1">
        <v>40.79</v>
      </c>
      <c r="L87" s="1">
        <v>24.5215</v>
      </c>
      <c r="M87" s="6">
        <f t="shared" si="57"/>
        <v>5.9756772174875072E-2</v>
      </c>
      <c r="N87" s="21">
        <v>45020</v>
      </c>
      <c r="O87" s="1">
        <v>19.600000000000001</v>
      </c>
      <c r="P87" s="1">
        <v>17.233799999999999</v>
      </c>
      <c r="Q87" s="6">
        <f t="shared" si="58"/>
        <v>-5.0745596563848139E-3</v>
      </c>
      <c r="R87" s="21">
        <v>45020</v>
      </c>
      <c r="S87" s="1">
        <v>7.26</v>
      </c>
      <c r="T87" s="1">
        <v>6.4127999999999998</v>
      </c>
      <c r="U87" s="6">
        <f t="shared" si="63"/>
        <v>-5.474480854825492E-3</v>
      </c>
      <c r="V87" s="21">
        <v>45020</v>
      </c>
      <c r="W87" s="1">
        <v>6.3</v>
      </c>
      <c r="X87" s="1">
        <v>5.351</v>
      </c>
      <c r="Y87" s="6">
        <f t="shared" si="65"/>
        <v>0</v>
      </c>
      <c r="Z87" s="21">
        <v>45020</v>
      </c>
      <c r="AA87" s="1">
        <v>1.74</v>
      </c>
      <c r="AB87" s="1">
        <v>1.74</v>
      </c>
      <c r="AC87" s="6">
        <f t="shared" si="59"/>
        <v>-5.7142857142856718E-3</v>
      </c>
      <c r="AD87" s="21">
        <v>45020</v>
      </c>
      <c r="AE87" s="1">
        <v>7.79</v>
      </c>
      <c r="AF87" s="1">
        <v>7.0458999999999996</v>
      </c>
      <c r="AG87" s="6">
        <f t="shared" si="60"/>
        <v>5.2711000881504821E-2</v>
      </c>
      <c r="AH87" s="21">
        <v>45020</v>
      </c>
      <c r="AI87" s="1">
        <v>9.5399999999999991</v>
      </c>
      <c r="AJ87" s="1">
        <v>8.3406000000000002</v>
      </c>
      <c r="AK87" s="6">
        <f t="shared" si="61"/>
        <v>5.2791437662713658E-3</v>
      </c>
      <c r="AL87" s="21">
        <v>45020</v>
      </c>
      <c r="AM87" s="1">
        <v>1.57</v>
      </c>
      <c r="AN87" s="1">
        <v>1.4722999999999999</v>
      </c>
      <c r="AO87" s="6">
        <v>1.2864611997798425E-2</v>
      </c>
      <c r="AP87" s="21" t="s">
        <v>90</v>
      </c>
      <c r="AQ87" s="1">
        <v>8212.2999999999993</v>
      </c>
      <c r="AR87" s="6">
        <v>9.7106716568386986E-3</v>
      </c>
    </row>
    <row r="88" spans="2:44" x14ac:dyDescent="0.35">
      <c r="B88" s="21">
        <v>45021</v>
      </c>
      <c r="C88" s="1">
        <v>0.6</v>
      </c>
      <c r="D88" s="1">
        <v>0.6</v>
      </c>
      <c r="E88" s="6">
        <f t="shared" si="64"/>
        <v>0</v>
      </c>
      <c r="F88" s="21">
        <v>45021</v>
      </c>
      <c r="G88" s="1">
        <v>22.79</v>
      </c>
      <c r="H88" s="1">
        <v>13.4175</v>
      </c>
      <c r="I88" s="6">
        <f t="shared" si="62"/>
        <v>-4.3953096830906535E-4</v>
      </c>
      <c r="J88" s="21">
        <v>45021</v>
      </c>
      <c r="K88" s="1">
        <v>43.2</v>
      </c>
      <c r="L88" s="1">
        <v>25.970300000000002</v>
      </c>
      <c r="M88" s="6">
        <f t="shared" si="57"/>
        <v>5.9082845666048156E-2</v>
      </c>
      <c r="N88" s="21">
        <v>45021</v>
      </c>
      <c r="O88" s="1">
        <v>19.2</v>
      </c>
      <c r="P88" s="1">
        <v>16.882100000000001</v>
      </c>
      <c r="Q88" s="6">
        <f t="shared" si="58"/>
        <v>-2.0407571168285399E-2</v>
      </c>
      <c r="R88" s="21">
        <v>45021</v>
      </c>
      <c r="S88" s="1">
        <v>7.23</v>
      </c>
      <c r="T88" s="1">
        <v>6.3863000000000003</v>
      </c>
      <c r="U88" s="6">
        <f t="shared" si="63"/>
        <v>-4.132360279441083E-3</v>
      </c>
      <c r="V88" s="21">
        <v>45021</v>
      </c>
      <c r="W88" s="1">
        <v>6.3</v>
      </c>
      <c r="X88" s="1">
        <v>5.351</v>
      </c>
      <c r="Y88" s="6">
        <f t="shared" si="65"/>
        <v>0</v>
      </c>
      <c r="Z88" s="21">
        <v>45021</v>
      </c>
      <c r="AA88" s="1">
        <v>1.74</v>
      </c>
      <c r="AB88" s="1">
        <v>1.74</v>
      </c>
      <c r="AC88" s="6">
        <f t="shared" si="59"/>
        <v>0</v>
      </c>
      <c r="AD88" s="21">
        <v>45021</v>
      </c>
      <c r="AE88" s="1">
        <v>7.45</v>
      </c>
      <c r="AF88" s="1">
        <v>6.7382999999999997</v>
      </c>
      <c r="AG88" s="6">
        <f t="shared" si="60"/>
        <v>-4.3656594615308131E-2</v>
      </c>
      <c r="AH88" s="21">
        <v>45021</v>
      </c>
      <c r="AI88" s="1">
        <v>9.67</v>
      </c>
      <c r="AJ88" s="1">
        <v>8.4542000000000002</v>
      </c>
      <c r="AK88" s="6">
        <f t="shared" si="61"/>
        <v>1.3620123252523708E-2</v>
      </c>
      <c r="AL88" s="21">
        <v>45021</v>
      </c>
      <c r="AM88" s="1">
        <v>1.62</v>
      </c>
      <c r="AN88" s="1">
        <v>1.5192000000000001</v>
      </c>
      <c r="AO88" s="6">
        <v>3.1854920872105064E-2</v>
      </c>
      <c r="AP88" s="21" t="s">
        <v>91</v>
      </c>
      <c r="AQ88" s="1">
        <v>8249.7999999999993</v>
      </c>
      <c r="AR88" s="6">
        <v>4.5663212498325834E-3</v>
      </c>
    </row>
    <row r="89" spans="2:44" x14ac:dyDescent="0.35">
      <c r="B89" s="21">
        <v>45022</v>
      </c>
      <c r="C89" s="1">
        <v>0.56999999999999995</v>
      </c>
      <c r="D89" s="1">
        <v>0.56999999999999995</v>
      </c>
      <c r="E89" s="6">
        <f t="shared" si="64"/>
        <v>-5.0000000000000044E-2</v>
      </c>
      <c r="F89" s="21">
        <v>45022</v>
      </c>
      <c r="G89" s="1">
        <v>22.8</v>
      </c>
      <c r="H89" s="1">
        <v>13.423400000000001</v>
      </c>
      <c r="I89" s="6">
        <f t="shared" si="62"/>
        <v>4.3972424073035477E-4</v>
      </c>
      <c r="J89" s="21">
        <v>45022</v>
      </c>
      <c r="K89" s="1">
        <v>42</v>
      </c>
      <c r="L89" s="1">
        <v>25.248899999999999</v>
      </c>
      <c r="M89" s="6">
        <f t="shared" si="57"/>
        <v>-2.7777884737565706E-2</v>
      </c>
      <c r="N89" s="21">
        <v>45022</v>
      </c>
      <c r="O89" s="1">
        <v>19.2</v>
      </c>
      <c r="P89" s="1">
        <v>16.882100000000001</v>
      </c>
      <c r="Q89" s="6">
        <f t="shared" si="58"/>
        <v>0</v>
      </c>
      <c r="R89" s="21">
        <v>45022</v>
      </c>
      <c r="S89" s="1">
        <v>7.3</v>
      </c>
      <c r="T89" s="1">
        <v>6.4481000000000002</v>
      </c>
      <c r="U89" s="6">
        <f t="shared" si="63"/>
        <v>9.6769647526737668E-3</v>
      </c>
      <c r="V89" s="21">
        <v>45022</v>
      </c>
      <c r="W89" s="1">
        <v>6.3</v>
      </c>
      <c r="X89" s="1">
        <v>5.351</v>
      </c>
      <c r="Y89" s="6">
        <f t="shared" si="65"/>
        <v>0</v>
      </c>
      <c r="Z89" s="21">
        <v>45022</v>
      </c>
      <c r="AA89" s="1">
        <v>1.7</v>
      </c>
      <c r="AB89" s="1">
        <v>1.7</v>
      </c>
      <c r="AC89" s="6">
        <f t="shared" si="59"/>
        <v>-2.2988505747126409E-2</v>
      </c>
      <c r="AD89" s="21">
        <v>45022</v>
      </c>
      <c r="AE89" s="1">
        <v>7.65</v>
      </c>
      <c r="AF89" s="1">
        <v>6.9192</v>
      </c>
      <c r="AG89" s="6">
        <f t="shared" si="60"/>
        <v>2.684653399225323E-2</v>
      </c>
      <c r="AH89" s="21">
        <v>45022</v>
      </c>
      <c r="AI89" s="1">
        <v>9.67</v>
      </c>
      <c r="AJ89" s="1">
        <v>8.4542000000000002</v>
      </c>
      <c r="AK89" s="6">
        <f t="shared" si="61"/>
        <v>0</v>
      </c>
      <c r="AL89" s="21">
        <v>45022</v>
      </c>
      <c r="AM89" s="1">
        <v>1.55</v>
      </c>
      <c r="AN89" s="1">
        <v>1.4536</v>
      </c>
      <c r="AO89" s="6">
        <v>-4.31806213796736E-2</v>
      </c>
      <c r="AP89" s="21" t="s">
        <v>92</v>
      </c>
      <c r="AQ89" s="1">
        <v>8221.23</v>
      </c>
      <c r="AR89" s="6">
        <v>-3.4631142573152696E-3</v>
      </c>
    </row>
    <row r="90" spans="2:44" x14ac:dyDescent="0.35">
      <c r="B90" s="21">
        <v>45023</v>
      </c>
      <c r="C90" s="1">
        <v>0.6</v>
      </c>
      <c r="D90" s="1">
        <v>0.6</v>
      </c>
      <c r="E90" s="6">
        <f t="shared" si="64"/>
        <v>5.2631578947368363E-2</v>
      </c>
      <c r="F90" s="21">
        <v>45023</v>
      </c>
      <c r="G90" s="1">
        <v>22.61</v>
      </c>
      <c r="H90" s="1">
        <v>13.311500000000001</v>
      </c>
      <c r="I90" s="6">
        <f t="shared" si="62"/>
        <v>-8.3361890430144747E-3</v>
      </c>
      <c r="J90" s="21">
        <v>45023</v>
      </c>
      <c r="K90" s="1">
        <v>42.95</v>
      </c>
      <c r="L90" s="1">
        <v>25.82</v>
      </c>
      <c r="M90" s="6">
        <f t="shared" si="57"/>
        <v>2.2618807155955434E-2</v>
      </c>
      <c r="N90" s="21">
        <v>45023</v>
      </c>
      <c r="O90" s="1">
        <v>18.559999999999999</v>
      </c>
      <c r="P90" s="1">
        <v>16.319299999999998</v>
      </c>
      <c r="Q90" s="6">
        <f t="shared" si="58"/>
        <v>-3.3337084841341014E-2</v>
      </c>
      <c r="R90" s="21">
        <v>45023</v>
      </c>
      <c r="S90" s="1">
        <v>7.35</v>
      </c>
      <c r="T90" s="1">
        <v>6.4923000000000002</v>
      </c>
      <c r="U90" s="6">
        <f t="shared" si="63"/>
        <v>6.8547324017926847E-3</v>
      </c>
      <c r="V90" s="21">
        <v>45023</v>
      </c>
      <c r="W90" s="1">
        <v>6.35</v>
      </c>
      <c r="X90" s="1">
        <v>5.3940000000000001</v>
      </c>
      <c r="Y90" s="6">
        <f t="shared" si="65"/>
        <v>8.0358811437115651E-3</v>
      </c>
      <c r="Z90" s="21">
        <v>45023</v>
      </c>
      <c r="AA90" s="1">
        <v>1.72</v>
      </c>
      <c r="AB90" s="1">
        <v>1.72</v>
      </c>
      <c r="AC90" s="6">
        <f t="shared" si="59"/>
        <v>1.1764705882352899E-2</v>
      </c>
      <c r="AD90" s="21">
        <v>45023</v>
      </c>
      <c r="AE90" s="1">
        <v>7.8</v>
      </c>
      <c r="AF90" s="1">
        <v>7.0548999999999999</v>
      </c>
      <c r="AG90" s="6">
        <f t="shared" si="60"/>
        <v>1.9612093883685899E-2</v>
      </c>
      <c r="AH90" s="21">
        <v>45023</v>
      </c>
      <c r="AI90" s="1">
        <v>9.9</v>
      </c>
      <c r="AJ90" s="1">
        <v>8.6553000000000004</v>
      </c>
      <c r="AK90" s="6">
        <f t="shared" si="61"/>
        <v>2.3786993447044047E-2</v>
      </c>
      <c r="AL90" s="21">
        <v>45023</v>
      </c>
      <c r="AM90" s="1">
        <v>1.49</v>
      </c>
      <c r="AN90" s="1">
        <v>1.3973</v>
      </c>
      <c r="AO90" s="6">
        <v>-3.8731425426527299E-2</v>
      </c>
      <c r="AP90" s="21" t="s">
        <v>93</v>
      </c>
      <c r="AQ90" s="1">
        <v>8237.99</v>
      </c>
      <c r="AR90" s="6">
        <v>2.0386243907541957E-3</v>
      </c>
    </row>
    <row r="91" spans="2:44" x14ac:dyDescent="0.35">
      <c r="B91" s="21">
        <v>45026</v>
      </c>
      <c r="C91" s="1">
        <v>0.59</v>
      </c>
      <c r="D91" s="1">
        <v>0.59</v>
      </c>
      <c r="E91" s="6">
        <f t="shared" si="64"/>
        <v>-1.6666666666666718E-2</v>
      </c>
      <c r="F91" s="21">
        <v>45026</v>
      </c>
      <c r="G91" s="1">
        <v>22.5</v>
      </c>
      <c r="H91" s="1">
        <v>13.2468</v>
      </c>
      <c r="I91" s="6">
        <f t="shared" si="62"/>
        <v>-4.8604590016151361E-3</v>
      </c>
      <c r="J91" s="21">
        <v>45026</v>
      </c>
      <c r="K91" s="1">
        <v>43.2</v>
      </c>
      <c r="L91" s="1">
        <v>25.970300000000002</v>
      </c>
      <c r="M91" s="6">
        <f t="shared" si="57"/>
        <v>5.8210689388071835E-3</v>
      </c>
      <c r="N91" s="21">
        <v>45026</v>
      </c>
      <c r="O91" s="1">
        <v>17.72</v>
      </c>
      <c r="P91" s="1">
        <v>15.5807</v>
      </c>
      <c r="Q91" s="6">
        <f t="shared" si="58"/>
        <v>-4.525929420992314E-2</v>
      </c>
      <c r="R91" s="21">
        <v>45026</v>
      </c>
      <c r="S91" s="1">
        <v>7.2</v>
      </c>
      <c r="T91" s="1">
        <v>6.3597999999999999</v>
      </c>
      <c r="U91" s="6">
        <f t="shared" si="63"/>
        <v>-2.0408791953545058E-2</v>
      </c>
      <c r="V91" s="21">
        <v>45026</v>
      </c>
      <c r="W91" s="1">
        <v>6.35</v>
      </c>
      <c r="X91" s="1">
        <v>5.3940000000000001</v>
      </c>
      <c r="Y91" s="6">
        <f t="shared" si="65"/>
        <v>0</v>
      </c>
      <c r="Z91" s="21">
        <v>45026</v>
      </c>
      <c r="AA91" s="1">
        <v>1.69</v>
      </c>
      <c r="AB91" s="1">
        <v>1.69</v>
      </c>
      <c r="AC91" s="6">
        <f t="shared" si="59"/>
        <v>-1.744186046511631E-2</v>
      </c>
      <c r="AD91" s="21">
        <v>45026</v>
      </c>
      <c r="AE91" s="1">
        <v>7.4</v>
      </c>
      <c r="AF91" s="1">
        <v>6.6931000000000003</v>
      </c>
      <c r="AG91" s="6">
        <f t="shared" si="60"/>
        <v>-5.1283505081574421E-2</v>
      </c>
      <c r="AH91" s="21">
        <v>45026</v>
      </c>
      <c r="AI91" s="1">
        <v>10.16</v>
      </c>
      <c r="AJ91" s="1">
        <v>8.8826000000000001</v>
      </c>
      <c r="AK91" s="6">
        <f t="shared" si="61"/>
        <v>2.6261365868311959E-2</v>
      </c>
      <c r="AL91" s="21">
        <v>45026</v>
      </c>
      <c r="AM91" s="1">
        <v>1.49</v>
      </c>
      <c r="AN91" s="1">
        <v>1.3973</v>
      </c>
      <c r="AO91" s="6">
        <v>0</v>
      </c>
      <c r="AP91" s="21" t="s">
        <v>94</v>
      </c>
      <c r="AQ91" s="1">
        <v>8225.85</v>
      </c>
      <c r="AR91" s="6">
        <v>-1.4736604438703171E-3</v>
      </c>
    </row>
    <row r="92" spans="2:44" x14ac:dyDescent="0.35">
      <c r="B92" s="21">
        <v>45027</v>
      </c>
      <c r="C92" s="1">
        <v>0.6</v>
      </c>
      <c r="D92" s="1">
        <v>0.6</v>
      </c>
      <c r="E92" s="6">
        <f t="shared" si="64"/>
        <v>1.6949152542372836E-2</v>
      </c>
      <c r="F92" s="21">
        <v>45027</v>
      </c>
      <c r="G92" s="1">
        <v>22.5</v>
      </c>
      <c r="H92" s="1">
        <v>13.2468</v>
      </c>
      <c r="I92" s="6">
        <f t="shared" si="62"/>
        <v>0</v>
      </c>
      <c r="J92" s="21">
        <v>45027</v>
      </c>
      <c r="K92" s="1">
        <v>43</v>
      </c>
      <c r="L92" s="1">
        <v>25.850100000000001</v>
      </c>
      <c r="M92" s="6">
        <f t="shared" si="57"/>
        <v>-4.6283639388070563E-3</v>
      </c>
      <c r="N92" s="21">
        <v>45027</v>
      </c>
      <c r="O92" s="1">
        <v>17.34</v>
      </c>
      <c r="P92" s="1">
        <v>15.246600000000001</v>
      </c>
      <c r="Q92" s="6">
        <f t="shared" si="58"/>
        <v>-2.144319574858633E-2</v>
      </c>
      <c r="R92" s="21">
        <v>45027</v>
      </c>
      <c r="S92" s="1">
        <v>7.18</v>
      </c>
      <c r="T92" s="1">
        <v>6.3421000000000003</v>
      </c>
      <c r="U92" s="6">
        <f t="shared" si="63"/>
        <v>-2.7831063869931949E-3</v>
      </c>
      <c r="V92" s="21">
        <v>45027</v>
      </c>
      <c r="W92" s="1">
        <v>6.4</v>
      </c>
      <c r="X92" s="1">
        <v>5.4359999999999999</v>
      </c>
      <c r="Y92" s="6">
        <f t="shared" si="65"/>
        <v>7.7864293659621886E-3</v>
      </c>
      <c r="Z92" s="21">
        <v>45027</v>
      </c>
      <c r="AA92" s="1">
        <v>1.73</v>
      </c>
      <c r="AB92" s="1">
        <v>1.73</v>
      </c>
      <c r="AC92" s="6">
        <f t="shared" si="59"/>
        <v>2.3668639053254559E-2</v>
      </c>
      <c r="AD92" s="21">
        <v>45027</v>
      </c>
      <c r="AE92" s="1">
        <v>7.65</v>
      </c>
      <c r="AF92" s="1">
        <v>6.9192</v>
      </c>
      <c r="AG92" s="6">
        <f t="shared" si="60"/>
        <v>3.378105810461518E-2</v>
      </c>
      <c r="AH92" s="21">
        <v>45027</v>
      </c>
      <c r="AI92" s="1">
        <v>10.02</v>
      </c>
      <c r="AJ92" s="1">
        <v>8.7601999999999993</v>
      </c>
      <c r="AK92" s="6">
        <f t="shared" si="61"/>
        <v>-1.3779749172539657E-2</v>
      </c>
      <c r="AL92" s="21">
        <v>45027</v>
      </c>
      <c r="AM92" s="1">
        <v>1.53</v>
      </c>
      <c r="AN92" s="1">
        <v>1.4348000000000001</v>
      </c>
      <c r="AO92" s="6">
        <v>2.6837472267945417E-2</v>
      </c>
      <c r="AP92" s="21" t="s">
        <v>95</v>
      </c>
      <c r="AQ92" s="1">
        <v>8230.8799999999992</v>
      </c>
      <c r="AR92" s="6">
        <v>6.1148695879431614E-4</v>
      </c>
    </row>
    <row r="93" spans="2:44" x14ac:dyDescent="0.35">
      <c r="B93" s="21">
        <v>45028</v>
      </c>
      <c r="C93" s="1">
        <v>0.57999999999999996</v>
      </c>
      <c r="D93" s="1">
        <v>0.57999999999999996</v>
      </c>
      <c r="E93" s="6">
        <f t="shared" si="64"/>
        <v>-3.3333333333333326E-2</v>
      </c>
      <c r="F93" s="21">
        <v>45028</v>
      </c>
      <c r="G93" s="1">
        <v>22.49</v>
      </c>
      <c r="H93" s="1">
        <v>13.2409</v>
      </c>
      <c r="I93" s="6">
        <f t="shared" si="62"/>
        <v>-4.4539058489601047E-4</v>
      </c>
      <c r="J93" s="21">
        <v>45028</v>
      </c>
      <c r="K93" s="1">
        <v>42.5</v>
      </c>
      <c r="L93" s="1">
        <v>25.549499999999998</v>
      </c>
      <c r="M93" s="6">
        <f t="shared" si="57"/>
        <v>-1.1628581707614383E-2</v>
      </c>
      <c r="N93" s="21">
        <v>45028</v>
      </c>
      <c r="O93" s="1">
        <v>18.38</v>
      </c>
      <c r="P93" s="1">
        <v>16.161100000000001</v>
      </c>
      <c r="Q93" s="6">
        <f t="shared" si="58"/>
        <v>5.9980585835530453E-2</v>
      </c>
      <c r="R93" s="21">
        <v>45028</v>
      </c>
      <c r="S93" s="1">
        <v>7.18</v>
      </c>
      <c r="T93" s="1">
        <v>6.3421000000000003</v>
      </c>
      <c r="U93" s="6">
        <f t="shared" si="63"/>
        <v>0</v>
      </c>
      <c r="V93" s="21">
        <v>45028</v>
      </c>
      <c r="W93" s="1">
        <v>6.49</v>
      </c>
      <c r="X93" s="1">
        <v>5.5129999999999999</v>
      </c>
      <c r="Y93" s="6">
        <f t="shared" si="65"/>
        <v>1.4164827078734454E-2</v>
      </c>
      <c r="Z93" s="21">
        <v>45028</v>
      </c>
      <c r="AA93" s="1">
        <v>1.72</v>
      </c>
      <c r="AB93" s="1">
        <v>1.72</v>
      </c>
      <c r="AC93" s="6">
        <f t="shared" si="59"/>
        <v>-5.7803468208093012E-3</v>
      </c>
      <c r="AD93" s="21">
        <v>45028</v>
      </c>
      <c r="AE93" s="1">
        <v>7.4</v>
      </c>
      <c r="AF93" s="1">
        <v>6.6931000000000003</v>
      </c>
      <c r="AG93" s="6">
        <f t="shared" si="60"/>
        <v>-3.2677188114232814E-2</v>
      </c>
      <c r="AH93" s="21">
        <v>45028</v>
      </c>
      <c r="AI93" s="1">
        <v>9.94</v>
      </c>
      <c r="AJ93" s="1">
        <v>8.6903000000000006</v>
      </c>
      <c r="AK93" s="6">
        <f t="shared" si="61"/>
        <v>-7.9792698796830042E-3</v>
      </c>
      <c r="AL93" s="21">
        <v>45028</v>
      </c>
      <c r="AM93" s="1">
        <v>1.53</v>
      </c>
      <c r="AN93" s="1">
        <v>1.4348000000000001</v>
      </c>
      <c r="AO93" s="6">
        <v>0</v>
      </c>
      <c r="AP93" s="21" t="s">
        <v>96</v>
      </c>
      <c r="AQ93" s="1">
        <v>8211.4599999999991</v>
      </c>
      <c r="AR93" s="6">
        <v>-2.3594074995626491E-3</v>
      </c>
    </row>
    <row r="94" spans="2:44" x14ac:dyDescent="0.35">
      <c r="B94" s="21">
        <v>45029</v>
      </c>
      <c r="C94" s="1">
        <v>0.59</v>
      </c>
      <c r="D94" s="1">
        <v>0.59</v>
      </c>
      <c r="E94" s="6">
        <f t="shared" si="64"/>
        <v>1.7241379310344751E-2</v>
      </c>
      <c r="F94" s="21">
        <v>45029</v>
      </c>
      <c r="G94" s="1">
        <v>22.45</v>
      </c>
      <c r="H94" s="1">
        <v>13.2173</v>
      </c>
      <c r="I94" s="6">
        <f t="shared" si="62"/>
        <v>-1.782356184247269E-3</v>
      </c>
      <c r="J94" s="21">
        <v>45029</v>
      </c>
      <c r="K94" s="1">
        <v>42.4</v>
      </c>
      <c r="L94" s="1">
        <v>25.4894</v>
      </c>
      <c r="M94" s="6">
        <f t="shared" si="57"/>
        <v>-2.3522965224367365E-3</v>
      </c>
      <c r="N94" s="21">
        <v>45029</v>
      </c>
      <c r="O94" s="1">
        <v>18.670000000000002</v>
      </c>
      <c r="P94" s="1">
        <v>16.416</v>
      </c>
      <c r="Q94" s="6">
        <f t="shared" si="58"/>
        <v>1.5772441232341894E-2</v>
      </c>
      <c r="R94" s="21">
        <v>45029</v>
      </c>
      <c r="S94" s="1">
        <v>7.29</v>
      </c>
      <c r="T94" s="1">
        <v>6.4393000000000002</v>
      </c>
      <c r="U94" s="6">
        <f t="shared" si="63"/>
        <v>1.5326153797637909E-2</v>
      </c>
      <c r="V94" s="21">
        <v>45029</v>
      </c>
      <c r="W94" s="1">
        <v>6.47</v>
      </c>
      <c r="X94" s="1">
        <v>5.4960000000000004</v>
      </c>
      <c r="Y94" s="6">
        <f t="shared" si="65"/>
        <v>-3.0836205332848143E-3</v>
      </c>
      <c r="Z94" s="21">
        <v>45029</v>
      </c>
      <c r="AA94" s="1">
        <v>1.7</v>
      </c>
      <c r="AB94" s="1">
        <v>1.7</v>
      </c>
      <c r="AC94" s="6">
        <f t="shared" si="59"/>
        <v>-1.1627906976744207E-2</v>
      </c>
      <c r="AD94" s="21">
        <v>45029</v>
      </c>
      <c r="AE94" s="1">
        <v>7.4</v>
      </c>
      <c r="AF94" s="1">
        <v>6.6931000000000003</v>
      </c>
      <c r="AG94" s="6">
        <f t="shared" si="60"/>
        <v>0</v>
      </c>
      <c r="AH94" s="21">
        <v>45029</v>
      </c>
      <c r="AI94" s="1">
        <v>9.8000000000000007</v>
      </c>
      <c r="AJ94" s="1">
        <v>8.5678999999999998</v>
      </c>
      <c r="AK94" s="6">
        <f t="shared" si="61"/>
        <v>-1.4084669113839654E-2</v>
      </c>
      <c r="AL94" s="21">
        <v>45029</v>
      </c>
      <c r="AM94" s="1">
        <v>1.47</v>
      </c>
      <c r="AN94" s="1">
        <v>1.3786</v>
      </c>
      <c r="AO94" s="6">
        <v>-3.9169222191246189E-2</v>
      </c>
      <c r="AP94" s="21" t="s">
        <v>97</v>
      </c>
      <c r="AQ94" s="1">
        <v>8201.23</v>
      </c>
      <c r="AR94" s="6">
        <v>-1.2458198663818365E-3</v>
      </c>
    </row>
    <row r="95" spans="2:44" x14ac:dyDescent="0.35">
      <c r="B95" s="21">
        <v>45030</v>
      </c>
      <c r="C95" s="1">
        <v>0.6</v>
      </c>
      <c r="D95" s="1">
        <v>0.6</v>
      </c>
      <c r="E95" s="6">
        <f t="shared" si="64"/>
        <v>1.6949152542372836E-2</v>
      </c>
      <c r="F95" s="21">
        <v>45030</v>
      </c>
      <c r="G95" s="1">
        <v>22.8</v>
      </c>
      <c r="H95" s="1">
        <v>13.423400000000001</v>
      </c>
      <c r="I95" s="6">
        <f t="shared" si="62"/>
        <v>1.5593199821446246E-2</v>
      </c>
      <c r="J95" s="21">
        <v>45030</v>
      </c>
      <c r="K95" s="1">
        <v>42</v>
      </c>
      <c r="L95" s="1">
        <v>25.248899999999999</v>
      </c>
      <c r="M95" s="6">
        <f t="shared" si="57"/>
        <v>-9.4352946715104968E-3</v>
      </c>
      <c r="N95" s="21">
        <v>45030</v>
      </c>
      <c r="O95" s="1">
        <v>18.68</v>
      </c>
      <c r="P95" s="1">
        <v>16.424800000000001</v>
      </c>
      <c r="Q95" s="6">
        <f t="shared" si="58"/>
        <v>5.3606237816761215E-4</v>
      </c>
      <c r="R95" s="21">
        <v>45030</v>
      </c>
      <c r="S95" s="1">
        <v>7.25</v>
      </c>
      <c r="T95" s="1">
        <v>6.4039999999999999</v>
      </c>
      <c r="U95" s="6">
        <f t="shared" si="63"/>
        <v>-5.4819623250974558E-3</v>
      </c>
      <c r="V95" s="21">
        <v>45030</v>
      </c>
      <c r="W95" s="1">
        <v>6.47</v>
      </c>
      <c r="X95" s="1">
        <v>5.4960000000000004</v>
      </c>
      <c r="Y95" s="6">
        <f t="shared" si="65"/>
        <v>0</v>
      </c>
      <c r="Z95" s="21">
        <v>45030</v>
      </c>
      <c r="AA95" s="1">
        <v>1.7</v>
      </c>
      <c r="AB95" s="1">
        <v>1.7</v>
      </c>
      <c r="AC95" s="6">
        <f t="shared" si="59"/>
        <v>0</v>
      </c>
      <c r="AD95" s="21">
        <v>45030</v>
      </c>
      <c r="AE95" s="1">
        <v>7.65</v>
      </c>
      <c r="AF95" s="1">
        <v>6.9192</v>
      </c>
      <c r="AG95" s="6">
        <f t="shared" si="60"/>
        <v>3.378105810461518E-2</v>
      </c>
      <c r="AH95" s="21">
        <v>45030</v>
      </c>
      <c r="AI95" s="1">
        <v>9.8800000000000008</v>
      </c>
      <c r="AJ95" s="1">
        <v>8.6378000000000004</v>
      </c>
      <c r="AK95" s="6">
        <f t="shared" si="61"/>
        <v>8.1583585242592793E-3</v>
      </c>
      <c r="AL95" s="21">
        <v>45030</v>
      </c>
      <c r="AM95" s="1">
        <v>1.47</v>
      </c>
      <c r="AN95" s="1">
        <v>1.3786</v>
      </c>
      <c r="AO95" s="6">
        <v>0</v>
      </c>
      <c r="AP95" s="21" t="s">
        <v>98</v>
      </c>
      <c r="AQ95" s="1">
        <v>8149.2</v>
      </c>
      <c r="AR95" s="6">
        <v>-6.3441703256705839E-3</v>
      </c>
    </row>
    <row r="96" spans="2:44" x14ac:dyDescent="0.35">
      <c r="B96" s="21">
        <v>45033</v>
      </c>
      <c r="C96" s="1">
        <v>0.6</v>
      </c>
      <c r="D96" s="1">
        <v>0.6</v>
      </c>
      <c r="E96" s="6">
        <f t="shared" si="64"/>
        <v>0</v>
      </c>
      <c r="F96" s="21">
        <v>45033</v>
      </c>
      <c r="G96" s="1">
        <v>22.45</v>
      </c>
      <c r="H96" s="1">
        <v>13.2173</v>
      </c>
      <c r="I96" s="6">
        <f t="shared" si="62"/>
        <v>-1.5353785181101753E-2</v>
      </c>
      <c r="J96" s="21">
        <v>45033</v>
      </c>
      <c r="K96" s="1">
        <v>42.3</v>
      </c>
      <c r="L96" s="1">
        <v>25.429200000000002</v>
      </c>
      <c r="M96" s="6">
        <f t="shared" si="57"/>
        <v>7.1409051483430908E-3</v>
      </c>
      <c r="N96" s="21">
        <v>45033</v>
      </c>
      <c r="O96" s="1">
        <v>19.010000000000002</v>
      </c>
      <c r="P96" s="1">
        <v>16.715</v>
      </c>
      <c r="Q96" s="6">
        <f t="shared" si="58"/>
        <v>1.766840387706381E-2</v>
      </c>
      <c r="R96" s="21">
        <v>45033</v>
      </c>
      <c r="S96" s="1">
        <v>7.22</v>
      </c>
      <c r="T96" s="1">
        <v>6.3775000000000004</v>
      </c>
      <c r="U96" s="6">
        <f t="shared" si="63"/>
        <v>-4.1380387257963225E-3</v>
      </c>
      <c r="V96" s="21">
        <v>45033</v>
      </c>
      <c r="W96" s="1">
        <v>6.44</v>
      </c>
      <c r="X96" s="1">
        <v>5.47</v>
      </c>
      <c r="Y96" s="6">
        <f t="shared" si="65"/>
        <v>-4.7307132459971646E-3</v>
      </c>
      <c r="Z96" s="21">
        <v>45033</v>
      </c>
      <c r="AA96" s="1">
        <v>1.68</v>
      </c>
      <c r="AB96" s="1">
        <v>1.68</v>
      </c>
      <c r="AC96" s="6">
        <f t="shared" si="59"/>
        <v>-1.1764705882352899E-2</v>
      </c>
      <c r="AD96" s="21">
        <v>45033</v>
      </c>
      <c r="AE96" s="1">
        <v>7.4</v>
      </c>
      <c r="AF96" s="1">
        <v>6.6931000000000003</v>
      </c>
      <c r="AG96" s="6">
        <f t="shared" si="60"/>
        <v>-3.2677188114232814E-2</v>
      </c>
      <c r="AH96" s="21">
        <v>45033</v>
      </c>
      <c r="AI96" s="1">
        <v>9.8000000000000007</v>
      </c>
      <c r="AJ96" s="1">
        <v>8.5678999999999998</v>
      </c>
      <c r="AK96" s="6">
        <f t="shared" si="61"/>
        <v>-8.092338326888826E-3</v>
      </c>
      <c r="AL96" s="21">
        <v>45033</v>
      </c>
      <c r="AM96" s="1">
        <v>1.47</v>
      </c>
      <c r="AN96" s="1">
        <v>1.3786</v>
      </c>
      <c r="AO96" s="6">
        <v>0</v>
      </c>
      <c r="AP96" s="21" t="s">
        <v>99</v>
      </c>
      <c r="AQ96" s="1">
        <v>8141.6</v>
      </c>
      <c r="AR96" s="6">
        <v>-9.3260688165708316E-4</v>
      </c>
    </row>
    <row r="97" spans="2:44" x14ac:dyDescent="0.35">
      <c r="B97" s="21">
        <v>45034</v>
      </c>
      <c r="C97" s="1">
        <v>0.57999999999999996</v>
      </c>
      <c r="D97" s="1">
        <v>0.57999999999999996</v>
      </c>
      <c r="E97" s="6">
        <f t="shared" si="64"/>
        <v>-3.3333333333333326E-2</v>
      </c>
      <c r="F97" s="21">
        <v>45034</v>
      </c>
      <c r="G97" s="1">
        <v>22.45</v>
      </c>
      <c r="H97" s="1">
        <v>13.2173</v>
      </c>
      <c r="I97" s="6">
        <f t="shared" si="62"/>
        <v>0</v>
      </c>
      <c r="J97" s="21">
        <v>45034</v>
      </c>
      <c r="K97" s="1">
        <v>42.45</v>
      </c>
      <c r="L97" s="1">
        <v>25.519400000000001</v>
      </c>
      <c r="M97" s="6">
        <f t="shared" si="57"/>
        <v>3.5471033300300547E-3</v>
      </c>
      <c r="N97" s="21">
        <v>45034</v>
      </c>
      <c r="O97" s="1">
        <v>19.89</v>
      </c>
      <c r="P97" s="1">
        <v>17.488800000000001</v>
      </c>
      <c r="Q97" s="6">
        <f t="shared" si="58"/>
        <v>4.6293748130421752E-2</v>
      </c>
      <c r="R97" s="21">
        <v>45034</v>
      </c>
      <c r="S97" s="1">
        <v>7.22</v>
      </c>
      <c r="T97" s="1">
        <v>6.3775000000000004</v>
      </c>
      <c r="U97" s="6">
        <f t="shared" si="63"/>
        <v>0</v>
      </c>
      <c r="V97" s="21">
        <v>45034</v>
      </c>
      <c r="W97" s="1">
        <v>6.44</v>
      </c>
      <c r="X97" s="1">
        <v>5.47</v>
      </c>
      <c r="Y97" s="6">
        <f t="shared" si="65"/>
        <v>0</v>
      </c>
      <c r="Z97" s="21">
        <v>45034</v>
      </c>
      <c r="AA97" s="1">
        <v>1.7</v>
      </c>
      <c r="AB97" s="1">
        <v>1.7</v>
      </c>
      <c r="AC97" s="6">
        <f t="shared" si="59"/>
        <v>1.1904761904761862E-2</v>
      </c>
      <c r="AD97" s="21">
        <v>45034</v>
      </c>
      <c r="AE97" s="1">
        <v>7.39</v>
      </c>
      <c r="AF97" s="1">
        <v>6.6840999999999999</v>
      </c>
      <c r="AG97" s="6">
        <f t="shared" si="60"/>
        <v>-1.3446683898343803E-3</v>
      </c>
      <c r="AH97" s="21">
        <v>45034</v>
      </c>
      <c r="AI97" s="1">
        <v>9.85</v>
      </c>
      <c r="AJ97" s="1">
        <v>8.6115999999999993</v>
      </c>
      <c r="AK97" s="6">
        <f t="shared" si="61"/>
        <v>5.1004330115898E-3</v>
      </c>
      <c r="AL97" s="21">
        <v>45034</v>
      </c>
      <c r="AM97" s="1">
        <v>1.47</v>
      </c>
      <c r="AN97" s="1">
        <v>1.3786</v>
      </c>
      <c r="AO97" s="6">
        <v>0</v>
      </c>
      <c r="AP97" s="21" t="s">
        <v>100</v>
      </c>
      <c r="AQ97" s="1">
        <v>8221.75</v>
      </c>
      <c r="AR97" s="6">
        <v>9.8445023091284778E-3</v>
      </c>
    </row>
    <row r="98" spans="2:44" x14ac:dyDescent="0.35">
      <c r="B98" s="21">
        <v>45035</v>
      </c>
      <c r="C98" s="1">
        <v>0.56000000000000005</v>
      </c>
      <c r="D98" s="1">
        <v>0.56000000000000005</v>
      </c>
      <c r="E98" s="6">
        <f t="shared" si="64"/>
        <v>-3.4482758620689502E-2</v>
      </c>
      <c r="F98" s="21">
        <v>45035</v>
      </c>
      <c r="G98" s="1">
        <v>22.4</v>
      </c>
      <c r="H98" s="1">
        <v>13.187900000000001</v>
      </c>
      <c r="I98" s="6">
        <f t="shared" si="62"/>
        <v>-2.2243574708903369E-3</v>
      </c>
      <c r="J98" s="21">
        <v>45035</v>
      </c>
      <c r="K98" s="1">
        <v>42.95</v>
      </c>
      <c r="L98" s="1">
        <v>25.82</v>
      </c>
      <c r="M98" s="6">
        <f t="shared" si="57"/>
        <v>1.1779273807377866E-2</v>
      </c>
      <c r="N98" s="21">
        <v>45035</v>
      </c>
      <c r="O98" s="1">
        <v>19.649999999999999</v>
      </c>
      <c r="P98" s="1">
        <v>17.277699999999999</v>
      </c>
      <c r="Q98" s="6">
        <f t="shared" si="58"/>
        <v>-1.2070582315539147E-2</v>
      </c>
      <c r="R98" s="21">
        <v>45035</v>
      </c>
      <c r="S98" s="1">
        <v>7.25</v>
      </c>
      <c r="T98" s="1">
        <v>6.4039999999999999</v>
      </c>
      <c r="U98" s="6">
        <f t="shared" si="63"/>
        <v>4.1552332418659521E-3</v>
      </c>
      <c r="V98" s="21">
        <v>45035</v>
      </c>
      <c r="W98" s="1">
        <v>6.44</v>
      </c>
      <c r="X98" s="1">
        <v>5.47</v>
      </c>
      <c r="Y98" s="6">
        <f t="shared" si="65"/>
        <v>0</v>
      </c>
      <c r="Z98" s="21">
        <v>45035</v>
      </c>
      <c r="AA98" s="1">
        <v>1.68</v>
      </c>
      <c r="AB98" s="1">
        <v>1.68</v>
      </c>
      <c r="AC98" s="6">
        <f t="shared" si="59"/>
        <v>-1.1764705882352899E-2</v>
      </c>
      <c r="AD98" s="21">
        <v>45035</v>
      </c>
      <c r="AE98" s="1">
        <v>7.32</v>
      </c>
      <c r="AF98" s="1">
        <v>6.6208</v>
      </c>
      <c r="AG98" s="6">
        <f t="shared" si="60"/>
        <v>-9.4702353346000079E-3</v>
      </c>
      <c r="AH98" s="21">
        <v>45035</v>
      </c>
      <c r="AI98" s="1">
        <v>9.9</v>
      </c>
      <c r="AJ98" s="1">
        <v>8.6553000000000004</v>
      </c>
      <c r="AK98" s="6">
        <f t="shared" si="61"/>
        <v>5.0745506061593559E-3</v>
      </c>
      <c r="AL98" s="21">
        <v>45035</v>
      </c>
      <c r="AM98" s="1">
        <v>1.41</v>
      </c>
      <c r="AN98" s="1">
        <v>1.3223</v>
      </c>
      <c r="AO98" s="6">
        <v>-4.0838531843899628E-2</v>
      </c>
      <c r="AP98" s="21" t="s">
        <v>101</v>
      </c>
      <c r="AQ98" s="1">
        <v>8205.7999999999993</v>
      </c>
      <c r="AR98" s="6">
        <v>-1.9399762824217071E-3</v>
      </c>
    </row>
    <row r="99" spans="2:44" x14ac:dyDescent="0.35">
      <c r="B99" s="21">
        <v>45036</v>
      </c>
      <c r="C99" s="1">
        <v>0.59</v>
      </c>
      <c r="D99" s="1">
        <v>0.59</v>
      </c>
      <c r="E99" s="6">
        <f t="shared" si="64"/>
        <v>5.3571428571428381E-2</v>
      </c>
      <c r="F99" s="21">
        <v>45036</v>
      </c>
      <c r="G99" s="1">
        <v>22.4</v>
      </c>
      <c r="H99" s="1">
        <v>13.187900000000001</v>
      </c>
      <c r="I99" s="6">
        <f t="shared" si="62"/>
        <v>0</v>
      </c>
      <c r="J99" s="21">
        <v>45036</v>
      </c>
      <c r="K99" s="1">
        <v>43</v>
      </c>
      <c r="L99" s="1">
        <v>25.850100000000001</v>
      </c>
      <c r="M99" s="6">
        <f t="shared" si="57"/>
        <v>1.165762974438378E-3</v>
      </c>
      <c r="N99" s="21">
        <v>45036</v>
      </c>
      <c r="O99" s="1">
        <v>19</v>
      </c>
      <c r="P99" s="1">
        <v>16.706199999999999</v>
      </c>
      <c r="Q99" s="6">
        <f t="shared" si="58"/>
        <v>-3.3077319319122389E-2</v>
      </c>
      <c r="R99" s="21">
        <v>45036</v>
      </c>
      <c r="S99" s="1">
        <v>7.28</v>
      </c>
      <c r="T99" s="1">
        <v>6.4305000000000003</v>
      </c>
      <c r="U99" s="6">
        <f t="shared" si="63"/>
        <v>4.1380387257965445E-3</v>
      </c>
      <c r="V99" s="21">
        <v>45036</v>
      </c>
      <c r="W99" s="1">
        <v>6.44</v>
      </c>
      <c r="X99" s="1">
        <v>5.47</v>
      </c>
      <c r="Y99" s="6">
        <f t="shared" si="65"/>
        <v>0</v>
      </c>
      <c r="Z99" s="21">
        <v>45036</v>
      </c>
      <c r="AA99" s="1">
        <v>1.69</v>
      </c>
      <c r="AB99" s="1">
        <v>1.69</v>
      </c>
      <c r="AC99" s="6">
        <f t="shared" si="59"/>
        <v>5.9523809523809312E-3</v>
      </c>
      <c r="AD99" s="21">
        <v>45036</v>
      </c>
      <c r="AE99" s="1">
        <v>7.5</v>
      </c>
      <c r="AF99" s="1">
        <v>6.7835999999999999</v>
      </c>
      <c r="AG99" s="6">
        <f t="shared" si="60"/>
        <v>2.4589173513774654E-2</v>
      </c>
      <c r="AH99" s="21">
        <v>45036</v>
      </c>
      <c r="AI99" s="1">
        <v>9.9</v>
      </c>
      <c r="AJ99" s="1">
        <v>8.6553000000000004</v>
      </c>
      <c r="AK99" s="6">
        <f t="shared" si="61"/>
        <v>0</v>
      </c>
      <c r="AL99" s="21">
        <v>45036</v>
      </c>
      <c r="AM99" s="1">
        <v>1.35</v>
      </c>
      <c r="AN99" s="1">
        <v>1.266</v>
      </c>
      <c r="AO99" s="6">
        <v>-4.2577327384103469E-2</v>
      </c>
      <c r="AP99" s="21" t="s">
        <v>102</v>
      </c>
      <c r="AQ99" s="1">
        <v>8240.48</v>
      </c>
      <c r="AR99" s="6">
        <v>4.2262789734091033E-3</v>
      </c>
    </row>
    <row r="100" spans="2:44" x14ac:dyDescent="0.35">
      <c r="B100" s="21">
        <v>45040</v>
      </c>
      <c r="C100" s="1">
        <v>0.57999999999999996</v>
      </c>
      <c r="D100" s="1">
        <v>0.57999999999999996</v>
      </c>
      <c r="E100" s="6">
        <f t="shared" si="64"/>
        <v>-1.6949152542372947E-2</v>
      </c>
      <c r="F100" s="21">
        <v>45040</v>
      </c>
      <c r="G100" s="1">
        <v>22.5</v>
      </c>
      <c r="H100" s="1">
        <v>13.2468</v>
      </c>
      <c r="I100" s="6">
        <f t="shared" si="62"/>
        <v>4.466215242760363E-3</v>
      </c>
      <c r="J100" s="21">
        <v>45040</v>
      </c>
      <c r="K100" s="1">
        <v>43</v>
      </c>
      <c r="L100" s="1">
        <v>25.850100000000001</v>
      </c>
      <c r="M100" s="6">
        <f t="shared" si="57"/>
        <v>0</v>
      </c>
      <c r="N100" s="21">
        <v>45040</v>
      </c>
      <c r="O100" s="1">
        <v>18.7</v>
      </c>
      <c r="P100" s="1">
        <v>16.442399999999999</v>
      </c>
      <c r="Q100" s="6">
        <f t="shared" si="58"/>
        <v>-1.5790544827668729E-2</v>
      </c>
      <c r="R100" s="21">
        <v>45040</v>
      </c>
      <c r="S100" s="1">
        <v>7.53</v>
      </c>
      <c r="T100" s="1">
        <v>6.6513</v>
      </c>
      <c r="U100" s="6">
        <f t="shared" si="63"/>
        <v>3.4336365756939546E-2</v>
      </c>
      <c r="V100" s="21">
        <v>45040</v>
      </c>
      <c r="W100" s="1">
        <v>6.44</v>
      </c>
      <c r="X100" s="1">
        <v>5.47</v>
      </c>
      <c r="Y100" s="6">
        <f t="shared" si="65"/>
        <v>0</v>
      </c>
      <c r="Z100" s="21">
        <v>45040</v>
      </c>
      <c r="AA100" s="1">
        <v>1.72</v>
      </c>
      <c r="AB100" s="1">
        <v>1.72</v>
      </c>
      <c r="AC100" s="6">
        <f t="shared" si="59"/>
        <v>1.7751479289940919E-2</v>
      </c>
      <c r="AD100" s="21">
        <v>45040</v>
      </c>
      <c r="AE100" s="1">
        <v>7.5</v>
      </c>
      <c r="AF100" s="1">
        <v>6.7835999999999999</v>
      </c>
      <c r="AG100" s="6">
        <f t="shared" si="60"/>
        <v>0</v>
      </c>
      <c r="AH100" s="21">
        <v>45040</v>
      </c>
      <c r="AI100" s="1">
        <v>9.85</v>
      </c>
      <c r="AJ100" s="1">
        <v>8.6115999999999993</v>
      </c>
      <c r="AK100" s="6">
        <f t="shared" si="61"/>
        <v>-5.0489295576122695E-3</v>
      </c>
      <c r="AL100" s="21">
        <v>45040</v>
      </c>
      <c r="AM100" s="1">
        <v>1.41</v>
      </c>
      <c r="AN100" s="1">
        <v>1.3223</v>
      </c>
      <c r="AO100" s="6">
        <v>4.4470774091627252E-2</v>
      </c>
      <c r="AP100" s="21" t="s">
        <v>103</v>
      </c>
      <c r="AQ100" s="1">
        <v>8245.7099999999991</v>
      </c>
      <c r="AR100" s="6">
        <v>6.3467176669318448E-4</v>
      </c>
    </row>
    <row r="101" spans="2:44" x14ac:dyDescent="0.35">
      <c r="B101" s="21">
        <v>45041</v>
      </c>
      <c r="C101" s="1">
        <v>0.56000000000000005</v>
      </c>
      <c r="D101" s="1">
        <v>0.56000000000000005</v>
      </c>
      <c r="E101" s="6">
        <f t="shared" si="64"/>
        <v>-3.4482758620689502E-2</v>
      </c>
      <c r="F101" s="21">
        <v>45041</v>
      </c>
      <c r="G101" s="1">
        <v>22.48</v>
      </c>
      <c r="H101" s="1">
        <v>13.234999999999999</v>
      </c>
      <c r="I101" s="6">
        <f t="shared" si="62"/>
        <v>-8.9078116979202093E-4</v>
      </c>
      <c r="J101" s="21">
        <v>45041</v>
      </c>
      <c r="K101" s="1">
        <v>42.99</v>
      </c>
      <c r="L101" s="1">
        <v>25.844100000000001</v>
      </c>
      <c r="M101" s="6">
        <f t="shared" si="57"/>
        <v>-2.3210741931367629E-4</v>
      </c>
      <c r="N101" s="21">
        <v>45041</v>
      </c>
      <c r="O101" s="1">
        <v>18.32</v>
      </c>
      <c r="P101" s="1">
        <v>16.1083</v>
      </c>
      <c r="Q101" s="6">
        <f t="shared" si="58"/>
        <v>-2.0319418089816521E-2</v>
      </c>
      <c r="R101" s="21">
        <v>45041</v>
      </c>
      <c r="S101" s="1">
        <v>7.5</v>
      </c>
      <c r="T101" s="1">
        <v>6.6247999999999996</v>
      </c>
      <c r="U101" s="6">
        <f t="shared" si="63"/>
        <v>-3.9841835430668437E-3</v>
      </c>
      <c r="V101" s="21">
        <v>45041</v>
      </c>
      <c r="W101" s="1">
        <v>6.43</v>
      </c>
      <c r="X101" s="1">
        <v>5.4619999999999997</v>
      </c>
      <c r="Y101" s="6">
        <f t="shared" si="65"/>
        <v>-1.4625228519196121E-3</v>
      </c>
      <c r="Z101" s="21">
        <v>45041</v>
      </c>
      <c r="AA101" s="1">
        <v>1.76</v>
      </c>
      <c r="AB101" s="1">
        <v>1.76</v>
      </c>
      <c r="AC101" s="6">
        <f t="shared" si="59"/>
        <v>2.3255813953488413E-2</v>
      </c>
      <c r="AD101" s="21">
        <v>45041</v>
      </c>
      <c r="AE101" s="1">
        <v>7.5</v>
      </c>
      <c r="AF101" s="1">
        <v>6.7835999999999999</v>
      </c>
      <c r="AG101" s="6">
        <f t="shared" si="60"/>
        <v>0</v>
      </c>
      <c r="AH101" s="21">
        <v>45041</v>
      </c>
      <c r="AI101" s="1">
        <v>9.89</v>
      </c>
      <c r="AJ101" s="1">
        <v>8.6464999999999996</v>
      </c>
      <c r="AK101" s="6">
        <f t="shared" si="61"/>
        <v>4.0526731385572834E-3</v>
      </c>
      <c r="AL101" s="21">
        <v>45041</v>
      </c>
      <c r="AM101" s="1">
        <v>1.39</v>
      </c>
      <c r="AN101" s="1">
        <v>1.3035000000000001</v>
      </c>
      <c r="AO101" s="6">
        <v>-1.4217651062542469E-2</v>
      </c>
      <c r="AP101" s="21" t="s">
        <v>104</v>
      </c>
      <c r="AQ101" s="1">
        <v>8275.52</v>
      </c>
      <c r="AR101" s="6">
        <v>3.6152132442204277E-3</v>
      </c>
    </row>
    <row r="102" spans="2:44" x14ac:dyDescent="0.35">
      <c r="B102" s="21">
        <v>45042</v>
      </c>
      <c r="C102" s="1">
        <v>0.54</v>
      </c>
      <c r="D102" s="1">
        <v>0.54</v>
      </c>
      <c r="E102" s="6">
        <f t="shared" si="64"/>
        <v>-3.5714285714285698E-2</v>
      </c>
      <c r="F102" s="21">
        <v>45042</v>
      </c>
      <c r="G102" s="1">
        <v>22.7</v>
      </c>
      <c r="H102" s="1">
        <v>13.3645</v>
      </c>
      <c r="I102" s="6">
        <f t="shared" si="62"/>
        <v>9.7846618813750563E-3</v>
      </c>
      <c r="J102" s="21">
        <v>45042</v>
      </c>
      <c r="K102" s="1">
        <v>43.2</v>
      </c>
      <c r="L102" s="1">
        <v>25.970300000000002</v>
      </c>
      <c r="M102" s="6">
        <f t="shared" si="57"/>
        <v>4.8831261293680317E-3</v>
      </c>
      <c r="N102" s="21">
        <v>45042</v>
      </c>
      <c r="O102" s="1">
        <v>17.23</v>
      </c>
      <c r="P102" s="1">
        <v>15.149900000000001</v>
      </c>
      <c r="Q102" s="6">
        <f t="shared" si="58"/>
        <v>-5.9497277800885207E-2</v>
      </c>
      <c r="R102" s="21">
        <v>45042</v>
      </c>
      <c r="S102" s="1">
        <v>7.49</v>
      </c>
      <c r="T102" s="1">
        <v>6.6159999999999997</v>
      </c>
      <c r="U102" s="6">
        <f t="shared" si="63"/>
        <v>-1.328341987682613E-3</v>
      </c>
      <c r="V102" s="21">
        <v>45042</v>
      </c>
      <c r="W102" s="1">
        <v>6.43</v>
      </c>
      <c r="X102" s="1">
        <v>5.4619999999999997</v>
      </c>
      <c r="Y102" s="6">
        <f t="shared" si="65"/>
        <v>0</v>
      </c>
      <c r="Z102" s="21">
        <v>45042</v>
      </c>
      <c r="AA102" s="1">
        <v>1.74</v>
      </c>
      <c r="AB102" s="1">
        <v>1.74</v>
      </c>
      <c r="AC102" s="6">
        <f t="shared" si="59"/>
        <v>-1.1363636363636354E-2</v>
      </c>
      <c r="AD102" s="21">
        <v>45042</v>
      </c>
      <c r="AE102" s="1">
        <v>7.35</v>
      </c>
      <c r="AF102" s="1">
        <v>6.6478999999999999</v>
      </c>
      <c r="AG102" s="6">
        <f t="shared" si="60"/>
        <v>-2.000412760186332E-2</v>
      </c>
      <c r="AH102" s="21">
        <v>45042</v>
      </c>
      <c r="AI102" s="1">
        <v>9.9</v>
      </c>
      <c r="AJ102" s="1">
        <v>8.6553000000000004</v>
      </c>
      <c r="AK102" s="6">
        <f t="shared" si="61"/>
        <v>1.0177528479733411E-3</v>
      </c>
      <c r="AL102" s="21">
        <v>45042</v>
      </c>
      <c r="AM102" s="1">
        <v>1.43</v>
      </c>
      <c r="AN102" s="1">
        <v>1.3411</v>
      </c>
      <c r="AO102" s="6">
        <v>2.8845416187188277E-2</v>
      </c>
      <c r="AP102" s="21" t="s">
        <v>105</v>
      </c>
      <c r="AQ102" s="1">
        <v>8266.5300000000007</v>
      </c>
      <c r="AR102" s="6">
        <v>-1.0863365685781501E-3</v>
      </c>
    </row>
    <row r="103" spans="2:44" x14ac:dyDescent="0.35">
      <c r="B103" s="21">
        <v>45043</v>
      </c>
      <c r="C103" s="1">
        <v>0.55000000000000004</v>
      </c>
      <c r="D103" s="1">
        <v>0.55000000000000004</v>
      </c>
      <c r="E103" s="6">
        <f t="shared" si="64"/>
        <v>1.8518518518518601E-2</v>
      </c>
      <c r="F103" s="21">
        <v>45043</v>
      </c>
      <c r="G103" s="1">
        <v>22.55</v>
      </c>
      <c r="H103" s="1">
        <v>13.276199999999999</v>
      </c>
      <c r="I103" s="6">
        <f t="shared" si="62"/>
        <v>-6.6070560065846218E-3</v>
      </c>
      <c r="J103" s="21">
        <v>45043</v>
      </c>
      <c r="K103" s="1">
        <v>40.299999999999997</v>
      </c>
      <c r="L103" s="1">
        <v>26.713999999999999</v>
      </c>
      <c r="M103" s="6">
        <f t="shared" si="57"/>
        <v>2.8636557914232696E-2</v>
      </c>
      <c r="N103" s="21">
        <v>45043</v>
      </c>
      <c r="O103" s="1">
        <v>16.850000000000001</v>
      </c>
      <c r="P103" s="1">
        <v>14.815799999999999</v>
      </c>
      <c r="Q103" s="6">
        <f t="shared" si="58"/>
        <v>-2.205295084456016E-2</v>
      </c>
      <c r="R103" s="21">
        <v>45043</v>
      </c>
      <c r="S103" s="1">
        <v>7.3</v>
      </c>
      <c r="T103" s="1">
        <v>6.4481000000000002</v>
      </c>
      <c r="U103" s="6">
        <f t="shared" si="63"/>
        <v>-2.5377871825876586E-2</v>
      </c>
      <c r="V103" s="21">
        <v>45043</v>
      </c>
      <c r="W103" s="1">
        <v>6.42</v>
      </c>
      <c r="X103" s="1">
        <v>5.4530000000000003</v>
      </c>
      <c r="Y103" s="6">
        <f t="shared" si="65"/>
        <v>-1.6477480776271314E-3</v>
      </c>
      <c r="Z103" s="21">
        <v>45043</v>
      </c>
      <c r="AA103" s="1">
        <v>1.75</v>
      </c>
      <c r="AB103" s="1">
        <v>1.75</v>
      </c>
      <c r="AC103" s="6">
        <f t="shared" si="59"/>
        <v>5.7471264367816577E-3</v>
      </c>
      <c r="AD103" s="21">
        <v>45043</v>
      </c>
      <c r="AE103" s="1">
        <v>7.45</v>
      </c>
      <c r="AF103" s="1">
        <v>6.7382999999999997</v>
      </c>
      <c r="AG103" s="6">
        <f t="shared" si="60"/>
        <v>1.3598279155823567E-2</v>
      </c>
      <c r="AH103" s="21">
        <v>45043</v>
      </c>
      <c r="AI103" s="1">
        <v>9.86</v>
      </c>
      <c r="AJ103" s="1">
        <v>8.6203000000000003</v>
      </c>
      <c r="AK103" s="6">
        <f t="shared" si="61"/>
        <v>-4.0437650919090684E-3</v>
      </c>
      <c r="AL103" s="21">
        <v>45043</v>
      </c>
      <c r="AM103" s="1">
        <v>1.43</v>
      </c>
      <c r="AN103" s="1">
        <v>1.3411</v>
      </c>
      <c r="AO103" s="6">
        <v>0</v>
      </c>
      <c r="AP103" s="21" t="s">
        <v>106</v>
      </c>
      <c r="AQ103" s="1">
        <v>8304.09</v>
      </c>
      <c r="AR103" s="6">
        <v>4.5436235034530537E-3</v>
      </c>
    </row>
    <row r="104" spans="2:44" x14ac:dyDescent="0.35">
      <c r="B104" s="21">
        <v>45044</v>
      </c>
      <c r="C104" s="1">
        <v>0.55000000000000004</v>
      </c>
      <c r="D104" s="1">
        <v>0.55000000000000004</v>
      </c>
      <c r="E104" s="6">
        <f t="shared" si="64"/>
        <v>0</v>
      </c>
      <c r="F104" s="21">
        <v>45044</v>
      </c>
      <c r="G104" s="1">
        <v>23</v>
      </c>
      <c r="H104" s="1">
        <v>13.5411</v>
      </c>
      <c r="I104" s="6">
        <f t="shared" si="62"/>
        <v>1.9952998598996796E-2</v>
      </c>
      <c r="J104" s="21">
        <v>45044</v>
      </c>
      <c r="K104" s="1">
        <v>39.6</v>
      </c>
      <c r="L104" s="1">
        <v>26.25</v>
      </c>
      <c r="M104" s="6">
        <f t="shared" si="57"/>
        <v>-1.7369169723740363E-2</v>
      </c>
      <c r="N104" s="21">
        <v>45044</v>
      </c>
      <c r="O104" s="1">
        <v>16.989999999999998</v>
      </c>
      <c r="P104" s="1">
        <v>14.9389</v>
      </c>
      <c r="Q104" s="6">
        <f t="shared" si="58"/>
        <v>8.3086974716182205E-3</v>
      </c>
      <c r="R104" s="21">
        <v>45044</v>
      </c>
      <c r="S104" s="1">
        <v>7.38</v>
      </c>
      <c r="T104" s="1">
        <v>6.5187999999999997</v>
      </c>
      <c r="U104" s="6">
        <f t="shared" si="63"/>
        <v>1.0964470153998818E-2</v>
      </c>
      <c r="V104" s="21">
        <v>45044</v>
      </c>
      <c r="W104" s="1">
        <v>6.42</v>
      </c>
      <c r="X104" s="1">
        <v>5.4530000000000003</v>
      </c>
      <c r="Y104" s="6">
        <f t="shared" si="65"/>
        <v>0</v>
      </c>
      <c r="Z104" s="21">
        <v>45044</v>
      </c>
      <c r="AA104" s="1">
        <v>1.76</v>
      </c>
      <c r="AB104" s="1">
        <v>1.76</v>
      </c>
      <c r="AC104" s="6">
        <f t="shared" si="59"/>
        <v>5.7142857142857828E-3</v>
      </c>
      <c r="AD104" s="21">
        <v>45044</v>
      </c>
      <c r="AE104" s="1">
        <v>7.48</v>
      </c>
      <c r="AF104" s="1">
        <v>6.7655000000000003</v>
      </c>
      <c r="AG104" s="6">
        <f t="shared" si="60"/>
        <v>4.0366264488076453E-3</v>
      </c>
      <c r="AH104" s="21">
        <v>45044</v>
      </c>
      <c r="AI104" s="1">
        <v>9.8800000000000008</v>
      </c>
      <c r="AJ104" s="1">
        <v>8.6378000000000004</v>
      </c>
      <c r="AK104" s="6">
        <f t="shared" si="61"/>
        <v>2.0300917601474566E-3</v>
      </c>
      <c r="AL104" s="21">
        <v>45044</v>
      </c>
      <c r="AM104" s="1">
        <v>1.47</v>
      </c>
      <c r="AN104" s="1">
        <v>1.3786</v>
      </c>
      <c r="AO104" s="6">
        <v>2.7962120647230027E-2</v>
      </c>
      <c r="AP104" s="21" t="s">
        <v>107</v>
      </c>
      <c r="AQ104" s="1">
        <v>8278.66</v>
      </c>
      <c r="AR104" s="6">
        <v>-3.0623463859376088E-3</v>
      </c>
    </row>
    <row r="105" spans="2:44" x14ac:dyDescent="0.35">
      <c r="B105" s="21">
        <v>45048</v>
      </c>
      <c r="C105" s="1">
        <v>0.56999999999999995</v>
      </c>
      <c r="D105" s="1">
        <v>0.56999999999999995</v>
      </c>
      <c r="E105" s="6">
        <f t="shared" si="64"/>
        <v>3.6363636363636154E-2</v>
      </c>
      <c r="F105" s="21">
        <v>45048</v>
      </c>
      <c r="G105" s="1">
        <v>23.4</v>
      </c>
      <c r="H105" s="1">
        <v>13.7766</v>
      </c>
      <c r="I105" s="6">
        <f t="shared" si="62"/>
        <v>1.7391496998028222E-2</v>
      </c>
      <c r="J105" s="21">
        <v>45048</v>
      </c>
      <c r="K105" s="1">
        <v>39.22</v>
      </c>
      <c r="L105" s="1">
        <v>25.998100000000001</v>
      </c>
      <c r="M105" s="6">
        <f t="shared" si="57"/>
        <v>-9.5961904761904249E-3</v>
      </c>
      <c r="N105" s="21">
        <v>45048</v>
      </c>
      <c r="O105" s="1">
        <v>17</v>
      </c>
      <c r="P105" s="1">
        <v>14.947699999999999</v>
      </c>
      <c r="Q105" s="6">
        <f t="shared" si="58"/>
        <v>5.8906612936682201E-4</v>
      </c>
      <c r="R105" s="21">
        <v>45048</v>
      </c>
      <c r="S105" s="1">
        <v>7.3</v>
      </c>
      <c r="T105" s="1">
        <v>6.4481000000000002</v>
      </c>
      <c r="U105" s="6">
        <f t="shared" si="63"/>
        <v>-1.0845554396514578E-2</v>
      </c>
      <c r="V105" s="21">
        <v>45048</v>
      </c>
      <c r="W105" s="1">
        <v>6.4</v>
      </c>
      <c r="X105" s="1">
        <v>5.4359999999999999</v>
      </c>
      <c r="Y105" s="6">
        <f t="shared" si="65"/>
        <v>-3.1175499724922506E-3</v>
      </c>
      <c r="Z105" s="21">
        <v>45048</v>
      </c>
      <c r="AA105" s="1">
        <v>1.74</v>
      </c>
      <c r="AB105" s="1">
        <v>1.74</v>
      </c>
      <c r="AC105" s="6">
        <f t="shared" si="59"/>
        <v>-1.1363636363636354E-2</v>
      </c>
      <c r="AD105" s="21">
        <v>45048</v>
      </c>
      <c r="AE105" s="1">
        <v>7.45</v>
      </c>
      <c r="AF105" s="1">
        <v>6.7382999999999997</v>
      </c>
      <c r="AG105" s="6">
        <f t="shared" si="60"/>
        <v>-4.0203976054985491E-3</v>
      </c>
      <c r="AH105" s="21">
        <v>45048</v>
      </c>
      <c r="AI105" s="1">
        <v>9.8800000000000008</v>
      </c>
      <c r="AJ105" s="1">
        <v>8.6378000000000004</v>
      </c>
      <c r="AK105" s="6">
        <f t="shared" si="61"/>
        <v>0</v>
      </c>
      <c r="AL105" s="21">
        <v>45048</v>
      </c>
      <c r="AM105" s="1">
        <v>1.42</v>
      </c>
      <c r="AN105" s="1">
        <v>1.3317000000000001</v>
      </c>
      <c r="AO105" s="6">
        <v>-3.4020020310459809E-2</v>
      </c>
      <c r="AP105" s="21" t="s">
        <v>108</v>
      </c>
      <c r="AQ105" s="1">
        <v>8294.9</v>
      </c>
      <c r="AR105" s="6">
        <v>1.9616701253584168E-3</v>
      </c>
    </row>
    <row r="106" spans="2:44" x14ac:dyDescent="0.35">
      <c r="B106" s="21">
        <v>45049</v>
      </c>
      <c r="C106" s="1">
        <v>0.56999999999999995</v>
      </c>
      <c r="D106" s="1">
        <v>0.56999999999999995</v>
      </c>
      <c r="E106" s="6">
        <f t="shared" si="64"/>
        <v>0</v>
      </c>
      <c r="F106" s="21">
        <v>45049</v>
      </c>
      <c r="G106" s="1">
        <v>23.4</v>
      </c>
      <c r="H106" s="1">
        <v>13.7766</v>
      </c>
      <c r="I106" s="6">
        <f t="shared" si="62"/>
        <v>0</v>
      </c>
      <c r="J106" s="21">
        <v>45049</v>
      </c>
      <c r="K106" s="1">
        <v>39.18</v>
      </c>
      <c r="L106" s="1">
        <v>25.971599999999999</v>
      </c>
      <c r="M106" s="6">
        <f t="shared" si="57"/>
        <v>-1.0193052569227312E-3</v>
      </c>
      <c r="N106" s="21">
        <v>45049</v>
      </c>
      <c r="O106" s="1">
        <v>16.89</v>
      </c>
      <c r="P106" s="1">
        <v>14.850899999999999</v>
      </c>
      <c r="Q106" s="6">
        <f t="shared" si="58"/>
        <v>-6.4759126822186985E-3</v>
      </c>
      <c r="R106" s="21">
        <v>45049</v>
      </c>
      <c r="S106" s="1">
        <v>7.35</v>
      </c>
      <c r="T106" s="1">
        <v>6.4923000000000002</v>
      </c>
      <c r="U106" s="6">
        <f t="shared" si="63"/>
        <v>6.8547324017926847E-3</v>
      </c>
      <c r="V106" s="21">
        <v>45049</v>
      </c>
      <c r="W106" s="1">
        <v>6.4</v>
      </c>
      <c r="X106" s="1">
        <v>5.4359999999999999</v>
      </c>
      <c r="Y106" s="6">
        <f t="shared" si="65"/>
        <v>0</v>
      </c>
      <c r="Z106" s="21">
        <v>45049</v>
      </c>
      <c r="AA106" s="1">
        <v>1.75</v>
      </c>
      <c r="AB106" s="1">
        <v>1.75</v>
      </c>
      <c r="AC106" s="6">
        <f t="shared" si="59"/>
        <v>5.7471264367816577E-3</v>
      </c>
      <c r="AD106" s="21">
        <v>45049</v>
      </c>
      <c r="AE106" s="1">
        <v>7.4</v>
      </c>
      <c r="AF106" s="1">
        <v>6.6931000000000003</v>
      </c>
      <c r="AG106" s="6">
        <f t="shared" si="60"/>
        <v>-6.7079233634596003E-3</v>
      </c>
      <c r="AH106" s="21">
        <v>45049</v>
      </c>
      <c r="AI106" s="1">
        <v>9.85</v>
      </c>
      <c r="AJ106" s="1">
        <v>8.6115999999999993</v>
      </c>
      <c r="AK106" s="6">
        <f t="shared" si="61"/>
        <v>-3.033179744842518E-3</v>
      </c>
      <c r="AL106" s="21">
        <v>45049</v>
      </c>
      <c r="AM106" s="1">
        <v>1.42</v>
      </c>
      <c r="AN106" s="1">
        <v>1.3317000000000001</v>
      </c>
      <c r="AO106" s="6">
        <v>0</v>
      </c>
      <c r="AP106" s="21" t="s">
        <v>109</v>
      </c>
      <c r="AQ106" s="1">
        <v>8355.2199999999993</v>
      </c>
      <c r="AR106" s="6">
        <v>7.2719381788810544E-3</v>
      </c>
    </row>
    <row r="107" spans="2:44" x14ac:dyDescent="0.35">
      <c r="B107" s="21">
        <v>45050</v>
      </c>
      <c r="C107" s="1">
        <v>0.56999999999999995</v>
      </c>
      <c r="D107" s="1">
        <v>0.56999999999999995</v>
      </c>
      <c r="E107" s="6">
        <f t="shared" si="64"/>
        <v>0</v>
      </c>
      <c r="F107" s="21">
        <v>45050</v>
      </c>
      <c r="G107" s="1">
        <v>23.35</v>
      </c>
      <c r="H107" s="1">
        <v>13.747199999999999</v>
      </c>
      <c r="I107" s="6">
        <f t="shared" si="62"/>
        <v>-2.1340533948870366E-3</v>
      </c>
      <c r="J107" s="21">
        <v>45050</v>
      </c>
      <c r="K107" s="1">
        <v>39.9</v>
      </c>
      <c r="L107" s="1">
        <v>26.448799999999999</v>
      </c>
      <c r="M107" s="6">
        <f t="shared" si="57"/>
        <v>1.8373916123765932E-2</v>
      </c>
      <c r="N107" s="21">
        <v>45050</v>
      </c>
      <c r="O107" s="1">
        <v>16.850000000000001</v>
      </c>
      <c r="P107" s="1">
        <v>14.815799999999999</v>
      </c>
      <c r="Q107" s="6">
        <f t="shared" si="58"/>
        <v>-2.363493121628979E-3</v>
      </c>
      <c r="R107" s="21">
        <v>45050</v>
      </c>
      <c r="S107" s="1">
        <v>7.3</v>
      </c>
      <c r="T107" s="1">
        <v>6.4481000000000002</v>
      </c>
      <c r="U107" s="6">
        <f t="shared" si="63"/>
        <v>-6.8080649384655301E-3</v>
      </c>
      <c r="V107" s="21">
        <v>45050</v>
      </c>
      <c r="W107" s="1">
        <v>6.38</v>
      </c>
      <c r="X107" s="1">
        <v>5.4189999999999996</v>
      </c>
      <c r="Y107" s="6">
        <f t="shared" si="65"/>
        <v>-3.1272994849154134E-3</v>
      </c>
      <c r="Z107" s="21">
        <v>45050</v>
      </c>
      <c r="AA107" s="1">
        <v>1.77</v>
      </c>
      <c r="AB107" s="1">
        <v>1.77</v>
      </c>
      <c r="AC107" s="6">
        <f t="shared" si="59"/>
        <v>1.1428571428571344E-2</v>
      </c>
      <c r="AD107" s="21">
        <v>45050</v>
      </c>
      <c r="AE107" s="1">
        <v>7.45</v>
      </c>
      <c r="AF107" s="1">
        <v>6.7382999999999997</v>
      </c>
      <c r="AG107" s="6">
        <f t="shared" si="60"/>
        <v>6.7532234689455795E-3</v>
      </c>
      <c r="AH107" s="21">
        <v>45050</v>
      </c>
      <c r="AI107" s="1">
        <v>9.84</v>
      </c>
      <c r="AJ107" s="1">
        <v>8.6028000000000002</v>
      </c>
      <c r="AK107" s="6">
        <f t="shared" si="61"/>
        <v>-1.0218774676017395E-3</v>
      </c>
      <c r="AL107" s="21">
        <v>45050</v>
      </c>
      <c r="AM107" s="1">
        <v>1.43</v>
      </c>
      <c r="AN107" s="1">
        <v>1.3411</v>
      </c>
      <c r="AO107" s="6">
        <v>7.0586468423818882E-3</v>
      </c>
      <c r="AP107" s="21" t="s">
        <v>110</v>
      </c>
      <c r="AQ107" s="1">
        <v>8356.61</v>
      </c>
      <c r="AR107" s="6">
        <v>1.6636306404871348E-4</v>
      </c>
    </row>
    <row r="108" spans="2:44" x14ac:dyDescent="0.35">
      <c r="B108" s="21">
        <v>45051</v>
      </c>
      <c r="C108" s="1">
        <v>0.57999999999999996</v>
      </c>
      <c r="D108" s="1">
        <v>0.57999999999999996</v>
      </c>
      <c r="E108" s="6">
        <f t="shared" si="64"/>
        <v>1.7543859649122862E-2</v>
      </c>
      <c r="F108" s="21">
        <v>45051</v>
      </c>
      <c r="G108" s="1">
        <v>23.35</v>
      </c>
      <c r="H108" s="1">
        <v>13.747199999999999</v>
      </c>
      <c r="I108" s="6">
        <f t="shared" si="62"/>
        <v>0</v>
      </c>
      <c r="J108" s="21">
        <v>45051</v>
      </c>
      <c r="K108" s="1">
        <v>40.4</v>
      </c>
      <c r="L108" s="1">
        <v>26.7803</v>
      </c>
      <c r="M108" s="6">
        <f t="shared" si="57"/>
        <v>1.253364991984518E-2</v>
      </c>
      <c r="N108" s="21">
        <v>45051</v>
      </c>
      <c r="O108" s="1">
        <v>16.84</v>
      </c>
      <c r="P108" s="1">
        <v>14.807</v>
      </c>
      <c r="Q108" s="6">
        <f t="shared" si="58"/>
        <v>-5.9396050162652259E-4</v>
      </c>
      <c r="R108" s="21">
        <v>45051</v>
      </c>
      <c r="S108" s="1">
        <v>7.3</v>
      </c>
      <c r="T108" s="1">
        <v>6.4481000000000002</v>
      </c>
      <c r="U108" s="6">
        <f t="shared" si="63"/>
        <v>0</v>
      </c>
      <c r="V108" s="21">
        <v>45051</v>
      </c>
      <c r="W108" s="1">
        <v>6.5</v>
      </c>
      <c r="X108" s="1">
        <v>5.5209999999999999</v>
      </c>
      <c r="Y108" s="6">
        <f t="shared" si="65"/>
        <v>1.8822661007566133E-2</v>
      </c>
      <c r="Z108" s="21">
        <v>45051</v>
      </c>
      <c r="AA108" s="1">
        <v>1.79</v>
      </c>
      <c r="AB108" s="1">
        <v>1.79</v>
      </c>
      <c r="AC108" s="6">
        <f t="shared" si="59"/>
        <v>1.1299435028248705E-2</v>
      </c>
      <c r="AD108" s="21">
        <v>45051</v>
      </c>
      <c r="AE108" s="1">
        <v>7.4</v>
      </c>
      <c r="AF108" s="1">
        <v>6.6931000000000003</v>
      </c>
      <c r="AG108" s="6">
        <f t="shared" si="60"/>
        <v>-6.7079233634596003E-3</v>
      </c>
      <c r="AH108" s="21">
        <v>45051</v>
      </c>
      <c r="AI108" s="1">
        <v>9.74</v>
      </c>
      <c r="AJ108" s="1">
        <v>8.5153999999999996</v>
      </c>
      <c r="AK108" s="6">
        <f t="shared" si="61"/>
        <v>-1.0159482959036681E-2</v>
      </c>
      <c r="AL108" s="21">
        <v>45051</v>
      </c>
      <c r="AM108" s="1">
        <v>1.43</v>
      </c>
      <c r="AN108" s="1">
        <v>1.3411</v>
      </c>
      <c r="AO108" s="6">
        <v>0</v>
      </c>
      <c r="AP108" s="21" t="s">
        <v>111</v>
      </c>
      <c r="AQ108" s="1">
        <v>8365.66</v>
      </c>
      <c r="AR108" s="6">
        <v>1.0829750341345701E-3</v>
      </c>
    </row>
    <row r="109" spans="2:44" x14ac:dyDescent="0.35">
      <c r="B109" s="21">
        <v>45054</v>
      </c>
      <c r="C109" s="1">
        <v>0.57999999999999996</v>
      </c>
      <c r="D109" s="1">
        <v>0.57999999999999996</v>
      </c>
      <c r="E109" s="6">
        <f t="shared" si="64"/>
        <v>0</v>
      </c>
      <c r="F109" s="21">
        <v>45054</v>
      </c>
      <c r="G109" s="1">
        <v>23.3</v>
      </c>
      <c r="H109" s="1">
        <v>13.7178</v>
      </c>
      <c r="I109" s="6">
        <f t="shared" si="62"/>
        <v>-2.138617318435676E-3</v>
      </c>
      <c r="J109" s="21">
        <v>45054</v>
      </c>
      <c r="K109" s="1">
        <v>41</v>
      </c>
      <c r="L109" s="1">
        <v>27.178000000000001</v>
      </c>
      <c r="M109" s="6">
        <f t="shared" si="57"/>
        <v>1.4850468441354403E-2</v>
      </c>
      <c r="N109" s="21">
        <v>45054</v>
      </c>
      <c r="O109" s="1">
        <v>16.84</v>
      </c>
      <c r="P109" s="1">
        <v>14.807</v>
      </c>
      <c r="Q109" s="6">
        <f t="shared" si="58"/>
        <v>0</v>
      </c>
      <c r="R109" s="21">
        <v>45054</v>
      </c>
      <c r="S109" s="1">
        <v>7.4</v>
      </c>
      <c r="T109" s="1">
        <v>6.5365000000000002</v>
      </c>
      <c r="U109" s="6">
        <f t="shared" si="63"/>
        <v>1.3709464803585591E-2</v>
      </c>
      <c r="V109" s="21">
        <v>45054</v>
      </c>
      <c r="W109" s="1">
        <v>6.5</v>
      </c>
      <c r="X109" s="1">
        <v>5.5209999999999999</v>
      </c>
      <c r="Y109" s="6">
        <f t="shared" si="65"/>
        <v>0</v>
      </c>
      <c r="Z109" s="21">
        <v>45054</v>
      </c>
      <c r="AA109" s="1">
        <v>1.78</v>
      </c>
      <c r="AB109" s="1">
        <v>1.78</v>
      </c>
      <c r="AC109" s="6">
        <f t="shared" si="59"/>
        <v>-5.5865921787709993E-3</v>
      </c>
      <c r="AD109" s="21">
        <v>45054</v>
      </c>
      <c r="AE109" s="1">
        <v>7.4</v>
      </c>
      <c r="AF109" s="1">
        <v>6.6931000000000003</v>
      </c>
      <c r="AG109" s="6">
        <f t="shared" si="60"/>
        <v>0</v>
      </c>
      <c r="AH109" s="21">
        <v>45054</v>
      </c>
      <c r="AI109" s="1">
        <v>9.82</v>
      </c>
      <c r="AJ109" s="1">
        <v>8.5853000000000002</v>
      </c>
      <c r="AK109" s="6">
        <f t="shared" si="61"/>
        <v>8.2086572562651838E-3</v>
      </c>
      <c r="AL109" s="21">
        <v>45054</v>
      </c>
      <c r="AM109" s="1">
        <v>1.4</v>
      </c>
      <c r="AN109" s="1">
        <v>1.3129</v>
      </c>
      <c r="AO109" s="6">
        <v>-2.1027514726716823E-2</v>
      </c>
      <c r="AP109" s="21" t="s">
        <v>112</v>
      </c>
      <c r="AQ109" s="1">
        <v>8373.6</v>
      </c>
      <c r="AR109" s="6">
        <v>9.4911818075327226E-4</v>
      </c>
    </row>
    <row r="110" spans="2:44" x14ac:dyDescent="0.35">
      <c r="B110" s="21">
        <v>45055</v>
      </c>
      <c r="C110" s="1">
        <v>0.56000000000000005</v>
      </c>
      <c r="D110" s="1">
        <v>0.56000000000000005</v>
      </c>
      <c r="E110" s="6">
        <f t="shared" si="64"/>
        <v>-3.4482758620689502E-2</v>
      </c>
      <c r="F110" s="21">
        <v>45055</v>
      </c>
      <c r="G110" s="1">
        <v>23</v>
      </c>
      <c r="H110" s="1">
        <v>13.5411</v>
      </c>
      <c r="I110" s="6">
        <f t="shared" si="62"/>
        <v>-1.2881074224729949E-2</v>
      </c>
      <c r="J110" s="21">
        <v>45055</v>
      </c>
      <c r="K110" s="1">
        <v>41.6</v>
      </c>
      <c r="L110" s="1">
        <v>27.575700000000001</v>
      </c>
      <c r="M110" s="6">
        <f t="shared" si="57"/>
        <v>1.4633159172860344E-2</v>
      </c>
      <c r="N110" s="21">
        <v>45055</v>
      </c>
      <c r="O110" s="1">
        <v>16.600000000000001</v>
      </c>
      <c r="P110" s="1">
        <v>14.596</v>
      </c>
      <c r="Q110" s="6">
        <f t="shared" si="58"/>
        <v>-1.4250016883906258E-2</v>
      </c>
      <c r="R110" s="21">
        <v>45055</v>
      </c>
      <c r="S110" s="1">
        <v>7.3</v>
      </c>
      <c r="T110" s="1">
        <v>6.4481000000000002</v>
      </c>
      <c r="U110" s="6">
        <f t="shared" si="63"/>
        <v>-1.3524057217165208E-2</v>
      </c>
      <c r="V110" s="21">
        <v>45055</v>
      </c>
      <c r="W110" s="1">
        <v>6.5</v>
      </c>
      <c r="X110" s="1">
        <v>5.5209999999999999</v>
      </c>
      <c r="Y110" s="6">
        <f t="shared" si="65"/>
        <v>0</v>
      </c>
      <c r="Z110" s="21">
        <v>45055</v>
      </c>
      <c r="AA110" s="1">
        <v>1.8</v>
      </c>
      <c r="AB110" s="1">
        <v>1.8</v>
      </c>
      <c r="AC110" s="6">
        <f t="shared" si="59"/>
        <v>1.1235955056179803E-2</v>
      </c>
      <c r="AD110" s="21">
        <v>45055</v>
      </c>
      <c r="AE110" s="1">
        <v>7.39</v>
      </c>
      <c r="AF110" s="1">
        <v>6.6840999999999999</v>
      </c>
      <c r="AG110" s="6">
        <f t="shared" si="60"/>
        <v>-1.3446683898343803E-3</v>
      </c>
      <c r="AH110" s="21">
        <v>45055</v>
      </c>
      <c r="AI110" s="1">
        <v>9.8000000000000007</v>
      </c>
      <c r="AJ110" s="1">
        <v>8.5678999999999998</v>
      </c>
      <c r="AK110" s="6">
        <f t="shared" si="61"/>
        <v>-2.0267200913188788E-3</v>
      </c>
      <c r="AL110" s="21">
        <v>45055</v>
      </c>
      <c r="AM110" s="1">
        <v>1.39</v>
      </c>
      <c r="AN110" s="1">
        <v>1.3035000000000001</v>
      </c>
      <c r="AO110" s="6">
        <v>-7.1597227511613903E-3</v>
      </c>
      <c r="AP110" s="21" t="s">
        <v>113</v>
      </c>
      <c r="AQ110" s="1">
        <v>8390.0499999999993</v>
      </c>
      <c r="AR110" s="6">
        <v>1.9645074997609591E-3</v>
      </c>
    </row>
    <row r="111" spans="2:44" x14ac:dyDescent="0.35">
      <c r="B111" s="21">
        <v>45056</v>
      </c>
      <c r="C111" s="1">
        <v>0.56000000000000005</v>
      </c>
      <c r="D111" s="1">
        <v>0.56000000000000005</v>
      </c>
      <c r="E111" s="6">
        <f t="shared" si="64"/>
        <v>0</v>
      </c>
      <c r="F111" s="21">
        <v>45056</v>
      </c>
      <c r="G111" s="1">
        <v>22.89</v>
      </c>
      <c r="H111" s="1">
        <v>13.4764</v>
      </c>
      <c r="I111" s="6">
        <f t="shared" si="62"/>
        <v>-4.7780460966981853E-3</v>
      </c>
      <c r="J111" s="21">
        <v>45056</v>
      </c>
      <c r="K111" s="1">
        <v>40.4</v>
      </c>
      <c r="L111" s="1">
        <v>26.7803</v>
      </c>
      <c r="M111" s="6">
        <f t="shared" si="57"/>
        <v>-2.8844236048404914E-2</v>
      </c>
      <c r="N111" s="21">
        <v>45056</v>
      </c>
      <c r="O111" s="1">
        <v>16.600000000000001</v>
      </c>
      <c r="P111" s="1">
        <v>14.596</v>
      </c>
      <c r="Q111" s="6">
        <f t="shared" si="58"/>
        <v>0</v>
      </c>
      <c r="R111" s="21">
        <v>45056</v>
      </c>
      <c r="S111" s="1">
        <v>7.28</v>
      </c>
      <c r="T111" s="1">
        <v>6.4305000000000003</v>
      </c>
      <c r="U111" s="6">
        <f t="shared" si="63"/>
        <v>-2.7294862052387181E-3</v>
      </c>
      <c r="V111" s="21">
        <v>45056</v>
      </c>
      <c r="W111" s="1">
        <v>6.5</v>
      </c>
      <c r="X111" s="1">
        <v>5.5209999999999999</v>
      </c>
      <c r="Y111" s="6">
        <f t="shared" si="65"/>
        <v>0</v>
      </c>
      <c r="Z111" s="21">
        <v>45056</v>
      </c>
      <c r="AA111" s="1">
        <v>1.8</v>
      </c>
      <c r="AB111" s="1">
        <v>1.8</v>
      </c>
      <c r="AC111" s="6">
        <f t="shared" si="59"/>
        <v>0</v>
      </c>
      <c r="AD111" s="21">
        <v>45056</v>
      </c>
      <c r="AE111" s="1">
        <v>7.39</v>
      </c>
      <c r="AF111" s="1">
        <v>6.6840999999999999</v>
      </c>
      <c r="AG111" s="6">
        <f t="shared" si="60"/>
        <v>0</v>
      </c>
      <c r="AH111" s="21">
        <v>45056</v>
      </c>
      <c r="AI111" s="1">
        <v>9.85</v>
      </c>
      <c r="AJ111" s="1">
        <v>8.6115999999999993</v>
      </c>
      <c r="AK111" s="6">
        <f t="shared" si="61"/>
        <v>5.1004330115898E-3</v>
      </c>
      <c r="AL111" s="21">
        <v>45056</v>
      </c>
      <c r="AM111" s="1">
        <v>1.39</v>
      </c>
      <c r="AN111" s="1">
        <v>1.3035000000000001</v>
      </c>
      <c r="AO111" s="6">
        <v>0</v>
      </c>
      <c r="AP111" s="21" t="s">
        <v>114</v>
      </c>
      <c r="AQ111" s="1">
        <v>8387.8700000000008</v>
      </c>
      <c r="AR111" s="6">
        <v>-2.5983158622400193E-4</v>
      </c>
    </row>
    <row r="112" spans="2:44" x14ac:dyDescent="0.35">
      <c r="B112" s="21">
        <v>45057</v>
      </c>
      <c r="C112" s="1">
        <v>0.56000000000000005</v>
      </c>
      <c r="D112" s="1">
        <v>0.56000000000000005</v>
      </c>
      <c r="E112" s="6">
        <f t="shared" si="64"/>
        <v>0</v>
      </c>
      <c r="F112" s="21">
        <v>45057</v>
      </c>
      <c r="G112" s="1">
        <v>22.9</v>
      </c>
      <c r="H112" s="1">
        <v>13.4823</v>
      </c>
      <c r="I112" s="6">
        <f t="shared" si="62"/>
        <v>4.3780238045765252E-4</v>
      </c>
      <c r="J112" s="21">
        <v>45057</v>
      </c>
      <c r="K112" s="1">
        <v>40.99</v>
      </c>
      <c r="L112" s="1">
        <v>27.171399999999998</v>
      </c>
      <c r="M112" s="6">
        <f t="shared" si="57"/>
        <v>1.4604018625631543E-2</v>
      </c>
      <c r="N112" s="21">
        <v>45057</v>
      </c>
      <c r="O112" s="1">
        <v>16.47</v>
      </c>
      <c r="P112" s="1">
        <v>14.4816</v>
      </c>
      <c r="Q112" s="6">
        <f t="shared" si="58"/>
        <v>-7.8377637708961778E-3</v>
      </c>
      <c r="R112" s="21">
        <v>45057</v>
      </c>
      <c r="S112" s="1">
        <v>7.45</v>
      </c>
      <c r="T112" s="1">
        <v>6.5805999999999996</v>
      </c>
      <c r="U112" s="6">
        <f t="shared" si="63"/>
        <v>2.3341886322991945E-2</v>
      </c>
      <c r="V112" s="21">
        <v>45057</v>
      </c>
      <c r="W112" s="1">
        <v>6.53</v>
      </c>
      <c r="X112" s="1">
        <v>5.5469999999999997</v>
      </c>
      <c r="Y112" s="6">
        <f t="shared" si="65"/>
        <v>4.7092917949647095E-3</v>
      </c>
      <c r="Z112" s="21">
        <v>45057</v>
      </c>
      <c r="AA112" s="1">
        <v>1.78</v>
      </c>
      <c r="AB112" s="1">
        <v>1.78</v>
      </c>
      <c r="AC112" s="6">
        <f t="shared" si="59"/>
        <v>-1.1111111111111072E-2</v>
      </c>
      <c r="AD112" s="21">
        <v>45057</v>
      </c>
      <c r="AE112" s="1">
        <v>7.35</v>
      </c>
      <c r="AF112" s="1">
        <v>6.6478999999999999</v>
      </c>
      <c r="AG112" s="6">
        <f t="shared" si="60"/>
        <v>-5.4158375847159768E-3</v>
      </c>
      <c r="AH112" s="21">
        <v>45057</v>
      </c>
      <c r="AI112" s="1">
        <v>9.9</v>
      </c>
      <c r="AJ112" s="1">
        <v>8.6553000000000004</v>
      </c>
      <c r="AK112" s="6">
        <f t="shared" si="61"/>
        <v>5.0745506061593559E-3</v>
      </c>
      <c r="AL112" s="21">
        <v>45057</v>
      </c>
      <c r="AM112" s="1">
        <v>1.39</v>
      </c>
      <c r="AN112" s="1">
        <v>1.3035000000000001</v>
      </c>
      <c r="AO112" s="6">
        <v>0</v>
      </c>
      <c r="AP112" s="21" t="s">
        <v>115</v>
      </c>
      <c r="AQ112" s="1">
        <v>8402.09</v>
      </c>
      <c r="AR112" s="6">
        <v>1.6953052443586802E-3</v>
      </c>
    </row>
    <row r="113" spans="2:44" x14ac:dyDescent="0.35">
      <c r="B113" s="21">
        <v>45058</v>
      </c>
      <c r="C113" s="1">
        <v>0.54</v>
      </c>
      <c r="D113" s="1">
        <v>0.54</v>
      </c>
      <c r="E113" s="6">
        <f t="shared" si="64"/>
        <v>-3.5714285714285698E-2</v>
      </c>
      <c r="F113" s="21">
        <v>45058</v>
      </c>
      <c r="G113" s="1">
        <v>22.85</v>
      </c>
      <c r="H113" s="1">
        <v>13.4528</v>
      </c>
      <c r="I113" s="6">
        <f t="shared" si="62"/>
        <v>-2.1880539670531274E-3</v>
      </c>
      <c r="J113" s="21">
        <v>45058</v>
      </c>
      <c r="K113" s="1">
        <v>40.799999999999997</v>
      </c>
      <c r="L113" s="1">
        <v>27.045400000000001</v>
      </c>
      <c r="M113" s="6">
        <f t="shared" si="57"/>
        <v>-4.6372288509241022E-3</v>
      </c>
      <c r="N113" s="21">
        <v>45058</v>
      </c>
      <c r="O113" s="1">
        <v>16.5</v>
      </c>
      <c r="P113" s="1">
        <v>14.507999999999999</v>
      </c>
      <c r="Q113" s="6">
        <f t="shared" si="58"/>
        <v>1.8230029830956784E-3</v>
      </c>
      <c r="R113" s="21">
        <v>45058</v>
      </c>
      <c r="S113" s="1">
        <v>7.3</v>
      </c>
      <c r="T113" s="1">
        <v>6.4481000000000002</v>
      </c>
      <c r="U113" s="6">
        <f t="shared" si="63"/>
        <v>-2.013494210254374E-2</v>
      </c>
      <c r="V113" s="21">
        <v>45058</v>
      </c>
      <c r="W113" s="1">
        <v>6.54</v>
      </c>
      <c r="X113" s="1">
        <v>5.5549999999999997</v>
      </c>
      <c r="Y113" s="6">
        <f t="shared" si="65"/>
        <v>1.4422210203712815E-3</v>
      </c>
      <c r="Z113" s="21">
        <v>45058</v>
      </c>
      <c r="AA113" s="1">
        <v>1.77</v>
      </c>
      <c r="AB113" s="1">
        <v>1.77</v>
      </c>
      <c r="AC113" s="6">
        <f t="shared" si="59"/>
        <v>-5.6179775280899014E-3</v>
      </c>
      <c r="AD113" s="21">
        <v>45058</v>
      </c>
      <c r="AE113" s="1">
        <v>7.39</v>
      </c>
      <c r="AF113" s="1">
        <v>6.6840999999999999</v>
      </c>
      <c r="AG113" s="6">
        <f t="shared" si="60"/>
        <v>5.445328600009125E-3</v>
      </c>
      <c r="AH113" s="21">
        <v>45058</v>
      </c>
      <c r="AI113" s="1">
        <v>9.8800000000000008</v>
      </c>
      <c r="AJ113" s="1">
        <v>8.6378000000000004</v>
      </c>
      <c r="AK113" s="6">
        <f t="shared" si="61"/>
        <v>-2.0218825459544787E-3</v>
      </c>
      <c r="AL113" s="21">
        <v>45058</v>
      </c>
      <c r="AM113" s="1">
        <v>1.42</v>
      </c>
      <c r="AN113" s="1">
        <v>1.3317000000000001</v>
      </c>
      <c r="AO113" s="6">
        <v>2.1634062140391208E-2</v>
      </c>
      <c r="AP113" s="21" t="s">
        <v>116</v>
      </c>
      <c r="AQ113" s="1">
        <v>8356.64</v>
      </c>
      <c r="AR113" s="6">
        <v>-5.4093683833428274E-3</v>
      </c>
    </row>
    <row r="114" spans="2:44" x14ac:dyDescent="0.35">
      <c r="B114" s="21">
        <v>45061</v>
      </c>
      <c r="C114" s="1">
        <v>0.53</v>
      </c>
      <c r="D114" s="1">
        <v>0.53</v>
      </c>
      <c r="E114" s="6">
        <f t="shared" si="64"/>
        <v>-1.851851851851849E-2</v>
      </c>
      <c r="F114" s="21">
        <v>45061</v>
      </c>
      <c r="G114" s="1">
        <v>22.8</v>
      </c>
      <c r="H114" s="1">
        <v>13.423400000000001</v>
      </c>
      <c r="I114" s="6">
        <f t="shared" si="62"/>
        <v>-2.185418648905757E-3</v>
      </c>
      <c r="J114" s="21">
        <v>45061</v>
      </c>
      <c r="K114" s="1">
        <v>40.799999999999997</v>
      </c>
      <c r="L114" s="1">
        <v>27.045400000000001</v>
      </c>
      <c r="M114" s="6">
        <f t="shared" si="57"/>
        <v>0</v>
      </c>
      <c r="N114" s="21">
        <v>45061</v>
      </c>
      <c r="O114" s="1">
        <v>16.45</v>
      </c>
      <c r="P114" s="1">
        <v>14.4641</v>
      </c>
      <c r="Q114" s="6">
        <f t="shared" si="58"/>
        <v>-3.0259167355940475E-3</v>
      </c>
      <c r="R114" s="21">
        <v>45061</v>
      </c>
      <c r="S114" s="1">
        <v>7.3</v>
      </c>
      <c r="T114" s="1">
        <v>6.4481000000000002</v>
      </c>
      <c r="U114" s="6">
        <f t="shared" si="63"/>
        <v>0</v>
      </c>
      <c r="V114" s="21">
        <v>45061</v>
      </c>
      <c r="W114" s="1">
        <v>6.55</v>
      </c>
      <c r="X114" s="1">
        <v>5.5640000000000001</v>
      </c>
      <c r="Y114" s="6">
        <f t="shared" si="65"/>
        <v>1.6201620162017427E-3</v>
      </c>
      <c r="Z114" s="21">
        <v>45061</v>
      </c>
      <c r="AA114" s="1">
        <v>1.78</v>
      </c>
      <c r="AB114" s="1">
        <v>1.78</v>
      </c>
      <c r="AC114" s="6">
        <f t="shared" si="59"/>
        <v>5.6497175141243527E-3</v>
      </c>
      <c r="AD114" s="21">
        <v>45061</v>
      </c>
      <c r="AE114" s="1">
        <v>7.3</v>
      </c>
      <c r="AF114" s="1">
        <v>6.6026999999999996</v>
      </c>
      <c r="AG114" s="6">
        <f t="shared" si="60"/>
        <v>-1.2178154126958107E-2</v>
      </c>
      <c r="AH114" s="21">
        <v>45061</v>
      </c>
      <c r="AI114" s="1">
        <v>9.9</v>
      </c>
      <c r="AJ114" s="1">
        <v>8.6553000000000004</v>
      </c>
      <c r="AK114" s="6">
        <f t="shared" si="61"/>
        <v>2.0259788372039012E-3</v>
      </c>
      <c r="AL114" s="21">
        <v>45061</v>
      </c>
      <c r="AM114" s="1">
        <v>1.36</v>
      </c>
      <c r="AN114" s="1">
        <v>1.2754000000000001</v>
      </c>
      <c r="AO114" s="6">
        <v>-4.227678906660659E-2</v>
      </c>
      <c r="AP114" s="21" t="s">
        <v>117</v>
      </c>
      <c r="AQ114" s="1">
        <v>8369.77</v>
      </c>
      <c r="AR114" s="6">
        <v>1.5712056520325035E-3</v>
      </c>
    </row>
    <row r="115" spans="2:44" x14ac:dyDescent="0.35">
      <c r="B115" s="21">
        <v>45062</v>
      </c>
      <c r="C115" s="1">
        <v>0.52</v>
      </c>
      <c r="D115" s="1">
        <v>0.52</v>
      </c>
      <c r="E115" s="6">
        <f t="shared" si="64"/>
        <v>-1.8867924528301883E-2</v>
      </c>
      <c r="F115" s="21">
        <v>45062</v>
      </c>
      <c r="G115" s="1">
        <v>22.66</v>
      </c>
      <c r="H115" s="1">
        <v>13.340999999999999</v>
      </c>
      <c r="I115" s="6">
        <f t="shared" si="62"/>
        <v>-6.138534201469148E-3</v>
      </c>
      <c r="J115" s="21">
        <v>45062</v>
      </c>
      <c r="K115" s="1">
        <v>41</v>
      </c>
      <c r="L115" s="1">
        <v>27.178000000000001</v>
      </c>
      <c r="M115" s="6">
        <f t="shared" si="57"/>
        <v>4.9028670309922973E-3</v>
      </c>
      <c r="N115" s="21">
        <v>45062</v>
      </c>
      <c r="O115" s="1">
        <v>16.399999999999999</v>
      </c>
      <c r="P115" s="1">
        <v>14.4201</v>
      </c>
      <c r="Q115" s="6">
        <f t="shared" si="58"/>
        <v>-3.0420143666042287E-3</v>
      </c>
      <c r="R115" s="21">
        <v>45062</v>
      </c>
      <c r="S115" s="1">
        <v>7.4</v>
      </c>
      <c r="T115" s="1">
        <v>6.5365000000000002</v>
      </c>
      <c r="U115" s="6">
        <f t="shared" si="63"/>
        <v>1.3709464803585591E-2</v>
      </c>
      <c r="V115" s="21">
        <v>45062</v>
      </c>
      <c r="W115" s="1">
        <v>6.55</v>
      </c>
      <c r="X115" s="1">
        <v>5.5640000000000001</v>
      </c>
      <c r="Y115" s="6">
        <f t="shared" si="65"/>
        <v>0</v>
      </c>
      <c r="Z115" s="21">
        <v>45062</v>
      </c>
      <c r="AA115" s="1">
        <v>1.79</v>
      </c>
      <c r="AB115" s="1">
        <v>1.79</v>
      </c>
      <c r="AC115" s="6">
        <f t="shared" si="59"/>
        <v>5.6179775280897903E-3</v>
      </c>
      <c r="AD115" s="21">
        <v>45062</v>
      </c>
      <c r="AE115" s="1">
        <v>7.38</v>
      </c>
      <c r="AF115" s="1">
        <v>6.6749999999999998</v>
      </c>
      <c r="AG115" s="6">
        <f t="shared" si="60"/>
        <v>1.0950065882139093E-2</v>
      </c>
      <c r="AH115" s="21">
        <v>45062</v>
      </c>
      <c r="AI115" s="1">
        <v>9.89</v>
      </c>
      <c r="AJ115" s="1">
        <v>8.6464999999999996</v>
      </c>
      <c r="AK115" s="6">
        <f t="shared" si="61"/>
        <v>-1.0167180802514997E-3</v>
      </c>
      <c r="AL115" s="21">
        <v>45062</v>
      </c>
      <c r="AM115" s="1">
        <v>1.35</v>
      </c>
      <c r="AN115" s="1">
        <v>1.266</v>
      </c>
      <c r="AO115" s="6">
        <v>-7.3702367884586062E-3</v>
      </c>
      <c r="AP115" s="21" t="s">
        <v>118</v>
      </c>
      <c r="AQ115" s="1">
        <v>8415.7900000000009</v>
      </c>
      <c r="AR115" s="6">
        <v>5.4983589752168882E-3</v>
      </c>
    </row>
    <row r="116" spans="2:44" x14ac:dyDescent="0.35">
      <c r="B116" s="21">
        <v>45063</v>
      </c>
      <c r="C116" s="1">
        <v>0.54</v>
      </c>
      <c r="D116" s="1">
        <v>0.54</v>
      </c>
      <c r="E116" s="6">
        <f t="shared" si="64"/>
        <v>3.8461538461538547E-2</v>
      </c>
      <c r="F116" s="21">
        <v>45063</v>
      </c>
      <c r="G116" s="1">
        <v>22.66</v>
      </c>
      <c r="H116" s="1">
        <v>13.340999999999999</v>
      </c>
      <c r="I116" s="6">
        <f t="shared" si="62"/>
        <v>0</v>
      </c>
      <c r="J116" s="21">
        <v>45063</v>
      </c>
      <c r="K116" s="1">
        <v>41.03</v>
      </c>
      <c r="L116" s="1">
        <v>27.197900000000001</v>
      </c>
      <c r="M116" s="6">
        <f t="shared" si="57"/>
        <v>7.3220987563460405E-4</v>
      </c>
      <c r="N116" s="21">
        <v>45063</v>
      </c>
      <c r="O116" s="1">
        <v>16.440000000000001</v>
      </c>
      <c r="P116" s="1">
        <v>14.455299999999999</v>
      </c>
      <c r="Q116" s="6">
        <f t="shared" si="58"/>
        <v>2.4410371634038253E-3</v>
      </c>
      <c r="R116" s="21">
        <v>45063</v>
      </c>
      <c r="S116" s="1">
        <v>7.28</v>
      </c>
      <c r="T116" s="1">
        <v>6.4305000000000003</v>
      </c>
      <c r="U116" s="6">
        <f t="shared" si="63"/>
        <v>-1.6216629694790763E-2</v>
      </c>
      <c r="V116" s="21">
        <v>45063</v>
      </c>
      <c r="W116" s="1">
        <v>6.58</v>
      </c>
      <c r="X116" s="1">
        <v>5.5890000000000004</v>
      </c>
      <c r="Y116" s="6">
        <f t="shared" si="65"/>
        <v>4.4931703810209278E-3</v>
      </c>
      <c r="Z116" s="21">
        <v>45063</v>
      </c>
      <c r="AA116" s="1">
        <v>1.78</v>
      </c>
      <c r="AB116" s="1">
        <v>1.78</v>
      </c>
      <c r="AC116" s="6">
        <f t="shared" si="59"/>
        <v>-5.5865921787709993E-3</v>
      </c>
      <c r="AD116" s="21">
        <v>45063</v>
      </c>
      <c r="AE116" s="1">
        <v>7.38</v>
      </c>
      <c r="AF116" s="1">
        <v>6.6749999999999998</v>
      </c>
      <c r="AG116" s="6">
        <f t="shared" si="60"/>
        <v>0</v>
      </c>
      <c r="AH116" s="21">
        <v>45063</v>
      </c>
      <c r="AI116" s="1">
        <v>9.8000000000000007</v>
      </c>
      <c r="AJ116" s="1">
        <v>8.5678999999999998</v>
      </c>
      <c r="AK116" s="6">
        <f t="shared" si="61"/>
        <v>-9.0903833921239796E-3</v>
      </c>
      <c r="AL116" s="21">
        <v>45063</v>
      </c>
      <c r="AM116" s="1">
        <v>1.29</v>
      </c>
      <c r="AN116" s="1">
        <v>1.2098</v>
      </c>
      <c r="AO116" s="6">
        <v>-4.4391785150079022E-2</v>
      </c>
      <c r="AP116" s="21" t="s">
        <v>119</v>
      </c>
      <c r="AQ116" s="1">
        <v>8464.66</v>
      </c>
      <c r="AR116" s="6">
        <v>5.8069414754882143E-3</v>
      </c>
    </row>
    <row r="117" spans="2:44" x14ac:dyDescent="0.35">
      <c r="B117" s="21">
        <v>45064</v>
      </c>
      <c r="C117" s="1">
        <v>0.53</v>
      </c>
      <c r="D117" s="1">
        <v>0.53</v>
      </c>
      <c r="E117" s="6">
        <f t="shared" si="64"/>
        <v>-1.851851851851849E-2</v>
      </c>
      <c r="F117" s="21">
        <v>45064</v>
      </c>
      <c r="G117" s="1">
        <v>22.95</v>
      </c>
      <c r="H117" s="1">
        <v>13.511699999999999</v>
      </c>
      <c r="I117" s="6">
        <f t="shared" si="62"/>
        <v>1.2795142792894065E-2</v>
      </c>
      <c r="J117" s="21">
        <v>45064</v>
      </c>
      <c r="K117" s="1">
        <v>41.06</v>
      </c>
      <c r="L117" s="1">
        <v>27.2178</v>
      </c>
      <c r="M117" s="6">
        <f t="shared" si="57"/>
        <v>7.3167413660613079E-4</v>
      </c>
      <c r="N117" s="21">
        <v>45064</v>
      </c>
      <c r="O117" s="1">
        <v>16.7</v>
      </c>
      <c r="P117" s="1">
        <v>14.6839</v>
      </c>
      <c r="Q117" s="6">
        <f t="shared" si="58"/>
        <v>1.5814268814898336E-2</v>
      </c>
      <c r="R117" s="21">
        <v>45064</v>
      </c>
      <c r="S117" s="1">
        <v>7.3</v>
      </c>
      <c r="T117" s="1">
        <v>6.4481000000000002</v>
      </c>
      <c r="U117" s="6">
        <f t="shared" si="63"/>
        <v>2.7369566907704534E-3</v>
      </c>
      <c r="V117" s="21">
        <v>45064</v>
      </c>
      <c r="W117" s="1">
        <v>6.59</v>
      </c>
      <c r="X117" s="1">
        <v>5.5979999999999999</v>
      </c>
      <c r="Y117" s="6">
        <f t="shared" si="65"/>
        <v>1.6103059581320522E-3</v>
      </c>
      <c r="Z117" s="21">
        <v>45064</v>
      </c>
      <c r="AA117" s="1">
        <v>1.78</v>
      </c>
      <c r="AB117" s="1">
        <v>1.78</v>
      </c>
      <c r="AC117" s="6">
        <f t="shared" si="59"/>
        <v>0</v>
      </c>
      <c r="AD117" s="21">
        <v>45064</v>
      </c>
      <c r="AE117" s="1">
        <v>7.35</v>
      </c>
      <c r="AF117" s="1">
        <v>6.6478999999999999</v>
      </c>
      <c r="AG117" s="6">
        <f t="shared" si="60"/>
        <v>-4.0599250936329545E-3</v>
      </c>
      <c r="AH117" s="21">
        <v>45064</v>
      </c>
      <c r="AI117" s="1">
        <v>9.8699999999999992</v>
      </c>
      <c r="AJ117" s="1">
        <v>8.6290999999999993</v>
      </c>
      <c r="AK117" s="6">
        <f t="shared" si="61"/>
        <v>7.1429405105101207E-3</v>
      </c>
      <c r="AL117" s="21">
        <v>45064</v>
      </c>
      <c r="AM117" s="1">
        <v>1.24</v>
      </c>
      <c r="AN117" s="1">
        <v>1.1629</v>
      </c>
      <c r="AO117" s="6">
        <v>-3.87667383038518E-2</v>
      </c>
      <c r="AP117" s="21" t="s">
        <v>120</v>
      </c>
      <c r="AQ117" s="1">
        <v>8491.77</v>
      </c>
      <c r="AR117" s="6">
        <v>3.2027275755908136E-3</v>
      </c>
    </row>
    <row r="118" spans="2:44" x14ac:dyDescent="0.35">
      <c r="B118" s="21">
        <v>45065</v>
      </c>
      <c r="C118" s="1">
        <v>0.55000000000000004</v>
      </c>
      <c r="D118" s="1">
        <v>0.55000000000000004</v>
      </c>
      <c r="E118" s="6">
        <f t="shared" si="64"/>
        <v>3.7735849056603765E-2</v>
      </c>
      <c r="F118" s="21">
        <v>45065</v>
      </c>
      <c r="G118" s="1">
        <v>22.95</v>
      </c>
      <c r="H118" s="1">
        <v>13.511699999999999</v>
      </c>
      <c r="I118" s="6">
        <f t="shared" si="62"/>
        <v>0</v>
      </c>
      <c r="J118" s="21">
        <v>45065</v>
      </c>
      <c r="K118" s="1">
        <v>42.96</v>
      </c>
      <c r="L118" s="1">
        <v>28.4772</v>
      </c>
      <c r="M118" s="6">
        <f t="shared" si="57"/>
        <v>4.627119017701653E-2</v>
      </c>
      <c r="N118" s="21">
        <v>45065</v>
      </c>
      <c r="O118" s="1">
        <v>16.649999999999999</v>
      </c>
      <c r="P118" s="1">
        <v>14.639900000000001</v>
      </c>
      <c r="Q118" s="6">
        <f t="shared" si="58"/>
        <v>-2.9964791370139521E-3</v>
      </c>
      <c r="R118" s="21">
        <v>45065</v>
      </c>
      <c r="S118" s="1">
        <v>7.38</v>
      </c>
      <c r="T118" s="1">
        <v>6.5187999999999997</v>
      </c>
      <c r="U118" s="6">
        <f t="shared" si="63"/>
        <v>1.0964470153998818E-2</v>
      </c>
      <c r="V118" s="21">
        <v>45065</v>
      </c>
      <c r="W118" s="1">
        <v>6.58</v>
      </c>
      <c r="X118" s="1">
        <v>5.5890000000000004</v>
      </c>
      <c r="Y118" s="6">
        <f t="shared" si="65"/>
        <v>-1.607717041800516E-3</v>
      </c>
      <c r="Z118" s="21">
        <v>45065</v>
      </c>
      <c r="AA118" s="1">
        <v>1.77</v>
      </c>
      <c r="AB118" s="1">
        <v>1.77</v>
      </c>
      <c r="AC118" s="6">
        <f t="shared" si="59"/>
        <v>-5.6179775280899014E-3</v>
      </c>
      <c r="AD118" s="21">
        <v>45065</v>
      </c>
      <c r="AE118" s="1">
        <v>7.29</v>
      </c>
      <c r="AF118" s="1">
        <v>6.5936000000000003</v>
      </c>
      <c r="AG118" s="6">
        <f t="shared" si="60"/>
        <v>-8.1679929000134655E-3</v>
      </c>
      <c r="AH118" s="21">
        <v>45065</v>
      </c>
      <c r="AI118" s="1">
        <v>9.8000000000000007</v>
      </c>
      <c r="AJ118" s="1">
        <v>8.5678999999999998</v>
      </c>
      <c r="AK118" s="6">
        <f t="shared" si="61"/>
        <v>-7.0922807708798663E-3</v>
      </c>
      <c r="AL118" s="21">
        <v>45065</v>
      </c>
      <c r="AM118" s="1">
        <v>1.29</v>
      </c>
      <c r="AN118" s="1">
        <v>1.2098</v>
      </c>
      <c r="AO118" s="6">
        <v>4.0330208960357661E-2</v>
      </c>
      <c r="AP118" s="21" t="s">
        <v>121</v>
      </c>
      <c r="AQ118" s="1">
        <v>8542.7099999999991</v>
      </c>
      <c r="AR118" s="6">
        <v>5.9987493773381306E-3</v>
      </c>
    </row>
    <row r="119" spans="2:44" x14ac:dyDescent="0.35">
      <c r="B119" s="21">
        <v>45068</v>
      </c>
      <c r="C119" s="1">
        <v>0.56000000000000005</v>
      </c>
      <c r="D119" s="1">
        <v>0.56000000000000005</v>
      </c>
      <c r="E119" s="6">
        <f t="shared" si="64"/>
        <v>1.8181818181818299E-2</v>
      </c>
      <c r="F119" s="21">
        <v>45068</v>
      </c>
      <c r="G119" s="1">
        <v>22.89</v>
      </c>
      <c r="H119" s="1">
        <v>13.4764</v>
      </c>
      <c r="I119" s="6">
        <f t="shared" si="62"/>
        <v>-2.6125506042911084E-3</v>
      </c>
      <c r="J119" s="21">
        <v>45068</v>
      </c>
      <c r="K119" s="1">
        <v>42.1</v>
      </c>
      <c r="L119" s="1">
        <v>27.9072</v>
      </c>
      <c r="M119" s="6">
        <f t="shared" si="57"/>
        <v>-2.0016012810248229E-2</v>
      </c>
      <c r="N119" s="21">
        <v>45068</v>
      </c>
      <c r="O119" s="1">
        <v>16.600000000000001</v>
      </c>
      <c r="P119" s="1">
        <v>14.596</v>
      </c>
      <c r="Q119" s="6">
        <f t="shared" si="58"/>
        <v>-2.998654362393216E-3</v>
      </c>
      <c r="R119" s="21">
        <v>45068</v>
      </c>
      <c r="S119" s="1">
        <v>7.37</v>
      </c>
      <c r="T119" s="1">
        <v>6.51</v>
      </c>
      <c r="U119" s="6">
        <f t="shared" si="63"/>
        <v>-1.3499417070625963E-3</v>
      </c>
      <c r="V119" s="21">
        <v>45068</v>
      </c>
      <c r="W119" s="1">
        <v>6.57</v>
      </c>
      <c r="X119" s="1">
        <v>5.5810000000000004</v>
      </c>
      <c r="Y119" s="6">
        <f t="shared" si="65"/>
        <v>-1.4313830738951205E-3</v>
      </c>
      <c r="Z119" s="21">
        <v>45068</v>
      </c>
      <c r="AA119" s="1">
        <v>1.75</v>
      </c>
      <c r="AB119" s="1">
        <v>1.75</v>
      </c>
      <c r="AC119" s="6">
        <f t="shared" si="59"/>
        <v>-1.1299435028248594E-2</v>
      </c>
      <c r="AD119" s="21">
        <v>45068</v>
      </c>
      <c r="AE119" s="1">
        <v>7.35</v>
      </c>
      <c r="AF119" s="1">
        <v>6.6478999999999999</v>
      </c>
      <c r="AG119" s="6">
        <f t="shared" si="60"/>
        <v>8.2352584324192346E-3</v>
      </c>
      <c r="AH119" s="21">
        <v>45068</v>
      </c>
      <c r="AI119" s="1">
        <v>9.8000000000000007</v>
      </c>
      <c r="AJ119" s="1">
        <v>8.5678999999999998</v>
      </c>
      <c r="AK119" s="6">
        <f t="shared" si="61"/>
        <v>0</v>
      </c>
      <c r="AL119" s="21">
        <v>45068</v>
      </c>
      <c r="AM119" s="1">
        <v>1.33</v>
      </c>
      <c r="AN119" s="1">
        <v>1.2473000000000001</v>
      </c>
      <c r="AO119" s="6">
        <v>3.0996858984956299E-2</v>
      </c>
      <c r="AP119" s="21" t="s">
        <v>122</v>
      </c>
      <c r="AQ119" s="1">
        <v>8551.17</v>
      </c>
      <c r="AR119" s="6">
        <v>9.9031806066229855E-4</v>
      </c>
    </row>
    <row r="120" spans="2:44" x14ac:dyDescent="0.35">
      <c r="B120" s="21">
        <v>45069</v>
      </c>
      <c r="C120" s="1">
        <v>0.59</v>
      </c>
      <c r="D120" s="1">
        <v>0.59</v>
      </c>
      <c r="E120" s="6">
        <f t="shared" si="64"/>
        <v>5.3571428571428381E-2</v>
      </c>
      <c r="F120" s="21">
        <v>45069</v>
      </c>
      <c r="G120" s="1">
        <v>22.9</v>
      </c>
      <c r="H120" s="1">
        <v>13.4823</v>
      </c>
      <c r="I120" s="6">
        <f t="shared" si="62"/>
        <v>4.3780238045765252E-4</v>
      </c>
      <c r="J120" s="21">
        <v>45069</v>
      </c>
      <c r="K120" s="1">
        <v>42.3</v>
      </c>
      <c r="L120" s="1">
        <v>28.0397</v>
      </c>
      <c r="M120" s="6">
        <f t="shared" si="57"/>
        <v>4.7478786836372411E-3</v>
      </c>
      <c r="N120" s="21">
        <v>45069</v>
      </c>
      <c r="O120" s="1">
        <v>17.489999999999998</v>
      </c>
      <c r="P120" s="1">
        <v>15.378500000000001</v>
      </c>
      <c r="Q120" s="6">
        <f t="shared" si="58"/>
        <v>5.3610578240613993E-2</v>
      </c>
      <c r="R120" s="21">
        <v>45069</v>
      </c>
      <c r="S120" s="1">
        <v>7.35</v>
      </c>
      <c r="T120" s="1">
        <v>6.4923000000000002</v>
      </c>
      <c r="U120" s="6">
        <f t="shared" si="63"/>
        <v>-2.7188940092165437E-3</v>
      </c>
      <c r="V120" s="21">
        <v>45069</v>
      </c>
      <c r="W120" s="1">
        <v>6.6</v>
      </c>
      <c r="X120" s="1">
        <v>5.6059999999999999</v>
      </c>
      <c r="Y120" s="6">
        <f t="shared" si="65"/>
        <v>4.4794839634472172E-3</v>
      </c>
      <c r="Z120" s="21">
        <v>45069</v>
      </c>
      <c r="AA120" s="1">
        <v>1.75</v>
      </c>
      <c r="AB120" s="1">
        <v>1.75</v>
      </c>
      <c r="AC120" s="6">
        <f t="shared" si="59"/>
        <v>0</v>
      </c>
      <c r="AD120" s="21">
        <v>45069</v>
      </c>
      <c r="AE120" s="1">
        <v>7.34</v>
      </c>
      <c r="AF120" s="1">
        <v>6.6388999999999996</v>
      </c>
      <c r="AG120" s="6">
        <f t="shared" si="60"/>
        <v>-1.3538109779028806E-3</v>
      </c>
      <c r="AH120" s="21">
        <v>45069</v>
      </c>
      <c r="AI120" s="1">
        <v>9.77</v>
      </c>
      <c r="AJ120" s="1">
        <v>8.5416000000000007</v>
      </c>
      <c r="AK120" s="6">
        <f t="shared" si="61"/>
        <v>-3.0695969840917048E-3</v>
      </c>
      <c r="AL120" s="21">
        <v>45069</v>
      </c>
      <c r="AM120" s="1">
        <v>1.38</v>
      </c>
      <c r="AN120" s="1">
        <v>1.2942</v>
      </c>
      <c r="AO120" s="6">
        <v>3.7601218632245637E-2</v>
      </c>
      <c r="AP120" s="21" t="s">
        <v>123</v>
      </c>
      <c r="AQ120" s="1">
        <v>8577.07</v>
      </c>
      <c r="AR120" s="6">
        <v>3.0288252952519468E-3</v>
      </c>
    </row>
    <row r="121" spans="2:44" x14ac:dyDescent="0.35">
      <c r="B121" s="21">
        <v>45070</v>
      </c>
      <c r="C121" s="1">
        <v>0.56999999999999995</v>
      </c>
      <c r="D121" s="1">
        <v>0.56999999999999995</v>
      </c>
      <c r="E121" s="6">
        <f t="shared" si="64"/>
        <v>-3.3898305084745783E-2</v>
      </c>
      <c r="F121" s="21">
        <v>45070</v>
      </c>
      <c r="G121" s="1">
        <v>23.45</v>
      </c>
      <c r="H121" s="1">
        <v>13.806100000000001</v>
      </c>
      <c r="I121" s="6">
        <f t="shared" si="62"/>
        <v>2.4016673712942138E-2</v>
      </c>
      <c r="J121" s="21">
        <v>45070</v>
      </c>
      <c r="K121" s="1">
        <v>42.4</v>
      </c>
      <c r="L121" s="1">
        <v>28.106000000000002</v>
      </c>
      <c r="M121" s="6">
        <f t="shared" si="57"/>
        <v>2.3645046131022252E-3</v>
      </c>
      <c r="N121" s="21">
        <v>45070</v>
      </c>
      <c r="O121" s="1">
        <v>17.45</v>
      </c>
      <c r="P121" s="1">
        <v>15.343299999999999</v>
      </c>
      <c r="Q121" s="6">
        <f t="shared" si="58"/>
        <v>-2.28890984166219E-3</v>
      </c>
      <c r="R121" s="21">
        <v>45070</v>
      </c>
      <c r="S121" s="1">
        <v>7.35</v>
      </c>
      <c r="T121" s="1">
        <v>6.4923000000000002</v>
      </c>
      <c r="U121" s="6">
        <f t="shared" si="63"/>
        <v>0</v>
      </c>
      <c r="V121" s="21">
        <v>45070</v>
      </c>
      <c r="W121" s="1">
        <v>6.6</v>
      </c>
      <c r="X121" s="1">
        <v>5.6059999999999999</v>
      </c>
      <c r="Y121" s="6">
        <f t="shared" si="65"/>
        <v>0</v>
      </c>
      <c r="Z121" s="21">
        <v>45070</v>
      </c>
      <c r="AA121" s="1">
        <v>1.75</v>
      </c>
      <c r="AB121" s="1">
        <v>1.75</v>
      </c>
      <c r="AC121" s="6">
        <f t="shared" si="59"/>
        <v>0</v>
      </c>
      <c r="AD121" s="21">
        <v>45070</v>
      </c>
      <c r="AE121" s="1">
        <v>7.34</v>
      </c>
      <c r="AF121" s="1">
        <v>6.6388999999999996</v>
      </c>
      <c r="AG121" s="6">
        <f t="shared" si="60"/>
        <v>0</v>
      </c>
      <c r="AH121" s="21">
        <v>45070</v>
      </c>
      <c r="AI121" s="1">
        <v>9.6999999999999993</v>
      </c>
      <c r="AJ121" s="1">
        <v>8.4803999999999995</v>
      </c>
      <c r="AK121" s="6">
        <f t="shared" si="61"/>
        <v>-7.1649339702164472E-3</v>
      </c>
      <c r="AL121" s="21">
        <v>45070</v>
      </c>
      <c r="AM121" s="1">
        <v>1.42</v>
      </c>
      <c r="AN121" s="1">
        <v>1.3317000000000001</v>
      </c>
      <c r="AO121" s="6">
        <v>2.897542883634685E-2</v>
      </c>
      <c r="AP121" s="21" t="s">
        <v>124</v>
      </c>
      <c r="AQ121" s="1">
        <v>8588.0300000000007</v>
      </c>
      <c r="AR121" s="6">
        <v>1.2778256444219149E-3</v>
      </c>
    </row>
    <row r="122" spans="2:44" x14ac:dyDescent="0.35">
      <c r="B122" s="21">
        <v>45071</v>
      </c>
      <c r="C122" s="1">
        <v>0.56999999999999995</v>
      </c>
      <c r="D122" s="1">
        <v>0.56999999999999995</v>
      </c>
      <c r="E122" s="6">
        <f t="shared" si="64"/>
        <v>0</v>
      </c>
      <c r="F122" s="21">
        <v>45071</v>
      </c>
      <c r="G122" s="1">
        <v>23.9</v>
      </c>
      <c r="H122" s="1">
        <v>14.071</v>
      </c>
      <c r="I122" s="6">
        <f t="shared" si="62"/>
        <v>1.918717088823052E-2</v>
      </c>
      <c r="J122" s="21">
        <v>45071</v>
      </c>
      <c r="K122" s="1">
        <v>42.5</v>
      </c>
      <c r="L122" s="1">
        <v>28.1723</v>
      </c>
      <c r="M122" s="6">
        <f t="shared" si="57"/>
        <v>2.3589269195189999E-3</v>
      </c>
      <c r="N122" s="21">
        <v>45071</v>
      </c>
      <c r="O122" s="1">
        <v>18.43</v>
      </c>
      <c r="P122" s="1">
        <v>16.204999999999998</v>
      </c>
      <c r="Q122" s="6">
        <f t="shared" si="58"/>
        <v>5.6161321228158201E-2</v>
      </c>
      <c r="R122" s="21">
        <v>45071</v>
      </c>
      <c r="S122" s="1">
        <v>7.4</v>
      </c>
      <c r="T122" s="1">
        <v>6.5365000000000002</v>
      </c>
      <c r="U122" s="6">
        <f t="shared" si="63"/>
        <v>6.8080649384656411E-3</v>
      </c>
      <c r="V122" s="21">
        <v>45071</v>
      </c>
      <c r="W122" s="1">
        <v>6.66</v>
      </c>
      <c r="X122" s="1">
        <v>5.657</v>
      </c>
      <c r="Y122" s="6">
        <f t="shared" si="65"/>
        <v>9.0973956475204343E-3</v>
      </c>
      <c r="Z122" s="21">
        <v>45071</v>
      </c>
      <c r="AA122" s="1">
        <v>1.76</v>
      </c>
      <c r="AB122" s="1">
        <v>1.76</v>
      </c>
      <c r="AC122" s="6">
        <f t="shared" si="59"/>
        <v>5.7142857142857828E-3</v>
      </c>
      <c r="AD122" s="21">
        <v>45071</v>
      </c>
      <c r="AE122" s="1">
        <v>7.35</v>
      </c>
      <c r="AF122" s="1">
        <v>6.6478999999999999</v>
      </c>
      <c r="AG122" s="6">
        <f t="shared" si="60"/>
        <v>1.3556462667008162E-3</v>
      </c>
      <c r="AH122" s="21">
        <v>45071</v>
      </c>
      <c r="AI122" s="1">
        <v>9.66</v>
      </c>
      <c r="AJ122" s="1">
        <v>8.4454999999999991</v>
      </c>
      <c r="AK122" s="6">
        <f t="shared" si="61"/>
        <v>-4.1153719164190861E-3</v>
      </c>
      <c r="AL122" s="21">
        <v>45071</v>
      </c>
      <c r="AM122" s="1">
        <v>1.48</v>
      </c>
      <c r="AN122" s="1">
        <v>1.3878999999999999</v>
      </c>
      <c r="AO122" s="6">
        <v>4.2201697078921629E-2</v>
      </c>
      <c r="AP122" s="21" t="s">
        <v>125</v>
      </c>
      <c r="AQ122" s="1">
        <v>8667.73</v>
      </c>
      <c r="AR122" s="6">
        <v>9.2803588250156555E-3</v>
      </c>
    </row>
    <row r="123" spans="2:44" x14ac:dyDescent="0.35">
      <c r="B123" s="21">
        <v>45072</v>
      </c>
      <c r="C123" s="1">
        <v>0.57999999999999996</v>
      </c>
      <c r="D123" s="1">
        <v>0.57999999999999996</v>
      </c>
      <c r="E123" s="6">
        <f t="shared" si="64"/>
        <v>1.7543859649122862E-2</v>
      </c>
      <c r="F123" s="21">
        <v>45072</v>
      </c>
      <c r="G123" s="1">
        <v>23.9</v>
      </c>
      <c r="H123" s="1">
        <v>14.071</v>
      </c>
      <c r="I123" s="6">
        <f t="shared" si="62"/>
        <v>0</v>
      </c>
      <c r="J123" s="21">
        <v>45072</v>
      </c>
      <c r="K123" s="1">
        <v>42.65</v>
      </c>
      <c r="L123" s="1">
        <v>28.271799999999999</v>
      </c>
      <c r="M123" s="6">
        <f t="shared" si="57"/>
        <v>3.5318380110960224E-3</v>
      </c>
      <c r="N123" s="21">
        <v>45072</v>
      </c>
      <c r="O123" s="1">
        <v>19.239999999999998</v>
      </c>
      <c r="P123" s="1">
        <v>16.917200000000001</v>
      </c>
      <c r="Q123" s="6">
        <f t="shared" si="58"/>
        <v>4.39493983338477E-2</v>
      </c>
      <c r="R123" s="21">
        <v>45072</v>
      </c>
      <c r="S123" s="1">
        <v>7.38</v>
      </c>
      <c r="T123" s="1">
        <v>6.5187999999999997</v>
      </c>
      <c r="U123" s="6">
        <f t="shared" si="63"/>
        <v>-2.7078711848849135E-3</v>
      </c>
      <c r="V123" s="21">
        <v>45072</v>
      </c>
      <c r="W123" s="1">
        <v>6.67</v>
      </c>
      <c r="X123" s="1">
        <v>5.665</v>
      </c>
      <c r="Y123" s="6">
        <f t="shared" si="65"/>
        <v>1.4141771256850344E-3</v>
      </c>
      <c r="Z123" s="21">
        <v>45072</v>
      </c>
      <c r="AA123" s="1">
        <v>1.72</v>
      </c>
      <c r="AB123" s="1">
        <v>1.72</v>
      </c>
      <c r="AC123" s="6">
        <f t="shared" si="59"/>
        <v>-2.2727272727272707E-2</v>
      </c>
      <c r="AD123" s="21">
        <v>45072</v>
      </c>
      <c r="AE123" s="1">
        <v>7.4</v>
      </c>
      <c r="AF123" s="1">
        <v>6.6931000000000003</v>
      </c>
      <c r="AG123" s="6">
        <f t="shared" si="60"/>
        <v>6.7991395779118946E-3</v>
      </c>
      <c r="AH123" s="21">
        <v>45072</v>
      </c>
      <c r="AI123" s="1">
        <v>9.69</v>
      </c>
      <c r="AJ123" s="1">
        <v>8.4717000000000002</v>
      </c>
      <c r="AK123" s="6">
        <f t="shared" si="61"/>
        <v>3.1022437984726814E-3</v>
      </c>
      <c r="AL123" s="21">
        <v>45072</v>
      </c>
      <c r="AM123" s="1">
        <v>1.51</v>
      </c>
      <c r="AN123" s="1">
        <v>1.4160999999999999</v>
      </c>
      <c r="AO123" s="6">
        <v>2.0318466748324715E-2</v>
      </c>
      <c r="AP123" s="21" t="s">
        <v>126</v>
      </c>
      <c r="AQ123" s="1">
        <v>8676.9</v>
      </c>
      <c r="AR123" s="6">
        <v>1.0579471211031866E-3</v>
      </c>
    </row>
    <row r="124" spans="2:44" x14ac:dyDescent="0.35">
      <c r="B124" s="21">
        <v>45075</v>
      </c>
      <c r="C124" s="1">
        <v>0.61</v>
      </c>
      <c r="D124" s="1">
        <v>0.61</v>
      </c>
      <c r="E124" s="6">
        <f t="shared" si="64"/>
        <v>5.1724137931034475E-2</v>
      </c>
      <c r="F124" s="21">
        <v>45075</v>
      </c>
      <c r="G124" s="1">
        <v>23.85</v>
      </c>
      <c r="H124" s="1">
        <v>14.041600000000001</v>
      </c>
      <c r="I124" s="6">
        <f t="shared" si="62"/>
        <v>-2.0894037381848918E-3</v>
      </c>
      <c r="J124" s="21">
        <v>45075</v>
      </c>
      <c r="K124" s="1">
        <v>43.3</v>
      </c>
      <c r="L124" s="1">
        <v>28.7026</v>
      </c>
      <c r="M124" s="6">
        <f t="shared" si="57"/>
        <v>1.5237798795973534E-2</v>
      </c>
      <c r="N124" s="21">
        <v>45075</v>
      </c>
      <c r="O124" s="1">
        <v>18.86</v>
      </c>
      <c r="P124" s="1">
        <v>16.583100000000002</v>
      </c>
      <c r="Q124" s="6">
        <f t="shared" si="58"/>
        <v>-1.9749131061877812E-2</v>
      </c>
      <c r="R124" s="21">
        <v>45075</v>
      </c>
      <c r="S124" s="1">
        <v>7.3</v>
      </c>
      <c r="T124" s="1">
        <v>6.4481000000000002</v>
      </c>
      <c r="U124" s="6">
        <f t="shared" si="63"/>
        <v>-1.0845554396514578E-2</v>
      </c>
      <c r="V124" s="21">
        <v>45075</v>
      </c>
      <c r="W124" s="1">
        <v>6.65</v>
      </c>
      <c r="X124" s="1">
        <v>5.6479999999999997</v>
      </c>
      <c r="Y124" s="6">
        <f t="shared" si="65"/>
        <v>-3.0008826125331733E-3</v>
      </c>
      <c r="Z124" s="21">
        <v>45075</v>
      </c>
      <c r="AA124" s="1">
        <v>1.72</v>
      </c>
      <c r="AB124" s="1">
        <v>1.72</v>
      </c>
      <c r="AC124" s="6">
        <f t="shared" si="59"/>
        <v>0</v>
      </c>
      <c r="AD124" s="21">
        <v>45075</v>
      </c>
      <c r="AE124" s="1">
        <v>7.79</v>
      </c>
      <c r="AF124" s="1">
        <v>7.0458999999999996</v>
      </c>
      <c r="AG124" s="6">
        <f t="shared" si="60"/>
        <v>5.2711000881504821E-2</v>
      </c>
      <c r="AH124" s="21">
        <v>45075</v>
      </c>
      <c r="AI124" s="1">
        <v>9.8000000000000007</v>
      </c>
      <c r="AJ124" s="1">
        <v>8.5678999999999998</v>
      </c>
      <c r="AK124" s="6">
        <f t="shared" si="61"/>
        <v>1.1355454041101609E-2</v>
      </c>
      <c r="AL124" s="21">
        <v>45075</v>
      </c>
      <c r="AM124" s="1">
        <v>1.5</v>
      </c>
      <c r="AN124" s="1">
        <v>1.4067000000000001</v>
      </c>
      <c r="AO124" s="6">
        <v>-6.6379492973659415E-3</v>
      </c>
      <c r="AP124" s="21" t="s">
        <v>127</v>
      </c>
      <c r="AQ124" s="1">
        <v>8697.6200000000008</v>
      </c>
      <c r="AR124" s="6">
        <v>2.3879496133412115E-3</v>
      </c>
    </row>
    <row r="125" spans="2:44" x14ac:dyDescent="0.35">
      <c r="B125" s="21">
        <v>45076</v>
      </c>
      <c r="C125" s="1">
        <v>0.6</v>
      </c>
      <c r="D125" s="1">
        <v>0.6</v>
      </c>
      <c r="E125" s="6">
        <f t="shared" si="64"/>
        <v>-1.6393442622950838E-2</v>
      </c>
      <c r="F125" s="21">
        <v>45076</v>
      </c>
      <c r="G125" s="1">
        <v>23.7</v>
      </c>
      <c r="H125" s="1">
        <v>13.9533</v>
      </c>
      <c r="I125" s="6">
        <f t="shared" si="62"/>
        <v>-6.2884571558796676E-3</v>
      </c>
      <c r="J125" s="21">
        <v>45076</v>
      </c>
      <c r="K125" s="1">
        <v>43.9</v>
      </c>
      <c r="L125" s="1">
        <v>29.1004</v>
      </c>
      <c r="M125" s="6">
        <f t="shared" si="57"/>
        <v>1.3859371624870276E-2</v>
      </c>
      <c r="N125" s="21">
        <v>45076</v>
      </c>
      <c r="O125" s="1">
        <v>18.41</v>
      </c>
      <c r="P125" s="1">
        <v>16.1874</v>
      </c>
      <c r="Q125" s="6">
        <f t="shared" si="58"/>
        <v>-2.3861642274363715E-2</v>
      </c>
      <c r="R125" s="21">
        <v>45076</v>
      </c>
      <c r="S125" s="1">
        <v>7.23</v>
      </c>
      <c r="T125" s="1">
        <v>6.3863000000000003</v>
      </c>
      <c r="U125" s="6">
        <f t="shared" si="63"/>
        <v>-9.5842186070315138E-3</v>
      </c>
      <c r="V125" s="21">
        <v>45076</v>
      </c>
      <c r="W125" s="1">
        <v>6.91</v>
      </c>
      <c r="X125" s="1">
        <v>5.8689999999999998</v>
      </c>
      <c r="Y125" s="6">
        <f t="shared" si="65"/>
        <v>3.9128895184135981E-2</v>
      </c>
      <c r="Z125" s="21">
        <v>45076</v>
      </c>
      <c r="AA125" s="1">
        <v>1.72</v>
      </c>
      <c r="AB125" s="1">
        <v>1.72</v>
      </c>
      <c r="AC125" s="6">
        <f t="shared" si="59"/>
        <v>0</v>
      </c>
      <c r="AD125" s="21">
        <v>45076</v>
      </c>
      <c r="AE125" s="1">
        <v>7.8</v>
      </c>
      <c r="AF125" s="1">
        <v>7.0548999999999999</v>
      </c>
      <c r="AG125" s="6">
        <f t="shared" si="60"/>
        <v>1.2773385940760829E-3</v>
      </c>
      <c r="AH125" s="21">
        <v>45076</v>
      </c>
      <c r="AI125" s="1">
        <v>9.9</v>
      </c>
      <c r="AJ125" s="1">
        <v>8.6553000000000004</v>
      </c>
      <c r="AK125" s="6">
        <f t="shared" si="61"/>
        <v>1.02008660231796E-2</v>
      </c>
      <c r="AL125" s="21">
        <v>45076</v>
      </c>
      <c r="AM125" s="1">
        <v>1.5</v>
      </c>
      <c r="AN125" s="1">
        <v>1.4067000000000001</v>
      </c>
      <c r="AO125" s="6">
        <v>0</v>
      </c>
      <c r="AP125" s="21" t="s">
        <v>128</v>
      </c>
      <c r="AQ125" s="1">
        <v>8717.57</v>
      </c>
      <c r="AR125" s="6">
        <v>2.2937309286907848E-3</v>
      </c>
    </row>
    <row r="126" spans="2:44" x14ac:dyDescent="0.35">
      <c r="B126" s="21">
        <v>45077</v>
      </c>
      <c r="C126" s="1">
        <v>0.6</v>
      </c>
      <c r="D126" s="1">
        <v>0.6</v>
      </c>
      <c r="E126" s="6">
        <f t="shared" si="64"/>
        <v>0</v>
      </c>
      <c r="F126" s="21">
        <v>45077</v>
      </c>
      <c r="G126" s="1">
        <v>23.5</v>
      </c>
      <c r="H126" s="1">
        <v>13.8355</v>
      </c>
      <c r="I126" s="6">
        <f t="shared" si="62"/>
        <v>-8.4424473063720029E-3</v>
      </c>
      <c r="J126" s="21">
        <v>45077</v>
      </c>
      <c r="K126" s="1">
        <v>44.75</v>
      </c>
      <c r="L126" s="1">
        <v>29.663799999999998</v>
      </c>
      <c r="M126" s="6">
        <f t="shared" si="57"/>
        <v>1.9360558617750989E-2</v>
      </c>
      <c r="N126" s="21">
        <v>45077</v>
      </c>
      <c r="O126" s="1">
        <v>18.579999999999998</v>
      </c>
      <c r="P126" s="1">
        <v>16.3369</v>
      </c>
      <c r="Q126" s="6">
        <f t="shared" si="58"/>
        <v>9.2355782892867833E-3</v>
      </c>
      <c r="R126" s="21">
        <v>45077</v>
      </c>
      <c r="S126" s="1">
        <v>7.3</v>
      </c>
      <c r="T126" s="1">
        <v>6.4481000000000002</v>
      </c>
      <c r="U126" s="6">
        <f t="shared" si="63"/>
        <v>9.6769647526737668E-3</v>
      </c>
      <c r="V126" s="21">
        <v>45077</v>
      </c>
      <c r="W126" s="1">
        <v>6.86</v>
      </c>
      <c r="X126" s="1">
        <v>5.827</v>
      </c>
      <c r="Y126" s="6">
        <f t="shared" si="65"/>
        <v>-7.1562446754132036E-3</v>
      </c>
      <c r="Z126" s="21">
        <v>45077</v>
      </c>
      <c r="AA126" s="1">
        <v>1.72</v>
      </c>
      <c r="AB126" s="1">
        <v>1.72</v>
      </c>
      <c r="AC126" s="6">
        <f t="shared" si="59"/>
        <v>0</v>
      </c>
      <c r="AD126" s="21">
        <v>45077</v>
      </c>
      <c r="AE126" s="1">
        <v>7.8</v>
      </c>
      <c r="AF126" s="1">
        <v>7.0548999999999999</v>
      </c>
      <c r="AG126" s="6">
        <f t="shared" si="60"/>
        <v>0</v>
      </c>
      <c r="AH126" s="21">
        <v>45077</v>
      </c>
      <c r="AI126" s="1">
        <v>9.84</v>
      </c>
      <c r="AJ126" s="1">
        <v>8.6028000000000002</v>
      </c>
      <c r="AK126" s="6">
        <f t="shared" si="61"/>
        <v>-6.0656476378635471E-3</v>
      </c>
      <c r="AL126" s="21">
        <v>45077</v>
      </c>
      <c r="AM126" s="1">
        <v>1.56</v>
      </c>
      <c r="AN126" s="1">
        <v>1.4630000000000001</v>
      </c>
      <c r="AO126" s="6">
        <v>4.0022748276107301E-2</v>
      </c>
      <c r="AP126" s="21" t="s">
        <v>129</v>
      </c>
      <c r="AQ126" s="1">
        <v>8730.7099999999991</v>
      </c>
      <c r="AR126" s="6">
        <v>1.5073007730364019E-3</v>
      </c>
    </row>
    <row r="127" spans="2:44" x14ac:dyDescent="0.35">
      <c r="B127" s="21">
        <v>45078</v>
      </c>
      <c r="C127" s="1">
        <v>0.6</v>
      </c>
      <c r="D127" s="1">
        <v>0.6</v>
      </c>
      <c r="E127" s="6">
        <f t="shared" si="64"/>
        <v>0</v>
      </c>
      <c r="F127" s="21">
        <v>45078</v>
      </c>
      <c r="G127" s="1">
        <v>23.7</v>
      </c>
      <c r="H127" s="1">
        <v>13.9533</v>
      </c>
      <c r="I127" s="6">
        <f t="shared" si="62"/>
        <v>8.5143290809874816E-3</v>
      </c>
      <c r="J127" s="21">
        <v>45078</v>
      </c>
      <c r="K127" s="1">
        <v>46</v>
      </c>
      <c r="L127" s="1">
        <v>30.4924</v>
      </c>
      <c r="M127" s="6">
        <f t="shared" si="57"/>
        <v>2.793303622597243E-2</v>
      </c>
      <c r="N127" s="21">
        <v>45078</v>
      </c>
      <c r="O127" s="1">
        <v>18.45</v>
      </c>
      <c r="P127" s="1">
        <v>16.2226</v>
      </c>
      <c r="Q127" s="6">
        <f t="shared" si="58"/>
        <v>-6.9964313915125143E-3</v>
      </c>
      <c r="R127" s="21">
        <v>45078</v>
      </c>
      <c r="S127" s="1">
        <v>7.3</v>
      </c>
      <c r="T127" s="1">
        <v>6.4481000000000002</v>
      </c>
      <c r="U127" s="6">
        <f t="shared" si="63"/>
        <v>0</v>
      </c>
      <c r="V127" s="21">
        <v>45078</v>
      </c>
      <c r="W127" s="1">
        <v>6.7</v>
      </c>
      <c r="X127" s="1">
        <v>5.9429999999999996</v>
      </c>
      <c r="Y127" s="6">
        <f t="shared" si="65"/>
        <v>1.9907327956066423E-2</v>
      </c>
      <c r="Z127" s="21">
        <v>45078</v>
      </c>
      <c r="AA127" s="1">
        <v>1.75</v>
      </c>
      <c r="AB127" s="1">
        <v>1.75</v>
      </c>
      <c r="AC127" s="6">
        <f t="shared" si="59"/>
        <v>1.744186046511631E-2</v>
      </c>
      <c r="AD127" s="21">
        <v>45078</v>
      </c>
      <c r="AE127" s="1">
        <v>7.6</v>
      </c>
      <c r="AF127" s="1">
        <v>6.8739999999999997</v>
      </c>
      <c r="AG127" s="6">
        <f t="shared" si="60"/>
        <v>-2.5641752540787266E-2</v>
      </c>
      <c r="AH127" s="21">
        <v>45078</v>
      </c>
      <c r="AI127" s="1">
        <v>9.89</v>
      </c>
      <c r="AJ127" s="1">
        <v>8.6464999999999996</v>
      </c>
      <c r="AK127" s="6">
        <f t="shared" si="61"/>
        <v>5.0797414795182849E-3</v>
      </c>
      <c r="AL127" s="21">
        <v>45078</v>
      </c>
      <c r="AM127" s="1">
        <v>1.54</v>
      </c>
      <c r="AN127" s="1">
        <v>1.4441999999999999</v>
      </c>
      <c r="AO127" s="6">
        <v>-1.2850307587149778E-2</v>
      </c>
      <c r="AP127" s="21" t="s">
        <v>130</v>
      </c>
      <c r="AQ127" s="1">
        <v>8805.5499999999993</v>
      </c>
      <c r="AR127" s="6">
        <v>8.5720405327860405E-3</v>
      </c>
    </row>
    <row r="128" spans="2:44" x14ac:dyDescent="0.35">
      <c r="B128" s="21">
        <v>45079</v>
      </c>
      <c r="C128" s="1">
        <v>0.6</v>
      </c>
      <c r="D128" s="1">
        <v>0.6</v>
      </c>
      <c r="E128" s="6">
        <f t="shared" si="64"/>
        <v>0</v>
      </c>
      <c r="F128" s="21">
        <v>45079</v>
      </c>
      <c r="G128" s="1">
        <v>23.5</v>
      </c>
      <c r="H128" s="1">
        <v>13.8355</v>
      </c>
      <c r="I128" s="6">
        <f t="shared" si="62"/>
        <v>-8.4424473063720029E-3</v>
      </c>
      <c r="J128" s="21">
        <v>45079</v>
      </c>
      <c r="K128" s="1">
        <v>46.45</v>
      </c>
      <c r="L128" s="1">
        <v>30.790700000000001</v>
      </c>
      <c r="M128" s="6">
        <f t="shared" si="57"/>
        <v>9.7827655415776427E-3</v>
      </c>
      <c r="N128" s="21">
        <v>45079</v>
      </c>
      <c r="O128" s="1">
        <v>18.36</v>
      </c>
      <c r="P128" s="1">
        <v>16.1435</v>
      </c>
      <c r="Q128" s="6">
        <f t="shared" si="58"/>
        <v>-4.8759138485816589E-3</v>
      </c>
      <c r="R128" s="21">
        <v>45079</v>
      </c>
      <c r="S128" s="1">
        <v>7.38</v>
      </c>
      <c r="T128" s="1">
        <v>6.5187999999999997</v>
      </c>
      <c r="U128" s="6">
        <f t="shared" si="63"/>
        <v>1.0964470153998818E-2</v>
      </c>
      <c r="V128" s="21">
        <v>45079</v>
      </c>
      <c r="W128" s="1">
        <v>6.6</v>
      </c>
      <c r="X128" s="1">
        <v>5.8540000000000001</v>
      </c>
      <c r="Y128" s="6">
        <f t="shared" si="65"/>
        <v>-1.4975601548039674E-2</v>
      </c>
      <c r="Z128" s="21">
        <v>45079</v>
      </c>
      <c r="AA128" s="1">
        <v>1.72</v>
      </c>
      <c r="AB128" s="1">
        <v>1.72</v>
      </c>
      <c r="AC128" s="6">
        <f t="shared" si="59"/>
        <v>-1.7142857142857126E-2</v>
      </c>
      <c r="AD128" s="21">
        <v>45079</v>
      </c>
      <c r="AE128" s="1">
        <v>7.7</v>
      </c>
      <c r="AF128" s="1">
        <v>6.9645000000000001</v>
      </c>
      <c r="AG128" s="6">
        <f t="shared" si="60"/>
        <v>1.3165551352924076E-2</v>
      </c>
      <c r="AH128" s="21">
        <v>45079</v>
      </c>
      <c r="AI128" s="1">
        <v>9.8800000000000008</v>
      </c>
      <c r="AJ128" s="1">
        <v>8.6378000000000004</v>
      </c>
      <c r="AK128" s="6">
        <f t="shared" si="61"/>
        <v>-1.0061874747007149E-3</v>
      </c>
      <c r="AL128" s="21">
        <v>45079</v>
      </c>
      <c r="AM128" s="1">
        <v>1.48</v>
      </c>
      <c r="AN128" s="1">
        <v>1.3878999999999999</v>
      </c>
      <c r="AO128" s="6">
        <v>-3.8983520288048745E-2</v>
      </c>
      <c r="AP128" s="21" t="s">
        <v>131</v>
      </c>
      <c r="AQ128" s="1">
        <v>8813.4699999999993</v>
      </c>
      <c r="AR128" s="6">
        <v>8.9943274412163099E-4</v>
      </c>
    </row>
    <row r="129" spans="2:44" x14ac:dyDescent="0.35">
      <c r="B129" s="21">
        <v>45082</v>
      </c>
      <c r="C129" s="1">
        <v>0.61</v>
      </c>
      <c r="D129" s="1">
        <v>0.61</v>
      </c>
      <c r="E129" s="6">
        <f t="shared" si="64"/>
        <v>1.6666666666666607E-2</v>
      </c>
      <c r="F129" s="21">
        <v>45082</v>
      </c>
      <c r="G129" s="1">
        <v>23.54</v>
      </c>
      <c r="H129" s="1">
        <v>13.8591</v>
      </c>
      <c r="I129" s="6">
        <f t="shared" si="62"/>
        <v>1.7057569296374808E-3</v>
      </c>
      <c r="J129" s="21">
        <v>45082</v>
      </c>
      <c r="K129" s="1">
        <v>46</v>
      </c>
      <c r="L129" s="1">
        <v>30.4924</v>
      </c>
      <c r="M129" s="6">
        <f t="shared" si="57"/>
        <v>-9.6879902048345734E-3</v>
      </c>
      <c r="N129" s="21">
        <v>45082</v>
      </c>
      <c r="O129" s="1">
        <v>18.399999999999999</v>
      </c>
      <c r="P129" s="1">
        <v>16.178599999999999</v>
      </c>
      <c r="Q129" s="6">
        <f t="shared" si="58"/>
        <v>2.1742496980208248E-3</v>
      </c>
      <c r="R129" s="21">
        <v>45082</v>
      </c>
      <c r="S129" s="1">
        <v>7.44</v>
      </c>
      <c r="T129" s="1">
        <v>6.5717999999999996</v>
      </c>
      <c r="U129" s="6">
        <f t="shared" si="63"/>
        <v>8.1303307357181165E-3</v>
      </c>
      <c r="V129" s="21">
        <v>45082</v>
      </c>
      <c r="W129" s="1">
        <v>6.68</v>
      </c>
      <c r="X129" s="1">
        <v>5.9249999999999998</v>
      </c>
      <c r="Y129" s="6">
        <f t="shared" si="65"/>
        <v>1.2128459173214923E-2</v>
      </c>
      <c r="Z129" s="21">
        <v>45082</v>
      </c>
      <c r="AA129" s="1">
        <v>1.72</v>
      </c>
      <c r="AB129" s="1">
        <v>1.72</v>
      </c>
      <c r="AC129" s="6">
        <f t="shared" si="59"/>
        <v>0</v>
      </c>
      <c r="AD129" s="21">
        <v>45082</v>
      </c>
      <c r="AE129" s="1">
        <v>7.7</v>
      </c>
      <c r="AF129" s="1">
        <v>6.9645000000000001</v>
      </c>
      <c r="AG129" s="6">
        <f t="shared" si="60"/>
        <v>0</v>
      </c>
      <c r="AH129" s="21">
        <v>45082</v>
      </c>
      <c r="AI129" s="1">
        <v>9.85</v>
      </c>
      <c r="AJ129" s="1">
        <v>8.6115999999999993</v>
      </c>
      <c r="AK129" s="6">
        <f t="shared" si="61"/>
        <v>-3.033179744842518E-3</v>
      </c>
      <c r="AL129" s="21">
        <v>45082</v>
      </c>
      <c r="AM129" s="1">
        <v>1.54</v>
      </c>
      <c r="AN129" s="1">
        <v>1.4441999999999999</v>
      </c>
      <c r="AO129" s="6">
        <v>4.0564882196123753E-2</v>
      </c>
      <c r="AP129" s="21" t="s">
        <v>132</v>
      </c>
      <c r="AQ129" s="1">
        <v>8825.91</v>
      </c>
      <c r="AR129" s="6">
        <v>1.4114758432264285E-3</v>
      </c>
    </row>
    <row r="130" spans="2:44" x14ac:dyDescent="0.35">
      <c r="B130" s="21">
        <v>45083</v>
      </c>
      <c r="C130" s="1">
        <v>0.61</v>
      </c>
      <c r="D130" s="1">
        <v>0.61</v>
      </c>
      <c r="E130" s="6">
        <f t="shared" si="64"/>
        <v>0</v>
      </c>
      <c r="F130" s="21">
        <v>45083</v>
      </c>
      <c r="G130" s="1">
        <v>23.53</v>
      </c>
      <c r="H130" s="1">
        <v>13.853199999999999</v>
      </c>
      <c r="I130" s="6">
        <f t="shared" si="62"/>
        <v>-4.2571306939120923E-4</v>
      </c>
      <c r="J130" s="21">
        <v>45083</v>
      </c>
      <c r="K130" s="1">
        <v>44.99</v>
      </c>
      <c r="L130" s="1">
        <v>29.822900000000001</v>
      </c>
      <c r="M130" s="6">
        <f t="shared" si="57"/>
        <v>-2.1956290747858431E-2</v>
      </c>
      <c r="N130" s="21">
        <v>45083</v>
      </c>
      <c r="O130" s="1">
        <v>18.399999999999999</v>
      </c>
      <c r="P130" s="1">
        <v>16.178599999999999</v>
      </c>
      <c r="Q130" s="6">
        <f t="shared" si="58"/>
        <v>0</v>
      </c>
      <c r="R130" s="21">
        <v>45083</v>
      </c>
      <c r="S130" s="1">
        <v>7.4</v>
      </c>
      <c r="T130" s="1">
        <v>6.5365000000000002</v>
      </c>
      <c r="U130" s="6">
        <f t="shared" si="63"/>
        <v>-5.3714355275570336E-3</v>
      </c>
      <c r="V130" s="21">
        <v>45083</v>
      </c>
      <c r="W130" s="1">
        <v>6.65</v>
      </c>
      <c r="X130" s="1">
        <v>5.899</v>
      </c>
      <c r="Y130" s="6">
        <f t="shared" si="65"/>
        <v>-4.3881856540084474E-3</v>
      </c>
      <c r="Z130" s="21">
        <v>45083</v>
      </c>
      <c r="AA130" s="1">
        <v>1.74</v>
      </c>
      <c r="AB130" s="1">
        <v>1.74</v>
      </c>
      <c r="AC130" s="6">
        <f t="shared" si="59"/>
        <v>1.1627906976744207E-2</v>
      </c>
      <c r="AD130" s="21">
        <v>45083</v>
      </c>
      <c r="AE130" s="1">
        <v>7.65</v>
      </c>
      <c r="AF130" s="1">
        <v>6.9192</v>
      </c>
      <c r="AG130" s="6">
        <f t="shared" si="60"/>
        <v>-6.5044152487615525E-3</v>
      </c>
      <c r="AH130" s="21">
        <v>45083</v>
      </c>
      <c r="AI130" s="1">
        <v>9.89</v>
      </c>
      <c r="AJ130" s="1">
        <v>8.6464999999999996</v>
      </c>
      <c r="AK130" s="6">
        <f t="shared" si="61"/>
        <v>4.0526731385572834E-3</v>
      </c>
      <c r="AL130" s="21">
        <v>45083</v>
      </c>
      <c r="AM130" s="1">
        <v>1.6</v>
      </c>
      <c r="AN130" s="1">
        <v>1.5004999999999999</v>
      </c>
      <c r="AO130" s="6">
        <v>3.8983520288048856E-2</v>
      </c>
      <c r="AP130" s="21" t="s">
        <v>133</v>
      </c>
      <c r="AQ130" s="1">
        <v>8828.1299999999992</v>
      </c>
      <c r="AR130" s="6">
        <v>2.5153213662942875E-4</v>
      </c>
    </row>
    <row r="131" spans="2:44" x14ac:dyDescent="0.35">
      <c r="B131" s="21">
        <v>45084</v>
      </c>
      <c r="C131" s="1">
        <v>0.57999999999999996</v>
      </c>
      <c r="D131" s="1">
        <v>0.57999999999999996</v>
      </c>
      <c r="E131" s="6">
        <f t="shared" si="64"/>
        <v>-4.9180327868852514E-2</v>
      </c>
      <c r="F131" s="21">
        <v>45084</v>
      </c>
      <c r="G131" s="1">
        <v>18.440000000000001</v>
      </c>
      <c r="H131" s="1">
        <v>13.8443</v>
      </c>
      <c r="I131" s="6">
        <f t="shared" si="62"/>
        <v>-6.4245084168268463E-4</v>
      </c>
      <c r="J131" s="21">
        <v>45084</v>
      </c>
      <c r="K131" s="1">
        <v>44.7</v>
      </c>
      <c r="L131" s="1">
        <v>29.630700000000001</v>
      </c>
      <c r="M131" s="6">
        <f t="shared" ref="M131:M194" si="66">(L131/L130)-1</f>
        <v>-6.4447119495421035E-3</v>
      </c>
      <c r="N131" s="21">
        <v>45084</v>
      </c>
      <c r="O131" s="1">
        <v>18.29</v>
      </c>
      <c r="P131" s="1">
        <v>16.081900000000001</v>
      </c>
      <c r="Q131" s="6">
        <f t="shared" ref="Q131:Q194" si="67">(P131/P130)-1</f>
        <v>-5.9770313871408964E-3</v>
      </c>
      <c r="R131" s="21">
        <v>45084</v>
      </c>
      <c r="S131" s="1">
        <v>7.45</v>
      </c>
      <c r="T131" s="1">
        <v>6.5805999999999996</v>
      </c>
      <c r="U131" s="6">
        <f t="shared" si="63"/>
        <v>6.7467299013233006E-3</v>
      </c>
      <c r="V131" s="21">
        <v>45084</v>
      </c>
      <c r="W131" s="1">
        <v>6.73</v>
      </c>
      <c r="X131" s="1">
        <v>5.97</v>
      </c>
      <c r="Y131" s="6">
        <f t="shared" si="65"/>
        <v>1.2035938294626236E-2</v>
      </c>
      <c r="Z131" s="21">
        <v>45084</v>
      </c>
      <c r="AA131" s="1">
        <v>1.74</v>
      </c>
      <c r="AB131" s="1">
        <v>1.74</v>
      </c>
      <c r="AC131" s="6">
        <f t="shared" ref="AC131:AC194" si="68">(AB131/AB130)-1</f>
        <v>0</v>
      </c>
      <c r="AD131" s="21">
        <v>45084</v>
      </c>
      <c r="AE131" s="1">
        <v>7.7</v>
      </c>
      <c r="AF131" s="1">
        <v>6.9645000000000001</v>
      </c>
      <c r="AG131" s="6">
        <f t="shared" ref="AG131:AG194" si="69">(AF131/AF130)-1</f>
        <v>6.5469996531390962E-3</v>
      </c>
      <c r="AH131" s="21">
        <v>45084</v>
      </c>
      <c r="AI131" s="1">
        <v>9.73</v>
      </c>
      <c r="AJ131" s="1">
        <v>8.5067000000000004</v>
      </c>
      <c r="AK131" s="6">
        <f t="shared" ref="AK131:AK194" si="70">(AJ131/AJ130)-1</f>
        <v>-1.6168391834846418E-2</v>
      </c>
      <c r="AL131" s="21">
        <v>45084</v>
      </c>
      <c r="AM131" s="1">
        <v>1.67</v>
      </c>
      <c r="AN131" s="1">
        <v>1.5661</v>
      </c>
      <c r="AO131" s="6">
        <v>4.3718760413195668E-2</v>
      </c>
      <c r="AP131" s="21" t="s">
        <v>134</v>
      </c>
      <c r="AQ131" s="1">
        <v>8775.16</v>
      </c>
      <c r="AR131" s="6">
        <v>-6.0001381946118704E-3</v>
      </c>
    </row>
    <row r="132" spans="2:44" x14ac:dyDescent="0.35">
      <c r="B132" s="21">
        <v>45085</v>
      </c>
      <c r="C132" s="1">
        <v>0.59</v>
      </c>
      <c r="D132" s="1">
        <v>0.59</v>
      </c>
      <c r="E132" s="6">
        <f t="shared" si="64"/>
        <v>1.7241379310344751E-2</v>
      </c>
      <c r="F132" s="21">
        <v>45085</v>
      </c>
      <c r="G132" s="1">
        <v>18.440000000000001</v>
      </c>
      <c r="H132" s="1">
        <v>13.8443</v>
      </c>
      <c r="I132" s="6">
        <f t="shared" si="62"/>
        <v>0</v>
      </c>
      <c r="J132" s="21">
        <v>45085</v>
      </c>
      <c r="K132" s="1">
        <v>44.42</v>
      </c>
      <c r="L132" s="1">
        <v>29.445</v>
      </c>
      <c r="M132" s="6">
        <f t="shared" si="66"/>
        <v>-6.267148599256922E-3</v>
      </c>
      <c r="N132" s="21">
        <v>45085</v>
      </c>
      <c r="O132" s="1">
        <v>18.190000000000001</v>
      </c>
      <c r="P132" s="1">
        <v>15.994</v>
      </c>
      <c r="Q132" s="6">
        <f t="shared" si="67"/>
        <v>-5.4657720791698727E-3</v>
      </c>
      <c r="R132" s="21">
        <v>45085</v>
      </c>
      <c r="S132" s="1">
        <v>7.54</v>
      </c>
      <c r="T132" s="1">
        <v>6.6600999999999999</v>
      </c>
      <c r="U132" s="6">
        <f t="shared" si="63"/>
        <v>1.2080965261526355E-2</v>
      </c>
      <c r="V132" s="21">
        <v>45085</v>
      </c>
      <c r="W132" s="1">
        <v>6.72</v>
      </c>
      <c r="X132" s="1">
        <v>5.9610000000000003</v>
      </c>
      <c r="Y132" s="6">
        <f t="shared" si="65"/>
        <v>-1.5075376884421399E-3</v>
      </c>
      <c r="Z132" s="21">
        <v>45085</v>
      </c>
      <c r="AA132" s="1">
        <v>1.72</v>
      </c>
      <c r="AB132" s="1">
        <v>1.72</v>
      </c>
      <c r="AC132" s="6">
        <f t="shared" si="68"/>
        <v>-1.1494252873563204E-2</v>
      </c>
      <c r="AD132" s="21">
        <v>45085</v>
      </c>
      <c r="AE132" s="1">
        <v>7.5</v>
      </c>
      <c r="AF132" s="1">
        <v>6.7835999999999999</v>
      </c>
      <c r="AG132" s="6">
        <f t="shared" si="69"/>
        <v>-2.5974585397372407E-2</v>
      </c>
      <c r="AH132" s="21">
        <v>45085</v>
      </c>
      <c r="AI132" s="1">
        <v>9.77</v>
      </c>
      <c r="AJ132" s="1">
        <v>8.5416000000000007</v>
      </c>
      <c r="AK132" s="6">
        <f t="shared" si="70"/>
        <v>4.1026485005937197E-3</v>
      </c>
      <c r="AL132" s="21">
        <v>45085</v>
      </c>
      <c r="AM132" s="1">
        <v>1.72</v>
      </c>
      <c r="AN132" s="1">
        <v>1.613</v>
      </c>
      <c r="AO132" s="6">
        <v>2.9947002107145071E-2</v>
      </c>
      <c r="AP132" s="21" t="s">
        <v>135</v>
      </c>
      <c r="AQ132" s="1">
        <v>8777.91</v>
      </c>
      <c r="AR132" s="6">
        <v>3.1338459925511764E-4</v>
      </c>
    </row>
    <row r="133" spans="2:44" x14ac:dyDescent="0.35">
      <c r="B133" s="21">
        <v>45086</v>
      </c>
      <c r="C133" s="1">
        <v>0.57999999999999996</v>
      </c>
      <c r="D133" s="1">
        <v>0.57999999999999996</v>
      </c>
      <c r="E133" s="6">
        <f t="shared" si="64"/>
        <v>-1.6949152542372947E-2</v>
      </c>
      <c r="F133" s="21">
        <v>45086</v>
      </c>
      <c r="G133" s="1">
        <v>18.39</v>
      </c>
      <c r="H133" s="1">
        <v>13.806699999999999</v>
      </c>
      <c r="I133" s="6">
        <f t="shared" si="62"/>
        <v>-2.7159191869579047E-3</v>
      </c>
      <c r="J133" s="21">
        <v>45086</v>
      </c>
      <c r="K133" s="1">
        <v>44</v>
      </c>
      <c r="L133" s="1">
        <v>29.166599999999999</v>
      </c>
      <c r="M133" s="6">
        <f t="shared" si="66"/>
        <v>-9.4549159449822673E-3</v>
      </c>
      <c r="N133" s="21">
        <v>45086</v>
      </c>
      <c r="O133" s="1">
        <v>18.100000000000001</v>
      </c>
      <c r="P133" s="1">
        <v>15.914899999999999</v>
      </c>
      <c r="Q133" s="6">
        <f t="shared" si="67"/>
        <v>-4.9456046017256616E-3</v>
      </c>
      <c r="R133" s="21">
        <v>45086</v>
      </c>
      <c r="S133" s="1">
        <v>7.55</v>
      </c>
      <c r="T133" s="1">
        <v>6.6689999999999996</v>
      </c>
      <c r="U133" s="6">
        <f t="shared" si="63"/>
        <v>1.3363162715274157E-3</v>
      </c>
      <c r="V133" s="21">
        <v>45086</v>
      </c>
      <c r="W133" s="1">
        <v>6.71</v>
      </c>
      <c r="X133" s="1">
        <v>5.952</v>
      </c>
      <c r="Y133" s="6">
        <f t="shared" si="65"/>
        <v>-1.5098137896326635E-3</v>
      </c>
      <c r="Z133" s="21">
        <v>45086</v>
      </c>
      <c r="AA133" s="1">
        <v>1.73</v>
      </c>
      <c r="AB133" s="1">
        <v>1.73</v>
      </c>
      <c r="AC133" s="6">
        <f t="shared" si="68"/>
        <v>5.8139534883721034E-3</v>
      </c>
      <c r="AD133" s="21">
        <v>45086</v>
      </c>
      <c r="AE133" s="1">
        <v>7.7</v>
      </c>
      <c r="AF133" s="1">
        <v>6.9645000000000001</v>
      </c>
      <c r="AG133" s="6">
        <f t="shared" si="69"/>
        <v>2.6667256324075739E-2</v>
      </c>
      <c r="AH133" s="21">
        <v>45086</v>
      </c>
      <c r="AI133" s="1">
        <v>9.77</v>
      </c>
      <c r="AJ133" s="1">
        <v>8.5416000000000007</v>
      </c>
      <c r="AK133" s="6">
        <f t="shared" si="70"/>
        <v>0</v>
      </c>
      <c r="AL133" s="21">
        <v>45086</v>
      </c>
      <c r="AM133" s="1">
        <v>1.78</v>
      </c>
      <c r="AN133" s="1">
        <v>1.6693</v>
      </c>
      <c r="AO133" s="6">
        <v>3.4903905765654164E-2</v>
      </c>
      <c r="AP133" s="21" t="s">
        <v>136</v>
      </c>
      <c r="AQ133" s="1">
        <v>8783.5300000000007</v>
      </c>
      <c r="AR133" s="6">
        <v>6.4024352038249965E-4</v>
      </c>
    </row>
    <row r="134" spans="2:44" x14ac:dyDescent="0.35">
      <c r="B134" s="21">
        <v>45089</v>
      </c>
      <c r="C134" s="1">
        <v>0.61</v>
      </c>
      <c r="D134" s="1">
        <v>0.61</v>
      </c>
      <c r="E134" s="6">
        <f t="shared" si="64"/>
        <v>5.1724137931034475E-2</v>
      </c>
      <c r="F134" s="21">
        <v>45089</v>
      </c>
      <c r="G134" s="1">
        <v>18.149999999999999</v>
      </c>
      <c r="H134" s="1">
        <v>13.6265</v>
      </c>
      <c r="I134" s="6">
        <f t="shared" si="62"/>
        <v>-1.3051634351437968E-2</v>
      </c>
      <c r="J134" s="21">
        <v>45089</v>
      </c>
      <c r="K134" s="1">
        <v>43.95</v>
      </c>
      <c r="L134" s="1">
        <v>29.133500000000002</v>
      </c>
      <c r="M134" s="6">
        <f t="shared" si="66"/>
        <v>-1.1348597368221469E-3</v>
      </c>
      <c r="N134" s="21">
        <v>45089</v>
      </c>
      <c r="O134" s="1">
        <v>18</v>
      </c>
      <c r="P134" s="1">
        <v>15.8269</v>
      </c>
      <c r="Q134" s="6">
        <f t="shared" si="67"/>
        <v>-5.5294095470281857E-3</v>
      </c>
      <c r="R134" s="21">
        <v>45089</v>
      </c>
      <c r="S134" s="1">
        <v>7.55</v>
      </c>
      <c r="T134" s="1">
        <v>6.6689999999999996</v>
      </c>
      <c r="U134" s="6">
        <f t="shared" si="63"/>
        <v>0</v>
      </c>
      <c r="V134" s="21">
        <v>45089</v>
      </c>
      <c r="W134" s="1">
        <v>6.71</v>
      </c>
      <c r="X134" s="1">
        <v>5.952</v>
      </c>
      <c r="Y134" s="6">
        <f t="shared" si="65"/>
        <v>0</v>
      </c>
      <c r="Z134" s="21">
        <v>45089</v>
      </c>
      <c r="AA134" s="1">
        <v>1.73</v>
      </c>
      <c r="AB134" s="1">
        <v>1.73</v>
      </c>
      <c r="AC134" s="6">
        <f t="shared" si="68"/>
        <v>0</v>
      </c>
      <c r="AD134" s="21">
        <v>45089</v>
      </c>
      <c r="AE134" s="1">
        <v>7.7</v>
      </c>
      <c r="AF134" s="1">
        <v>6.9645000000000001</v>
      </c>
      <c r="AG134" s="6">
        <f t="shared" si="69"/>
        <v>0</v>
      </c>
      <c r="AH134" s="21">
        <v>45089</v>
      </c>
      <c r="AI134" s="1">
        <v>9.77</v>
      </c>
      <c r="AJ134" s="1">
        <v>8.5416000000000007</v>
      </c>
      <c r="AK134" s="6">
        <f t="shared" si="70"/>
        <v>0</v>
      </c>
      <c r="AL134" s="21">
        <v>45089</v>
      </c>
      <c r="AM134" s="1">
        <v>1.86</v>
      </c>
      <c r="AN134" s="1">
        <v>1.7443</v>
      </c>
      <c r="AO134" s="6">
        <v>4.4929012160785931E-2</v>
      </c>
      <c r="AP134" s="21" t="s">
        <v>137</v>
      </c>
      <c r="AQ134" s="1">
        <v>8797.18</v>
      </c>
      <c r="AR134" s="6">
        <v>1.5540448999433742E-3</v>
      </c>
    </row>
    <row r="135" spans="2:44" x14ac:dyDescent="0.35">
      <c r="B135" s="21">
        <v>45090</v>
      </c>
      <c r="C135" s="1">
        <v>0.62</v>
      </c>
      <c r="D135" s="1">
        <v>0.62</v>
      </c>
      <c r="E135" s="6">
        <f t="shared" si="64"/>
        <v>1.6393442622950838E-2</v>
      </c>
      <c r="F135" s="21">
        <v>45090</v>
      </c>
      <c r="G135" s="1">
        <v>17.690000000000001</v>
      </c>
      <c r="H135" s="1">
        <v>13.2812</v>
      </c>
      <c r="I135" s="6">
        <f t="shared" ref="I135:I198" si="71">(H135/H134)-1</f>
        <v>-2.5340329505008641E-2</v>
      </c>
      <c r="J135" s="21">
        <v>45090</v>
      </c>
      <c r="K135" s="1">
        <v>44.34</v>
      </c>
      <c r="L135" s="1">
        <v>29.391999999999999</v>
      </c>
      <c r="M135" s="6">
        <f t="shared" si="66"/>
        <v>8.8729469511044101E-3</v>
      </c>
      <c r="N135" s="21">
        <v>45090</v>
      </c>
      <c r="O135" s="1">
        <v>17.93</v>
      </c>
      <c r="P135" s="1">
        <v>15.7654</v>
      </c>
      <c r="Q135" s="6">
        <f t="shared" si="67"/>
        <v>-3.8857893838970536E-3</v>
      </c>
      <c r="R135" s="21">
        <v>45090</v>
      </c>
      <c r="S135" s="1">
        <v>7.61</v>
      </c>
      <c r="T135" s="1">
        <v>6.7220000000000004</v>
      </c>
      <c r="U135" s="6">
        <f t="shared" si="63"/>
        <v>7.947218473534301E-3</v>
      </c>
      <c r="V135" s="21">
        <v>45090</v>
      </c>
      <c r="W135" s="1">
        <v>6.69</v>
      </c>
      <c r="X135" s="1">
        <v>5.9340000000000002</v>
      </c>
      <c r="Y135" s="6">
        <f t="shared" si="65"/>
        <v>-3.0241935483870108E-3</v>
      </c>
      <c r="Z135" s="21">
        <v>45090</v>
      </c>
      <c r="AA135" s="1">
        <v>1.78</v>
      </c>
      <c r="AB135" s="1">
        <v>1.78</v>
      </c>
      <c r="AC135" s="6">
        <f t="shared" si="68"/>
        <v>2.8901734104046284E-2</v>
      </c>
      <c r="AD135" s="21">
        <v>45090</v>
      </c>
      <c r="AE135" s="1">
        <v>7.7</v>
      </c>
      <c r="AF135" s="1">
        <v>6.9645000000000001</v>
      </c>
      <c r="AG135" s="6">
        <f t="shared" si="69"/>
        <v>0</v>
      </c>
      <c r="AH135" s="21">
        <v>45090</v>
      </c>
      <c r="AI135" s="1">
        <v>9.83</v>
      </c>
      <c r="AJ135" s="1">
        <v>8.5940999999999992</v>
      </c>
      <c r="AK135" s="6">
        <f t="shared" si="70"/>
        <v>6.1463894352344894E-3</v>
      </c>
      <c r="AL135" s="21">
        <v>45090</v>
      </c>
      <c r="AM135" s="1">
        <v>1.94</v>
      </c>
      <c r="AN135" s="1">
        <v>1.8192999999999999</v>
      </c>
      <c r="AO135" s="6">
        <v>4.299719085019782E-2</v>
      </c>
      <c r="AP135" s="21" t="s">
        <v>138</v>
      </c>
      <c r="AQ135" s="1">
        <v>8822.32</v>
      </c>
      <c r="AR135" s="6">
        <v>2.8577339556539183E-3</v>
      </c>
    </row>
    <row r="136" spans="2:44" x14ac:dyDescent="0.35">
      <c r="B136" s="21">
        <v>45091</v>
      </c>
      <c r="C136" s="1">
        <v>0.64</v>
      </c>
      <c r="D136" s="1">
        <v>0.64</v>
      </c>
      <c r="E136" s="6">
        <f t="shared" si="64"/>
        <v>3.2258064516129004E-2</v>
      </c>
      <c r="F136" s="21">
        <v>45091</v>
      </c>
      <c r="G136" s="1">
        <v>17.8</v>
      </c>
      <c r="H136" s="1">
        <v>13.363799999999999</v>
      </c>
      <c r="I136" s="6">
        <f t="shared" si="71"/>
        <v>6.2193175315483629E-3</v>
      </c>
      <c r="J136" s="21">
        <v>45091</v>
      </c>
      <c r="K136" s="1">
        <v>44.34</v>
      </c>
      <c r="L136" s="1">
        <v>29.391999999999999</v>
      </c>
      <c r="M136" s="6">
        <f t="shared" si="66"/>
        <v>0</v>
      </c>
      <c r="N136" s="21">
        <v>45091</v>
      </c>
      <c r="O136" s="1">
        <v>17.89</v>
      </c>
      <c r="P136" s="1">
        <v>15.7302</v>
      </c>
      <c r="Q136" s="6">
        <f t="shared" si="67"/>
        <v>-2.2327375137960459E-3</v>
      </c>
      <c r="R136" s="21">
        <v>45091</v>
      </c>
      <c r="S136" s="1">
        <v>7.6</v>
      </c>
      <c r="T136" s="1">
        <v>6.7130999999999998</v>
      </c>
      <c r="U136" s="6">
        <f t="shared" si="63"/>
        <v>-1.3240107110980004E-3</v>
      </c>
      <c r="V136" s="21">
        <v>45091</v>
      </c>
      <c r="W136" s="1">
        <v>6.71</v>
      </c>
      <c r="X136" s="1">
        <v>5.952</v>
      </c>
      <c r="Y136" s="6">
        <f t="shared" si="65"/>
        <v>3.0333670374114163E-3</v>
      </c>
      <c r="Z136" s="21">
        <v>45091</v>
      </c>
      <c r="AA136" s="1">
        <v>1.8</v>
      </c>
      <c r="AB136" s="1">
        <v>1.8</v>
      </c>
      <c r="AC136" s="6">
        <f t="shared" si="68"/>
        <v>1.1235955056179803E-2</v>
      </c>
      <c r="AD136" s="21">
        <v>45091</v>
      </c>
      <c r="AE136" s="1">
        <v>7.5</v>
      </c>
      <c r="AF136" s="1">
        <v>6.7835999999999999</v>
      </c>
      <c r="AG136" s="6">
        <f t="shared" si="69"/>
        <v>-2.5974585397372407E-2</v>
      </c>
      <c r="AH136" s="21">
        <v>45091</v>
      </c>
      <c r="AI136" s="1">
        <v>9.7799999999999994</v>
      </c>
      <c r="AJ136" s="1">
        <v>8.5503999999999998</v>
      </c>
      <c r="AK136" s="6">
        <f t="shared" si="70"/>
        <v>-5.0848838156408727E-3</v>
      </c>
      <c r="AL136" s="21">
        <v>45091</v>
      </c>
      <c r="AM136" s="1">
        <v>1.95</v>
      </c>
      <c r="AN136" s="1">
        <v>1.8287</v>
      </c>
      <c r="AO136" s="6">
        <v>5.1668224042213939E-3</v>
      </c>
      <c r="AP136" s="21" t="s">
        <v>139</v>
      </c>
      <c r="AQ136" s="1">
        <v>8818.4599999999991</v>
      </c>
      <c r="AR136" s="6">
        <v>-4.3752663698448657E-4</v>
      </c>
    </row>
    <row r="137" spans="2:44" x14ac:dyDescent="0.35">
      <c r="B137" s="21">
        <v>45092</v>
      </c>
      <c r="C137" s="1">
        <v>0.61</v>
      </c>
      <c r="D137" s="1">
        <v>0.61</v>
      </c>
      <c r="E137" s="6">
        <f t="shared" si="64"/>
        <v>-4.6875E-2</v>
      </c>
      <c r="F137" s="21">
        <v>45092</v>
      </c>
      <c r="G137" s="1">
        <v>17.78</v>
      </c>
      <c r="H137" s="1">
        <v>13.348699999999999</v>
      </c>
      <c r="I137" s="6">
        <f t="shared" si="71"/>
        <v>-1.1299181370568734E-3</v>
      </c>
      <c r="J137" s="21">
        <v>45092</v>
      </c>
      <c r="K137" s="1">
        <v>44.38</v>
      </c>
      <c r="L137" s="1">
        <v>29.418500000000002</v>
      </c>
      <c r="M137" s="6">
        <f t="shared" si="66"/>
        <v>9.0160587915089074E-4</v>
      </c>
      <c r="N137" s="21">
        <v>45092</v>
      </c>
      <c r="O137" s="1">
        <v>17.8</v>
      </c>
      <c r="P137" s="1">
        <v>15.6511</v>
      </c>
      <c r="Q137" s="6">
        <f t="shared" si="67"/>
        <v>-5.0285438201675969E-3</v>
      </c>
      <c r="R137" s="21">
        <v>45092</v>
      </c>
      <c r="S137" s="1">
        <v>7.66</v>
      </c>
      <c r="T137" s="1">
        <v>6.7660999999999998</v>
      </c>
      <c r="U137" s="6">
        <f t="shared" ref="U137:U200" si="72">(T137/T136)-1</f>
        <v>7.8950112466669164E-3</v>
      </c>
      <c r="V137" s="21">
        <v>45092</v>
      </c>
      <c r="W137" s="1">
        <v>6.72</v>
      </c>
      <c r="X137" s="1">
        <v>5.9610000000000003</v>
      </c>
      <c r="Y137" s="6">
        <f t="shared" si="65"/>
        <v>1.5120967741935054E-3</v>
      </c>
      <c r="Z137" s="21">
        <v>45092</v>
      </c>
      <c r="AA137" s="1">
        <v>1.86</v>
      </c>
      <c r="AB137" s="1">
        <v>1.86</v>
      </c>
      <c r="AC137" s="6">
        <f t="shared" si="68"/>
        <v>3.3333333333333437E-2</v>
      </c>
      <c r="AD137" s="21">
        <v>45092</v>
      </c>
      <c r="AE137" s="1">
        <v>7.69</v>
      </c>
      <c r="AF137" s="1">
        <v>6.9554</v>
      </c>
      <c r="AG137" s="6">
        <f t="shared" si="69"/>
        <v>2.532578571849764E-2</v>
      </c>
      <c r="AH137" s="21">
        <v>45092</v>
      </c>
      <c r="AI137" s="1">
        <v>9.77</v>
      </c>
      <c r="AJ137" s="1">
        <v>8.5416000000000007</v>
      </c>
      <c r="AK137" s="6">
        <f t="shared" si="70"/>
        <v>-1.0291916167664006E-3</v>
      </c>
      <c r="AL137" s="21">
        <v>45092</v>
      </c>
      <c r="AM137" s="1">
        <v>1.99</v>
      </c>
      <c r="AN137" s="1">
        <v>1.8662000000000001</v>
      </c>
      <c r="AO137" s="6">
        <v>2.0506370645813954E-2</v>
      </c>
      <c r="AP137" s="21" t="s">
        <v>140</v>
      </c>
      <c r="AQ137" s="1">
        <v>8814.7000000000007</v>
      </c>
      <c r="AR137" s="6">
        <v>-4.2637830188019255E-4</v>
      </c>
    </row>
    <row r="138" spans="2:44" x14ac:dyDescent="0.35">
      <c r="B138" s="21">
        <v>45093</v>
      </c>
      <c r="C138" s="1">
        <v>0.63</v>
      </c>
      <c r="D138" s="1">
        <v>0.63</v>
      </c>
      <c r="E138" s="6">
        <f t="shared" si="64"/>
        <v>3.2786885245901676E-2</v>
      </c>
      <c r="F138" s="21">
        <v>45093</v>
      </c>
      <c r="G138" s="1">
        <v>17.7</v>
      </c>
      <c r="H138" s="1">
        <v>13.2887</v>
      </c>
      <c r="I138" s="6">
        <f t="shared" si="71"/>
        <v>-4.494819720272325E-3</v>
      </c>
      <c r="J138" s="21">
        <v>45093</v>
      </c>
      <c r="K138" s="1">
        <v>44.64</v>
      </c>
      <c r="L138" s="1">
        <v>29.590900000000001</v>
      </c>
      <c r="M138" s="6">
        <f t="shared" si="66"/>
        <v>5.8602580009177174E-3</v>
      </c>
      <c r="N138" s="21">
        <v>45093</v>
      </c>
      <c r="O138" s="1">
        <v>17.5</v>
      </c>
      <c r="P138" s="1">
        <v>15.3873</v>
      </c>
      <c r="Q138" s="6">
        <f t="shared" si="67"/>
        <v>-1.6855045332276997E-2</v>
      </c>
      <c r="R138" s="21">
        <v>45093</v>
      </c>
      <c r="S138" s="1">
        <v>7.66</v>
      </c>
      <c r="T138" s="1">
        <v>6.7660999999999998</v>
      </c>
      <c r="U138" s="6">
        <f t="shared" si="72"/>
        <v>0</v>
      </c>
      <c r="V138" s="21">
        <v>45093</v>
      </c>
      <c r="W138" s="1">
        <v>6.72</v>
      </c>
      <c r="X138" s="1">
        <v>5.9610000000000003</v>
      </c>
      <c r="Y138" s="6">
        <f t="shared" si="65"/>
        <v>0</v>
      </c>
      <c r="Z138" s="21">
        <v>45093</v>
      </c>
      <c r="AA138" s="1">
        <v>1.9</v>
      </c>
      <c r="AB138" s="1">
        <v>1.9</v>
      </c>
      <c r="AC138" s="6">
        <f t="shared" si="68"/>
        <v>2.1505376344086002E-2</v>
      </c>
      <c r="AD138" s="21">
        <v>45093</v>
      </c>
      <c r="AE138" s="1">
        <v>7.5</v>
      </c>
      <c r="AF138" s="1">
        <v>6.7835999999999999</v>
      </c>
      <c r="AG138" s="6">
        <f t="shared" si="69"/>
        <v>-2.4700232912557185E-2</v>
      </c>
      <c r="AH138" s="21">
        <v>45093</v>
      </c>
      <c r="AI138" s="1">
        <v>9.84</v>
      </c>
      <c r="AJ138" s="1">
        <v>8.6028000000000002</v>
      </c>
      <c r="AK138" s="6">
        <f t="shared" si="70"/>
        <v>7.1649339702162251E-3</v>
      </c>
      <c r="AL138" s="21">
        <v>45093</v>
      </c>
      <c r="AM138" s="1">
        <v>2</v>
      </c>
      <c r="AN138" s="1">
        <v>1.8755999999999999</v>
      </c>
      <c r="AO138" s="6">
        <v>5.036973529096489E-3</v>
      </c>
      <c r="AP138" s="21" t="s">
        <v>141</v>
      </c>
      <c r="AQ138" s="1">
        <v>8816.27</v>
      </c>
      <c r="AR138" s="6">
        <v>1.7811156363789493E-4</v>
      </c>
    </row>
    <row r="139" spans="2:44" x14ac:dyDescent="0.35">
      <c r="B139" s="21">
        <v>45096</v>
      </c>
      <c r="C139" s="1">
        <v>0.64</v>
      </c>
      <c r="D139" s="1">
        <v>0.64</v>
      </c>
      <c r="E139" s="6">
        <f t="shared" si="64"/>
        <v>1.5873015873015817E-2</v>
      </c>
      <c r="F139" s="21">
        <v>45096</v>
      </c>
      <c r="G139" s="1">
        <v>17.350000000000001</v>
      </c>
      <c r="H139" s="1">
        <v>13.0259</v>
      </c>
      <c r="I139" s="6">
        <f t="shared" si="71"/>
        <v>-1.977620083228615E-2</v>
      </c>
      <c r="J139" s="21">
        <v>45096</v>
      </c>
      <c r="K139" s="1">
        <v>44.07</v>
      </c>
      <c r="L139" s="1">
        <v>29.213000000000001</v>
      </c>
      <c r="M139" s="6">
        <f t="shared" si="66"/>
        <v>-1.2770818055550914E-2</v>
      </c>
      <c r="N139" s="21">
        <v>45096</v>
      </c>
      <c r="O139" s="1">
        <v>17.399999999999999</v>
      </c>
      <c r="P139" s="1">
        <v>15.2994</v>
      </c>
      <c r="Q139" s="6">
        <f t="shared" si="67"/>
        <v>-5.7125031681971583E-3</v>
      </c>
      <c r="R139" s="21">
        <v>45096</v>
      </c>
      <c r="S139" s="1">
        <v>7.64</v>
      </c>
      <c r="T139" s="1">
        <v>6.7484999999999999</v>
      </c>
      <c r="U139" s="6">
        <f t="shared" si="72"/>
        <v>-2.6012030564135369E-3</v>
      </c>
      <c r="V139" s="21">
        <v>45096</v>
      </c>
      <c r="W139" s="1">
        <v>6.7</v>
      </c>
      <c r="X139" s="1">
        <v>5.9429999999999996</v>
      </c>
      <c r="Y139" s="6">
        <f t="shared" si="65"/>
        <v>-3.0196275792653271E-3</v>
      </c>
      <c r="Z139" s="21">
        <v>45096</v>
      </c>
      <c r="AA139" s="1">
        <v>1.88</v>
      </c>
      <c r="AB139" s="1">
        <v>1.88</v>
      </c>
      <c r="AC139" s="6">
        <f t="shared" si="68"/>
        <v>-1.0526315789473717E-2</v>
      </c>
      <c r="AD139" s="21">
        <v>45096</v>
      </c>
      <c r="AE139" s="1">
        <v>7.15</v>
      </c>
      <c r="AF139" s="1">
        <v>6.4669999999999996</v>
      </c>
      <c r="AG139" s="6">
        <f t="shared" si="69"/>
        <v>-4.6671383925939058E-2</v>
      </c>
      <c r="AH139" s="21">
        <v>45096</v>
      </c>
      <c r="AI139" s="1">
        <v>9.8000000000000007</v>
      </c>
      <c r="AJ139" s="1">
        <v>8.5678999999999998</v>
      </c>
      <c r="AK139" s="6">
        <f t="shared" si="70"/>
        <v>-4.0568187101873709E-3</v>
      </c>
      <c r="AL139" s="21">
        <v>45096</v>
      </c>
      <c r="AM139" s="1">
        <v>1.91</v>
      </c>
      <c r="AN139" s="1">
        <v>1.7911999999999999</v>
      </c>
      <c r="AO139" s="6">
        <v>-4.499893367455754E-2</v>
      </c>
      <c r="AP139" s="21" t="s">
        <v>142</v>
      </c>
      <c r="AQ139" s="1">
        <v>8781.81</v>
      </c>
      <c r="AR139" s="6">
        <v>-3.9086824700242939E-3</v>
      </c>
    </row>
    <row r="140" spans="2:44" x14ac:dyDescent="0.35">
      <c r="B140" s="21">
        <v>45097</v>
      </c>
      <c r="C140" s="1">
        <v>0.61</v>
      </c>
      <c r="D140" s="1">
        <v>0.61</v>
      </c>
      <c r="E140" s="6">
        <f t="shared" si="64"/>
        <v>-4.6875E-2</v>
      </c>
      <c r="F140" s="21">
        <v>45097</v>
      </c>
      <c r="G140" s="1">
        <v>17</v>
      </c>
      <c r="H140" s="1">
        <v>12.7631</v>
      </c>
      <c r="I140" s="6">
        <f t="shared" si="71"/>
        <v>-2.0175189430288953E-2</v>
      </c>
      <c r="J140" s="21">
        <v>45097</v>
      </c>
      <c r="K140" s="1">
        <v>44.97</v>
      </c>
      <c r="L140" s="1">
        <v>29.8096</v>
      </c>
      <c r="M140" s="6">
        <f t="shared" si="66"/>
        <v>2.042241467839645E-2</v>
      </c>
      <c r="N140" s="21">
        <v>45097</v>
      </c>
      <c r="O140" s="1">
        <v>17.02</v>
      </c>
      <c r="P140" s="1">
        <v>14.965199999999999</v>
      </c>
      <c r="Q140" s="6">
        <f t="shared" si="67"/>
        <v>-2.1843993882113111E-2</v>
      </c>
      <c r="R140" s="21">
        <v>45097</v>
      </c>
      <c r="S140" s="1">
        <v>7.7</v>
      </c>
      <c r="T140" s="1">
        <v>6.8014999999999999</v>
      </c>
      <c r="U140" s="6">
        <f t="shared" si="72"/>
        <v>7.8535970956508105E-3</v>
      </c>
      <c r="V140" s="21">
        <v>45097</v>
      </c>
      <c r="W140" s="1">
        <v>6.7</v>
      </c>
      <c r="X140" s="1">
        <v>5.9429999999999996</v>
      </c>
      <c r="Y140" s="6">
        <f t="shared" si="65"/>
        <v>0</v>
      </c>
      <c r="Z140" s="21">
        <v>45097</v>
      </c>
      <c r="AA140" s="1">
        <v>1.9</v>
      </c>
      <c r="AB140" s="1">
        <v>1.9</v>
      </c>
      <c r="AC140" s="6">
        <f t="shared" si="68"/>
        <v>1.0638297872340496E-2</v>
      </c>
      <c r="AD140" s="21">
        <v>45097</v>
      </c>
      <c r="AE140" s="1">
        <v>7.34</v>
      </c>
      <c r="AF140" s="1">
        <v>6.6388999999999996</v>
      </c>
      <c r="AG140" s="6">
        <f t="shared" si="69"/>
        <v>2.6581104066800698E-2</v>
      </c>
      <c r="AH140" s="21">
        <v>45097</v>
      </c>
      <c r="AI140" s="1">
        <v>9.8800000000000008</v>
      </c>
      <c r="AJ140" s="1">
        <v>8.6378000000000004</v>
      </c>
      <c r="AK140" s="6">
        <f t="shared" si="70"/>
        <v>8.1583585242592793E-3</v>
      </c>
      <c r="AL140" s="21">
        <v>45097</v>
      </c>
      <c r="AM140" s="1">
        <v>1.91</v>
      </c>
      <c r="AN140" s="1">
        <v>1.7911999999999999</v>
      </c>
      <c r="AO140" s="6">
        <v>0</v>
      </c>
      <c r="AP140" s="21" t="s">
        <v>143</v>
      </c>
      <c r="AQ140" s="1">
        <v>8867.9699999999993</v>
      </c>
      <c r="AR140" s="6">
        <v>9.8111892650831756E-3</v>
      </c>
    </row>
    <row r="141" spans="2:44" x14ac:dyDescent="0.35">
      <c r="B141" s="21">
        <v>45098</v>
      </c>
      <c r="C141" s="1">
        <v>0.6</v>
      </c>
      <c r="D141" s="1">
        <v>0.6</v>
      </c>
      <c r="E141" s="6">
        <f t="shared" si="64"/>
        <v>-1.6393442622950838E-2</v>
      </c>
      <c r="F141" s="21">
        <v>45098</v>
      </c>
      <c r="G141" s="1">
        <v>17.649999999999999</v>
      </c>
      <c r="H141" s="1">
        <v>13.251099999999999</v>
      </c>
      <c r="I141" s="6">
        <f t="shared" si="71"/>
        <v>3.8235224984525695E-2</v>
      </c>
      <c r="J141" s="21">
        <v>45098</v>
      </c>
      <c r="K141" s="1">
        <v>46.39</v>
      </c>
      <c r="L141" s="1">
        <v>30.750900000000001</v>
      </c>
      <c r="M141" s="6">
        <f t="shared" si="66"/>
        <v>3.1577075841339841E-2</v>
      </c>
      <c r="N141" s="21">
        <v>45098</v>
      </c>
      <c r="O141" s="1">
        <v>16.850000000000001</v>
      </c>
      <c r="P141" s="1">
        <v>14.815799999999999</v>
      </c>
      <c r="Q141" s="6">
        <f t="shared" si="67"/>
        <v>-9.9831609333653759E-3</v>
      </c>
      <c r="R141" s="21">
        <v>45098</v>
      </c>
      <c r="S141" s="1">
        <v>7.9</v>
      </c>
      <c r="T141" s="1">
        <v>6.9781000000000004</v>
      </c>
      <c r="U141" s="6">
        <f t="shared" si="72"/>
        <v>2.5964860692494485E-2</v>
      </c>
      <c r="V141" s="21">
        <v>45098</v>
      </c>
      <c r="W141" s="1">
        <v>6.68</v>
      </c>
      <c r="X141" s="1">
        <v>5.9249999999999998</v>
      </c>
      <c r="Y141" s="6">
        <f t="shared" si="65"/>
        <v>-3.0287733467945221E-3</v>
      </c>
      <c r="Z141" s="21">
        <v>45098</v>
      </c>
      <c r="AA141" s="1">
        <v>1.92</v>
      </c>
      <c r="AB141" s="1">
        <v>1.92</v>
      </c>
      <c r="AC141" s="6">
        <f t="shared" si="68"/>
        <v>1.0526315789473717E-2</v>
      </c>
      <c r="AD141" s="21">
        <v>45098</v>
      </c>
      <c r="AE141" s="1">
        <v>7.65</v>
      </c>
      <c r="AF141" s="1">
        <v>6.9192</v>
      </c>
      <c r="AG141" s="6">
        <f t="shared" si="69"/>
        <v>4.2220849839581964E-2</v>
      </c>
      <c r="AH141" s="21">
        <v>45098</v>
      </c>
      <c r="AI141" s="1">
        <v>9.85</v>
      </c>
      <c r="AJ141" s="1">
        <v>8.6115999999999993</v>
      </c>
      <c r="AK141" s="6">
        <f t="shared" si="70"/>
        <v>-3.033179744842518E-3</v>
      </c>
      <c r="AL141" s="21">
        <v>45098</v>
      </c>
      <c r="AM141" s="1">
        <v>1.94</v>
      </c>
      <c r="AN141" s="1">
        <v>1.8192999999999999</v>
      </c>
      <c r="AO141" s="6">
        <v>1.5687807056721681E-2</v>
      </c>
      <c r="AP141" s="21" t="s">
        <v>144</v>
      </c>
      <c r="AQ141" s="1">
        <v>8894.49</v>
      </c>
      <c r="AR141" s="6">
        <v>2.9905378570294072E-3</v>
      </c>
    </row>
    <row r="142" spans="2:44" x14ac:dyDescent="0.35">
      <c r="B142" s="21">
        <v>45099</v>
      </c>
      <c r="C142" s="1">
        <v>0.61</v>
      </c>
      <c r="D142" s="1">
        <v>0.61</v>
      </c>
      <c r="E142" s="6">
        <f t="shared" si="64"/>
        <v>1.6666666666666607E-2</v>
      </c>
      <c r="F142" s="21">
        <v>45099</v>
      </c>
      <c r="G142" s="1">
        <v>17.149999999999999</v>
      </c>
      <c r="H142" s="1">
        <v>12.8758</v>
      </c>
      <c r="I142" s="6">
        <f t="shared" si="71"/>
        <v>-2.8322177026812834E-2</v>
      </c>
      <c r="J142" s="21">
        <v>45099</v>
      </c>
      <c r="K142" s="1">
        <v>46</v>
      </c>
      <c r="L142" s="1">
        <v>30.4924</v>
      </c>
      <c r="M142" s="6">
        <f t="shared" si="66"/>
        <v>-8.4062580282203703E-3</v>
      </c>
      <c r="N142" s="21">
        <v>45099</v>
      </c>
      <c r="O142" s="1">
        <v>17.3</v>
      </c>
      <c r="P142" s="1">
        <v>15.211399999999999</v>
      </c>
      <c r="Q142" s="6">
        <f t="shared" si="67"/>
        <v>2.6701224368579579E-2</v>
      </c>
      <c r="R142" s="21">
        <v>45099</v>
      </c>
      <c r="S142" s="1">
        <v>7.91</v>
      </c>
      <c r="T142" s="1">
        <v>6.9870000000000001</v>
      </c>
      <c r="U142" s="6">
        <f t="shared" si="72"/>
        <v>1.2754188102779285E-3</v>
      </c>
      <c r="V142" s="21">
        <v>45099</v>
      </c>
      <c r="W142" s="1">
        <v>6.69</v>
      </c>
      <c r="X142" s="1">
        <v>5.9340000000000002</v>
      </c>
      <c r="Y142" s="6">
        <f t="shared" si="65"/>
        <v>1.5189873417722488E-3</v>
      </c>
      <c r="Z142" s="21">
        <v>45099</v>
      </c>
      <c r="AA142" s="1">
        <v>1.93</v>
      </c>
      <c r="AB142" s="1">
        <v>1.93</v>
      </c>
      <c r="AC142" s="6">
        <f t="shared" si="68"/>
        <v>5.2083333333332593E-3</v>
      </c>
      <c r="AD142" s="21">
        <v>45099</v>
      </c>
      <c r="AE142" s="1">
        <v>7.65</v>
      </c>
      <c r="AF142" s="1">
        <v>6.9192</v>
      </c>
      <c r="AG142" s="6">
        <f t="shared" si="69"/>
        <v>0</v>
      </c>
      <c r="AH142" s="21">
        <v>45099</v>
      </c>
      <c r="AI142" s="1">
        <v>9.8800000000000008</v>
      </c>
      <c r="AJ142" s="1">
        <v>8.6378000000000004</v>
      </c>
      <c r="AK142" s="6">
        <f t="shared" si="70"/>
        <v>3.0424079149056205E-3</v>
      </c>
      <c r="AL142" s="21">
        <v>45099</v>
      </c>
      <c r="AM142" s="1">
        <v>1.86</v>
      </c>
      <c r="AN142" s="1">
        <v>1.7443</v>
      </c>
      <c r="AO142" s="6">
        <v>-4.122464684219207E-2</v>
      </c>
      <c r="AP142" s="21" t="s">
        <v>145</v>
      </c>
      <c r="AQ142" s="1">
        <v>8905.08</v>
      </c>
      <c r="AR142" s="6">
        <v>1.1906247575745876E-3</v>
      </c>
    </row>
    <row r="143" spans="2:44" x14ac:dyDescent="0.35">
      <c r="B143" s="21">
        <v>45100</v>
      </c>
      <c r="C143" s="1">
        <v>0.6</v>
      </c>
      <c r="D143" s="1">
        <v>0.6</v>
      </c>
      <c r="E143" s="6">
        <f t="shared" si="64"/>
        <v>-1.6393442622950838E-2</v>
      </c>
      <c r="F143" s="21">
        <v>45100</v>
      </c>
      <c r="G143" s="1">
        <v>17.489999999999998</v>
      </c>
      <c r="H143" s="1">
        <v>13.131</v>
      </c>
      <c r="I143" s="6">
        <f t="shared" si="71"/>
        <v>1.9820127681386746E-2</v>
      </c>
      <c r="J143" s="21">
        <v>45100</v>
      </c>
      <c r="K143" s="1">
        <v>46</v>
      </c>
      <c r="L143" s="1">
        <v>30.4924</v>
      </c>
      <c r="M143" s="6">
        <f t="shared" si="66"/>
        <v>0</v>
      </c>
      <c r="N143" s="21">
        <v>45100</v>
      </c>
      <c r="O143" s="1">
        <v>17.2</v>
      </c>
      <c r="P143" s="1">
        <v>15.1235</v>
      </c>
      <c r="Q143" s="6">
        <f t="shared" si="67"/>
        <v>-5.7785608162298496E-3</v>
      </c>
      <c r="R143" s="21">
        <v>45100</v>
      </c>
      <c r="S143" s="1">
        <v>7.9</v>
      </c>
      <c r="T143" s="1">
        <v>6.9781000000000004</v>
      </c>
      <c r="U143" s="6">
        <f t="shared" si="72"/>
        <v>-1.273794189208477E-3</v>
      </c>
      <c r="V143" s="21">
        <v>45100</v>
      </c>
      <c r="W143" s="1">
        <v>6.7</v>
      </c>
      <c r="X143" s="1">
        <v>5.9429999999999996</v>
      </c>
      <c r="Y143" s="6">
        <f t="shared" si="65"/>
        <v>1.5166835187057082E-3</v>
      </c>
      <c r="Z143" s="21">
        <v>45100</v>
      </c>
      <c r="AA143" s="1">
        <v>1.96</v>
      </c>
      <c r="AB143" s="1">
        <v>1.96</v>
      </c>
      <c r="AC143" s="6">
        <f t="shared" si="68"/>
        <v>1.5544041450777257E-2</v>
      </c>
      <c r="AD143" s="21">
        <v>45100</v>
      </c>
      <c r="AE143" s="1">
        <v>7.6</v>
      </c>
      <c r="AF143" s="1">
        <v>6.8739999999999997</v>
      </c>
      <c r="AG143" s="6">
        <f t="shared" si="69"/>
        <v>-6.5325471152735126E-3</v>
      </c>
      <c r="AH143" s="21">
        <v>45100</v>
      </c>
      <c r="AI143" s="1">
        <v>9.85</v>
      </c>
      <c r="AJ143" s="1">
        <v>8.6115999999999993</v>
      </c>
      <c r="AK143" s="6">
        <f t="shared" si="70"/>
        <v>-3.033179744842518E-3</v>
      </c>
      <c r="AL143" s="21">
        <v>45100</v>
      </c>
      <c r="AM143" s="1">
        <v>1.93</v>
      </c>
      <c r="AN143" s="1">
        <v>1.81</v>
      </c>
      <c r="AO143" s="6">
        <v>3.7665539184773333E-2</v>
      </c>
      <c r="AP143" s="21" t="s">
        <v>146</v>
      </c>
      <c r="AQ143" s="1">
        <v>8925.27</v>
      </c>
      <c r="AR143" s="6">
        <v>2.2672452128449372E-3</v>
      </c>
    </row>
    <row r="144" spans="2:44" x14ac:dyDescent="0.35">
      <c r="B144" s="21">
        <v>45103</v>
      </c>
      <c r="C144" s="1">
        <v>0.57999999999999996</v>
      </c>
      <c r="D144" s="1">
        <v>0.57999999999999996</v>
      </c>
      <c r="E144" s="6">
        <f t="shared" si="64"/>
        <v>-3.3333333333333326E-2</v>
      </c>
      <c r="F144" s="21">
        <v>45103</v>
      </c>
      <c r="G144" s="1">
        <v>17.600000000000001</v>
      </c>
      <c r="H144" s="1">
        <v>13.2136</v>
      </c>
      <c r="I144" s="6">
        <f t="shared" si="71"/>
        <v>6.2904576955296054E-3</v>
      </c>
      <c r="J144" s="21">
        <v>45103</v>
      </c>
      <c r="K144" s="1">
        <v>46.45</v>
      </c>
      <c r="L144" s="1">
        <v>30.790700000000001</v>
      </c>
      <c r="M144" s="6">
        <f t="shared" si="66"/>
        <v>9.7827655415776427E-3</v>
      </c>
      <c r="N144" s="21">
        <v>45103</v>
      </c>
      <c r="O144" s="1">
        <v>17.2</v>
      </c>
      <c r="P144" s="1">
        <v>15.1235</v>
      </c>
      <c r="Q144" s="6">
        <f t="shared" si="67"/>
        <v>0</v>
      </c>
      <c r="R144" s="21">
        <v>45103</v>
      </c>
      <c r="S144" s="1">
        <v>7.9</v>
      </c>
      <c r="T144" s="1">
        <v>6.9781000000000004</v>
      </c>
      <c r="U144" s="6">
        <f t="shared" si="72"/>
        <v>0</v>
      </c>
      <c r="V144" s="21">
        <v>45103</v>
      </c>
      <c r="W144" s="1">
        <v>6.69</v>
      </c>
      <c r="X144" s="1">
        <v>5.9340000000000002</v>
      </c>
      <c r="Y144" s="6">
        <f t="shared" si="65"/>
        <v>-1.5143866733972056E-3</v>
      </c>
      <c r="Z144" s="21">
        <v>45103</v>
      </c>
      <c r="AA144" s="1">
        <v>2.0099999999999998</v>
      </c>
      <c r="AB144" s="1">
        <v>2.0099999999999998</v>
      </c>
      <c r="AC144" s="6">
        <f t="shared" si="68"/>
        <v>2.5510204081632626E-2</v>
      </c>
      <c r="AD144" s="21">
        <v>45103</v>
      </c>
      <c r="AE144" s="1">
        <v>7.34</v>
      </c>
      <c r="AF144" s="1">
        <v>6.6388999999999996</v>
      </c>
      <c r="AG144" s="6">
        <f t="shared" si="69"/>
        <v>-3.4201338376491086E-2</v>
      </c>
      <c r="AH144" s="21">
        <v>45103</v>
      </c>
      <c r="AI144" s="1">
        <v>9.89</v>
      </c>
      <c r="AJ144" s="1">
        <v>8.6464999999999996</v>
      </c>
      <c r="AK144" s="6">
        <f t="shared" si="70"/>
        <v>4.0526731385572834E-3</v>
      </c>
      <c r="AL144" s="21">
        <v>45103</v>
      </c>
      <c r="AM144" s="1">
        <v>1.93</v>
      </c>
      <c r="AN144" s="1">
        <v>1.81</v>
      </c>
      <c r="AO144" s="6">
        <v>0</v>
      </c>
      <c r="AP144" s="21" t="s">
        <v>147</v>
      </c>
      <c r="AQ144" s="1">
        <v>8910.7800000000007</v>
      </c>
      <c r="AR144" s="6">
        <v>-1.6234802980750196E-3</v>
      </c>
    </row>
    <row r="145" spans="2:44" x14ac:dyDescent="0.35">
      <c r="B145" s="21">
        <v>45104</v>
      </c>
      <c r="C145" s="1">
        <v>0.56999999999999995</v>
      </c>
      <c r="D145" s="1">
        <v>0.56999999999999995</v>
      </c>
      <c r="E145" s="6">
        <f t="shared" ref="E145:E208" si="73">(D145/D144)-1</f>
        <v>-1.7241379310344862E-2</v>
      </c>
      <c r="F145" s="21">
        <v>45104</v>
      </c>
      <c r="G145" s="1">
        <v>17.5</v>
      </c>
      <c r="H145" s="1">
        <v>13.138500000000001</v>
      </c>
      <c r="I145" s="6">
        <f t="shared" si="71"/>
        <v>-5.6835381727915468E-3</v>
      </c>
      <c r="J145" s="21">
        <v>45104</v>
      </c>
      <c r="K145" s="1">
        <v>46.49</v>
      </c>
      <c r="L145" s="1">
        <v>30.8172</v>
      </c>
      <c r="M145" s="6">
        <f t="shared" si="66"/>
        <v>8.6064948182396073E-4</v>
      </c>
      <c r="N145" s="21">
        <v>45104</v>
      </c>
      <c r="O145" s="1">
        <v>17.39</v>
      </c>
      <c r="P145" s="1">
        <v>15.2906</v>
      </c>
      <c r="Q145" s="6">
        <f t="shared" si="67"/>
        <v>1.1049029655833653E-2</v>
      </c>
      <c r="R145" s="21">
        <v>45104</v>
      </c>
      <c r="S145" s="1">
        <v>7.9</v>
      </c>
      <c r="T145" s="1">
        <v>6.9781000000000004</v>
      </c>
      <c r="U145" s="6">
        <f t="shared" si="72"/>
        <v>0</v>
      </c>
      <c r="V145" s="21">
        <v>45104</v>
      </c>
      <c r="W145" s="1">
        <v>6.68</v>
      </c>
      <c r="X145" s="1">
        <v>5.9249999999999998</v>
      </c>
      <c r="Y145" s="6">
        <f t="shared" si="65"/>
        <v>-1.5166835187058192E-3</v>
      </c>
      <c r="Z145" s="21">
        <v>45104</v>
      </c>
      <c r="AA145" s="1">
        <v>2.02</v>
      </c>
      <c r="AB145" s="1">
        <v>2.02</v>
      </c>
      <c r="AC145" s="6">
        <f t="shared" si="68"/>
        <v>4.9751243781095411E-3</v>
      </c>
      <c r="AD145" s="21">
        <v>45104</v>
      </c>
      <c r="AE145" s="1">
        <v>7.64</v>
      </c>
      <c r="AF145" s="1">
        <v>6.9101999999999997</v>
      </c>
      <c r="AG145" s="6">
        <f t="shared" si="69"/>
        <v>4.0865203572881148E-2</v>
      </c>
      <c r="AH145" s="21">
        <v>45104</v>
      </c>
      <c r="AI145" s="1">
        <v>9.9</v>
      </c>
      <c r="AJ145" s="1">
        <v>8.6553000000000004</v>
      </c>
      <c r="AK145" s="6">
        <f t="shared" si="70"/>
        <v>1.0177528479733411E-3</v>
      </c>
      <c r="AL145" s="21">
        <v>45104</v>
      </c>
      <c r="AM145" s="1">
        <v>1.93</v>
      </c>
      <c r="AN145" s="1">
        <v>1.81</v>
      </c>
      <c r="AO145" s="6">
        <v>0</v>
      </c>
      <c r="AP145" s="21" t="s">
        <v>148</v>
      </c>
      <c r="AQ145" s="1">
        <v>8926.14</v>
      </c>
      <c r="AR145" s="6">
        <v>1.7237548228099531E-3</v>
      </c>
    </row>
    <row r="146" spans="2:44" x14ac:dyDescent="0.35">
      <c r="B146" s="21">
        <v>45107</v>
      </c>
      <c r="C146" s="1">
        <v>0.57999999999999996</v>
      </c>
      <c r="D146" s="1">
        <v>0.57999999999999996</v>
      </c>
      <c r="E146" s="6">
        <f t="shared" si="73"/>
        <v>1.7543859649122862E-2</v>
      </c>
      <c r="F146" s="21">
        <v>45107</v>
      </c>
      <c r="G146" s="1">
        <v>17.5</v>
      </c>
      <c r="H146" s="1">
        <v>13.138500000000001</v>
      </c>
      <c r="I146" s="6">
        <f t="shared" si="71"/>
        <v>0</v>
      </c>
      <c r="J146" s="21">
        <v>45107</v>
      </c>
      <c r="K146" s="1">
        <v>46.45</v>
      </c>
      <c r="L146" s="1">
        <v>30.790700000000001</v>
      </c>
      <c r="M146" s="6">
        <f t="shared" si="66"/>
        <v>-8.599094012433639E-4</v>
      </c>
      <c r="N146" s="21">
        <v>45107</v>
      </c>
      <c r="O146" s="1">
        <v>18</v>
      </c>
      <c r="P146" s="1">
        <v>15.8269</v>
      </c>
      <c r="Q146" s="6">
        <f t="shared" si="67"/>
        <v>3.5073836213098231E-2</v>
      </c>
      <c r="R146" s="21">
        <v>45107</v>
      </c>
      <c r="S146" s="1">
        <v>7.9</v>
      </c>
      <c r="T146" s="1">
        <v>6.9781000000000004</v>
      </c>
      <c r="U146" s="6">
        <f t="shared" si="72"/>
        <v>0</v>
      </c>
      <c r="V146" s="21">
        <v>45107</v>
      </c>
      <c r="W146" s="1">
        <v>6.68</v>
      </c>
      <c r="X146" s="1">
        <v>5.9249999999999998</v>
      </c>
      <c r="Y146" s="6">
        <f t="shared" si="65"/>
        <v>0</v>
      </c>
      <c r="Z146" s="21">
        <v>45107</v>
      </c>
      <c r="AA146" s="1">
        <v>2.0499999999999998</v>
      </c>
      <c r="AB146" s="1">
        <v>2.0499999999999998</v>
      </c>
      <c r="AC146" s="6">
        <f t="shared" si="68"/>
        <v>1.4851485148514865E-2</v>
      </c>
      <c r="AD146" s="21">
        <v>45107</v>
      </c>
      <c r="AE146" s="1">
        <v>7.41</v>
      </c>
      <c r="AF146" s="1">
        <v>6.7022000000000004</v>
      </c>
      <c r="AG146" s="6">
        <f t="shared" si="69"/>
        <v>-3.010043124656292E-2</v>
      </c>
      <c r="AH146" s="21">
        <v>45107</v>
      </c>
      <c r="AI146" s="1">
        <v>9.9</v>
      </c>
      <c r="AJ146" s="1">
        <v>8.6553000000000004</v>
      </c>
      <c r="AK146" s="6">
        <f t="shared" si="70"/>
        <v>0</v>
      </c>
      <c r="AL146" s="21">
        <v>45107</v>
      </c>
      <c r="AM146" s="1">
        <v>1.93</v>
      </c>
      <c r="AN146" s="1">
        <v>1.81</v>
      </c>
      <c r="AO146" s="6">
        <v>0</v>
      </c>
      <c r="AP146" s="21" t="s">
        <v>149</v>
      </c>
      <c r="AQ146" s="1">
        <v>8958.4599999999991</v>
      </c>
      <c r="AR146" s="6">
        <v>3.6208260233425715E-3</v>
      </c>
    </row>
    <row r="147" spans="2:44" x14ac:dyDescent="0.35">
      <c r="B147" s="21">
        <v>45110</v>
      </c>
      <c r="C147" s="1">
        <v>0.61</v>
      </c>
      <c r="D147" s="1">
        <v>0.61</v>
      </c>
      <c r="E147" s="6">
        <f t="shared" si="73"/>
        <v>5.1724137931034475E-2</v>
      </c>
      <c r="F147" s="21">
        <v>45110</v>
      </c>
      <c r="G147" s="1">
        <v>17.5</v>
      </c>
      <c r="H147" s="1">
        <v>13.138500000000001</v>
      </c>
      <c r="I147" s="6">
        <f t="shared" si="71"/>
        <v>0</v>
      </c>
      <c r="J147" s="21">
        <v>45110</v>
      </c>
      <c r="K147" s="1">
        <v>46.43</v>
      </c>
      <c r="L147" s="1">
        <v>30.7774</v>
      </c>
      <c r="M147" s="6">
        <f t="shared" si="66"/>
        <v>-4.3194860785888967E-4</v>
      </c>
      <c r="N147" s="21">
        <v>45110</v>
      </c>
      <c r="O147" s="1">
        <v>17.97</v>
      </c>
      <c r="P147" s="1">
        <v>15.800599999999999</v>
      </c>
      <c r="Q147" s="6">
        <f t="shared" si="67"/>
        <v>-1.6617278178291395E-3</v>
      </c>
      <c r="R147" s="21">
        <v>45110</v>
      </c>
      <c r="S147" s="1">
        <v>8.0500000000000007</v>
      </c>
      <c r="T147" s="1">
        <v>7.1105999999999998</v>
      </c>
      <c r="U147" s="6">
        <f t="shared" si="72"/>
        <v>1.8987976669867068E-2</v>
      </c>
      <c r="V147" s="21">
        <v>45110</v>
      </c>
      <c r="W147" s="1">
        <v>6.64</v>
      </c>
      <c r="X147" s="1">
        <v>5.89</v>
      </c>
      <c r="Y147" s="6">
        <f t="shared" si="65"/>
        <v>-5.9071729957805852E-3</v>
      </c>
      <c r="Z147" s="21">
        <v>45110</v>
      </c>
      <c r="AA147" s="1">
        <v>2.0699999999999998</v>
      </c>
      <c r="AB147" s="1">
        <v>2.0699999999999998</v>
      </c>
      <c r="AC147" s="6">
        <f t="shared" si="68"/>
        <v>9.7560975609756184E-3</v>
      </c>
      <c r="AD147" s="21">
        <v>45110</v>
      </c>
      <c r="AE147" s="1">
        <v>7.41</v>
      </c>
      <c r="AF147" s="1">
        <v>6.7022000000000004</v>
      </c>
      <c r="AG147" s="6">
        <f t="shared" si="69"/>
        <v>0</v>
      </c>
      <c r="AH147" s="21">
        <v>45110</v>
      </c>
      <c r="AI147" s="1">
        <v>9.67</v>
      </c>
      <c r="AJ147" s="1">
        <v>8.7462999999999997</v>
      </c>
      <c r="AK147" s="6">
        <f t="shared" si="70"/>
        <v>1.0513789238963289E-2</v>
      </c>
      <c r="AL147" s="21">
        <v>45110</v>
      </c>
      <c r="AM147" s="1">
        <v>1.93</v>
      </c>
      <c r="AN147" s="1">
        <v>1.81</v>
      </c>
      <c r="AO147" s="6">
        <v>0</v>
      </c>
      <c r="AP147" s="21" t="s">
        <v>150</v>
      </c>
      <c r="AQ147" s="1">
        <v>8963.66</v>
      </c>
      <c r="AR147" s="6">
        <v>5.8045690888852697E-4</v>
      </c>
    </row>
    <row r="148" spans="2:44" x14ac:dyDescent="0.35">
      <c r="B148" s="21">
        <v>45111</v>
      </c>
      <c r="C148" s="1">
        <v>0.61</v>
      </c>
      <c r="D148" s="1">
        <v>0.61</v>
      </c>
      <c r="E148" s="6">
        <f t="shared" si="73"/>
        <v>0</v>
      </c>
      <c r="F148" s="21">
        <v>45111</v>
      </c>
      <c r="G148" s="1">
        <v>17.5</v>
      </c>
      <c r="H148" s="1">
        <v>13.138500000000001</v>
      </c>
      <c r="I148" s="6">
        <f t="shared" si="71"/>
        <v>0</v>
      </c>
      <c r="J148" s="21">
        <v>45111</v>
      </c>
      <c r="K148" s="1">
        <v>46.42</v>
      </c>
      <c r="L148" s="1">
        <v>30.770800000000001</v>
      </c>
      <c r="M148" s="6">
        <f t="shared" si="66"/>
        <v>-2.1444306536611002E-4</v>
      </c>
      <c r="N148" s="21">
        <v>45111</v>
      </c>
      <c r="O148" s="1">
        <v>17.899999999999999</v>
      </c>
      <c r="P148" s="1">
        <v>15.739000000000001</v>
      </c>
      <c r="Q148" s="6">
        <f t="shared" si="67"/>
        <v>-3.8985861296405577E-3</v>
      </c>
      <c r="R148" s="21">
        <v>45111</v>
      </c>
      <c r="S148" s="1">
        <v>8</v>
      </c>
      <c r="T148" s="1">
        <v>7.0664999999999996</v>
      </c>
      <c r="U148" s="6">
        <f t="shared" si="72"/>
        <v>-6.2020082693443612E-3</v>
      </c>
      <c r="V148" s="21">
        <v>45111</v>
      </c>
      <c r="W148" s="1">
        <v>6.64</v>
      </c>
      <c r="X148" s="1">
        <v>5.89</v>
      </c>
      <c r="Y148" s="6">
        <f t="shared" si="65"/>
        <v>0</v>
      </c>
      <c r="Z148" s="21">
        <v>45111</v>
      </c>
      <c r="AA148" s="1">
        <v>2.04</v>
      </c>
      <c r="AB148" s="1">
        <v>2.04</v>
      </c>
      <c r="AC148" s="6">
        <f t="shared" si="68"/>
        <v>-1.4492753623188359E-2</v>
      </c>
      <c r="AD148" s="21">
        <v>45111</v>
      </c>
      <c r="AE148" s="1">
        <v>7.59</v>
      </c>
      <c r="AF148" s="1">
        <v>6.8650000000000002</v>
      </c>
      <c r="AG148" s="6">
        <f t="shared" si="69"/>
        <v>2.4290531467279441E-2</v>
      </c>
      <c r="AH148" s="21">
        <v>45111</v>
      </c>
      <c r="AI148" s="1">
        <v>9.6</v>
      </c>
      <c r="AJ148" s="1">
        <v>8.6829999999999998</v>
      </c>
      <c r="AK148" s="6">
        <f t="shared" si="70"/>
        <v>-7.237346077770046E-3</v>
      </c>
      <c r="AL148" s="21">
        <v>45111</v>
      </c>
      <c r="AM148" s="1">
        <v>1.9</v>
      </c>
      <c r="AN148" s="1">
        <v>1.7818000000000001</v>
      </c>
      <c r="AO148" s="6">
        <v>-1.558011049723762E-2</v>
      </c>
      <c r="AP148" s="21" t="s">
        <v>151</v>
      </c>
      <c r="AQ148" s="1">
        <v>8968.4500000000007</v>
      </c>
      <c r="AR148" s="6">
        <v>5.3437992962712677E-4</v>
      </c>
    </row>
    <row r="149" spans="2:44" x14ac:dyDescent="0.35">
      <c r="B149" s="21">
        <v>45112</v>
      </c>
      <c r="C149" s="1">
        <v>0.61</v>
      </c>
      <c r="D149" s="1">
        <v>0.61</v>
      </c>
      <c r="E149" s="6">
        <f t="shared" si="73"/>
        <v>0</v>
      </c>
      <c r="F149" s="21">
        <v>45112</v>
      </c>
      <c r="G149" s="1">
        <v>17.5</v>
      </c>
      <c r="H149" s="1">
        <v>13.138500000000001</v>
      </c>
      <c r="I149" s="6">
        <f t="shared" si="71"/>
        <v>0</v>
      </c>
      <c r="J149" s="21">
        <v>45112</v>
      </c>
      <c r="K149" s="1">
        <v>46.39</v>
      </c>
      <c r="L149" s="1">
        <v>30.750900000000001</v>
      </c>
      <c r="M149" s="6">
        <f t="shared" si="66"/>
        <v>-6.4671701743213017E-4</v>
      </c>
      <c r="N149" s="21">
        <v>45112</v>
      </c>
      <c r="O149" s="1">
        <v>17.89</v>
      </c>
      <c r="P149" s="1">
        <v>15.7302</v>
      </c>
      <c r="Q149" s="6">
        <f t="shared" si="67"/>
        <v>-5.5912065569607705E-4</v>
      </c>
      <c r="R149" s="21">
        <v>45112</v>
      </c>
      <c r="S149" s="1">
        <v>8.09</v>
      </c>
      <c r="T149" s="1">
        <v>7.1459999999999999</v>
      </c>
      <c r="U149" s="6">
        <f t="shared" si="72"/>
        <v>1.1250265336446574E-2</v>
      </c>
      <c r="V149" s="21">
        <v>45112</v>
      </c>
      <c r="W149" s="1">
        <v>6.61</v>
      </c>
      <c r="X149" s="1">
        <v>5.8630000000000004</v>
      </c>
      <c r="Y149" s="6">
        <f t="shared" ref="Y149:Y212" si="74">(X149/X148)-1</f>
        <v>-4.5840407470287836E-3</v>
      </c>
      <c r="Z149" s="21">
        <v>45112</v>
      </c>
      <c r="AA149" s="1">
        <v>2.0099999999999998</v>
      </c>
      <c r="AB149" s="1">
        <v>2.0099999999999998</v>
      </c>
      <c r="AC149" s="6">
        <f t="shared" si="68"/>
        <v>-1.4705882352941346E-2</v>
      </c>
      <c r="AD149" s="21">
        <v>45112</v>
      </c>
      <c r="AE149" s="1">
        <v>7.63</v>
      </c>
      <c r="AF149" s="1">
        <v>6.9010999999999996</v>
      </c>
      <c r="AG149" s="6">
        <f t="shared" si="69"/>
        <v>5.2585579024033713E-3</v>
      </c>
      <c r="AH149" s="21">
        <v>45112</v>
      </c>
      <c r="AI149" s="1">
        <v>9.58</v>
      </c>
      <c r="AJ149" s="1">
        <v>8.6648999999999994</v>
      </c>
      <c r="AK149" s="6">
        <f t="shared" si="70"/>
        <v>-2.0845329955084813E-3</v>
      </c>
      <c r="AL149" s="21">
        <v>45112</v>
      </c>
      <c r="AM149" s="1">
        <v>1.9</v>
      </c>
      <c r="AN149" s="1">
        <v>1.7818000000000001</v>
      </c>
      <c r="AO149" s="6">
        <v>0</v>
      </c>
      <c r="AP149" s="21" t="s">
        <v>152</v>
      </c>
      <c r="AQ149" s="1">
        <v>8988.0300000000007</v>
      </c>
      <c r="AR149" s="6">
        <v>2.1832089156990087E-3</v>
      </c>
    </row>
    <row r="150" spans="2:44" x14ac:dyDescent="0.35">
      <c r="B150" s="21">
        <v>45113</v>
      </c>
      <c r="C150" s="1">
        <v>0.57999999999999996</v>
      </c>
      <c r="D150" s="1">
        <v>0.57999999999999996</v>
      </c>
      <c r="E150" s="6">
        <f t="shared" si="73"/>
        <v>-4.9180327868852514E-2</v>
      </c>
      <c r="F150" s="21">
        <v>45113</v>
      </c>
      <c r="G150" s="1">
        <v>17.5</v>
      </c>
      <c r="H150" s="1">
        <v>13.138500000000001</v>
      </c>
      <c r="I150" s="6">
        <f t="shared" si="71"/>
        <v>0</v>
      </c>
      <c r="J150" s="21">
        <v>45113</v>
      </c>
      <c r="K150" s="1">
        <v>46.48</v>
      </c>
      <c r="L150" s="1">
        <v>30.810600000000001</v>
      </c>
      <c r="M150" s="6">
        <f t="shared" si="66"/>
        <v>1.9414065929777014E-3</v>
      </c>
      <c r="N150" s="21">
        <v>45113</v>
      </c>
      <c r="O150" s="1">
        <v>17.8</v>
      </c>
      <c r="P150" s="1">
        <v>15.6511</v>
      </c>
      <c r="Q150" s="6">
        <f t="shared" si="67"/>
        <v>-5.0285438201675969E-3</v>
      </c>
      <c r="R150" s="21">
        <v>45113</v>
      </c>
      <c r="S150" s="1">
        <v>8.08</v>
      </c>
      <c r="T150" s="1">
        <v>7.1371000000000002</v>
      </c>
      <c r="U150" s="6">
        <f t="shared" si="72"/>
        <v>-1.2454520011194736E-3</v>
      </c>
      <c r="V150" s="21">
        <v>45113</v>
      </c>
      <c r="W150" s="1">
        <v>6.5</v>
      </c>
      <c r="X150" s="1">
        <v>5.766</v>
      </c>
      <c r="Y150" s="6">
        <f t="shared" si="74"/>
        <v>-1.6544431178577623E-2</v>
      </c>
      <c r="Z150" s="21">
        <v>45113</v>
      </c>
      <c r="AA150" s="1">
        <v>2</v>
      </c>
      <c r="AB150" s="1">
        <v>2</v>
      </c>
      <c r="AC150" s="6">
        <f t="shared" si="68"/>
        <v>-4.9751243781093191E-3</v>
      </c>
      <c r="AD150" s="21">
        <v>45113</v>
      </c>
      <c r="AE150" s="1">
        <v>7.49</v>
      </c>
      <c r="AF150" s="1">
        <v>6.7744999999999997</v>
      </c>
      <c r="AG150" s="6">
        <f t="shared" si="69"/>
        <v>-1.8344901537436065E-2</v>
      </c>
      <c r="AH150" s="21">
        <v>45113</v>
      </c>
      <c r="AI150" s="1">
        <v>9.58</v>
      </c>
      <c r="AJ150" s="1">
        <v>8.6648999999999994</v>
      </c>
      <c r="AK150" s="6">
        <f t="shared" si="70"/>
        <v>0</v>
      </c>
      <c r="AL150" s="21">
        <v>45113</v>
      </c>
      <c r="AM150" s="1">
        <v>1.9</v>
      </c>
      <c r="AN150" s="1">
        <v>1.7818000000000001</v>
      </c>
      <c r="AO150" s="6">
        <v>0</v>
      </c>
      <c r="AP150" s="21" t="s">
        <v>153</v>
      </c>
      <c r="AQ150" s="1">
        <v>8994.68</v>
      </c>
      <c r="AR150" s="6">
        <v>7.3987291987220871E-4</v>
      </c>
    </row>
    <row r="151" spans="2:44" x14ac:dyDescent="0.35">
      <c r="B151" s="21">
        <v>45114</v>
      </c>
      <c r="C151" s="1">
        <v>0.59</v>
      </c>
      <c r="D151" s="1">
        <v>0.59</v>
      </c>
      <c r="E151" s="6">
        <f t="shared" si="73"/>
        <v>1.7241379310344751E-2</v>
      </c>
      <c r="F151" s="21">
        <v>45114</v>
      </c>
      <c r="G151" s="1">
        <v>17.5</v>
      </c>
      <c r="H151" s="1">
        <v>13.138500000000001</v>
      </c>
      <c r="I151" s="6">
        <f t="shared" si="71"/>
        <v>0</v>
      </c>
      <c r="J151" s="21">
        <v>45114</v>
      </c>
      <c r="K151" s="1">
        <v>46.47</v>
      </c>
      <c r="L151" s="1">
        <v>30.803899999999999</v>
      </c>
      <c r="M151" s="6">
        <f t="shared" si="66"/>
        <v>-2.174576282188978E-4</v>
      </c>
      <c r="N151" s="21">
        <v>45114</v>
      </c>
      <c r="O151" s="1">
        <v>17.64</v>
      </c>
      <c r="P151" s="1">
        <v>15.510400000000001</v>
      </c>
      <c r="Q151" s="6">
        <f t="shared" si="67"/>
        <v>-8.9897834656987863E-3</v>
      </c>
      <c r="R151" s="21">
        <v>45114</v>
      </c>
      <c r="S151" s="1">
        <v>8.08</v>
      </c>
      <c r="T151" s="1">
        <v>7.1371000000000002</v>
      </c>
      <c r="U151" s="6">
        <f t="shared" si="72"/>
        <v>0</v>
      </c>
      <c r="V151" s="21">
        <v>45114</v>
      </c>
      <c r="W151" s="1">
        <v>6.5</v>
      </c>
      <c r="X151" s="1">
        <v>5.766</v>
      </c>
      <c r="Y151" s="6">
        <f t="shared" si="74"/>
        <v>0</v>
      </c>
      <c r="Z151" s="21">
        <v>45114</v>
      </c>
      <c r="AA151" s="1">
        <v>2.0299999999999998</v>
      </c>
      <c r="AB151" s="1">
        <v>2.0299999999999998</v>
      </c>
      <c r="AC151" s="6">
        <f t="shared" si="68"/>
        <v>1.4999999999999902E-2</v>
      </c>
      <c r="AD151" s="21">
        <v>45114</v>
      </c>
      <c r="AE151" s="1">
        <v>7.49</v>
      </c>
      <c r="AF151" s="1">
        <v>6.7744999999999997</v>
      </c>
      <c r="AG151" s="6">
        <f t="shared" si="69"/>
        <v>0</v>
      </c>
      <c r="AH151" s="21">
        <v>45114</v>
      </c>
      <c r="AI151" s="1">
        <v>9.56</v>
      </c>
      <c r="AJ151" s="1">
        <v>8.6468000000000007</v>
      </c>
      <c r="AK151" s="6">
        <f t="shared" si="70"/>
        <v>-2.0888873501134775E-3</v>
      </c>
      <c r="AL151" s="21">
        <v>45114</v>
      </c>
      <c r="AM151" s="1">
        <v>1.9</v>
      </c>
      <c r="AN151" s="1">
        <v>1.7818000000000001</v>
      </c>
      <c r="AO151" s="6">
        <v>0</v>
      </c>
      <c r="AP151" s="21" t="s">
        <v>154</v>
      </c>
      <c r="AQ151" s="1">
        <v>9019.56</v>
      </c>
      <c r="AR151" s="6">
        <v>2.7660795047739217E-3</v>
      </c>
    </row>
    <row r="152" spans="2:44" x14ac:dyDescent="0.35">
      <c r="B152" s="21">
        <v>45117</v>
      </c>
      <c r="C152" s="1">
        <v>0.6</v>
      </c>
      <c r="D152" s="1">
        <v>0.6</v>
      </c>
      <c r="E152" s="6">
        <f t="shared" si="73"/>
        <v>1.6949152542372836E-2</v>
      </c>
      <c r="F152" s="21">
        <v>45117</v>
      </c>
      <c r="G152" s="1">
        <v>17.47</v>
      </c>
      <c r="H152" s="1">
        <v>13.116</v>
      </c>
      <c r="I152" s="6">
        <f t="shared" si="71"/>
        <v>-1.7125242607604063E-3</v>
      </c>
      <c r="J152" s="21">
        <v>45117</v>
      </c>
      <c r="K152" s="1">
        <v>46.9</v>
      </c>
      <c r="L152" s="1">
        <v>31.088999999999999</v>
      </c>
      <c r="M152" s="6">
        <f t="shared" si="66"/>
        <v>9.2553215664250565E-3</v>
      </c>
      <c r="N152" s="21">
        <v>45117</v>
      </c>
      <c r="O152" s="1">
        <v>17.5</v>
      </c>
      <c r="P152" s="1">
        <v>15.3873</v>
      </c>
      <c r="Q152" s="6">
        <f t="shared" si="67"/>
        <v>-7.9366102743966271E-3</v>
      </c>
      <c r="R152" s="21">
        <v>45117</v>
      </c>
      <c r="S152" s="1">
        <v>8.01</v>
      </c>
      <c r="T152" s="1">
        <v>7.0753000000000004</v>
      </c>
      <c r="U152" s="6">
        <f t="shared" si="72"/>
        <v>-8.6589791371844971E-3</v>
      </c>
      <c r="V152" s="21">
        <v>45117</v>
      </c>
      <c r="W152" s="1">
        <v>6.5</v>
      </c>
      <c r="X152" s="1">
        <v>5.766</v>
      </c>
      <c r="Y152" s="6">
        <f t="shared" si="74"/>
        <v>0</v>
      </c>
      <c r="Z152" s="21">
        <v>45117</v>
      </c>
      <c r="AA152" s="1">
        <v>2.04</v>
      </c>
      <c r="AB152" s="1">
        <v>2.04</v>
      </c>
      <c r="AC152" s="6">
        <f t="shared" si="68"/>
        <v>4.9261083743843415E-3</v>
      </c>
      <c r="AD152" s="21">
        <v>45117</v>
      </c>
      <c r="AE152" s="1">
        <v>7.48</v>
      </c>
      <c r="AF152" s="1">
        <v>6.7655000000000003</v>
      </c>
      <c r="AG152" s="6">
        <f t="shared" si="69"/>
        <v>-1.3285113292492712E-3</v>
      </c>
      <c r="AH152" s="21">
        <v>45117</v>
      </c>
      <c r="AI152" s="1">
        <v>9.5399999999999991</v>
      </c>
      <c r="AJ152" s="1">
        <v>8.6288</v>
      </c>
      <c r="AK152" s="6">
        <f t="shared" si="70"/>
        <v>-2.0816949622982639E-3</v>
      </c>
      <c r="AL152" s="21">
        <v>45117</v>
      </c>
      <c r="AM152" s="1">
        <v>1.9</v>
      </c>
      <c r="AN152" s="1">
        <v>1.7818000000000001</v>
      </c>
      <c r="AO152" s="6">
        <v>0</v>
      </c>
      <c r="AP152" s="21" t="s">
        <v>155</v>
      </c>
      <c r="AQ152" s="1">
        <v>9030.4</v>
      </c>
      <c r="AR152" s="6">
        <v>1.2018324618938703E-3</v>
      </c>
    </row>
    <row r="153" spans="2:44" x14ac:dyDescent="0.35">
      <c r="B153" s="21">
        <v>45118</v>
      </c>
      <c r="C153" s="1">
        <v>0.56999999999999995</v>
      </c>
      <c r="D153" s="1">
        <v>0.56999999999999995</v>
      </c>
      <c r="E153" s="6">
        <f t="shared" si="73"/>
        <v>-5.0000000000000044E-2</v>
      </c>
      <c r="F153" s="21">
        <v>45118</v>
      </c>
      <c r="G153" s="1">
        <v>17.489999999999998</v>
      </c>
      <c r="H153" s="1">
        <v>13.131</v>
      </c>
      <c r="I153" s="6">
        <f t="shared" si="71"/>
        <v>1.1436413540713009E-3</v>
      </c>
      <c r="J153" s="21">
        <v>45118</v>
      </c>
      <c r="K153" s="1">
        <v>47.3</v>
      </c>
      <c r="L153" s="1">
        <v>31.354099999999999</v>
      </c>
      <c r="M153" s="6">
        <f t="shared" si="66"/>
        <v>8.5271317829458404E-3</v>
      </c>
      <c r="N153" s="21">
        <v>45118</v>
      </c>
      <c r="O153" s="1">
        <v>17.48</v>
      </c>
      <c r="P153" s="1">
        <v>15.3697</v>
      </c>
      <c r="Q153" s="6">
        <f t="shared" si="67"/>
        <v>-1.143800406829043E-3</v>
      </c>
      <c r="R153" s="21">
        <v>45118</v>
      </c>
      <c r="S153" s="1">
        <v>8.1</v>
      </c>
      <c r="T153" s="1">
        <v>7.1547999999999998</v>
      </c>
      <c r="U153" s="6">
        <f t="shared" si="72"/>
        <v>1.1236272666883318E-2</v>
      </c>
      <c r="V153" s="21">
        <v>45118</v>
      </c>
      <c r="W153" s="1">
        <v>6.4</v>
      </c>
      <c r="X153" s="1">
        <v>5.6769999999999996</v>
      </c>
      <c r="Y153" s="6">
        <f t="shared" si="74"/>
        <v>-1.5435310440513383E-2</v>
      </c>
      <c r="Z153" s="21">
        <v>45118</v>
      </c>
      <c r="AA153" s="1">
        <v>2.0099999999999998</v>
      </c>
      <c r="AB153" s="1">
        <v>2.0099999999999998</v>
      </c>
      <c r="AC153" s="6">
        <f t="shared" si="68"/>
        <v>-1.4705882352941346E-2</v>
      </c>
      <c r="AD153" s="21">
        <v>45118</v>
      </c>
      <c r="AE153" s="1">
        <v>7.46</v>
      </c>
      <c r="AF153" s="1">
        <v>6.9661</v>
      </c>
      <c r="AG153" s="6">
        <f t="shared" si="69"/>
        <v>2.9650432340551314E-2</v>
      </c>
      <c r="AH153" s="21">
        <v>45118</v>
      </c>
      <c r="AI153" s="1">
        <v>9</v>
      </c>
      <c r="AJ153" s="1">
        <v>8.1402999999999999</v>
      </c>
      <c r="AK153" s="6">
        <f t="shared" si="70"/>
        <v>-5.6612738735397738E-2</v>
      </c>
      <c r="AL153" s="21">
        <v>45118</v>
      </c>
      <c r="AM153" s="1">
        <v>1.9</v>
      </c>
      <c r="AN153" s="1">
        <v>1.7818000000000001</v>
      </c>
      <c r="AO153" s="6">
        <v>0</v>
      </c>
      <c r="AP153" s="21" t="s">
        <v>156</v>
      </c>
      <c r="AQ153" s="1">
        <v>9017.8799999999992</v>
      </c>
      <c r="AR153" s="6">
        <v>-1.3864280652020611E-3</v>
      </c>
    </row>
    <row r="154" spans="2:44" x14ac:dyDescent="0.35">
      <c r="B154" s="21">
        <v>45119</v>
      </c>
      <c r="C154" s="1">
        <v>0.59</v>
      </c>
      <c r="D154" s="1">
        <v>0.59</v>
      </c>
      <c r="E154" s="6">
        <f t="shared" si="73"/>
        <v>3.5087719298245723E-2</v>
      </c>
      <c r="F154" s="21">
        <v>45119</v>
      </c>
      <c r="G154" s="1">
        <v>17.48</v>
      </c>
      <c r="H154" s="1">
        <v>13.1235</v>
      </c>
      <c r="I154" s="6">
        <f t="shared" si="71"/>
        <v>-5.711674663011479E-4</v>
      </c>
      <c r="J154" s="21">
        <v>45119</v>
      </c>
      <c r="K154" s="1">
        <v>47.35</v>
      </c>
      <c r="L154" s="1">
        <v>31.3873</v>
      </c>
      <c r="M154" s="6">
        <f t="shared" si="66"/>
        <v>1.0588726833173912E-3</v>
      </c>
      <c r="N154" s="21">
        <v>45119</v>
      </c>
      <c r="O154" s="1">
        <v>17.21</v>
      </c>
      <c r="P154" s="1">
        <v>15.132300000000001</v>
      </c>
      <c r="Q154" s="6">
        <f t="shared" si="67"/>
        <v>-1.544597487263899E-2</v>
      </c>
      <c r="R154" s="21">
        <v>45119</v>
      </c>
      <c r="S154" s="1">
        <v>8</v>
      </c>
      <c r="T154" s="1">
        <v>7.0664999999999996</v>
      </c>
      <c r="U154" s="6">
        <f t="shared" si="72"/>
        <v>-1.234136523732321E-2</v>
      </c>
      <c r="V154" s="21">
        <v>45119</v>
      </c>
      <c r="W154" s="1">
        <v>6.4</v>
      </c>
      <c r="X154" s="1">
        <v>5.6769999999999996</v>
      </c>
      <c r="Y154" s="6">
        <f t="shared" si="74"/>
        <v>0</v>
      </c>
      <c r="Z154" s="21">
        <v>45119</v>
      </c>
      <c r="AA154" s="1">
        <v>2.0299999999999998</v>
      </c>
      <c r="AB154" s="1">
        <v>2.0299999999999998</v>
      </c>
      <c r="AC154" s="6">
        <f t="shared" si="68"/>
        <v>9.9502487562188602E-3</v>
      </c>
      <c r="AD154" s="21">
        <v>45119</v>
      </c>
      <c r="AE154" s="1">
        <v>7.45</v>
      </c>
      <c r="AF154" s="1">
        <v>6.9568000000000003</v>
      </c>
      <c r="AG154" s="6">
        <f t="shared" si="69"/>
        <v>-1.3350368211767494E-3</v>
      </c>
      <c r="AH154" s="21">
        <v>45119</v>
      </c>
      <c r="AI154" s="1">
        <v>9.1999999999999993</v>
      </c>
      <c r="AJ154" s="1">
        <v>8.3211999999999993</v>
      </c>
      <c r="AK154" s="6">
        <f t="shared" si="70"/>
        <v>2.2222768202646126E-2</v>
      </c>
      <c r="AL154" s="21">
        <v>45119</v>
      </c>
      <c r="AM154" s="1">
        <v>1.9</v>
      </c>
      <c r="AN154" s="1">
        <v>1.7818000000000001</v>
      </c>
      <c r="AO154" s="6">
        <v>0</v>
      </c>
      <c r="AP154" s="21" t="s">
        <v>157</v>
      </c>
      <c r="AQ154" s="1">
        <v>9009</v>
      </c>
      <c r="AR154" s="6">
        <v>-9.8471037538749862E-4</v>
      </c>
    </row>
    <row r="155" spans="2:44" x14ac:dyDescent="0.35">
      <c r="B155" s="21">
        <v>45120</v>
      </c>
      <c r="C155" s="1">
        <v>0.56000000000000005</v>
      </c>
      <c r="D155" s="1">
        <v>0.56000000000000005</v>
      </c>
      <c r="E155" s="6">
        <f t="shared" si="73"/>
        <v>-5.0847457627118509E-2</v>
      </c>
      <c r="F155" s="21">
        <v>45120</v>
      </c>
      <c r="G155" s="1">
        <v>17.2</v>
      </c>
      <c r="H155" s="1">
        <v>12.9133</v>
      </c>
      <c r="I155" s="6">
        <f t="shared" si="71"/>
        <v>-1.6017068617365848E-2</v>
      </c>
      <c r="J155" s="21">
        <v>45120</v>
      </c>
      <c r="K155" s="1">
        <v>47.2</v>
      </c>
      <c r="L155" s="1">
        <v>31.2879</v>
      </c>
      <c r="M155" s="6">
        <f t="shared" si="66"/>
        <v>-3.1668859698030793E-3</v>
      </c>
      <c r="N155" s="21">
        <v>45120</v>
      </c>
      <c r="O155" s="1">
        <v>17.21</v>
      </c>
      <c r="P155" s="1">
        <v>15.132300000000001</v>
      </c>
      <c r="Q155" s="6">
        <f t="shared" si="67"/>
        <v>0</v>
      </c>
      <c r="R155" s="21">
        <v>45120</v>
      </c>
      <c r="S155" s="1">
        <v>7.92</v>
      </c>
      <c r="T155" s="1">
        <v>6.9958</v>
      </c>
      <c r="U155" s="6">
        <f t="shared" si="72"/>
        <v>-1.0004952947003432E-2</v>
      </c>
      <c r="V155" s="21">
        <v>45120</v>
      </c>
      <c r="W155" s="1">
        <v>6.4</v>
      </c>
      <c r="X155" s="1">
        <v>5.6769999999999996</v>
      </c>
      <c r="Y155" s="6">
        <f t="shared" si="74"/>
        <v>0</v>
      </c>
      <c r="Z155" s="21">
        <v>45120</v>
      </c>
      <c r="AA155" s="1">
        <v>2.0499999999999998</v>
      </c>
      <c r="AB155" s="1">
        <v>2.0499999999999998</v>
      </c>
      <c r="AC155" s="6">
        <f t="shared" si="68"/>
        <v>9.8522167487684609E-3</v>
      </c>
      <c r="AD155" s="21">
        <v>45120</v>
      </c>
      <c r="AE155" s="1">
        <v>7.45</v>
      </c>
      <c r="AF155" s="1">
        <v>6.9568000000000003</v>
      </c>
      <c r="AG155" s="6">
        <f t="shared" si="69"/>
        <v>0</v>
      </c>
      <c r="AH155" s="21">
        <v>45120</v>
      </c>
      <c r="AI155" s="1">
        <v>9.1999999999999993</v>
      </c>
      <c r="AJ155" s="1">
        <v>8.3211999999999993</v>
      </c>
      <c r="AK155" s="6">
        <f t="shared" si="70"/>
        <v>0</v>
      </c>
      <c r="AL155" s="21">
        <v>45120</v>
      </c>
      <c r="AM155" s="1">
        <v>1.82</v>
      </c>
      <c r="AN155" s="1">
        <v>1.7068000000000001</v>
      </c>
      <c r="AO155" s="6">
        <v>-4.2092266247614751E-2</v>
      </c>
      <c r="AP155" s="21" t="s">
        <v>158</v>
      </c>
      <c r="AQ155" s="1">
        <v>8980.11</v>
      </c>
      <c r="AR155" s="6">
        <v>-3.2067932067931793E-3</v>
      </c>
    </row>
    <row r="156" spans="2:44" x14ac:dyDescent="0.35">
      <c r="B156" s="21">
        <v>45121</v>
      </c>
      <c r="C156" s="1">
        <v>0.59</v>
      </c>
      <c r="D156" s="1">
        <v>0.59</v>
      </c>
      <c r="E156" s="6">
        <f t="shared" si="73"/>
        <v>5.3571428571428381E-2</v>
      </c>
      <c r="F156" s="21">
        <v>45121</v>
      </c>
      <c r="G156" s="1">
        <v>17.399999999999999</v>
      </c>
      <c r="H156" s="1">
        <v>13.0634</v>
      </c>
      <c r="I156" s="6">
        <f t="shared" si="71"/>
        <v>1.1623674815887552E-2</v>
      </c>
      <c r="J156" s="21">
        <v>45121</v>
      </c>
      <c r="K156" s="1">
        <v>47</v>
      </c>
      <c r="L156" s="1">
        <v>31.1553</v>
      </c>
      <c r="M156" s="6">
        <f t="shared" si="66"/>
        <v>-4.2380600807341295E-3</v>
      </c>
      <c r="N156" s="21">
        <v>45121</v>
      </c>
      <c r="O156" s="1">
        <v>17.21</v>
      </c>
      <c r="P156" s="1">
        <v>15.132300000000001</v>
      </c>
      <c r="Q156" s="6">
        <f t="shared" si="67"/>
        <v>0</v>
      </c>
      <c r="R156" s="21">
        <v>45121</v>
      </c>
      <c r="S156" s="1">
        <v>7.9</v>
      </c>
      <c r="T156" s="1">
        <v>6.9781000000000004</v>
      </c>
      <c r="U156" s="6">
        <f t="shared" si="72"/>
        <v>-2.5300894822607445E-3</v>
      </c>
      <c r="V156" s="21">
        <v>45121</v>
      </c>
      <c r="W156" s="1">
        <v>6.4</v>
      </c>
      <c r="X156" s="1">
        <v>5.6769999999999996</v>
      </c>
      <c r="Y156" s="6">
        <f t="shared" si="74"/>
        <v>0</v>
      </c>
      <c r="Z156" s="21">
        <v>45121</v>
      </c>
      <c r="AA156" s="1">
        <v>2.04</v>
      </c>
      <c r="AB156" s="1">
        <v>2.04</v>
      </c>
      <c r="AC156" s="6">
        <f t="shared" si="68"/>
        <v>-4.8780487804876982E-3</v>
      </c>
      <c r="AD156" s="21">
        <v>45121</v>
      </c>
      <c r="AE156" s="1">
        <v>7.45</v>
      </c>
      <c r="AF156" s="1">
        <v>6.9568000000000003</v>
      </c>
      <c r="AG156" s="6">
        <f t="shared" si="69"/>
        <v>0</v>
      </c>
      <c r="AH156" s="21">
        <v>45121</v>
      </c>
      <c r="AI156" s="1">
        <v>9.1999999999999993</v>
      </c>
      <c r="AJ156" s="1">
        <v>8.3211999999999993</v>
      </c>
      <c r="AK156" s="6">
        <f t="shared" si="70"/>
        <v>0</v>
      </c>
      <c r="AL156" s="21">
        <v>45121</v>
      </c>
      <c r="AM156" s="1">
        <v>1.78</v>
      </c>
      <c r="AN156" s="1">
        <v>1.6693</v>
      </c>
      <c r="AO156" s="6">
        <v>-2.1970939770330489E-2</v>
      </c>
      <c r="AP156" s="21" t="s">
        <v>159</v>
      </c>
      <c r="AQ156" s="1">
        <v>8968.44</v>
      </c>
      <c r="AR156" s="6">
        <v>-1.299538647076659E-3</v>
      </c>
    </row>
    <row r="157" spans="2:44" x14ac:dyDescent="0.35">
      <c r="B157" s="21">
        <v>45124</v>
      </c>
      <c r="C157" s="1">
        <v>0.57999999999999996</v>
      </c>
      <c r="D157" s="1">
        <v>0.57999999999999996</v>
      </c>
      <c r="E157" s="6">
        <f t="shared" si="73"/>
        <v>-1.6949152542372947E-2</v>
      </c>
      <c r="F157" s="21">
        <v>45124</v>
      </c>
      <c r="G157" s="1">
        <v>17.25</v>
      </c>
      <c r="H157" s="1">
        <v>12.950799999999999</v>
      </c>
      <c r="I157" s="6">
        <f t="shared" si="71"/>
        <v>-8.6195018142291024E-3</v>
      </c>
      <c r="J157" s="21">
        <v>45124</v>
      </c>
      <c r="K157" s="1">
        <v>47</v>
      </c>
      <c r="L157" s="1">
        <v>31.1553</v>
      </c>
      <c r="M157" s="6">
        <f t="shared" si="66"/>
        <v>0</v>
      </c>
      <c r="N157" s="21">
        <v>45124</v>
      </c>
      <c r="O157" s="1">
        <v>17.21</v>
      </c>
      <c r="P157" s="1">
        <v>15.132300000000001</v>
      </c>
      <c r="Q157" s="6">
        <f t="shared" si="67"/>
        <v>0</v>
      </c>
      <c r="R157" s="21">
        <v>45124</v>
      </c>
      <c r="S157" s="1">
        <v>7.8</v>
      </c>
      <c r="T157" s="1">
        <v>6.8898000000000001</v>
      </c>
      <c r="U157" s="6">
        <f t="shared" si="72"/>
        <v>-1.2653874263768072E-2</v>
      </c>
      <c r="V157" s="21">
        <v>45124</v>
      </c>
      <c r="W157" s="1">
        <v>6.4</v>
      </c>
      <c r="X157" s="1">
        <v>5.6769999999999996</v>
      </c>
      <c r="Y157" s="6">
        <f t="shared" si="74"/>
        <v>0</v>
      </c>
      <c r="Z157" s="21">
        <v>45124</v>
      </c>
      <c r="AA157" s="1">
        <v>2.02</v>
      </c>
      <c r="AB157" s="1">
        <v>2.02</v>
      </c>
      <c r="AC157" s="6">
        <f t="shared" si="68"/>
        <v>-9.8039215686274161E-3</v>
      </c>
      <c r="AD157" s="21">
        <v>45124</v>
      </c>
      <c r="AE157" s="1">
        <v>7.59</v>
      </c>
      <c r="AF157" s="1">
        <v>7.0875000000000004</v>
      </c>
      <c r="AG157" s="6">
        <f t="shared" si="69"/>
        <v>1.8787373505059879E-2</v>
      </c>
      <c r="AH157" s="21">
        <v>45124</v>
      </c>
      <c r="AI157" s="1">
        <v>9.1999999999999993</v>
      </c>
      <c r="AJ157" s="1">
        <v>8.3211999999999993</v>
      </c>
      <c r="AK157" s="6">
        <f t="shared" si="70"/>
        <v>0</v>
      </c>
      <c r="AL157" s="21">
        <v>45124</v>
      </c>
      <c r="AM157" s="1">
        <v>1.83</v>
      </c>
      <c r="AN157" s="1">
        <v>1.7161999999999999</v>
      </c>
      <c r="AO157" s="6">
        <v>2.8095608937878103E-2</v>
      </c>
      <c r="AP157" s="21" t="s">
        <v>160</v>
      </c>
      <c r="AQ157" s="1">
        <v>8991.68</v>
      </c>
      <c r="AR157" s="6">
        <v>2.5913090793938665E-3</v>
      </c>
    </row>
    <row r="158" spans="2:44" x14ac:dyDescent="0.35">
      <c r="B158" s="21">
        <v>45125</v>
      </c>
      <c r="C158" s="1">
        <v>0.56999999999999995</v>
      </c>
      <c r="D158" s="1">
        <v>0.56999999999999995</v>
      </c>
      <c r="E158" s="6">
        <f t="shared" si="73"/>
        <v>-1.7241379310344862E-2</v>
      </c>
      <c r="F158" s="21">
        <v>45125</v>
      </c>
      <c r="G158" s="1">
        <v>17.149999999999999</v>
      </c>
      <c r="H158" s="1">
        <v>12.8758</v>
      </c>
      <c r="I158" s="6">
        <f t="shared" si="71"/>
        <v>-5.7911480371868329E-3</v>
      </c>
      <c r="J158" s="21">
        <v>45125</v>
      </c>
      <c r="K158" s="1">
        <v>46.8</v>
      </c>
      <c r="L158" s="1">
        <v>31.0227</v>
      </c>
      <c r="M158" s="6">
        <f t="shared" si="66"/>
        <v>-4.2560976784046245E-3</v>
      </c>
      <c r="N158" s="21">
        <v>45125</v>
      </c>
      <c r="O158" s="1">
        <v>17.25</v>
      </c>
      <c r="P158" s="1">
        <v>15.1675</v>
      </c>
      <c r="Q158" s="6">
        <f t="shared" si="67"/>
        <v>2.3261500234597055E-3</v>
      </c>
      <c r="R158" s="21">
        <v>45125</v>
      </c>
      <c r="S158" s="1">
        <v>7.87</v>
      </c>
      <c r="T158" s="1">
        <v>6.9516</v>
      </c>
      <c r="U158" s="6">
        <f t="shared" si="72"/>
        <v>8.9697814160063505E-3</v>
      </c>
      <c r="V158" s="21">
        <v>45125</v>
      </c>
      <c r="W158" s="1">
        <v>6.4</v>
      </c>
      <c r="X158" s="1">
        <v>5.6769999999999996</v>
      </c>
      <c r="Y158" s="6">
        <f t="shared" si="74"/>
        <v>0</v>
      </c>
      <c r="Z158" s="21">
        <v>45125</v>
      </c>
      <c r="AA158" s="1">
        <v>2.02</v>
      </c>
      <c r="AB158" s="1">
        <v>2.02</v>
      </c>
      <c r="AC158" s="6">
        <f t="shared" si="68"/>
        <v>0</v>
      </c>
      <c r="AD158" s="21">
        <v>45125</v>
      </c>
      <c r="AE158" s="1">
        <v>7.41</v>
      </c>
      <c r="AF158" s="1">
        <v>6.9194000000000004</v>
      </c>
      <c r="AG158" s="6">
        <f t="shared" si="69"/>
        <v>-2.3717813051146397E-2</v>
      </c>
      <c r="AH158" s="21">
        <v>45125</v>
      </c>
      <c r="AI158" s="1">
        <v>9.15</v>
      </c>
      <c r="AJ158" s="1">
        <v>8.2759999999999998</v>
      </c>
      <c r="AK158" s="6">
        <f t="shared" si="70"/>
        <v>-5.4319088592991172E-3</v>
      </c>
      <c r="AL158" s="21">
        <v>45125</v>
      </c>
      <c r="AM158" s="1">
        <v>1.77</v>
      </c>
      <c r="AN158" s="1">
        <v>1.6598999999999999</v>
      </c>
      <c r="AO158" s="6">
        <v>-3.2805034378277642E-2</v>
      </c>
      <c r="AP158" s="21" t="s">
        <v>161</v>
      </c>
      <c r="AQ158" s="1">
        <v>8993.18</v>
      </c>
      <c r="AR158" s="6">
        <v>1.6682088330544076E-4</v>
      </c>
    </row>
    <row r="159" spans="2:44" x14ac:dyDescent="0.35">
      <c r="B159" s="21">
        <v>45127</v>
      </c>
      <c r="C159" s="1">
        <v>0.54</v>
      </c>
      <c r="D159" s="1">
        <v>0.54</v>
      </c>
      <c r="E159" s="6">
        <f t="shared" si="73"/>
        <v>-5.2631578947368252E-2</v>
      </c>
      <c r="F159" s="21">
        <v>45127</v>
      </c>
      <c r="G159" s="1">
        <v>17</v>
      </c>
      <c r="H159" s="1">
        <v>12.7631</v>
      </c>
      <c r="I159" s="6">
        <f t="shared" si="71"/>
        <v>-8.7528541915842251E-3</v>
      </c>
      <c r="J159" s="21">
        <v>45127</v>
      </c>
      <c r="K159" s="1">
        <v>46.9</v>
      </c>
      <c r="L159" s="1">
        <v>31.088999999999999</v>
      </c>
      <c r="M159" s="6">
        <f t="shared" si="66"/>
        <v>2.1371447359512796E-3</v>
      </c>
      <c r="N159" s="21">
        <v>45127</v>
      </c>
      <c r="O159" s="1">
        <v>16.600000000000001</v>
      </c>
      <c r="P159" s="1">
        <v>15.4979</v>
      </c>
      <c r="Q159" s="6">
        <f t="shared" si="67"/>
        <v>2.1783418493489304E-2</v>
      </c>
      <c r="R159" s="21">
        <v>45127</v>
      </c>
      <c r="S159" s="1">
        <v>7.87</v>
      </c>
      <c r="T159" s="1">
        <v>6.9516</v>
      </c>
      <c r="U159" s="6">
        <f t="shared" si="72"/>
        <v>0</v>
      </c>
      <c r="V159" s="21">
        <v>45127</v>
      </c>
      <c r="W159" s="1">
        <v>6.45</v>
      </c>
      <c r="X159" s="1">
        <v>5.7210000000000001</v>
      </c>
      <c r="Y159" s="6">
        <f t="shared" si="74"/>
        <v>7.7505724854678437E-3</v>
      </c>
      <c r="Z159" s="21">
        <v>45127</v>
      </c>
      <c r="AA159" s="1">
        <v>2.02</v>
      </c>
      <c r="AB159" s="1">
        <v>2.02</v>
      </c>
      <c r="AC159" s="6">
        <f t="shared" si="68"/>
        <v>0</v>
      </c>
      <c r="AD159" s="21">
        <v>45127</v>
      </c>
      <c r="AE159" s="1">
        <v>7.4</v>
      </c>
      <c r="AF159" s="1">
        <v>6.9100999999999999</v>
      </c>
      <c r="AG159" s="6">
        <f t="shared" si="69"/>
        <v>-1.3440471717202085E-3</v>
      </c>
      <c r="AH159" s="21">
        <v>45127</v>
      </c>
      <c r="AI159" s="1">
        <v>9.1</v>
      </c>
      <c r="AJ159" s="1">
        <v>8.2308000000000003</v>
      </c>
      <c r="AK159" s="6">
        <f t="shared" si="70"/>
        <v>-5.4615756404059468E-3</v>
      </c>
      <c r="AL159" s="21">
        <v>45127</v>
      </c>
      <c r="AM159" s="1">
        <v>1.7</v>
      </c>
      <c r="AN159" s="1">
        <v>1.5943000000000001</v>
      </c>
      <c r="AO159" s="6">
        <v>-3.9520453039339598E-2</v>
      </c>
      <c r="AP159" s="21" t="s">
        <v>162</v>
      </c>
      <c r="AQ159" s="1">
        <v>8992.11</v>
      </c>
      <c r="AR159" s="6">
        <v>-1.1897904856783548E-4</v>
      </c>
    </row>
    <row r="160" spans="2:44" x14ac:dyDescent="0.35">
      <c r="B160" s="21">
        <v>45128</v>
      </c>
      <c r="C160" s="1">
        <v>0.56999999999999995</v>
      </c>
      <c r="D160" s="1">
        <v>0.56999999999999995</v>
      </c>
      <c r="E160" s="6">
        <f t="shared" si="73"/>
        <v>5.5555555555555358E-2</v>
      </c>
      <c r="F160" s="21">
        <v>45128</v>
      </c>
      <c r="G160" s="1">
        <v>16.75</v>
      </c>
      <c r="H160" s="1">
        <v>12.5754</v>
      </c>
      <c r="I160" s="6">
        <f t="shared" si="71"/>
        <v>-1.4706458462285799E-2</v>
      </c>
      <c r="J160" s="21">
        <v>45128</v>
      </c>
      <c r="K160" s="1">
        <v>47</v>
      </c>
      <c r="L160" s="1">
        <v>31.1553</v>
      </c>
      <c r="M160" s="6">
        <f t="shared" si="66"/>
        <v>2.1325870886810261E-3</v>
      </c>
      <c r="N160" s="21">
        <v>45128</v>
      </c>
      <c r="O160" s="1">
        <v>16.3</v>
      </c>
      <c r="P160" s="1">
        <v>15.2178</v>
      </c>
      <c r="Q160" s="6">
        <f t="shared" si="67"/>
        <v>-1.8073416398350695E-2</v>
      </c>
      <c r="R160" s="21">
        <v>45128</v>
      </c>
      <c r="S160" s="1">
        <v>8.15</v>
      </c>
      <c r="T160" s="1">
        <v>7.1989999999999998</v>
      </c>
      <c r="U160" s="6">
        <f t="shared" si="72"/>
        <v>3.5588929167385874E-2</v>
      </c>
      <c r="V160" s="21">
        <v>45128</v>
      </c>
      <c r="W160" s="1">
        <v>6.45</v>
      </c>
      <c r="X160" s="1">
        <v>5.7210000000000001</v>
      </c>
      <c r="Y160" s="6">
        <f t="shared" si="74"/>
        <v>0</v>
      </c>
      <c r="Z160" s="21">
        <v>45128</v>
      </c>
      <c r="AA160" s="1">
        <v>2.08</v>
      </c>
      <c r="AB160" s="1">
        <v>2.08</v>
      </c>
      <c r="AC160" s="6">
        <f t="shared" si="68"/>
        <v>2.9702970297029729E-2</v>
      </c>
      <c r="AD160" s="21">
        <v>45128</v>
      </c>
      <c r="AE160" s="1">
        <v>7.49</v>
      </c>
      <c r="AF160" s="1">
        <v>6.9941000000000004</v>
      </c>
      <c r="AG160" s="6">
        <f t="shared" si="69"/>
        <v>1.2156119303628143E-2</v>
      </c>
      <c r="AH160" s="21">
        <v>45128</v>
      </c>
      <c r="AI160" s="1">
        <v>9.1</v>
      </c>
      <c r="AJ160" s="1">
        <v>8.2308000000000003</v>
      </c>
      <c r="AK160" s="6">
        <f t="shared" si="70"/>
        <v>0</v>
      </c>
      <c r="AL160" s="21">
        <v>45128</v>
      </c>
      <c r="AM160" s="1">
        <v>1.68</v>
      </c>
      <c r="AN160" s="1">
        <v>1.5754999999999999</v>
      </c>
      <c r="AO160" s="6">
        <v>-1.1792009032177253E-2</v>
      </c>
      <c r="AP160" s="21" t="s">
        <v>163</v>
      </c>
      <c r="AQ160" s="1">
        <v>9017.92</v>
      </c>
      <c r="AR160" s="6">
        <v>2.8702940689113721E-3</v>
      </c>
    </row>
    <row r="161" spans="2:44" x14ac:dyDescent="0.35">
      <c r="B161" s="21">
        <v>45131</v>
      </c>
      <c r="C161" s="1">
        <v>0.56999999999999995</v>
      </c>
      <c r="D161" s="1">
        <v>0.56999999999999995</v>
      </c>
      <c r="E161" s="6">
        <f t="shared" si="73"/>
        <v>0</v>
      </c>
      <c r="F161" s="21">
        <v>45131</v>
      </c>
      <c r="G161" s="1">
        <v>16.739999999999998</v>
      </c>
      <c r="H161" s="1">
        <v>12.5679</v>
      </c>
      <c r="I161" s="6">
        <f t="shared" si="71"/>
        <v>-5.964025001192752E-4</v>
      </c>
      <c r="J161" s="21">
        <v>45131</v>
      </c>
      <c r="K161" s="1">
        <v>47.1</v>
      </c>
      <c r="L161" s="1">
        <v>31.221599999999999</v>
      </c>
      <c r="M161" s="6">
        <f t="shared" si="66"/>
        <v>2.1280488392023678E-3</v>
      </c>
      <c r="N161" s="21">
        <v>45131</v>
      </c>
      <c r="O161" s="1">
        <v>16.29</v>
      </c>
      <c r="P161" s="1">
        <v>15.208500000000001</v>
      </c>
      <c r="Q161" s="6">
        <f t="shared" si="67"/>
        <v>-6.1112644403260585E-4</v>
      </c>
      <c r="R161" s="21">
        <v>45131</v>
      </c>
      <c r="S161" s="1">
        <v>8.14</v>
      </c>
      <c r="T161" s="1">
        <v>7.1901000000000002</v>
      </c>
      <c r="U161" s="6">
        <f t="shared" si="72"/>
        <v>-1.2362828170578988E-3</v>
      </c>
      <c r="V161" s="21">
        <v>45131</v>
      </c>
      <c r="W161" s="1">
        <v>6.45</v>
      </c>
      <c r="X161" s="1">
        <v>5.7210000000000001</v>
      </c>
      <c r="Y161" s="6">
        <f t="shared" si="74"/>
        <v>0</v>
      </c>
      <c r="Z161" s="21">
        <v>45131</v>
      </c>
      <c r="AA161" s="1">
        <v>2.12</v>
      </c>
      <c r="AB161" s="1">
        <v>2.12</v>
      </c>
      <c r="AC161" s="6">
        <f t="shared" si="68"/>
        <v>1.9230769230769162E-2</v>
      </c>
      <c r="AD161" s="21">
        <v>45131</v>
      </c>
      <c r="AE161" s="1">
        <v>7.47</v>
      </c>
      <c r="AF161" s="1">
        <v>6.9755000000000003</v>
      </c>
      <c r="AG161" s="6">
        <f t="shared" si="69"/>
        <v>-2.659384338227988E-3</v>
      </c>
      <c r="AH161" s="21">
        <v>45131</v>
      </c>
      <c r="AI161" s="1">
        <v>9</v>
      </c>
      <c r="AJ161" s="1">
        <v>8.1402999999999999</v>
      </c>
      <c r="AK161" s="6">
        <f t="shared" si="70"/>
        <v>-1.0995285998930848E-2</v>
      </c>
      <c r="AL161" s="21">
        <v>45131</v>
      </c>
      <c r="AM161" s="1">
        <v>1.61</v>
      </c>
      <c r="AN161" s="1">
        <v>1.5099</v>
      </c>
      <c r="AO161" s="6">
        <v>-4.1637575372897473E-2</v>
      </c>
      <c r="AP161" s="21" t="s">
        <v>164</v>
      </c>
      <c r="AQ161" s="1">
        <v>9025.41</v>
      </c>
      <c r="AR161" s="6">
        <v>8.3056846811668805E-4</v>
      </c>
    </row>
    <row r="162" spans="2:44" x14ac:dyDescent="0.35">
      <c r="B162" s="21">
        <v>45133</v>
      </c>
      <c r="C162" s="1">
        <v>0.54</v>
      </c>
      <c r="D162" s="1">
        <v>0.54</v>
      </c>
      <c r="E162" s="6">
        <f t="shared" si="73"/>
        <v>-5.2631578947368252E-2</v>
      </c>
      <c r="F162" s="21">
        <v>45133</v>
      </c>
      <c r="G162" s="1">
        <v>16.739999999999998</v>
      </c>
      <c r="H162" s="1">
        <v>12.5679</v>
      </c>
      <c r="I162" s="6">
        <f t="shared" si="71"/>
        <v>0</v>
      </c>
      <c r="J162" s="21">
        <v>45133</v>
      </c>
      <c r="K162" s="1">
        <v>46.9</v>
      </c>
      <c r="L162" s="1">
        <v>31.088999999999999</v>
      </c>
      <c r="M162" s="6">
        <f t="shared" si="66"/>
        <v>-4.2470597278807531E-3</v>
      </c>
      <c r="N162" s="21">
        <v>45133</v>
      </c>
      <c r="O162" s="1">
        <v>16.25</v>
      </c>
      <c r="P162" s="1">
        <v>15.171200000000001</v>
      </c>
      <c r="Q162" s="6">
        <f t="shared" si="67"/>
        <v>-2.4525758621823934E-3</v>
      </c>
      <c r="R162" s="21">
        <v>45133</v>
      </c>
      <c r="S162" s="1">
        <v>8.1999999999999993</v>
      </c>
      <c r="T162" s="1">
        <v>7.2431000000000001</v>
      </c>
      <c r="U162" s="6">
        <f t="shared" si="72"/>
        <v>7.3712465751518685E-3</v>
      </c>
      <c r="V162" s="21">
        <v>45133</v>
      </c>
      <c r="W162" s="1">
        <v>6.5</v>
      </c>
      <c r="X162" s="1">
        <v>5.766</v>
      </c>
      <c r="Y162" s="6">
        <f t="shared" si="74"/>
        <v>7.8657577346616936E-3</v>
      </c>
      <c r="Z162" s="21">
        <v>45133</v>
      </c>
      <c r="AA162" s="1">
        <v>2.16</v>
      </c>
      <c r="AB162" s="1">
        <v>2.16</v>
      </c>
      <c r="AC162" s="6">
        <f t="shared" si="68"/>
        <v>1.8867924528301883E-2</v>
      </c>
      <c r="AD162" s="21">
        <v>45133</v>
      </c>
      <c r="AE162" s="1">
        <v>7.4</v>
      </c>
      <c r="AF162" s="1">
        <v>6.9100999999999999</v>
      </c>
      <c r="AG162" s="6">
        <f t="shared" si="69"/>
        <v>-9.3756719948391298E-3</v>
      </c>
      <c r="AH162" s="21">
        <v>45133</v>
      </c>
      <c r="AI162" s="1">
        <v>8.98</v>
      </c>
      <c r="AJ162" s="1">
        <v>8.1221999999999994</v>
      </c>
      <c r="AK162" s="6">
        <f t="shared" si="70"/>
        <v>-2.223505276218396E-3</v>
      </c>
      <c r="AL162" s="21">
        <v>45133</v>
      </c>
      <c r="AM162" s="1">
        <v>1.66</v>
      </c>
      <c r="AN162" s="1">
        <v>1.5567</v>
      </c>
      <c r="AO162" s="6">
        <v>3.0995430160937865E-2</v>
      </c>
      <c r="AP162" s="21" t="s">
        <v>165</v>
      </c>
      <c r="AQ162" s="1">
        <v>9029.74</v>
      </c>
      <c r="AR162" s="6">
        <v>4.7975659831522854E-4</v>
      </c>
    </row>
    <row r="163" spans="2:44" x14ac:dyDescent="0.35">
      <c r="B163" s="21">
        <v>45134</v>
      </c>
      <c r="C163" s="1">
        <v>0.56000000000000005</v>
      </c>
      <c r="D163" s="1">
        <v>0.56000000000000005</v>
      </c>
      <c r="E163" s="6">
        <f t="shared" si="73"/>
        <v>3.7037037037036979E-2</v>
      </c>
      <c r="F163" s="21">
        <v>45134</v>
      </c>
      <c r="G163" s="1">
        <v>16.739999999999998</v>
      </c>
      <c r="H163" s="1">
        <v>12.5679</v>
      </c>
      <c r="I163" s="6">
        <f t="shared" si="71"/>
        <v>0</v>
      </c>
      <c r="J163" s="21">
        <v>45134</v>
      </c>
      <c r="K163" s="1">
        <v>46.9</v>
      </c>
      <c r="L163" s="1">
        <v>31.088999999999999</v>
      </c>
      <c r="M163" s="6">
        <f t="shared" si="66"/>
        <v>0</v>
      </c>
      <c r="N163" s="21">
        <v>45134</v>
      </c>
      <c r="O163" s="1">
        <v>16.21</v>
      </c>
      <c r="P163" s="1">
        <v>15.133800000000001</v>
      </c>
      <c r="Q163" s="6">
        <f t="shared" si="67"/>
        <v>-2.465197215777204E-3</v>
      </c>
      <c r="R163" s="21">
        <v>45134</v>
      </c>
      <c r="S163" s="1">
        <v>8.25</v>
      </c>
      <c r="T163" s="1">
        <v>7.2873000000000001</v>
      </c>
      <c r="U163" s="6">
        <f t="shared" si="72"/>
        <v>6.1023594869600295E-3</v>
      </c>
      <c r="V163" s="21">
        <v>45134</v>
      </c>
      <c r="W163" s="1">
        <v>6.5</v>
      </c>
      <c r="X163" s="1">
        <v>5.766</v>
      </c>
      <c r="Y163" s="6">
        <f t="shared" si="74"/>
        <v>0</v>
      </c>
      <c r="Z163" s="21">
        <v>45134</v>
      </c>
      <c r="AA163" s="1">
        <v>2.19</v>
      </c>
      <c r="AB163" s="1">
        <v>2.19</v>
      </c>
      <c r="AC163" s="6">
        <f t="shared" si="68"/>
        <v>1.388888888888884E-2</v>
      </c>
      <c r="AD163" s="21">
        <v>45134</v>
      </c>
      <c r="AE163" s="1">
        <v>7.46</v>
      </c>
      <c r="AF163" s="1">
        <v>6.9661</v>
      </c>
      <c r="AG163" s="6">
        <f t="shared" si="69"/>
        <v>8.1040795357520956E-3</v>
      </c>
      <c r="AH163" s="21">
        <v>45134</v>
      </c>
      <c r="AI163" s="1">
        <v>9</v>
      </c>
      <c r="AJ163" s="1">
        <v>8.1402999999999999</v>
      </c>
      <c r="AK163" s="6">
        <f t="shared" si="70"/>
        <v>2.2284602693851685E-3</v>
      </c>
      <c r="AL163" s="21">
        <v>45134</v>
      </c>
      <c r="AM163" s="1">
        <v>1.6</v>
      </c>
      <c r="AN163" s="1">
        <v>1.6</v>
      </c>
      <c r="AO163" s="6">
        <v>2.7815250208774955E-2</v>
      </c>
      <c r="AP163" s="21" t="s">
        <v>166</v>
      </c>
      <c r="AQ163" s="1">
        <v>9028.2800000000007</v>
      </c>
      <c r="AR163" s="6">
        <v>-1.6168793342874466E-4</v>
      </c>
    </row>
    <row r="164" spans="2:44" x14ac:dyDescent="0.35">
      <c r="B164" s="21">
        <v>45135</v>
      </c>
      <c r="C164" s="1">
        <v>0.56999999999999995</v>
      </c>
      <c r="D164" s="1">
        <v>0.56999999999999995</v>
      </c>
      <c r="E164" s="6">
        <f t="shared" si="73"/>
        <v>1.7857142857142572E-2</v>
      </c>
      <c r="F164" s="21">
        <v>45135</v>
      </c>
      <c r="G164" s="1">
        <v>16.68</v>
      </c>
      <c r="H164" s="1">
        <v>12.5229</v>
      </c>
      <c r="I164" s="6">
        <f t="shared" si="71"/>
        <v>-3.580550449955866E-3</v>
      </c>
      <c r="J164" s="21">
        <v>45135</v>
      </c>
      <c r="K164" s="1">
        <v>46.9</v>
      </c>
      <c r="L164" s="1">
        <v>31.088999999999999</v>
      </c>
      <c r="M164" s="6">
        <f t="shared" si="66"/>
        <v>0</v>
      </c>
      <c r="N164" s="21">
        <v>45135</v>
      </c>
      <c r="O164" s="1">
        <v>16.170000000000002</v>
      </c>
      <c r="P164" s="1">
        <v>15.096500000000001</v>
      </c>
      <c r="Q164" s="6">
        <f t="shared" si="67"/>
        <v>-2.4646817058504578E-3</v>
      </c>
      <c r="R164" s="21">
        <v>45135</v>
      </c>
      <c r="S164" s="1">
        <v>8.2200000000000006</v>
      </c>
      <c r="T164" s="1">
        <v>7.2607999999999997</v>
      </c>
      <c r="U164" s="6">
        <f t="shared" si="72"/>
        <v>-3.6364634363893478E-3</v>
      </c>
      <c r="V164" s="21">
        <v>45135</v>
      </c>
      <c r="W164" s="1">
        <v>6.5</v>
      </c>
      <c r="X164" s="1">
        <v>5.766</v>
      </c>
      <c r="Y164" s="6">
        <f t="shared" si="74"/>
        <v>0</v>
      </c>
      <c r="Z164" s="21">
        <v>45135</v>
      </c>
      <c r="AA164" s="1">
        <v>2.17</v>
      </c>
      <c r="AB164" s="1">
        <v>2.17</v>
      </c>
      <c r="AC164" s="6">
        <f t="shared" si="68"/>
        <v>-9.1324200913242004E-3</v>
      </c>
      <c r="AD164" s="21">
        <v>45135</v>
      </c>
      <c r="AE164" s="1">
        <v>7.43</v>
      </c>
      <c r="AF164" s="1">
        <v>6.9381000000000004</v>
      </c>
      <c r="AG164" s="6">
        <f t="shared" si="69"/>
        <v>-4.019465698166802E-3</v>
      </c>
      <c r="AH164" s="21">
        <v>45135</v>
      </c>
      <c r="AI164" s="1">
        <v>9</v>
      </c>
      <c r="AJ164" s="1">
        <v>8.1402999999999999</v>
      </c>
      <c r="AK164" s="6">
        <f t="shared" si="70"/>
        <v>0</v>
      </c>
      <c r="AL164" s="21">
        <v>45135</v>
      </c>
      <c r="AM164" s="1">
        <v>1.63</v>
      </c>
      <c r="AN164" s="1">
        <v>1.63</v>
      </c>
      <c r="AO164" s="6">
        <v>1.8749999999999822E-2</v>
      </c>
      <c r="AP164" s="21" t="s">
        <v>167</v>
      </c>
      <c r="AQ164" s="1">
        <v>9044.36</v>
      </c>
      <c r="AR164" s="6">
        <v>1.7810701484668456E-3</v>
      </c>
    </row>
    <row r="165" spans="2:44" x14ac:dyDescent="0.35">
      <c r="B165" s="21">
        <v>45138</v>
      </c>
      <c r="C165" s="1">
        <v>0.56999999999999995</v>
      </c>
      <c r="D165" s="1">
        <v>0.56999999999999995</v>
      </c>
      <c r="E165" s="6">
        <f t="shared" si="73"/>
        <v>0</v>
      </c>
      <c r="F165" s="21">
        <v>45138</v>
      </c>
      <c r="G165" s="1">
        <v>16.5</v>
      </c>
      <c r="H165" s="1">
        <v>12.3878</v>
      </c>
      <c r="I165" s="6">
        <f t="shared" si="71"/>
        <v>-1.0788235951736391E-2</v>
      </c>
      <c r="J165" s="21">
        <v>45138</v>
      </c>
      <c r="K165" s="1">
        <v>47</v>
      </c>
      <c r="L165" s="1">
        <v>31.1553</v>
      </c>
      <c r="M165" s="6">
        <f t="shared" si="66"/>
        <v>2.1325870886810261E-3</v>
      </c>
      <c r="N165" s="21">
        <v>45138</v>
      </c>
      <c r="O165" s="1">
        <v>16.02</v>
      </c>
      <c r="P165" s="1">
        <v>14.9564</v>
      </c>
      <c r="Q165" s="6">
        <f t="shared" si="67"/>
        <v>-9.2802967575266182E-3</v>
      </c>
      <c r="R165" s="21">
        <v>45138</v>
      </c>
      <c r="S165" s="1">
        <v>7.9</v>
      </c>
      <c r="T165" s="1">
        <v>7.3990999999999998</v>
      </c>
      <c r="U165" s="6">
        <f t="shared" si="72"/>
        <v>1.9047487880123448E-2</v>
      </c>
      <c r="V165" s="21">
        <v>45138</v>
      </c>
      <c r="W165" s="1">
        <v>6.5</v>
      </c>
      <c r="X165" s="1">
        <v>5.766</v>
      </c>
      <c r="Y165" s="6">
        <f t="shared" si="74"/>
        <v>0</v>
      </c>
      <c r="Z165" s="21">
        <v>45138</v>
      </c>
      <c r="AA165" s="1">
        <v>2.16</v>
      </c>
      <c r="AB165" s="1">
        <v>2.16</v>
      </c>
      <c r="AC165" s="6">
        <f t="shared" si="68"/>
        <v>-4.6082949308754451E-3</v>
      </c>
      <c r="AD165" s="21">
        <v>45138</v>
      </c>
      <c r="AE165" s="1">
        <v>7.46</v>
      </c>
      <c r="AF165" s="1">
        <v>6.9661</v>
      </c>
      <c r="AG165" s="6">
        <f t="shared" si="69"/>
        <v>4.0356870036464265E-3</v>
      </c>
      <c r="AH165" s="21">
        <v>45138</v>
      </c>
      <c r="AI165" s="1">
        <v>8.9700000000000006</v>
      </c>
      <c r="AJ165" s="1">
        <v>8.1132000000000009</v>
      </c>
      <c r="AK165" s="6">
        <f t="shared" si="70"/>
        <v>-3.3291156345588435E-3</v>
      </c>
      <c r="AL165" s="21">
        <v>45138</v>
      </c>
      <c r="AM165" s="1">
        <v>1.63</v>
      </c>
      <c r="AN165" s="1">
        <v>1.63</v>
      </c>
      <c r="AO165" s="6">
        <v>0</v>
      </c>
      <c r="AP165" s="21" t="s">
        <v>168</v>
      </c>
      <c r="AQ165" s="1">
        <v>9027.1200000000008</v>
      </c>
      <c r="AR165" s="6">
        <v>-1.9061603032165531E-3</v>
      </c>
    </row>
    <row r="166" spans="2:44" x14ac:dyDescent="0.35">
      <c r="B166" s="21">
        <v>45139</v>
      </c>
      <c r="C166" s="1">
        <v>0.56000000000000005</v>
      </c>
      <c r="D166" s="1">
        <v>0.56000000000000005</v>
      </c>
      <c r="E166" s="6">
        <f t="shared" si="73"/>
        <v>-1.754385964912264E-2</v>
      </c>
      <c r="F166" s="21">
        <v>45139</v>
      </c>
      <c r="G166" s="1">
        <v>16.2</v>
      </c>
      <c r="H166" s="1">
        <v>12.1625</v>
      </c>
      <c r="I166" s="6">
        <f t="shared" si="71"/>
        <v>-1.8187248744732765E-2</v>
      </c>
      <c r="J166" s="21">
        <v>45139</v>
      </c>
      <c r="K166" s="1">
        <v>46.9</v>
      </c>
      <c r="L166" s="1">
        <v>31.088999999999999</v>
      </c>
      <c r="M166" s="6">
        <f t="shared" si="66"/>
        <v>-2.1280488392023678E-3</v>
      </c>
      <c r="N166" s="21">
        <v>45139</v>
      </c>
      <c r="O166" s="1">
        <v>16.100000000000001</v>
      </c>
      <c r="P166" s="1">
        <v>15.0311</v>
      </c>
      <c r="Q166" s="6">
        <f t="shared" si="67"/>
        <v>4.9945173972345547E-3</v>
      </c>
      <c r="R166" s="21">
        <v>45139</v>
      </c>
      <c r="S166" s="1">
        <v>7.94</v>
      </c>
      <c r="T166" s="1">
        <v>7.4366000000000003</v>
      </c>
      <c r="U166" s="6">
        <f t="shared" si="72"/>
        <v>5.0681839683206498E-3</v>
      </c>
      <c r="V166" s="21">
        <v>45139</v>
      </c>
      <c r="W166" s="1">
        <v>6.5</v>
      </c>
      <c r="X166" s="1">
        <v>5.766</v>
      </c>
      <c r="Y166" s="6">
        <f t="shared" si="74"/>
        <v>0</v>
      </c>
      <c r="Z166" s="21">
        <v>45139</v>
      </c>
      <c r="AA166" s="1">
        <v>2.14</v>
      </c>
      <c r="AB166" s="1">
        <v>2.14</v>
      </c>
      <c r="AC166" s="6">
        <f t="shared" si="68"/>
        <v>-9.2592592592593004E-3</v>
      </c>
      <c r="AD166" s="21">
        <v>45139</v>
      </c>
      <c r="AE166" s="1">
        <v>7.46</v>
      </c>
      <c r="AF166" s="1">
        <v>6.9661</v>
      </c>
      <c r="AG166" s="6">
        <f t="shared" si="69"/>
        <v>0</v>
      </c>
      <c r="AH166" s="21">
        <v>45139</v>
      </c>
      <c r="AI166" s="1">
        <v>8.73</v>
      </c>
      <c r="AJ166" s="1">
        <v>8.1219000000000001</v>
      </c>
      <c r="AK166" s="6">
        <f t="shared" si="70"/>
        <v>1.0723265789083225E-3</v>
      </c>
      <c r="AL166" s="21">
        <v>45139</v>
      </c>
      <c r="AM166" s="1">
        <v>1.7</v>
      </c>
      <c r="AN166" s="1">
        <v>1.7</v>
      </c>
      <c r="AO166" s="6">
        <v>4.2944785276073594E-2</v>
      </c>
      <c r="AP166" s="21" t="s">
        <v>169</v>
      </c>
      <c r="AQ166" s="1">
        <v>8993.02</v>
      </c>
      <c r="AR166" s="6">
        <v>-3.7775060041298492E-3</v>
      </c>
    </row>
    <row r="167" spans="2:44" x14ac:dyDescent="0.35">
      <c r="B167" s="21">
        <v>45140</v>
      </c>
      <c r="C167" s="1">
        <v>0.56999999999999995</v>
      </c>
      <c r="D167" s="1">
        <v>0.56999999999999995</v>
      </c>
      <c r="E167" s="6">
        <f t="shared" si="73"/>
        <v>1.7857142857142572E-2</v>
      </c>
      <c r="F167" s="21">
        <v>45140</v>
      </c>
      <c r="G167" s="1">
        <v>16.2</v>
      </c>
      <c r="H167" s="1">
        <v>12.1625</v>
      </c>
      <c r="I167" s="6">
        <f t="shared" si="71"/>
        <v>0</v>
      </c>
      <c r="J167" s="21">
        <v>45140</v>
      </c>
      <c r="K167" s="1">
        <v>47.09</v>
      </c>
      <c r="L167" s="1">
        <v>31.2149</v>
      </c>
      <c r="M167" s="6">
        <f t="shared" si="66"/>
        <v>4.0496638682492314E-3</v>
      </c>
      <c r="N167" s="21">
        <v>45140</v>
      </c>
      <c r="O167" s="1">
        <v>16.04</v>
      </c>
      <c r="P167" s="1">
        <v>14.975099999999999</v>
      </c>
      <c r="Q167" s="6">
        <f t="shared" si="67"/>
        <v>-3.7256089042053686E-3</v>
      </c>
      <c r="R167" s="21">
        <v>45140</v>
      </c>
      <c r="S167" s="1">
        <v>7.94</v>
      </c>
      <c r="T167" s="1">
        <v>7.4366000000000003</v>
      </c>
      <c r="U167" s="6">
        <f t="shared" si="72"/>
        <v>0</v>
      </c>
      <c r="V167" s="21">
        <v>45140</v>
      </c>
      <c r="W167" s="1">
        <v>6.5</v>
      </c>
      <c r="X167" s="1">
        <v>5.766</v>
      </c>
      <c r="Y167" s="6">
        <f t="shared" si="74"/>
        <v>0</v>
      </c>
      <c r="Z167" s="21">
        <v>45140</v>
      </c>
      <c r="AA167" s="1">
        <v>2.11</v>
      </c>
      <c r="AB167" s="1">
        <v>2.11</v>
      </c>
      <c r="AC167" s="6">
        <f t="shared" si="68"/>
        <v>-1.4018691588785215E-2</v>
      </c>
      <c r="AD167" s="21">
        <v>45140</v>
      </c>
      <c r="AE167" s="1">
        <v>7.46</v>
      </c>
      <c r="AF167" s="1">
        <v>6.9661</v>
      </c>
      <c r="AG167" s="6">
        <f t="shared" si="69"/>
        <v>0</v>
      </c>
      <c r="AH167" s="21">
        <v>45140</v>
      </c>
      <c r="AI167" s="1">
        <v>8.6999999999999993</v>
      </c>
      <c r="AJ167" s="1">
        <v>8.0939999999999994</v>
      </c>
      <c r="AK167" s="6">
        <f t="shared" si="70"/>
        <v>-3.4351567982862097E-3</v>
      </c>
      <c r="AL167" s="21">
        <v>45140</v>
      </c>
      <c r="AM167" s="1">
        <v>1.74</v>
      </c>
      <c r="AN167" s="1">
        <v>1.74</v>
      </c>
      <c r="AO167" s="6">
        <v>2.3529411764705799E-2</v>
      </c>
      <c r="AP167" s="21" t="s">
        <v>170</v>
      </c>
      <c r="AQ167" s="1">
        <v>8965.2199999999993</v>
      </c>
      <c r="AR167" s="6">
        <v>-3.0912863531940005E-3</v>
      </c>
    </row>
    <row r="168" spans="2:44" x14ac:dyDescent="0.35">
      <c r="B168" s="21">
        <v>45141</v>
      </c>
      <c r="C168" s="1">
        <v>0.56999999999999995</v>
      </c>
      <c r="D168" s="1">
        <v>0.56999999999999995</v>
      </c>
      <c r="E168" s="6">
        <f t="shared" si="73"/>
        <v>0</v>
      </c>
      <c r="F168" s="21">
        <v>45141</v>
      </c>
      <c r="G168" s="1">
        <v>16.2</v>
      </c>
      <c r="H168" s="1">
        <v>12.1625</v>
      </c>
      <c r="I168" s="6">
        <f t="shared" si="71"/>
        <v>0</v>
      </c>
      <c r="J168" s="21">
        <v>45141</v>
      </c>
      <c r="K168" s="1">
        <v>46.8</v>
      </c>
      <c r="L168" s="1">
        <v>31.0227</v>
      </c>
      <c r="M168" s="6">
        <f t="shared" si="66"/>
        <v>-6.1573158972157982E-3</v>
      </c>
      <c r="N168" s="21">
        <v>45141</v>
      </c>
      <c r="O168" s="1">
        <v>16.04</v>
      </c>
      <c r="P168" s="1">
        <v>14.975099999999999</v>
      </c>
      <c r="Q168" s="6">
        <f t="shared" si="67"/>
        <v>0</v>
      </c>
      <c r="R168" s="21">
        <v>45141</v>
      </c>
      <c r="S168" s="1">
        <v>7.9</v>
      </c>
      <c r="T168" s="1">
        <v>7.3990999999999998</v>
      </c>
      <c r="U168" s="6">
        <f t="shared" si="72"/>
        <v>-5.042627006965672E-3</v>
      </c>
      <c r="V168" s="21">
        <v>45141</v>
      </c>
      <c r="W168" s="1">
        <v>6.5</v>
      </c>
      <c r="X168" s="1">
        <v>5.766</v>
      </c>
      <c r="Y168" s="6">
        <f t="shared" si="74"/>
        <v>0</v>
      </c>
      <c r="Z168" s="21">
        <v>45141</v>
      </c>
      <c r="AA168" s="1">
        <v>2.1</v>
      </c>
      <c r="AB168" s="1">
        <v>2.1</v>
      </c>
      <c r="AC168" s="6">
        <f t="shared" si="68"/>
        <v>-4.7393364928909332E-3</v>
      </c>
      <c r="AD168" s="21">
        <v>45141</v>
      </c>
      <c r="AE168" s="1">
        <v>7.45</v>
      </c>
      <c r="AF168" s="1">
        <v>6.9568000000000003</v>
      </c>
      <c r="AG168" s="6">
        <f t="shared" si="69"/>
        <v>-1.3350368211767494E-3</v>
      </c>
      <c r="AH168" s="21">
        <v>45141</v>
      </c>
      <c r="AI168" s="1">
        <v>8.6999999999999993</v>
      </c>
      <c r="AJ168" s="1">
        <v>8.0939999999999994</v>
      </c>
      <c r="AK168" s="6">
        <f t="shared" si="70"/>
        <v>0</v>
      </c>
      <c r="AL168" s="21">
        <v>45141</v>
      </c>
      <c r="AM168" s="1">
        <v>1.74</v>
      </c>
      <c r="AN168" s="1">
        <v>1.74</v>
      </c>
      <c r="AO168" s="6">
        <v>0</v>
      </c>
      <c r="AP168" s="21" t="s">
        <v>171</v>
      </c>
      <c r="AQ168" s="1">
        <v>8962.7900000000009</v>
      </c>
      <c r="AR168" s="6">
        <v>-2.7104744780370726E-4</v>
      </c>
    </row>
    <row r="169" spans="2:44" x14ac:dyDescent="0.35">
      <c r="B169" s="21">
        <v>45142</v>
      </c>
      <c r="C169" s="1">
        <v>0.56999999999999995</v>
      </c>
      <c r="D169" s="1">
        <v>0.56999999999999995</v>
      </c>
      <c r="E169" s="6">
        <f t="shared" si="73"/>
        <v>0</v>
      </c>
      <c r="F169" s="21">
        <v>45142</v>
      </c>
      <c r="G169" s="1">
        <v>16.190000000000001</v>
      </c>
      <c r="H169" s="1">
        <v>12.154999999999999</v>
      </c>
      <c r="I169" s="6">
        <f t="shared" si="71"/>
        <v>-6.1664953751283669E-4</v>
      </c>
      <c r="J169" s="21">
        <v>45142</v>
      </c>
      <c r="K169" s="1">
        <v>46.6</v>
      </c>
      <c r="L169" s="1">
        <v>30.8901</v>
      </c>
      <c r="M169" s="6">
        <f t="shared" si="66"/>
        <v>-4.2742894719027813E-3</v>
      </c>
      <c r="N169" s="21">
        <v>45142</v>
      </c>
      <c r="O169" s="1">
        <v>15.89</v>
      </c>
      <c r="P169" s="1">
        <v>14.835100000000001</v>
      </c>
      <c r="Q169" s="6">
        <f t="shared" si="67"/>
        <v>-9.3488524283643626E-3</v>
      </c>
      <c r="R169" s="21">
        <v>45142</v>
      </c>
      <c r="S169" s="1">
        <v>7.85</v>
      </c>
      <c r="T169" s="1">
        <v>7.3522999999999996</v>
      </c>
      <c r="U169" s="6">
        <f t="shared" si="72"/>
        <v>-6.3250935924640261E-3</v>
      </c>
      <c r="V169" s="21">
        <v>45142</v>
      </c>
      <c r="W169" s="1">
        <v>6.45</v>
      </c>
      <c r="X169" s="1">
        <v>5.7210000000000001</v>
      </c>
      <c r="Y169" s="6">
        <f t="shared" si="74"/>
        <v>-7.804370447450526E-3</v>
      </c>
      <c r="Z169" s="21">
        <v>45142</v>
      </c>
      <c r="AA169" s="1">
        <v>2.1</v>
      </c>
      <c r="AB169" s="1">
        <v>2.1</v>
      </c>
      <c r="AC169" s="6">
        <f t="shared" si="68"/>
        <v>0</v>
      </c>
      <c r="AD169" s="21">
        <v>45142</v>
      </c>
      <c r="AE169" s="1">
        <v>7.35</v>
      </c>
      <c r="AF169" s="1">
        <v>6.8634000000000004</v>
      </c>
      <c r="AG169" s="6">
        <f t="shared" si="69"/>
        <v>-1.3425712971481096E-2</v>
      </c>
      <c r="AH169" s="21">
        <v>45142</v>
      </c>
      <c r="AI169" s="1">
        <v>8.6</v>
      </c>
      <c r="AJ169" s="1">
        <v>8.0009999999999994</v>
      </c>
      <c r="AK169" s="6">
        <f t="shared" si="70"/>
        <v>-1.1489992587101594E-2</v>
      </c>
      <c r="AL169" s="21">
        <v>45142</v>
      </c>
      <c r="AM169" s="1">
        <v>1.79</v>
      </c>
      <c r="AN169" s="1">
        <v>1.79</v>
      </c>
      <c r="AO169" s="6">
        <v>2.8735632183908066E-2</v>
      </c>
      <c r="AP169" s="21" t="s">
        <v>172</v>
      </c>
      <c r="AQ169" s="1">
        <v>8917.7199999999993</v>
      </c>
      <c r="AR169" s="6">
        <v>-5.028568113277343E-3</v>
      </c>
    </row>
    <row r="170" spans="2:44" x14ac:dyDescent="0.35">
      <c r="B170" s="21">
        <v>45145</v>
      </c>
      <c r="C170" s="1">
        <v>0.56000000000000005</v>
      </c>
      <c r="D170" s="1">
        <v>0.56000000000000005</v>
      </c>
      <c r="E170" s="6">
        <f t="shared" si="73"/>
        <v>-1.754385964912264E-2</v>
      </c>
      <c r="F170" s="21">
        <v>45145</v>
      </c>
      <c r="G170" s="1">
        <v>16.190000000000001</v>
      </c>
      <c r="H170" s="1">
        <v>12.154999999999999</v>
      </c>
      <c r="I170" s="6">
        <f t="shared" si="71"/>
        <v>0</v>
      </c>
      <c r="J170" s="21">
        <v>45145</v>
      </c>
      <c r="K170" s="1">
        <v>46.9</v>
      </c>
      <c r="L170" s="1">
        <v>31.088999999999999</v>
      </c>
      <c r="M170" s="6">
        <f t="shared" si="66"/>
        <v>6.4389561704234488E-3</v>
      </c>
      <c r="N170" s="21">
        <v>45145</v>
      </c>
      <c r="O170" s="1">
        <v>15.7</v>
      </c>
      <c r="P170" s="1">
        <v>14.6577</v>
      </c>
      <c r="Q170" s="6">
        <f t="shared" si="67"/>
        <v>-1.1958126335515074E-2</v>
      </c>
      <c r="R170" s="21">
        <v>45145</v>
      </c>
      <c r="S170" s="1">
        <v>7.85</v>
      </c>
      <c r="T170" s="1">
        <v>7.3522999999999996</v>
      </c>
      <c r="U170" s="6">
        <f t="shared" si="72"/>
        <v>0</v>
      </c>
      <c r="V170" s="21">
        <v>45145</v>
      </c>
      <c r="W170" s="1">
        <v>6.45</v>
      </c>
      <c r="X170" s="1">
        <v>5.7210000000000001</v>
      </c>
      <c r="Y170" s="6">
        <f t="shared" si="74"/>
        <v>0</v>
      </c>
      <c r="Z170" s="21">
        <v>45145</v>
      </c>
      <c r="AA170" s="1">
        <v>2.0699999999999998</v>
      </c>
      <c r="AB170" s="1">
        <v>2.0699999999999998</v>
      </c>
      <c r="AC170" s="6">
        <f t="shared" si="68"/>
        <v>-1.4285714285714457E-2</v>
      </c>
      <c r="AD170" s="21">
        <v>45145</v>
      </c>
      <c r="AE170" s="1">
        <v>7.34</v>
      </c>
      <c r="AF170" s="1">
        <v>6.8540999999999999</v>
      </c>
      <c r="AG170" s="6">
        <f t="shared" si="69"/>
        <v>-1.3550135501355642E-3</v>
      </c>
      <c r="AH170" s="21">
        <v>45145</v>
      </c>
      <c r="AI170" s="1">
        <v>8.6</v>
      </c>
      <c r="AJ170" s="1">
        <v>8.0009999999999994</v>
      </c>
      <c r="AK170" s="6">
        <f t="shared" si="70"/>
        <v>0</v>
      </c>
      <c r="AL170" s="21">
        <v>45145</v>
      </c>
      <c r="AM170" s="1">
        <v>1.82</v>
      </c>
      <c r="AN170" s="1">
        <v>1.82</v>
      </c>
      <c r="AO170" s="6">
        <v>1.6759776536312776E-2</v>
      </c>
      <c r="AP170" s="21" t="s">
        <v>173</v>
      </c>
      <c r="AQ170" s="1">
        <v>8920.4</v>
      </c>
      <c r="AR170" s="6">
        <v>3.005252463634811E-4</v>
      </c>
    </row>
    <row r="171" spans="2:44" x14ac:dyDescent="0.35">
      <c r="B171" s="21">
        <v>45146</v>
      </c>
      <c r="C171" s="1">
        <v>0.53</v>
      </c>
      <c r="D171" s="1">
        <v>0.53</v>
      </c>
      <c r="E171" s="6">
        <f t="shared" si="73"/>
        <v>-5.3571428571428603E-2</v>
      </c>
      <c r="F171" s="21">
        <v>45146</v>
      </c>
      <c r="G171" s="1">
        <v>16.100000000000001</v>
      </c>
      <c r="H171" s="1">
        <v>12.087400000000001</v>
      </c>
      <c r="I171" s="6">
        <f t="shared" si="71"/>
        <v>-5.5614973262031464E-3</v>
      </c>
      <c r="J171" s="21">
        <v>45146</v>
      </c>
      <c r="K171" s="1">
        <v>46.62</v>
      </c>
      <c r="L171" s="1">
        <v>30.903400000000001</v>
      </c>
      <c r="M171" s="6">
        <f t="shared" si="66"/>
        <v>-5.9699572195952566E-3</v>
      </c>
      <c r="N171" s="21">
        <v>45146</v>
      </c>
      <c r="O171" s="1">
        <v>15.14</v>
      </c>
      <c r="P171" s="1">
        <v>14.1349</v>
      </c>
      <c r="Q171" s="6">
        <f t="shared" si="67"/>
        <v>-3.5667260211356466E-2</v>
      </c>
      <c r="R171" s="21">
        <v>45146</v>
      </c>
      <c r="S171" s="1">
        <v>7.79</v>
      </c>
      <c r="T171" s="1">
        <v>7.2961</v>
      </c>
      <c r="U171" s="6">
        <f t="shared" si="72"/>
        <v>-7.6438665451626919E-3</v>
      </c>
      <c r="V171" s="21">
        <v>45146</v>
      </c>
      <c r="W171" s="1">
        <v>6.45</v>
      </c>
      <c r="X171" s="1">
        <v>5.7210000000000001</v>
      </c>
      <c r="Y171" s="6">
        <f t="shared" si="74"/>
        <v>0</v>
      </c>
      <c r="Z171" s="21">
        <v>45146</v>
      </c>
      <c r="AA171" s="1">
        <v>2.06</v>
      </c>
      <c r="AB171" s="1">
        <v>2.06</v>
      </c>
      <c r="AC171" s="6">
        <f t="shared" si="68"/>
        <v>-4.8309178743960457E-3</v>
      </c>
      <c r="AD171" s="21">
        <v>45146</v>
      </c>
      <c r="AE171" s="1">
        <v>7.34</v>
      </c>
      <c r="AF171" s="1">
        <v>6.8540999999999999</v>
      </c>
      <c r="AG171" s="6">
        <f t="shared" si="69"/>
        <v>0</v>
      </c>
      <c r="AH171" s="21">
        <v>45146</v>
      </c>
      <c r="AI171" s="1">
        <v>8.52</v>
      </c>
      <c r="AJ171" s="1">
        <v>7.9264999999999999</v>
      </c>
      <c r="AK171" s="6">
        <f t="shared" si="70"/>
        <v>-9.3113360829896186E-3</v>
      </c>
      <c r="AL171" s="21">
        <v>45146</v>
      </c>
      <c r="AM171" s="1">
        <v>1.82</v>
      </c>
      <c r="AN171" s="1">
        <v>1.82</v>
      </c>
      <c r="AO171" s="6">
        <v>0</v>
      </c>
      <c r="AP171" s="21" t="s">
        <v>174</v>
      </c>
      <c r="AQ171" s="1">
        <v>8914.1</v>
      </c>
      <c r="AR171" s="6">
        <v>-7.062463566654964E-4</v>
      </c>
    </row>
    <row r="172" spans="2:44" x14ac:dyDescent="0.35">
      <c r="B172" s="21">
        <v>45147</v>
      </c>
      <c r="C172" s="1">
        <v>0.5</v>
      </c>
      <c r="D172" s="1">
        <v>0.5</v>
      </c>
      <c r="E172" s="6">
        <f t="shared" si="73"/>
        <v>-5.6603773584905759E-2</v>
      </c>
      <c r="F172" s="21">
        <v>45147</v>
      </c>
      <c r="G172" s="1">
        <v>16.149999999999999</v>
      </c>
      <c r="H172" s="1">
        <v>12.125</v>
      </c>
      <c r="I172" s="6">
        <f t="shared" si="71"/>
        <v>3.1106772341444877E-3</v>
      </c>
      <c r="J172" s="21">
        <v>45147</v>
      </c>
      <c r="K172" s="1">
        <v>46.5</v>
      </c>
      <c r="L172" s="1">
        <v>30.823799999999999</v>
      </c>
      <c r="M172" s="6">
        <f t="shared" si="66"/>
        <v>-2.5757683620573069E-3</v>
      </c>
      <c r="N172" s="21">
        <v>45147</v>
      </c>
      <c r="O172" s="1">
        <v>14.97</v>
      </c>
      <c r="P172" s="1">
        <v>13.976100000000001</v>
      </c>
      <c r="Q172" s="6">
        <f t="shared" si="67"/>
        <v>-1.1234603711380964E-2</v>
      </c>
      <c r="R172" s="21">
        <v>45147</v>
      </c>
      <c r="S172" s="1">
        <v>7.64</v>
      </c>
      <c r="T172" s="1">
        <v>7.1555999999999997</v>
      </c>
      <c r="U172" s="6">
        <f t="shared" si="72"/>
        <v>-1.9256863255711965E-2</v>
      </c>
      <c r="V172" s="21">
        <v>45147</v>
      </c>
      <c r="W172" s="1">
        <v>6.5</v>
      </c>
      <c r="X172" s="1">
        <v>5.766</v>
      </c>
      <c r="Y172" s="6">
        <f t="shared" si="74"/>
        <v>7.8657577346616936E-3</v>
      </c>
      <c r="Z172" s="21">
        <v>45147</v>
      </c>
      <c r="AA172" s="1">
        <v>2.06</v>
      </c>
      <c r="AB172" s="1">
        <v>2.06</v>
      </c>
      <c r="AC172" s="6">
        <f t="shared" si="68"/>
        <v>0</v>
      </c>
      <c r="AD172" s="21">
        <v>45147</v>
      </c>
      <c r="AE172" s="1">
        <v>7.3</v>
      </c>
      <c r="AF172" s="1">
        <v>6.8167</v>
      </c>
      <c r="AG172" s="6">
        <f t="shared" si="69"/>
        <v>-5.4565880276038481E-3</v>
      </c>
      <c r="AH172" s="21">
        <v>45147</v>
      </c>
      <c r="AI172" s="1">
        <v>8.52</v>
      </c>
      <c r="AJ172" s="1">
        <v>7.9264999999999999</v>
      </c>
      <c r="AK172" s="6">
        <f t="shared" si="70"/>
        <v>0</v>
      </c>
      <c r="AL172" s="21">
        <v>45147</v>
      </c>
      <c r="AM172" s="1">
        <v>1.74</v>
      </c>
      <c r="AN172" s="1">
        <v>1.74</v>
      </c>
      <c r="AO172" s="6">
        <v>-4.3956043956044022E-2</v>
      </c>
      <c r="AP172" s="21" t="s">
        <v>175</v>
      </c>
      <c r="AQ172" s="1">
        <v>8898.26</v>
      </c>
      <c r="AR172" s="6">
        <v>-1.7769600969250732E-3</v>
      </c>
    </row>
    <row r="173" spans="2:44" x14ac:dyDescent="0.35">
      <c r="B173" s="21">
        <v>45148</v>
      </c>
      <c r="C173" s="1">
        <v>0.53</v>
      </c>
      <c r="D173" s="1">
        <v>0.53</v>
      </c>
      <c r="E173" s="6">
        <f t="shared" si="73"/>
        <v>6.0000000000000053E-2</v>
      </c>
      <c r="F173" s="21">
        <v>45148</v>
      </c>
      <c r="G173" s="1">
        <v>16.170000000000002</v>
      </c>
      <c r="H173" s="1">
        <v>12.14</v>
      </c>
      <c r="I173" s="6">
        <f t="shared" si="71"/>
        <v>1.2371134020618957E-3</v>
      </c>
      <c r="J173" s="21">
        <v>45148</v>
      </c>
      <c r="K173" s="1">
        <v>46.5</v>
      </c>
      <c r="L173" s="1">
        <v>30.823799999999999</v>
      </c>
      <c r="M173" s="6">
        <f t="shared" si="66"/>
        <v>0</v>
      </c>
      <c r="N173" s="21">
        <v>45148</v>
      </c>
      <c r="O173" s="1">
        <v>14.7</v>
      </c>
      <c r="P173" s="1">
        <v>13.7241</v>
      </c>
      <c r="Q173" s="6">
        <f t="shared" si="67"/>
        <v>-1.8030781119196426E-2</v>
      </c>
      <c r="R173" s="21">
        <v>45148</v>
      </c>
      <c r="S173" s="1">
        <v>7.6</v>
      </c>
      <c r="T173" s="1">
        <v>7.1181999999999999</v>
      </c>
      <c r="U173" s="6">
        <f t="shared" si="72"/>
        <v>-5.2266756107104406E-3</v>
      </c>
      <c r="V173" s="21">
        <v>45148</v>
      </c>
      <c r="W173" s="1">
        <v>6.5</v>
      </c>
      <c r="X173" s="1">
        <v>5.766</v>
      </c>
      <c r="Y173" s="6">
        <f t="shared" si="74"/>
        <v>0</v>
      </c>
      <c r="Z173" s="21">
        <v>45148</v>
      </c>
      <c r="AA173" s="1">
        <v>2.09</v>
      </c>
      <c r="AB173" s="1">
        <v>2.09</v>
      </c>
      <c r="AC173" s="6">
        <f t="shared" si="68"/>
        <v>1.4563106796116498E-2</v>
      </c>
      <c r="AD173" s="21">
        <v>45148</v>
      </c>
      <c r="AE173" s="1">
        <v>7.24</v>
      </c>
      <c r="AF173" s="1">
        <v>6.7606999999999999</v>
      </c>
      <c r="AG173" s="6">
        <f t="shared" si="69"/>
        <v>-8.2151187524754921E-3</v>
      </c>
      <c r="AH173" s="21">
        <v>45148</v>
      </c>
      <c r="AI173" s="1">
        <v>8.5500000000000007</v>
      </c>
      <c r="AJ173" s="1">
        <v>7.9543999999999997</v>
      </c>
      <c r="AK173" s="6">
        <f t="shared" si="70"/>
        <v>3.519838516369056E-3</v>
      </c>
      <c r="AL173" s="21">
        <v>45148</v>
      </c>
      <c r="AM173" s="1">
        <v>1.68</v>
      </c>
      <c r="AN173" s="1">
        <v>1.68</v>
      </c>
      <c r="AO173" s="6">
        <v>-3.4482758620689724E-2</v>
      </c>
      <c r="AP173" s="21" t="s">
        <v>176</v>
      </c>
      <c r="AQ173" s="1">
        <v>8901.74</v>
      </c>
      <c r="AR173" s="6">
        <v>3.910876957966547E-4</v>
      </c>
    </row>
    <row r="174" spans="2:44" x14ac:dyDescent="0.35">
      <c r="B174" s="21">
        <v>45149</v>
      </c>
      <c r="C174" s="1">
        <v>0.56000000000000005</v>
      </c>
      <c r="D174" s="1">
        <v>0.56000000000000005</v>
      </c>
      <c r="E174" s="6">
        <f t="shared" si="73"/>
        <v>5.6603773584905648E-2</v>
      </c>
      <c r="F174" s="21">
        <v>45149</v>
      </c>
      <c r="G174" s="1">
        <v>16.170000000000002</v>
      </c>
      <c r="H174" s="1">
        <v>12.14</v>
      </c>
      <c r="I174" s="6">
        <f t="shared" si="71"/>
        <v>0</v>
      </c>
      <c r="J174" s="21">
        <v>45149</v>
      </c>
      <c r="K174" s="1">
        <v>46.3</v>
      </c>
      <c r="L174" s="1">
        <v>30.691299999999998</v>
      </c>
      <c r="M174" s="6">
        <f t="shared" si="66"/>
        <v>-4.2986263861042318E-3</v>
      </c>
      <c r="N174" s="21">
        <v>45149</v>
      </c>
      <c r="O174" s="1">
        <v>14.65</v>
      </c>
      <c r="P174" s="1">
        <v>13.6774</v>
      </c>
      <c r="Q174" s="6">
        <f t="shared" si="67"/>
        <v>-3.4027732237450481E-3</v>
      </c>
      <c r="R174" s="21">
        <v>45149</v>
      </c>
      <c r="S174" s="1">
        <v>7.79</v>
      </c>
      <c r="T174" s="1">
        <v>7.2961</v>
      </c>
      <c r="U174" s="6">
        <f t="shared" si="72"/>
        <v>2.4992273327526737E-2</v>
      </c>
      <c r="V174" s="21">
        <v>45149</v>
      </c>
      <c r="W174" s="1">
        <v>6.5</v>
      </c>
      <c r="X174" s="1">
        <v>5.766</v>
      </c>
      <c r="Y174" s="6">
        <f t="shared" si="74"/>
        <v>0</v>
      </c>
      <c r="Z174" s="21">
        <v>45149</v>
      </c>
      <c r="AA174" s="1">
        <v>2.06</v>
      </c>
      <c r="AB174" s="1">
        <v>2.06</v>
      </c>
      <c r="AC174" s="6">
        <f t="shared" si="68"/>
        <v>-1.4354066985645786E-2</v>
      </c>
      <c r="AD174" s="21">
        <v>45149</v>
      </c>
      <c r="AE174" s="1">
        <v>7.2</v>
      </c>
      <c r="AF174" s="1">
        <v>6.7233000000000001</v>
      </c>
      <c r="AG174" s="6">
        <f t="shared" si="69"/>
        <v>-5.531971541408387E-3</v>
      </c>
      <c r="AH174" s="21">
        <v>45149</v>
      </c>
      <c r="AI174" s="1">
        <v>8.5500000000000007</v>
      </c>
      <c r="AJ174" s="1">
        <v>7.9543999999999997</v>
      </c>
      <c r="AK174" s="6">
        <f t="shared" si="70"/>
        <v>0</v>
      </c>
      <c r="AL174" s="21">
        <v>45149</v>
      </c>
      <c r="AM174" s="1">
        <v>1.68</v>
      </c>
      <c r="AN174" s="1">
        <v>1.68</v>
      </c>
      <c r="AO174" s="6">
        <v>0</v>
      </c>
      <c r="AP174" s="21" t="s">
        <v>177</v>
      </c>
      <c r="AQ174" s="1">
        <v>8892.98</v>
      </c>
      <c r="AR174" s="6">
        <v>-9.840772702864875E-4</v>
      </c>
    </row>
    <row r="175" spans="2:44" x14ac:dyDescent="0.35">
      <c r="B175" s="21">
        <v>45152</v>
      </c>
      <c r="C175" s="1">
        <v>0.56000000000000005</v>
      </c>
      <c r="D175" s="1">
        <v>0.56000000000000005</v>
      </c>
      <c r="E175" s="6">
        <f t="shared" si="73"/>
        <v>0</v>
      </c>
      <c r="F175" s="21">
        <v>45152</v>
      </c>
      <c r="G175" s="1">
        <v>16.170000000000002</v>
      </c>
      <c r="H175" s="1">
        <v>12.14</v>
      </c>
      <c r="I175" s="6">
        <f t="shared" si="71"/>
        <v>0</v>
      </c>
      <c r="J175" s="21">
        <v>45152</v>
      </c>
      <c r="K175" s="1">
        <v>46.25</v>
      </c>
      <c r="L175" s="1">
        <v>30.658100000000001</v>
      </c>
      <c r="M175" s="6">
        <f t="shared" si="66"/>
        <v>-1.0817397764186776E-3</v>
      </c>
      <c r="N175" s="21">
        <v>45152</v>
      </c>
      <c r="O175" s="1">
        <v>14.73</v>
      </c>
      <c r="P175" s="1">
        <v>13.7521</v>
      </c>
      <c r="Q175" s="6">
        <f t="shared" si="67"/>
        <v>5.4615643324023022E-3</v>
      </c>
      <c r="R175" s="21">
        <v>45152</v>
      </c>
      <c r="S175" s="1">
        <v>7.7</v>
      </c>
      <c r="T175" s="1">
        <v>7.2118000000000002</v>
      </c>
      <c r="U175" s="6">
        <f t="shared" si="72"/>
        <v>-1.1554117953427201E-2</v>
      </c>
      <c r="V175" s="21">
        <v>45152</v>
      </c>
      <c r="W175" s="1">
        <v>6.5</v>
      </c>
      <c r="X175" s="1">
        <v>5.766</v>
      </c>
      <c r="Y175" s="6">
        <f t="shared" si="74"/>
        <v>0</v>
      </c>
      <c r="Z175" s="21">
        <v>45152</v>
      </c>
      <c r="AA175" s="1">
        <v>2.09</v>
      </c>
      <c r="AB175" s="1">
        <v>2.09</v>
      </c>
      <c r="AC175" s="6">
        <f t="shared" si="68"/>
        <v>1.4563106796116498E-2</v>
      </c>
      <c r="AD175" s="21">
        <v>45152</v>
      </c>
      <c r="AE175" s="1">
        <v>7.2</v>
      </c>
      <c r="AF175" s="1">
        <v>6.7233000000000001</v>
      </c>
      <c r="AG175" s="6">
        <f t="shared" si="69"/>
        <v>0</v>
      </c>
      <c r="AH175" s="21">
        <v>45152</v>
      </c>
      <c r="AI175" s="1">
        <v>8.52</v>
      </c>
      <c r="AJ175" s="1">
        <v>7.9264999999999999</v>
      </c>
      <c r="AK175" s="6">
        <f t="shared" si="70"/>
        <v>-3.5074927084380869E-3</v>
      </c>
      <c r="AL175" s="21">
        <v>45152</v>
      </c>
      <c r="AM175" s="1">
        <v>1.67</v>
      </c>
      <c r="AN175" s="1">
        <v>1.67</v>
      </c>
      <c r="AO175" s="6">
        <v>-5.9523809523809312E-3</v>
      </c>
      <c r="AP175" s="21" t="s">
        <v>178</v>
      </c>
      <c r="AQ175" s="1">
        <v>8906.09</v>
      </c>
      <c r="AR175" s="6">
        <v>1.4741965010605096E-3</v>
      </c>
    </row>
    <row r="176" spans="2:44" x14ac:dyDescent="0.35">
      <c r="B176" s="21">
        <v>45153</v>
      </c>
      <c r="C176" s="1">
        <v>0.56000000000000005</v>
      </c>
      <c r="D176" s="1">
        <v>0.56000000000000005</v>
      </c>
      <c r="E176" s="6">
        <f t="shared" si="73"/>
        <v>0</v>
      </c>
      <c r="F176" s="21">
        <v>45153</v>
      </c>
      <c r="G176" s="1">
        <v>16.170000000000002</v>
      </c>
      <c r="H176" s="1">
        <v>12.14</v>
      </c>
      <c r="I176" s="6">
        <f t="shared" si="71"/>
        <v>0</v>
      </c>
      <c r="J176" s="21">
        <v>45153</v>
      </c>
      <c r="K176" s="1">
        <v>46.34</v>
      </c>
      <c r="L176" s="1">
        <v>30.7178</v>
      </c>
      <c r="M176" s="6">
        <f t="shared" si="66"/>
        <v>1.947283099735353E-3</v>
      </c>
      <c r="N176" s="21">
        <v>45153</v>
      </c>
      <c r="O176" s="1">
        <v>14.71</v>
      </c>
      <c r="P176" s="1">
        <v>13.7334</v>
      </c>
      <c r="Q176" s="6">
        <f t="shared" si="67"/>
        <v>-1.3597923226271735E-3</v>
      </c>
      <c r="R176" s="21">
        <v>45153</v>
      </c>
      <c r="S176" s="1">
        <v>7.8</v>
      </c>
      <c r="T176" s="1">
        <v>7.3055000000000003</v>
      </c>
      <c r="U176" s="6">
        <f t="shared" si="72"/>
        <v>1.2992595468537704E-2</v>
      </c>
      <c r="V176" s="21">
        <v>45153</v>
      </c>
      <c r="W176" s="1">
        <v>6.5</v>
      </c>
      <c r="X176" s="1">
        <v>5.766</v>
      </c>
      <c r="Y176" s="6">
        <f t="shared" si="74"/>
        <v>0</v>
      </c>
      <c r="Z176" s="21">
        <v>45153</v>
      </c>
      <c r="AA176" s="1">
        <v>2.12</v>
      </c>
      <c r="AB176" s="1">
        <v>2.12</v>
      </c>
      <c r="AC176" s="6">
        <f t="shared" si="68"/>
        <v>1.4354066985646119E-2</v>
      </c>
      <c r="AD176" s="21">
        <v>45153</v>
      </c>
      <c r="AE176" s="1">
        <v>7.3</v>
      </c>
      <c r="AF176" s="1">
        <v>6.8167</v>
      </c>
      <c r="AG176" s="6">
        <f t="shared" si="69"/>
        <v>1.3891987565630037E-2</v>
      </c>
      <c r="AH176" s="21">
        <v>45153</v>
      </c>
      <c r="AI176" s="1">
        <v>8.5</v>
      </c>
      <c r="AJ176" s="1">
        <v>7.9078999999999997</v>
      </c>
      <c r="AK176" s="6">
        <f t="shared" si="70"/>
        <v>-2.346559010912741E-3</v>
      </c>
      <c r="AL176" s="21">
        <v>45153</v>
      </c>
      <c r="AM176" s="1">
        <v>1.74</v>
      </c>
      <c r="AN176" s="1">
        <v>1.74</v>
      </c>
      <c r="AO176" s="6">
        <v>4.1916167664670656E-2</v>
      </c>
      <c r="AP176" s="21" t="s">
        <v>179</v>
      </c>
      <c r="AQ176" s="1">
        <v>8924.43</v>
      </c>
      <c r="AR176" s="6">
        <v>2.0592650646917843E-3</v>
      </c>
    </row>
    <row r="177" spans="2:44" x14ac:dyDescent="0.35">
      <c r="B177" s="21">
        <v>45154</v>
      </c>
      <c r="C177" s="1">
        <v>0.56000000000000005</v>
      </c>
      <c r="D177" s="1">
        <v>0.56000000000000005</v>
      </c>
      <c r="E177" s="6">
        <f t="shared" si="73"/>
        <v>0</v>
      </c>
      <c r="F177" s="21">
        <v>45154</v>
      </c>
      <c r="G177" s="1">
        <v>16.170000000000002</v>
      </c>
      <c r="H177" s="1">
        <v>12.14</v>
      </c>
      <c r="I177" s="6">
        <f t="shared" si="71"/>
        <v>0</v>
      </c>
      <c r="J177" s="21">
        <v>45154</v>
      </c>
      <c r="K177" s="1">
        <v>46.25</v>
      </c>
      <c r="L177" s="1">
        <v>30.658100000000001</v>
      </c>
      <c r="M177" s="6">
        <f t="shared" si="66"/>
        <v>-1.9434985578393738E-3</v>
      </c>
      <c r="N177" s="21">
        <v>45154</v>
      </c>
      <c r="O177" s="1">
        <v>14.71</v>
      </c>
      <c r="P177" s="1">
        <v>13.7334</v>
      </c>
      <c r="Q177" s="6">
        <f t="shared" si="67"/>
        <v>0</v>
      </c>
      <c r="R177" s="21">
        <v>45154</v>
      </c>
      <c r="S177" s="1">
        <v>7.78</v>
      </c>
      <c r="T177" s="1">
        <v>7.2866999999999997</v>
      </c>
      <c r="U177" s="6">
        <f t="shared" si="72"/>
        <v>-2.5734036000274463E-3</v>
      </c>
      <c r="V177" s="21">
        <v>45154</v>
      </c>
      <c r="W177" s="1">
        <v>6.5</v>
      </c>
      <c r="X177" s="1">
        <v>5.766</v>
      </c>
      <c r="Y177" s="6">
        <f t="shared" si="74"/>
        <v>0</v>
      </c>
      <c r="Z177" s="21">
        <v>45154</v>
      </c>
      <c r="AA177" s="1">
        <v>2.12</v>
      </c>
      <c r="AB177" s="1">
        <v>2.12</v>
      </c>
      <c r="AC177" s="6">
        <f t="shared" si="68"/>
        <v>0</v>
      </c>
      <c r="AD177" s="21">
        <v>45154</v>
      </c>
      <c r="AE177" s="1">
        <v>7.3</v>
      </c>
      <c r="AF177" s="1">
        <v>6.8167</v>
      </c>
      <c r="AG177" s="6">
        <f t="shared" si="69"/>
        <v>0</v>
      </c>
      <c r="AH177" s="21">
        <v>45154</v>
      </c>
      <c r="AI177" s="1">
        <v>8.5</v>
      </c>
      <c r="AJ177" s="1">
        <v>7.9078999999999997</v>
      </c>
      <c r="AK177" s="6">
        <f t="shared" si="70"/>
        <v>0</v>
      </c>
      <c r="AL177" s="21">
        <v>45154</v>
      </c>
      <c r="AM177" s="1">
        <v>1.74</v>
      </c>
      <c r="AN177" s="1">
        <v>1.74</v>
      </c>
      <c r="AO177" s="6">
        <v>0</v>
      </c>
      <c r="AP177" s="21" t="s">
        <v>180</v>
      </c>
      <c r="AQ177" s="1">
        <v>8895.5300000000007</v>
      </c>
      <c r="AR177" s="6">
        <v>-3.2383020540246443E-3</v>
      </c>
    </row>
    <row r="178" spans="2:44" x14ac:dyDescent="0.35">
      <c r="B178" s="21">
        <v>45155</v>
      </c>
      <c r="C178" s="1">
        <v>0.53</v>
      </c>
      <c r="D178" s="1">
        <v>0.53</v>
      </c>
      <c r="E178" s="6">
        <f t="shared" si="73"/>
        <v>-5.3571428571428603E-2</v>
      </c>
      <c r="F178" s="21">
        <v>45155</v>
      </c>
      <c r="G178" s="1">
        <v>16</v>
      </c>
      <c r="H178" s="1">
        <v>12.0124</v>
      </c>
      <c r="I178" s="6">
        <f t="shared" si="71"/>
        <v>-1.0510708401976987E-2</v>
      </c>
      <c r="J178" s="21">
        <v>45155</v>
      </c>
      <c r="K178" s="1">
        <v>46.62</v>
      </c>
      <c r="L178" s="1">
        <v>30.903400000000001</v>
      </c>
      <c r="M178" s="6">
        <f t="shared" si="66"/>
        <v>8.0011481468191814E-3</v>
      </c>
      <c r="N178" s="21">
        <v>45155</v>
      </c>
      <c r="O178" s="1">
        <v>14.6</v>
      </c>
      <c r="P178" s="1">
        <v>13.630699999999999</v>
      </c>
      <c r="Q178" s="6">
        <f t="shared" si="67"/>
        <v>-7.478119038257125E-3</v>
      </c>
      <c r="R178" s="21">
        <v>45155</v>
      </c>
      <c r="S178" s="1">
        <v>7.71</v>
      </c>
      <c r="T178" s="1">
        <v>7.2211999999999996</v>
      </c>
      <c r="U178" s="6">
        <f t="shared" si="72"/>
        <v>-8.9889799223242806E-3</v>
      </c>
      <c r="V178" s="21">
        <v>45155</v>
      </c>
      <c r="W178" s="1">
        <v>6.5</v>
      </c>
      <c r="X178" s="1">
        <v>5.766</v>
      </c>
      <c r="Y178" s="6">
        <f t="shared" si="74"/>
        <v>0</v>
      </c>
      <c r="Z178" s="21">
        <v>45155</v>
      </c>
      <c r="AA178" s="1">
        <v>2.12</v>
      </c>
      <c r="AB178" s="1">
        <v>2.12</v>
      </c>
      <c r="AC178" s="6">
        <f t="shared" si="68"/>
        <v>0</v>
      </c>
      <c r="AD178" s="21">
        <v>45155</v>
      </c>
      <c r="AE178" s="1">
        <v>7.2</v>
      </c>
      <c r="AF178" s="1">
        <v>6.7233000000000001</v>
      </c>
      <c r="AG178" s="6">
        <f t="shared" si="69"/>
        <v>-1.3701644490735965E-2</v>
      </c>
      <c r="AH178" s="21">
        <v>45155</v>
      </c>
      <c r="AI178" s="1">
        <v>8.6999999999999993</v>
      </c>
      <c r="AJ178" s="1">
        <v>8.0939999999999994</v>
      </c>
      <c r="AK178" s="6">
        <f t="shared" si="70"/>
        <v>2.3533428596719697E-2</v>
      </c>
      <c r="AL178" s="21">
        <v>45155</v>
      </c>
      <c r="AM178" s="1">
        <v>1.74</v>
      </c>
      <c r="AN178" s="1">
        <v>1.74</v>
      </c>
      <c r="AO178" s="6">
        <v>0</v>
      </c>
      <c r="AP178" s="21" t="s">
        <v>181</v>
      </c>
      <c r="AQ178" s="1">
        <v>8884.06</v>
      </c>
      <c r="AR178" s="6">
        <v>-1.2894116483224138E-3</v>
      </c>
    </row>
    <row r="179" spans="2:44" x14ac:dyDescent="0.35">
      <c r="B179" s="21">
        <v>45156</v>
      </c>
      <c r="C179" s="1">
        <v>0.54</v>
      </c>
      <c r="D179" s="1">
        <v>0.54</v>
      </c>
      <c r="E179" s="6">
        <f t="shared" si="73"/>
        <v>1.8867924528301883E-2</v>
      </c>
      <c r="F179" s="21">
        <v>45156</v>
      </c>
      <c r="G179" s="1">
        <v>15.87</v>
      </c>
      <c r="H179" s="1">
        <v>11.9148</v>
      </c>
      <c r="I179" s="6">
        <f t="shared" si="71"/>
        <v>-8.1249375645167099E-3</v>
      </c>
      <c r="J179" s="21">
        <v>45156</v>
      </c>
      <c r="K179" s="1">
        <v>46.8</v>
      </c>
      <c r="L179" s="1">
        <v>31.0227</v>
      </c>
      <c r="M179" s="6">
        <f t="shared" si="66"/>
        <v>3.860416653183707E-3</v>
      </c>
      <c r="N179" s="21">
        <v>45156</v>
      </c>
      <c r="O179" s="1">
        <v>13.99</v>
      </c>
      <c r="P179" s="1">
        <v>13.061199999999999</v>
      </c>
      <c r="Q179" s="6">
        <f t="shared" si="67"/>
        <v>-4.1780686245020404E-2</v>
      </c>
      <c r="R179" s="21">
        <v>45156</v>
      </c>
      <c r="S179" s="1">
        <v>7.62</v>
      </c>
      <c r="T179" s="1">
        <v>7.1368999999999998</v>
      </c>
      <c r="U179" s="6">
        <f t="shared" si="72"/>
        <v>-1.1673960006647111E-2</v>
      </c>
      <c r="V179" s="21">
        <v>45156</v>
      </c>
      <c r="W179" s="1">
        <v>6.49</v>
      </c>
      <c r="X179" s="1">
        <v>5.7569999999999997</v>
      </c>
      <c r="Y179" s="6">
        <f t="shared" si="74"/>
        <v>-1.5608740894901274E-3</v>
      </c>
      <c r="Z179" s="21">
        <v>45156</v>
      </c>
      <c r="AA179" s="1">
        <v>2.11</v>
      </c>
      <c r="AB179" s="1">
        <v>2.11</v>
      </c>
      <c r="AC179" s="6">
        <f t="shared" si="68"/>
        <v>-4.7169811320755262E-3</v>
      </c>
      <c r="AD179" s="21">
        <v>45156</v>
      </c>
      <c r="AE179" s="1">
        <v>7.29</v>
      </c>
      <c r="AF179" s="1">
        <v>6.8074000000000003</v>
      </c>
      <c r="AG179" s="6">
        <f t="shared" si="69"/>
        <v>1.2508738268409925E-2</v>
      </c>
      <c r="AH179" s="21">
        <v>45156</v>
      </c>
      <c r="AI179" s="1">
        <v>8.48</v>
      </c>
      <c r="AJ179" s="1">
        <v>7.8893000000000004</v>
      </c>
      <c r="AK179" s="6">
        <f t="shared" si="70"/>
        <v>-2.5290338522362066E-2</v>
      </c>
      <c r="AL179" s="21">
        <v>45156</v>
      </c>
      <c r="AM179" s="1">
        <v>1.74</v>
      </c>
      <c r="AN179" s="1">
        <v>1.74</v>
      </c>
      <c r="AO179" s="6">
        <v>0</v>
      </c>
      <c r="AP179" s="21" t="s">
        <v>182</v>
      </c>
      <c r="AQ179" s="1">
        <v>8883.7099999999991</v>
      </c>
      <c r="AR179" s="6">
        <v>-3.9396402095492888E-5</v>
      </c>
    </row>
    <row r="180" spans="2:44" x14ac:dyDescent="0.35">
      <c r="B180" s="21">
        <v>45159</v>
      </c>
      <c r="C180" s="1">
        <v>0.52</v>
      </c>
      <c r="D180" s="1">
        <v>0.52</v>
      </c>
      <c r="E180" s="6">
        <f t="shared" si="73"/>
        <v>-3.703703703703709E-2</v>
      </c>
      <c r="F180" s="21">
        <v>45159</v>
      </c>
      <c r="G180" s="1">
        <v>16.07</v>
      </c>
      <c r="H180" s="1">
        <v>12.0649</v>
      </c>
      <c r="I180" s="6">
        <f t="shared" si="71"/>
        <v>1.2597777553966516E-2</v>
      </c>
      <c r="J180" s="21">
        <v>45159</v>
      </c>
      <c r="K180" s="1">
        <v>46.5</v>
      </c>
      <c r="L180" s="1">
        <v>30.823799999999999</v>
      </c>
      <c r="M180" s="6">
        <f t="shared" si="66"/>
        <v>-6.411434207854283E-3</v>
      </c>
      <c r="N180" s="21">
        <v>45159</v>
      </c>
      <c r="O180" s="1">
        <v>13.6</v>
      </c>
      <c r="P180" s="1">
        <v>12.697100000000001</v>
      </c>
      <c r="Q180" s="6">
        <f t="shared" si="67"/>
        <v>-2.7876458518359626E-2</v>
      </c>
      <c r="R180" s="21">
        <v>45159</v>
      </c>
      <c r="S180" s="1">
        <v>7.58</v>
      </c>
      <c r="T180" s="1">
        <v>7.0994000000000002</v>
      </c>
      <c r="U180" s="6">
        <f t="shared" si="72"/>
        <v>-5.2543821547169633E-3</v>
      </c>
      <c r="V180" s="21">
        <v>45159</v>
      </c>
      <c r="W180" s="1">
        <v>6.5</v>
      </c>
      <c r="X180" s="1">
        <v>5.766</v>
      </c>
      <c r="Y180" s="6">
        <f t="shared" si="74"/>
        <v>1.5633142261595179E-3</v>
      </c>
      <c r="Z180" s="21">
        <v>45159</v>
      </c>
      <c r="AA180" s="1">
        <v>2.15</v>
      </c>
      <c r="AB180" s="1">
        <v>2.15</v>
      </c>
      <c r="AC180" s="6">
        <f t="shared" si="68"/>
        <v>1.8957345971563955E-2</v>
      </c>
      <c r="AD180" s="21">
        <v>45159</v>
      </c>
      <c r="AE180" s="1">
        <v>7.29</v>
      </c>
      <c r="AF180" s="1">
        <v>6.8074000000000003</v>
      </c>
      <c r="AG180" s="6">
        <f t="shared" si="69"/>
        <v>0</v>
      </c>
      <c r="AH180" s="21">
        <v>45159</v>
      </c>
      <c r="AI180" s="1">
        <v>8.5</v>
      </c>
      <c r="AJ180" s="1">
        <v>7.9078999999999997</v>
      </c>
      <c r="AK180" s="6">
        <f t="shared" si="70"/>
        <v>2.3576236167972553E-3</v>
      </c>
      <c r="AL180" s="21">
        <v>45159</v>
      </c>
      <c r="AM180" s="1">
        <v>1.74</v>
      </c>
      <c r="AN180" s="1">
        <v>1.74</v>
      </c>
      <c r="AO180" s="6">
        <v>0</v>
      </c>
      <c r="AP180" s="21" t="s">
        <v>183</v>
      </c>
      <c r="AQ180" s="1">
        <v>8899.4699999999993</v>
      </c>
      <c r="AR180" s="6">
        <v>1.7740335963241094E-3</v>
      </c>
    </row>
    <row r="181" spans="2:44" x14ac:dyDescent="0.35">
      <c r="B181" s="21">
        <v>45160</v>
      </c>
      <c r="C181" s="1">
        <v>0.51</v>
      </c>
      <c r="D181" s="1">
        <v>0.51</v>
      </c>
      <c r="E181" s="6">
        <f t="shared" si="73"/>
        <v>-1.9230769230769273E-2</v>
      </c>
      <c r="F181" s="21">
        <v>45160</v>
      </c>
      <c r="G181" s="1">
        <v>15.8</v>
      </c>
      <c r="H181" s="1">
        <v>11.8622</v>
      </c>
      <c r="I181" s="6">
        <f t="shared" si="71"/>
        <v>-1.6800802327412545E-2</v>
      </c>
      <c r="J181" s="21">
        <v>45160</v>
      </c>
      <c r="K181" s="1">
        <v>46.59</v>
      </c>
      <c r="L181" s="1">
        <v>30.883500000000002</v>
      </c>
      <c r="M181" s="6">
        <f t="shared" si="66"/>
        <v>1.9368150584939681E-3</v>
      </c>
      <c r="N181" s="21">
        <v>45160</v>
      </c>
      <c r="O181" s="1">
        <v>13.99</v>
      </c>
      <c r="P181" s="1">
        <v>13.061199999999999</v>
      </c>
      <c r="Q181" s="6">
        <f t="shared" si="67"/>
        <v>2.8675839364894262E-2</v>
      </c>
      <c r="R181" s="21">
        <v>45160</v>
      </c>
      <c r="S181" s="1">
        <v>7.7</v>
      </c>
      <c r="T181" s="1">
        <v>7.2118000000000002</v>
      </c>
      <c r="U181" s="6">
        <f t="shared" si="72"/>
        <v>1.5832323858354203E-2</v>
      </c>
      <c r="V181" s="21">
        <v>45160</v>
      </c>
      <c r="W181" s="1">
        <v>6.5</v>
      </c>
      <c r="X181" s="1">
        <v>5.766</v>
      </c>
      <c r="Y181" s="6">
        <f t="shared" si="74"/>
        <v>0</v>
      </c>
      <c r="Z181" s="21">
        <v>45160</v>
      </c>
      <c r="AA181" s="1">
        <v>2.17</v>
      </c>
      <c r="AB181" s="1">
        <v>2.17</v>
      </c>
      <c r="AC181" s="6">
        <f t="shared" si="68"/>
        <v>9.302325581395321E-3</v>
      </c>
      <c r="AD181" s="21">
        <v>45160</v>
      </c>
      <c r="AE181" s="1">
        <v>7.29</v>
      </c>
      <c r="AF181" s="1">
        <v>6.8074000000000003</v>
      </c>
      <c r="AG181" s="6">
        <f t="shared" si="69"/>
        <v>0</v>
      </c>
      <c r="AH181" s="21">
        <v>45160</v>
      </c>
      <c r="AI181" s="1">
        <v>8.5</v>
      </c>
      <c r="AJ181" s="1">
        <v>7.9078999999999997</v>
      </c>
      <c r="AK181" s="6">
        <f t="shared" si="70"/>
        <v>0</v>
      </c>
      <c r="AL181" s="21">
        <v>45160</v>
      </c>
      <c r="AM181" s="1">
        <v>1.73</v>
      </c>
      <c r="AN181" s="1">
        <v>1.73</v>
      </c>
      <c r="AO181" s="6">
        <v>-5.7471264367816577E-3</v>
      </c>
      <c r="AP181" s="21" t="s">
        <v>184</v>
      </c>
      <c r="AQ181" s="1">
        <v>8885.99</v>
      </c>
      <c r="AR181" s="6">
        <v>-1.5146969426268475E-3</v>
      </c>
    </row>
    <row r="182" spans="2:44" x14ac:dyDescent="0.35">
      <c r="B182" s="21">
        <v>45161</v>
      </c>
      <c r="C182" s="1">
        <v>0.52</v>
      </c>
      <c r="D182" s="1">
        <v>0.52</v>
      </c>
      <c r="E182" s="6">
        <f t="shared" si="73"/>
        <v>1.9607843137254832E-2</v>
      </c>
      <c r="F182" s="21">
        <v>45161</v>
      </c>
      <c r="G182" s="1">
        <v>15.8</v>
      </c>
      <c r="H182" s="1">
        <v>11.8622</v>
      </c>
      <c r="I182" s="6">
        <f t="shared" si="71"/>
        <v>0</v>
      </c>
      <c r="J182" s="21">
        <v>45161</v>
      </c>
      <c r="K182" s="1">
        <v>46</v>
      </c>
      <c r="L182" s="1">
        <v>30.4924</v>
      </c>
      <c r="M182" s="6">
        <f t="shared" si="66"/>
        <v>-1.266372010944361E-2</v>
      </c>
      <c r="N182" s="21">
        <v>45161</v>
      </c>
      <c r="O182" s="1">
        <v>14.29</v>
      </c>
      <c r="P182" s="1">
        <v>13.3413</v>
      </c>
      <c r="Q182" s="6">
        <f t="shared" si="67"/>
        <v>2.1445196459743521E-2</v>
      </c>
      <c r="R182" s="21">
        <v>45161</v>
      </c>
      <c r="S182" s="1">
        <v>7.69</v>
      </c>
      <c r="T182" s="1">
        <v>7.2024999999999997</v>
      </c>
      <c r="U182" s="6">
        <f t="shared" si="72"/>
        <v>-1.2895532322028114E-3</v>
      </c>
      <c r="V182" s="21">
        <v>45161</v>
      </c>
      <c r="W182" s="1">
        <v>6.5</v>
      </c>
      <c r="X182" s="1">
        <v>5.766</v>
      </c>
      <c r="Y182" s="6">
        <f t="shared" si="74"/>
        <v>0</v>
      </c>
      <c r="Z182" s="21">
        <v>45161</v>
      </c>
      <c r="AA182" s="1">
        <v>2.2000000000000002</v>
      </c>
      <c r="AB182" s="1">
        <v>2.2000000000000002</v>
      </c>
      <c r="AC182" s="6">
        <f t="shared" si="68"/>
        <v>1.3824884792626779E-2</v>
      </c>
      <c r="AD182" s="21">
        <v>45161</v>
      </c>
      <c r="AE182" s="1">
        <v>7.28</v>
      </c>
      <c r="AF182" s="1">
        <v>6.798</v>
      </c>
      <c r="AG182" s="6">
        <f t="shared" si="69"/>
        <v>-1.3808502511972742E-3</v>
      </c>
      <c r="AH182" s="21">
        <v>45161</v>
      </c>
      <c r="AI182" s="1">
        <v>8.5</v>
      </c>
      <c r="AJ182" s="1">
        <v>7.9078999999999997</v>
      </c>
      <c r="AK182" s="6">
        <f t="shared" si="70"/>
        <v>0</v>
      </c>
      <c r="AL182" s="21">
        <v>45161</v>
      </c>
      <c r="AM182" s="1">
        <v>1.73</v>
      </c>
      <c r="AN182" s="1">
        <v>1.73</v>
      </c>
      <c r="AO182" s="6">
        <v>0</v>
      </c>
      <c r="AP182" s="21" t="s">
        <v>185</v>
      </c>
      <c r="AQ182" s="1">
        <v>8869.44</v>
      </c>
      <c r="AR182" s="6">
        <v>-1.8624824020733177E-3</v>
      </c>
    </row>
    <row r="183" spans="2:44" x14ac:dyDescent="0.35">
      <c r="B183" s="21">
        <v>45162</v>
      </c>
      <c r="C183" s="1">
        <v>0.53</v>
      </c>
      <c r="D183" s="1">
        <v>0.53</v>
      </c>
      <c r="E183" s="6">
        <f t="shared" si="73"/>
        <v>1.9230769230769162E-2</v>
      </c>
      <c r="F183" s="21">
        <v>45162</v>
      </c>
      <c r="G183" s="1">
        <v>15.8</v>
      </c>
      <c r="H183" s="1">
        <v>11.8622</v>
      </c>
      <c r="I183" s="6">
        <f t="shared" si="71"/>
        <v>0</v>
      </c>
      <c r="J183" s="21">
        <v>45162</v>
      </c>
      <c r="K183" s="1">
        <v>46.59</v>
      </c>
      <c r="L183" s="1">
        <v>30.883500000000002</v>
      </c>
      <c r="M183" s="6">
        <f t="shared" si="66"/>
        <v>1.2826146843147868E-2</v>
      </c>
      <c r="N183" s="21">
        <v>45162</v>
      </c>
      <c r="O183" s="1">
        <v>14.49</v>
      </c>
      <c r="P183" s="1">
        <v>13.528</v>
      </c>
      <c r="Q183" s="6">
        <f t="shared" si="67"/>
        <v>1.3994138502244846E-2</v>
      </c>
      <c r="R183" s="21">
        <v>45162</v>
      </c>
      <c r="S183" s="1">
        <v>7.7</v>
      </c>
      <c r="T183" s="1">
        <v>7.2118000000000002</v>
      </c>
      <c r="U183" s="6">
        <f t="shared" si="72"/>
        <v>1.2912183269697675E-3</v>
      </c>
      <c r="V183" s="21">
        <v>45162</v>
      </c>
      <c r="W183" s="1">
        <v>6.54</v>
      </c>
      <c r="X183" s="1">
        <v>5.8010000000000002</v>
      </c>
      <c r="Y183" s="6">
        <f t="shared" si="74"/>
        <v>6.070065903572619E-3</v>
      </c>
      <c r="Z183" s="21">
        <v>45162</v>
      </c>
      <c r="AA183" s="1">
        <v>2.2000000000000002</v>
      </c>
      <c r="AB183" s="1">
        <v>2.2000000000000002</v>
      </c>
      <c r="AC183" s="6">
        <f t="shared" si="68"/>
        <v>0</v>
      </c>
      <c r="AD183" s="21">
        <v>45162</v>
      </c>
      <c r="AE183" s="1">
        <v>7.3</v>
      </c>
      <c r="AF183" s="1">
        <v>6.8167</v>
      </c>
      <c r="AG183" s="6">
        <f t="shared" si="69"/>
        <v>2.7508090614887237E-3</v>
      </c>
      <c r="AH183" s="21">
        <v>45162</v>
      </c>
      <c r="AI183" s="1">
        <v>8.48</v>
      </c>
      <c r="AJ183" s="1">
        <v>7.8893000000000004</v>
      </c>
      <c r="AK183" s="6">
        <f t="shared" si="70"/>
        <v>-2.3520783014453484E-3</v>
      </c>
      <c r="AL183" s="21">
        <v>45162</v>
      </c>
      <c r="AM183" s="1">
        <v>1.73</v>
      </c>
      <c r="AN183" s="1">
        <v>1.73</v>
      </c>
      <c r="AO183" s="6">
        <v>0</v>
      </c>
      <c r="AP183" s="21" t="s">
        <v>186</v>
      </c>
      <c r="AQ183" s="1">
        <v>8920.0300000000007</v>
      </c>
      <c r="AR183" s="6">
        <v>5.7038550348162964E-3</v>
      </c>
    </row>
    <row r="184" spans="2:44" x14ac:dyDescent="0.35">
      <c r="B184" s="21">
        <v>45163</v>
      </c>
      <c r="C184" s="1">
        <v>0.51</v>
      </c>
      <c r="D184" s="1">
        <v>0.51</v>
      </c>
      <c r="E184" s="6">
        <f t="shared" si="73"/>
        <v>-3.7735849056603765E-2</v>
      </c>
      <c r="F184" s="21">
        <v>45163</v>
      </c>
      <c r="G184" s="1">
        <v>16.07</v>
      </c>
      <c r="H184" s="1">
        <v>12.0649</v>
      </c>
      <c r="I184" s="6">
        <f t="shared" si="71"/>
        <v>1.7087892633744106E-2</v>
      </c>
      <c r="J184" s="21">
        <v>45163</v>
      </c>
      <c r="K184" s="1">
        <v>46</v>
      </c>
      <c r="L184" s="1">
        <v>30.4924</v>
      </c>
      <c r="M184" s="6">
        <f t="shared" si="66"/>
        <v>-1.266372010944361E-2</v>
      </c>
      <c r="N184" s="21">
        <v>45163</v>
      </c>
      <c r="O184" s="1">
        <v>14.49</v>
      </c>
      <c r="P184" s="1">
        <v>13.528</v>
      </c>
      <c r="Q184" s="6">
        <f t="shared" si="67"/>
        <v>0</v>
      </c>
      <c r="R184" s="21">
        <v>45163</v>
      </c>
      <c r="S184" s="1">
        <v>7.69</v>
      </c>
      <c r="T184" s="1">
        <v>7.2024999999999997</v>
      </c>
      <c r="U184" s="6">
        <f t="shared" si="72"/>
        <v>-1.2895532322028114E-3</v>
      </c>
      <c r="V184" s="21">
        <v>45163</v>
      </c>
      <c r="W184" s="1">
        <v>6.54</v>
      </c>
      <c r="X184" s="1">
        <v>5.8010000000000002</v>
      </c>
      <c r="Y184" s="6">
        <f t="shared" si="74"/>
        <v>0</v>
      </c>
      <c r="Z184" s="21">
        <v>45163</v>
      </c>
      <c r="AA184" s="1">
        <v>2.21</v>
      </c>
      <c r="AB184" s="1">
        <v>2.21</v>
      </c>
      <c r="AC184" s="6">
        <f t="shared" si="68"/>
        <v>4.5454545454544082E-3</v>
      </c>
      <c r="AD184" s="21">
        <v>45163</v>
      </c>
      <c r="AE184" s="1">
        <v>7.3</v>
      </c>
      <c r="AF184" s="1">
        <v>6.8167</v>
      </c>
      <c r="AG184" s="6">
        <f t="shared" si="69"/>
        <v>0</v>
      </c>
      <c r="AH184" s="21">
        <v>45163</v>
      </c>
      <c r="AI184" s="1">
        <v>8.4499999999999993</v>
      </c>
      <c r="AJ184" s="1">
        <v>7.8613999999999997</v>
      </c>
      <c r="AK184" s="6">
        <f t="shared" si="70"/>
        <v>-3.536435425196216E-3</v>
      </c>
      <c r="AL184" s="21">
        <v>45163</v>
      </c>
      <c r="AM184" s="1">
        <v>1.73</v>
      </c>
      <c r="AN184" s="1">
        <v>1.73</v>
      </c>
      <c r="AO184" s="6">
        <v>0</v>
      </c>
      <c r="AP184" s="21" t="s">
        <v>187</v>
      </c>
      <c r="AQ184" s="1">
        <v>8849.39</v>
      </c>
      <c r="AR184" s="6">
        <v>-7.9192558769423105E-3</v>
      </c>
    </row>
    <row r="185" spans="2:44" x14ac:dyDescent="0.35">
      <c r="B185" s="21">
        <v>45166</v>
      </c>
      <c r="C185" s="1">
        <v>0.5</v>
      </c>
      <c r="D185" s="1">
        <v>0.5</v>
      </c>
      <c r="E185" s="6">
        <f t="shared" si="73"/>
        <v>-1.9607843137254943E-2</v>
      </c>
      <c r="F185" s="21">
        <v>45166</v>
      </c>
      <c r="G185" s="1">
        <v>15.95</v>
      </c>
      <c r="H185" s="1">
        <v>11.9748</v>
      </c>
      <c r="I185" s="6">
        <f t="shared" si="71"/>
        <v>-7.4679442017753228E-3</v>
      </c>
      <c r="J185" s="21">
        <v>45166</v>
      </c>
      <c r="K185" s="1">
        <v>46.6</v>
      </c>
      <c r="L185" s="1">
        <v>30.8901</v>
      </c>
      <c r="M185" s="6">
        <f t="shared" si="66"/>
        <v>1.3042594220199044E-2</v>
      </c>
      <c r="N185" s="21">
        <v>45166</v>
      </c>
      <c r="O185" s="1">
        <v>14.49</v>
      </c>
      <c r="P185" s="1">
        <v>13.528</v>
      </c>
      <c r="Q185" s="6">
        <f t="shared" si="67"/>
        <v>0</v>
      </c>
      <c r="R185" s="21">
        <v>45166</v>
      </c>
      <c r="S185" s="1">
        <v>7.74</v>
      </c>
      <c r="T185" s="1">
        <v>7.2492999999999999</v>
      </c>
      <c r="U185" s="6">
        <f t="shared" si="72"/>
        <v>6.4977438389448583E-3</v>
      </c>
      <c r="V185" s="21">
        <v>45166</v>
      </c>
      <c r="W185" s="1">
        <v>6.54</v>
      </c>
      <c r="X185" s="1">
        <v>5.8010000000000002</v>
      </c>
      <c r="Y185" s="6">
        <f t="shared" si="74"/>
        <v>0</v>
      </c>
      <c r="Z185" s="21">
        <v>45166</v>
      </c>
      <c r="AA185" s="1">
        <v>2.2000000000000002</v>
      </c>
      <c r="AB185" s="1">
        <v>2.2000000000000002</v>
      </c>
      <c r="AC185" s="6">
        <f t="shared" si="68"/>
        <v>-4.5248868778279272E-3</v>
      </c>
      <c r="AD185" s="21">
        <v>45166</v>
      </c>
      <c r="AE185" s="1">
        <v>7.3</v>
      </c>
      <c r="AF185" s="1">
        <v>6.8167</v>
      </c>
      <c r="AG185" s="6">
        <f t="shared" si="69"/>
        <v>0</v>
      </c>
      <c r="AH185" s="21">
        <v>45166</v>
      </c>
      <c r="AI185" s="1">
        <v>8.5</v>
      </c>
      <c r="AJ185" s="1">
        <v>7.9078999999999997</v>
      </c>
      <c r="AK185" s="6">
        <f t="shared" si="70"/>
        <v>5.9149769761110971E-3</v>
      </c>
      <c r="AL185" s="21">
        <v>45166</v>
      </c>
      <c r="AM185" s="1">
        <v>1.73</v>
      </c>
      <c r="AN185" s="1">
        <v>1.73</v>
      </c>
      <c r="AO185" s="6">
        <v>0</v>
      </c>
      <c r="AP185" s="21" t="s">
        <v>188</v>
      </c>
      <c r="AQ185" s="1">
        <v>8899.2199999999993</v>
      </c>
      <c r="AR185" s="6">
        <v>5.6308965928724142E-3</v>
      </c>
    </row>
    <row r="186" spans="2:44" x14ac:dyDescent="0.35">
      <c r="B186" s="21">
        <v>45167</v>
      </c>
      <c r="C186" s="1">
        <v>0.53</v>
      </c>
      <c r="D186" s="1">
        <v>0.53</v>
      </c>
      <c r="E186" s="6">
        <f t="shared" si="73"/>
        <v>6.0000000000000053E-2</v>
      </c>
      <c r="F186" s="21">
        <v>45167</v>
      </c>
      <c r="G186" s="1">
        <v>15.72</v>
      </c>
      <c r="H186" s="1">
        <v>11.802199999999999</v>
      </c>
      <c r="I186" s="6">
        <f t="shared" si="71"/>
        <v>-1.4413601897317774E-2</v>
      </c>
      <c r="J186" s="21">
        <v>45167</v>
      </c>
      <c r="K186" s="1">
        <v>46.39</v>
      </c>
      <c r="L186" s="1">
        <v>30.750900000000001</v>
      </c>
      <c r="M186" s="6">
        <f t="shared" si="66"/>
        <v>-4.506298134353659E-3</v>
      </c>
      <c r="N186" s="21">
        <v>45167</v>
      </c>
      <c r="O186" s="1">
        <v>14.32</v>
      </c>
      <c r="P186" s="1">
        <v>13.369300000000001</v>
      </c>
      <c r="Q186" s="6">
        <f t="shared" si="67"/>
        <v>-1.1731224127735085E-2</v>
      </c>
      <c r="R186" s="21">
        <v>45167</v>
      </c>
      <c r="S186" s="1">
        <v>7.7</v>
      </c>
      <c r="T186" s="1">
        <v>7.2118000000000002</v>
      </c>
      <c r="U186" s="6">
        <f t="shared" si="72"/>
        <v>-5.1729132467961403E-3</v>
      </c>
      <c r="V186" s="21">
        <v>45167</v>
      </c>
      <c r="W186" s="1">
        <v>6.54</v>
      </c>
      <c r="X186" s="1">
        <v>5.8010000000000002</v>
      </c>
      <c r="Y186" s="6">
        <f t="shared" si="74"/>
        <v>0</v>
      </c>
      <c r="Z186" s="21">
        <v>45167</v>
      </c>
      <c r="AA186" s="1">
        <v>2.2599999999999998</v>
      </c>
      <c r="AB186" s="1">
        <v>2.2599999999999998</v>
      </c>
      <c r="AC186" s="6">
        <f t="shared" si="68"/>
        <v>2.7272727272727115E-2</v>
      </c>
      <c r="AD186" s="21">
        <v>45167</v>
      </c>
      <c r="AE186" s="1">
        <v>7.3</v>
      </c>
      <c r="AF186" s="1">
        <v>6.8167</v>
      </c>
      <c r="AG186" s="6">
        <f t="shared" si="69"/>
        <v>0</v>
      </c>
      <c r="AH186" s="21">
        <v>45167</v>
      </c>
      <c r="AI186" s="1">
        <v>8.5</v>
      </c>
      <c r="AJ186" s="1">
        <v>7.9078999999999997</v>
      </c>
      <c r="AK186" s="6">
        <f t="shared" si="70"/>
        <v>0</v>
      </c>
      <c r="AL186" s="21">
        <v>45167</v>
      </c>
      <c r="AM186" s="1">
        <v>1.73</v>
      </c>
      <c r="AN186" s="1">
        <v>1.73</v>
      </c>
      <c r="AO186" s="6">
        <v>0</v>
      </c>
      <c r="AP186" s="21" t="s">
        <v>189</v>
      </c>
      <c r="AQ186" s="1">
        <v>8896.06</v>
      </c>
      <c r="AR186" s="6">
        <v>-3.5508729978583897E-4</v>
      </c>
    </row>
    <row r="187" spans="2:44" x14ac:dyDescent="0.35">
      <c r="B187" s="21">
        <v>45168</v>
      </c>
      <c r="C187" s="1">
        <v>0.54</v>
      </c>
      <c r="D187" s="1">
        <v>0.54</v>
      </c>
      <c r="E187" s="6">
        <f t="shared" si="73"/>
        <v>1.8867924528301883E-2</v>
      </c>
      <c r="F187" s="21">
        <v>45168</v>
      </c>
      <c r="G187" s="1">
        <v>16.059999999999999</v>
      </c>
      <c r="H187" s="1">
        <v>12.057399999999999</v>
      </c>
      <c r="I187" s="6">
        <f t="shared" si="71"/>
        <v>2.1623087221026571E-2</v>
      </c>
      <c r="J187" s="21">
        <v>45168</v>
      </c>
      <c r="K187" s="1">
        <v>46.4</v>
      </c>
      <c r="L187" s="1">
        <v>30.7575</v>
      </c>
      <c r="M187" s="6">
        <f t="shared" si="66"/>
        <v>2.1462786455028748E-4</v>
      </c>
      <c r="N187" s="21">
        <v>45168</v>
      </c>
      <c r="O187" s="1">
        <v>14.39</v>
      </c>
      <c r="P187" s="1">
        <v>13.434699999999999</v>
      </c>
      <c r="Q187" s="6">
        <f t="shared" si="67"/>
        <v>4.8918043577448334E-3</v>
      </c>
      <c r="R187" s="21">
        <v>45168</v>
      </c>
      <c r="S187" s="1">
        <v>7.7</v>
      </c>
      <c r="T187" s="1">
        <v>7.2118000000000002</v>
      </c>
      <c r="U187" s="6">
        <f t="shared" si="72"/>
        <v>0</v>
      </c>
      <c r="V187" s="21">
        <v>45168</v>
      </c>
      <c r="W187" s="1">
        <v>6.52</v>
      </c>
      <c r="X187" s="1">
        <v>5.7830000000000004</v>
      </c>
      <c r="Y187" s="6">
        <f t="shared" si="74"/>
        <v>-3.102913290811915E-3</v>
      </c>
      <c r="Z187" s="21">
        <v>45168</v>
      </c>
      <c r="AA187" s="1">
        <v>2.27</v>
      </c>
      <c r="AB187" s="1">
        <v>2.27</v>
      </c>
      <c r="AC187" s="6">
        <f t="shared" si="68"/>
        <v>4.4247787610620648E-3</v>
      </c>
      <c r="AD187" s="21">
        <v>45168</v>
      </c>
      <c r="AE187" s="1">
        <v>7.37</v>
      </c>
      <c r="AF187" s="1">
        <v>6.8821000000000003</v>
      </c>
      <c r="AG187" s="6">
        <f t="shared" si="69"/>
        <v>9.5940851144982187E-3</v>
      </c>
      <c r="AH187" s="21">
        <v>45168</v>
      </c>
      <c r="AI187" s="1">
        <v>8.5</v>
      </c>
      <c r="AJ187" s="1">
        <v>7.9078999999999997</v>
      </c>
      <c r="AK187" s="6">
        <f t="shared" si="70"/>
        <v>0</v>
      </c>
      <c r="AL187" s="21">
        <v>45168</v>
      </c>
      <c r="AM187" s="1">
        <v>1.73</v>
      </c>
      <c r="AN187" s="1">
        <v>1.73</v>
      </c>
      <c r="AO187" s="6">
        <v>0</v>
      </c>
      <c r="AP187" s="21" t="s">
        <v>190</v>
      </c>
      <c r="AQ187" s="1">
        <v>8911.59</v>
      </c>
      <c r="AR187" s="6">
        <v>1.7457166430983051E-3</v>
      </c>
    </row>
    <row r="188" spans="2:44" x14ac:dyDescent="0.35">
      <c r="B188" s="21">
        <v>45169</v>
      </c>
      <c r="C188" s="1">
        <v>0.55000000000000004</v>
      </c>
      <c r="D188" s="1">
        <v>0.55000000000000004</v>
      </c>
      <c r="E188" s="6">
        <f t="shared" si="73"/>
        <v>1.8518518518518601E-2</v>
      </c>
      <c r="F188" s="21">
        <v>45169</v>
      </c>
      <c r="G188" s="1">
        <v>15.99</v>
      </c>
      <c r="H188" s="1">
        <v>12.004899999999999</v>
      </c>
      <c r="I188" s="6">
        <f t="shared" si="71"/>
        <v>-4.3541725413439591E-3</v>
      </c>
      <c r="J188" s="21">
        <v>45169</v>
      </c>
      <c r="K188" s="1">
        <v>46.4</v>
      </c>
      <c r="L188" s="1">
        <v>30.7575</v>
      </c>
      <c r="M188" s="6">
        <f t="shared" si="66"/>
        <v>0</v>
      </c>
      <c r="N188" s="21">
        <v>45169</v>
      </c>
      <c r="O188" s="1">
        <v>14.35</v>
      </c>
      <c r="P188" s="1">
        <v>13.3973</v>
      </c>
      <c r="Q188" s="6">
        <f t="shared" si="67"/>
        <v>-2.7838358876640656E-3</v>
      </c>
      <c r="R188" s="21">
        <v>45169</v>
      </c>
      <c r="S188" s="1">
        <v>7.65</v>
      </c>
      <c r="T188" s="1">
        <v>7.165</v>
      </c>
      <c r="U188" s="6">
        <f t="shared" si="72"/>
        <v>-6.4893646523752624E-3</v>
      </c>
      <c r="V188" s="21">
        <v>45169</v>
      </c>
      <c r="W188" s="1">
        <v>6.52</v>
      </c>
      <c r="X188" s="1">
        <v>5.7830000000000004</v>
      </c>
      <c r="Y188" s="6">
        <f t="shared" si="74"/>
        <v>0</v>
      </c>
      <c r="Z188" s="21">
        <v>45169</v>
      </c>
      <c r="AA188" s="1">
        <v>2.27</v>
      </c>
      <c r="AB188" s="1">
        <v>2.27</v>
      </c>
      <c r="AC188" s="6">
        <f t="shared" si="68"/>
        <v>0</v>
      </c>
      <c r="AD188" s="21">
        <v>45169</v>
      </c>
      <c r="AE188" s="1">
        <v>7.3</v>
      </c>
      <c r="AF188" s="1">
        <v>6.8167</v>
      </c>
      <c r="AG188" s="6">
        <f t="shared" si="69"/>
        <v>-9.5029133549353606E-3</v>
      </c>
      <c r="AH188" s="21">
        <v>45169</v>
      </c>
      <c r="AI188" s="1">
        <v>8.69</v>
      </c>
      <c r="AJ188" s="1">
        <v>8.0846999999999998</v>
      </c>
      <c r="AK188" s="6">
        <f t="shared" si="70"/>
        <v>2.2357389445996967E-2</v>
      </c>
      <c r="AL188" s="21">
        <v>45169</v>
      </c>
      <c r="AM188" s="1">
        <v>1.73</v>
      </c>
      <c r="AN188" s="1">
        <v>1.73</v>
      </c>
      <c r="AO188" s="6">
        <v>0</v>
      </c>
      <c r="AP188" s="21" t="s">
        <v>191</v>
      </c>
      <c r="AQ188" s="1">
        <v>8939.32</v>
      </c>
      <c r="AR188" s="6">
        <v>3.1116781629316748E-3</v>
      </c>
    </row>
    <row r="189" spans="2:44" x14ac:dyDescent="0.35">
      <c r="B189" s="21">
        <v>45170</v>
      </c>
      <c r="C189" s="1">
        <v>0.56999999999999995</v>
      </c>
      <c r="D189" s="1">
        <v>0.56999999999999995</v>
      </c>
      <c r="E189" s="6">
        <f t="shared" si="73"/>
        <v>3.6363636363636154E-2</v>
      </c>
      <c r="F189" s="21">
        <v>45170</v>
      </c>
      <c r="G189" s="1">
        <v>16</v>
      </c>
      <c r="H189" s="1">
        <v>12.0124</v>
      </c>
      <c r="I189" s="6">
        <f t="shared" si="71"/>
        <v>6.2474489583430604E-4</v>
      </c>
      <c r="J189" s="21">
        <v>45170</v>
      </c>
      <c r="K189" s="1">
        <v>46.35</v>
      </c>
      <c r="L189" s="1">
        <v>30.724399999999999</v>
      </c>
      <c r="M189" s="6">
        <f t="shared" si="66"/>
        <v>-1.0761602861091291E-3</v>
      </c>
      <c r="N189" s="21">
        <v>45170</v>
      </c>
      <c r="O189" s="1">
        <v>13.98</v>
      </c>
      <c r="P189" s="1">
        <v>13.0519</v>
      </c>
      <c r="Q189" s="6">
        <f t="shared" si="67"/>
        <v>-2.5781314145387535E-2</v>
      </c>
      <c r="R189" s="21">
        <v>45170</v>
      </c>
      <c r="S189" s="1">
        <v>7.65</v>
      </c>
      <c r="T189" s="1">
        <v>7.165</v>
      </c>
      <c r="U189" s="6">
        <f t="shared" si="72"/>
        <v>0</v>
      </c>
      <c r="V189" s="21">
        <v>45170</v>
      </c>
      <c r="W189" s="1">
        <v>6.5</v>
      </c>
      <c r="X189" s="1">
        <v>5.766</v>
      </c>
      <c r="Y189" s="6">
        <f t="shared" si="74"/>
        <v>-2.9396507003286443E-3</v>
      </c>
      <c r="Z189" s="21">
        <v>45170</v>
      </c>
      <c r="AA189" s="1">
        <v>2.2400000000000002</v>
      </c>
      <c r="AB189" s="1">
        <v>2.2400000000000002</v>
      </c>
      <c r="AC189" s="6">
        <f t="shared" si="68"/>
        <v>-1.3215859030836885E-2</v>
      </c>
      <c r="AD189" s="21">
        <v>45170</v>
      </c>
      <c r="AE189" s="1">
        <v>7.38</v>
      </c>
      <c r="AF189" s="1">
        <v>6.8914</v>
      </c>
      <c r="AG189" s="6">
        <f t="shared" si="69"/>
        <v>1.0958381621605673E-2</v>
      </c>
      <c r="AH189" s="21">
        <v>45170</v>
      </c>
      <c r="AI189" s="1">
        <v>8.6</v>
      </c>
      <c r="AJ189" s="1">
        <v>8.0009999999999994</v>
      </c>
      <c r="AK189" s="6">
        <f t="shared" si="70"/>
        <v>-1.0352888789936565E-2</v>
      </c>
      <c r="AL189" s="21">
        <v>45170</v>
      </c>
      <c r="AM189" s="1">
        <v>1.74</v>
      </c>
      <c r="AN189" s="1">
        <v>1.74</v>
      </c>
      <c r="AO189" s="6">
        <v>5.7803468208093012E-3</v>
      </c>
      <c r="AP189" s="21" t="s">
        <v>192</v>
      </c>
      <c r="AQ189" s="1">
        <v>8942.58</v>
      </c>
      <c r="AR189" s="6">
        <v>3.6468098244601954E-4</v>
      </c>
    </row>
    <row r="190" spans="2:44" x14ac:dyDescent="0.35">
      <c r="B190" s="21">
        <v>45173</v>
      </c>
      <c r="C190" s="1">
        <v>0.56000000000000005</v>
      </c>
      <c r="D190" s="1">
        <v>0.56000000000000005</v>
      </c>
      <c r="E190" s="6">
        <f t="shared" si="73"/>
        <v>-1.754385964912264E-2</v>
      </c>
      <c r="F190" s="21">
        <v>45173</v>
      </c>
      <c r="G190" s="1">
        <v>15.97</v>
      </c>
      <c r="H190" s="1">
        <v>11.989800000000001</v>
      </c>
      <c r="I190" s="6">
        <f t="shared" si="71"/>
        <v>-1.8813892311276836E-3</v>
      </c>
      <c r="J190" s="21">
        <v>45173</v>
      </c>
      <c r="K190" s="1">
        <v>46.1</v>
      </c>
      <c r="L190" s="1">
        <v>30.558700000000002</v>
      </c>
      <c r="M190" s="6">
        <f t="shared" si="66"/>
        <v>-5.3931077580032794E-3</v>
      </c>
      <c r="N190" s="21">
        <v>45173</v>
      </c>
      <c r="O190" s="1">
        <v>13.49</v>
      </c>
      <c r="P190" s="1">
        <v>12.5944</v>
      </c>
      <c r="Q190" s="6">
        <f t="shared" si="67"/>
        <v>-3.505236785448862E-2</v>
      </c>
      <c r="R190" s="21">
        <v>45173</v>
      </c>
      <c r="S190" s="1">
        <v>7.7</v>
      </c>
      <c r="T190" s="1">
        <v>7.2118000000000002</v>
      </c>
      <c r="U190" s="6">
        <f t="shared" si="72"/>
        <v>6.5317515701326379E-3</v>
      </c>
      <c r="V190" s="21">
        <v>45173</v>
      </c>
      <c r="W190" s="1">
        <v>6.5</v>
      </c>
      <c r="X190" s="1">
        <v>5.766</v>
      </c>
      <c r="Y190" s="6">
        <f t="shared" si="74"/>
        <v>0</v>
      </c>
      <c r="Z190" s="21">
        <v>45173</v>
      </c>
      <c r="AA190" s="1">
        <v>2.2400000000000002</v>
      </c>
      <c r="AB190" s="1">
        <v>2.2400000000000002</v>
      </c>
      <c r="AC190" s="6">
        <f t="shared" si="68"/>
        <v>0</v>
      </c>
      <c r="AD190" s="21">
        <v>45173</v>
      </c>
      <c r="AE190" s="1">
        <v>7.38</v>
      </c>
      <c r="AF190" s="1">
        <v>6.8914</v>
      </c>
      <c r="AG190" s="6">
        <f t="shared" si="69"/>
        <v>0</v>
      </c>
      <c r="AH190" s="21">
        <v>45173</v>
      </c>
      <c r="AI190" s="1">
        <v>8.6</v>
      </c>
      <c r="AJ190" s="1">
        <v>8.0009999999999994</v>
      </c>
      <c r="AK190" s="6">
        <f t="shared" si="70"/>
        <v>0</v>
      </c>
      <c r="AL190" s="21">
        <v>45173</v>
      </c>
      <c r="AM190" s="1">
        <v>1.74</v>
      </c>
      <c r="AN190" s="1">
        <v>1.74</v>
      </c>
      <c r="AO190" s="6">
        <v>0</v>
      </c>
      <c r="AP190" s="21" t="s">
        <v>193</v>
      </c>
      <c r="AQ190" s="1">
        <v>8941.7099999999991</v>
      </c>
      <c r="AR190" s="6">
        <v>-9.7287360023678993E-5</v>
      </c>
    </row>
    <row r="191" spans="2:44" x14ac:dyDescent="0.35">
      <c r="B191" s="21">
        <v>45174</v>
      </c>
      <c r="C191" s="1">
        <v>0.56000000000000005</v>
      </c>
      <c r="D191" s="1">
        <v>0.56000000000000005</v>
      </c>
      <c r="E191" s="6">
        <f t="shared" si="73"/>
        <v>0</v>
      </c>
      <c r="F191" s="21">
        <v>45174</v>
      </c>
      <c r="G191" s="1">
        <v>15.88</v>
      </c>
      <c r="H191" s="1">
        <v>11.9223</v>
      </c>
      <c r="I191" s="6">
        <f t="shared" si="71"/>
        <v>-5.6297853175200085E-3</v>
      </c>
      <c r="J191" s="21">
        <v>45174</v>
      </c>
      <c r="K191" s="1">
        <v>45.8</v>
      </c>
      <c r="L191" s="1">
        <v>30.3598</v>
      </c>
      <c r="M191" s="6">
        <f t="shared" si="66"/>
        <v>-6.5087847323348491E-3</v>
      </c>
      <c r="N191" s="21">
        <v>45174</v>
      </c>
      <c r="O191" s="1">
        <v>13.3</v>
      </c>
      <c r="P191" s="1">
        <v>12.417</v>
      </c>
      <c r="Q191" s="6">
        <f t="shared" si="67"/>
        <v>-1.4085625357301734E-2</v>
      </c>
      <c r="R191" s="21">
        <v>45174</v>
      </c>
      <c r="S191" s="1">
        <v>7.68</v>
      </c>
      <c r="T191" s="1">
        <v>7.1931000000000003</v>
      </c>
      <c r="U191" s="6">
        <f t="shared" si="72"/>
        <v>-2.5929726281926913E-3</v>
      </c>
      <c r="V191" s="21">
        <v>45174</v>
      </c>
      <c r="W191" s="1">
        <v>6.49</v>
      </c>
      <c r="X191" s="1">
        <v>5.7569999999999997</v>
      </c>
      <c r="Y191" s="6">
        <f t="shared" si="74"/>
        <v>-1.5608740894901274E-3</v>
      </c>
      <c r="Z191" s="21">
        <v>45174</v>
      </c>
      <c r="AA191" s="1">
        <v>2.25</v>
      </c>
      <c r="AB191" s="1">
        <v>2.25</v>
      </c>
      <c r="AC191" s="6">
        <f t="shared" si="68"/>
        <v>4.4642857142855874E-3</v>
      </c>
      <c r="AD191" s="21">
        <v>45174</v>
      </c>
      <c r="AE191" s="1">
        <v>7.3</v>
      </c>
      <c r="AF191" s="1">
        <v>6.8167</v>
      </c>
      <c r="AG191" s="6">
        <f t="shared" si="69"/>
        <v>-1.0839597179092775E-2</v>
      </c>
      <c r="AH191" s="21">
        <v>45174</v>
      </c>
      <c r="AI191" s="1">
        <v>8.5500000000000007</v>
      </c>
      <c r="AJ191" s="1">
        <v>7.9543999999999997</v>
      </c>
      <c r="AK191" s="6">
        <f t="shared" si="70"/>
        <v>-5.824271966004213E-3</v>
      </c>
      <c r="AL191" s="21">
        <v>45174</v>
      </c>
      <c r="AM191" s="1">
        <v>1.74</v>
      </c>
      <c r="AN191" s="1">
        <v>1.74</v>
      </c>
      <c r="AO191" s="6">
        <v>0</v>
      </c>
      <c r="AP191" s="21" t="s">
        <v>194</v>
      </c>
      <c r="AQ191" s="1">
        <v>8972.93</v>
      </c>
      <c r="AR191" s="6">
        <v>3.4915021847052863E-3</v>
      </c>
    </row>
    <row r="192" spans="2:44" x14ac:dyDescent="0.35">
      <c r="B192" s="21">
        <v>45175</v>
      </c>
      <c r="C192" s="1">
        <v>0.56000000000000005</v>
      </c>
      <c r="D192" s="1">
        <v>0.56000000000000005</v>
      </c>
      <c r="E192" s="6">
        <f t="shared" si="73"/>
        <v>0</v>
      </c>
      <c r="F192" s="21">
        <v>45175</v>
      </c>
      <c r="G192" s="1">
        <v>15.75</v>
      </c>
      <c r="H192" s="1">
        <v>11.8247</v>
      </c>
      <c r="I192" s="6">
        <f t="shared" si="71"/>
        <v>-8.1863398840827939E-3</v>
      </c>
      <c r="J192" s="21">
        <v>45175</v>
      </c>
      <c r="K192" s="1">
        <v>45.79</v>
      </c>
      <c r="L192" s="1">
        <v>30.353200000000001</v>
      </c>
      <c r="M192" s="6">
        <f t="shared" si="66"/>
        <v>-2.1739273644749701E-4</v>
      </c>
      <c r="N192" s="21">
        <v>45175</v>
      </c>
      <c r="O192" s="1">
        <v>13.25</v>
      </c>
      <c r="P192" s="1">
        <v>12.3703</v>
      </c>
      <c r="Q192" s="6">
        <f t="shared" si="67"/>
        <v>-3.7609728597889358E-3</v>
      </c>
      <c r="R192" s="21">
        <v>45175</v>
      </c>
      <c r="S192" s="1">
        <v>7.85</v>
      </c>
      <c r="T192" s="1">
        <v>7.3522999999999996</v>
      </c>
      <c r="U192" s="6">
        <f t="shared" si="72"/>
        <v>2.2132321252311238E-2</v>
      </c>
      <c r="V192" s="21">
        <v>45175</v>
      </c>
      <c r="W192" s="1">
        <v>6.49</v>
      </c>
      <c r="X192" s="1">
        <v>5.7569999999999997</v>
      </c>
      <c r="Y192" s="6">
        <f t="shared" si="74"/>
        <v>0</v>
      </c>
      <c r="Z192" s="21">
        <v>45175</v>
      </c>
      <c r="AA192" s="1">
        <v>2.2599999999999998</v>
      </c>
      <c r="AB192" s="1">
        <v>2.2599999999999998</v>
      </c>
      <c r="AC192" s="6">
        <f t="shared" si="68"/>
        <v>4.444444444444251E-3</v>
      </c>
      <c r="AD192" s="21">
        <v>45175</v>
      </c>
      <c r="AE192" s="1">
        <v>7.3</v>
      </c>
      <c r="AF192" s="1">
        <v>6.8167</v>
      </c>
      <c r="AG192" s="6">
        <f t="shared" si="69"/>
        <v>0</v>
      </c>
      <c r="AH192" s="21">
        <v>45175</v>
      </c>
      <c r="AI192" s="1">
        <v>8.5299999999999994</v>
      </c>
      <c r="AJ192" s="1">
        <v>7.9358000000000004</v>
      </c>
      <c r="AK192" s="6">
        <f t="shared" si="70"/>
        <v>-2.3383284722919839E-3</v>
      </c>
      <c r="AL192" s="21">
        <v>45175</v>
      </c>
      <c r="AM192" s="1">
        <v>1.74</v>
      </c>
      <c r="AN192" s="1">
        <v>1.74</v>
      </c>
      <c r="AO192" s="6">
        <v>0</v>
      </c>
      <c r="AP192" s="21" t="s">
        <v>195</v>
      </c>
      <c r="AQ192" s="1">
        <v>8975.2800000000007</v>
      </c>
      <c r="AR192" s="6">
        <v>2.6189884463612145E-4</v>
      </c>
    </row>
    <row r="193" spans="2:44" x14ac:dyDescent="0.35">
      <c r="B193" s="21">
        <v>45176</v>
      </c>
      <c r="C193" s="1">
        <v>0.56000000000000005</v>
      </c>
      <c r="D193" s="1">
        <v>0.56000000000000005</v>
      </c>
      <c r="E193" s="6">
        <f t="shared" si="73"/>
        <v>0</v>
      </c>
      <c r="F193" s="21">
        <v>45176</v>
      </c>
      <c r="G193" s="1">
        <v>15.35</v>
      </c>
      <c r="H193" s="1">
        <v>11.5244</v>
      </c>
      <c r="I193" s="6">
        <f t="shared" si="71"/>
        <v>-2.5395993133018213E-2</v>
      </c>
      <c r="J193" s="21">
        <v>45176</v>
      </c>
      <c r="K193" s="1">
        <v>45.75</v>
      </c>
      <c r="L193" s="1">
        <v>30.326699999999999</v>
      </c>
      <c r="M193" s="6">
        <f t="shared" si="66"/>
        <v>-8.7305457085251614E-4</v>
      </c>
      <c r="N193" s="21">
        <v>45176</v>
      </c>
      <c r="O193" s="1">
        <v>13.35</v>
      </c>
      <c r="P193" s="1">
        <v>12.463699999999999</v>
      </c>
      <c r="Q193" s="6">
        <f t="shared" si="67"/>
        <v>7.5503423522469415E-3</v>
      </c>
      <c r="R193" s="21">
        <v>45176</v>
      </c>
      <c r="S193" s="1">
        <v>7.8</v>
      </c>
      <c r="T193" s="1">
        <v>7.3055000000000003</v>
      </c>
      <c r="U193" s="6">
        <f t="shared" si="72"/>
        <v>-6.3653550589610752E-3</v>
      </c>
      <c r="V193" s="21">
        <v>45176</v>
      </c>
      <c r="W193" s="1">
        <v>6.49</v>
      </c>
      <c r="X193" s="1">
        <v>5.7569999999999997</v>
      </c>
      <c r="Y193" s="6">
        <f t="shared" si="74"/>
        <v>0</v>
      </c>
      <c r="Z193" s="21">
        <v>45176</v>
      </c>
      <c r="AA193" s="1">
        <v>2.25</v>
      </c>
      <c r="AB193" s="1">
        <v>2.25</v>
      </c>
      <c r="AC193" s="6">
        <f t="shared" si="68"/>
        <v>-4.4247787610618428E-3</v>
      </c>
      <c r="AD193" s="21">
        <v>45176</v>
      </c>
      <c r="AE193" s="1">
        <v>7.25</v>
      </c>
      <c r="AF193" s="1">
        <v>6.77</v>
      </c>
      <c r="AG193" s="6">
        <f t="shared" si="69"/>
        <v>-6.8508222453680379E-3</v>
      </c>
      <c r="AH193" s="21">
        <v>45176</v>
      </c>
      <c r="AI193" s="1">
        <v>8.52</v>
      </c>
      <c r="AJ193" s="1">
        <v>7.9264999999999999</v>
      </c>
      <c r="AK193" s="6">
        <f t="shared" si="70"/>
        <v>-1.1719045338844936E-3</v>
      </c>
      <c r="AL193" s="21">
        <v>45176</v>
      </c>
      <c r="AM193" s="1">
        <v>1.74</v>
      </c>
      <c r="AN193" s="1">
        <v>1.74</v>
      </c>
      <c r="AO193" s="6">
        <v>0</v>
      </c>
      <c r="AP193" s="21" t="s">
        <v>196</v>
      </c>
      <c r="AQ193" s="1">
        <v>8954.5499999999993</v>
      </c>
      <c r="AR193" s="6">
        <v>-2.309677246838171E-3</v>
      </c>
    </row>
    <row r="194" spans="2:44" x14ac:dyDescent="0.35">
      <c r="B194" s="21">
        <v>45177</v>
      </c>
      <c r="C194" s="1">
        <v>0.56000000000000005</v>
      </c>
      <c r="D194" s="1">
        <v>0.56000000000000005</v>
      </c>
      <c r="E194" s="6">
        <f t="shared" si="73"/>
        <v>0</v>
      </c>
      <c r="F194" s="21">
        <v>45177</v>
      </c>
      <c r="G194" s="1">
        <v>15.59</v>
      </c>
      <c r="H194" s="1">
        <v>11.704599999999999</v>
      </c>
      <c r="I194" s="6">
        <f t="shared" si="71"/>
        <v>1.5636388879247454E-2</v>
      </c>
      <c r="J194" s="21">
        <v>45177</v>
      </c>
      <c r="K194" s="1">
        <v>45.9</v>
      </c>
      <c r="L194" s="1">
        <v>30.426100000000002</v>
      </c>
      <c r="M194" s="6">
        <f t="shared" si="66"/>
        <v>3.2776398355245373E-3</v>
      </c>
      <c r="N194" s="21">
        <v>45177</v>
      </c>
      <c r="O194" s="1">
        <v>13.3</v>
      </c>
      <c r="P194" s="1">
        <v>12.417</v>
      </c>
      <c r="Q194" s="6">
        <f t="shared" si="67"/>
        <v>-3.746880942256281E-3</v>
      </c>
      <c r="R194" s="21">
        <v>45177</v>
      </c>
      <c r="S194" s="1">
        <v>7.84</v>
      </c>
      <c r="T194" s="1">
        <v>7.3429000000000002</v>
      </c>
      <c r="U194" s="6">
        <f t="shared" si="72"/>
        <v>5.1194305660118289E-3</v>
      </c>
      <c r="V194" s="21">
        <v>45177</v>
      </c>
      <c r="W194" s="1">
        <v>6.49</v>
      </c>
      <c r="X194" s="1">
        <v>5.7569999999999997</v>
      </c>
      <c r="Y194" s="6">
        <f t="shared" si="74"/>
        <v>0</v>
      </c>
      <c r="Z194" s="21">
        <v>45177</v>
      </c>
      <c r="AA194" s="1">
        <v>2.23</v>
      </c>
      <c r="AB194" s="1">
        <v>2.23</v>
      </c>
      <c r="AC194" s="6">
        <f t="shared" si="68"/>
        <v>-8.8888888888889461E-3</v>
      </c>
      <c r="AD194" s="21">
        <v>45177</v>
      </c>
      <c r="AE194" s="1">
        <v>7.28</v>
      </c>
      <c r="AF194" s="1">
        <v>6.798</v>
      </c>
      <c r="AG194" s="6">
        <f t="shared" si="69"/>
        <v>4.1358936484490183E-3</v>
      </c>
      <c r="AH194" s="21">
        <v>45177</v>
      </c>
      <c r="AI194" s="1">
        <v>8.59</v>
      </c>
      <c r="AJ194" s="1">
        <v>7.9916999999999998</v>
      </c>
      <c r="AK194" s="6">
        <f t="shared" si="70"/>
        <v>8.2255724468554003E-3</v>
      </c>
      <c r="AL194" s="21">
        <v>45177</v>
      </c>
      <c r="AM194" s="1">
        <v>1.68</v>
      </c>
      <c r="AN194" s="1">
        <v>1.68</v>
      </c>
      <c r="AO194" s="6">
        <v>-3.4482758620689724E-2</v>
      </c>
      <c r="AP194" s="21" t="s">
        <v>197</v>
      </c>
      <c r="AQ194" s="1">
        <v>8968.82</v>
      </c>
      <c r="AR194" s="6">
        <v>1.593603251978104E-3</v>
      </c>
    </row>
    <row r="195" spans="2:44" x14ac:dyDescent="0.35">
      <c r="B195" s="21">
        <v>45180</v>
      </c>
      <c r="C195" s="1">
        <v>0.56000000000000005</v>
      </c>
      <c r="D195" s="1">
        <v>0.56000000000000005</v>
      </c>
      <c r="E195" s="6">
        <f t="shared" si="73"/>
        <v>0</v>
      </c>
      <c r="F195" s="21">
        <v>45180</v>
      </c>
      <c r="G195" s="1">
        <v>15.06</v>
      </c>
      <c r="H195" s="1">
        <v>11.3066</v>
      </c>
      <c r="I195" s="6">
        <f t="shared" si="71"/>
        <v>-3.4003725031184318E-2</v>
      </c>
      <c r="J195" s="21">
        <v>45180</v>
      </c>
      <c r="K195" s="1">
        <v>45.85</v>
      </c>
      <c r="L195" s="1">
        <v>30.393000000000001</v>
      </c>
      <c r="M195" s="6">
        <f t="shared" ref="M195:M258" si="75">(L195/L194)-1</f>
        <v>-1.0878817857037371E-3</v>
      </c>
      <c r="N195" s="21">
        <v>45180</v>
      </c>
      <c r="O195" s="1">
        <v>13.52</v>
      </c>
      <c r="P195" s="1">
        <v>12.622400000000001</v>
      </c>
      <c r="Q195" s="6">
        <f t="shared" ref="Q195:Q258" si="76">(P195/P194)-1</f>
        <v>1.6541837803011994E-2</v>
      </c>
      <c r="R195" s="21">
        <v>45180</v>
      </c>
      <c r="S195" s="1">
        <v>7.92</v>
      </c>
      <c r="T195" s="1">
        <v>7.4179000000000004</v>
      </c>
      <c r="U195" s="6">
        <f t="shared" si="72"/>
        <v>1.0213948167617781E-2</v>
      </c>
      <c r="V195" s="21">
        <v>45180</v>
      </c>
      <c r="W195" s="1">
        <v>6.49</v>
      </c>
      <c r="X195" s="1">
        <v>5.7569999999999997</v>
      </c>
      <c r="Y195" s="6">
        <f t="shared" si="74"/>
        <v>0</v>
      </c>
      <c r="Z195" s="21">
        <v>45180</v>
      </c>
      <c r="AA195" s="1">
        <v>2.23</v>
      </c>
      <c r="AB195" s="1">
        <v>2.23</v>
      </c>
      <c r="AC195" s="6">
        <f t="shared" ref="AC195:AC258" si="77">(AB195/AB194)-1</f>
        <v>0</v>
      </c>
      <c r="AD195" s="21">
        <v>45180</v>
      </c>
      <c r="AE195" s="1">
        <v>7.28</v>
      </c>
      <c r="AF195" s="1">
        <v>6.798</v>
      </c>
      <c r="AG195" s="6">
        <f t="shared" ref="AG195:AG258" si="78">(AF195/AF194)-1</f>
        <v>0</v>
      </c>
      <c r="AH195" s="21">
        <v>45180</v>
      </c>
      <c r="AI195" s="1">
        <v>8.51</v>
      </c>
      <c r="AJ195" s="1">
        <v>7.9172000000000002</v>
      </c>
      <c r="AK195" s="6">
        <f t="shared" ref="AK195:AK258" si="79">(AJ195/AJ194)-1</f>
        <v>-9.3221717531938308E-3</v>
      </c>
      <c r="AL195" s="21">
        <v>45180</v>
      </c>
      <c r="AM195" s="1">
        <v>1.61</v>
      </c>
      <c r="AN195" s="1">
        <v>1.61</v>
      </c>
      <c r="AO195" s="6">
        <v>-4.1666666666666519E-2</v>
      </c>
      <c r="AP195" s="21" t="s">
        <v>198</v>
      </c>
      <c r="AQ195" s="1">
        <v>8940.98</v>
      </c>
      <c r="AR195" s="6">
        <v>-3.1040872712352341E-3</v>
      </c>
    </row>
    <row r="196" spans="2:44" x14ac:dyDescent="0.35">
      <c r="B196" s="21">
        <v>45181</v>
      </c>
      <c r="C196" s="1">
        <v>0.54</v>
      </c>
      <c r="D196" s="1">
        <v>0.54</v>
      </c>
      <c r="E196" s="6">
        <f t="shared" si="73"/>
        <v>-3.5714285714285698E-2</v>
      </c>
      <c r="F196" s="21">
        <v>45181</v>
      </c>
      <c r="G196" s="1">
        <v>15.46</v>
      </c>
      <c r="H196" s="1">
        <v>11.606999999999999</v>
      </c>
      <c r="I196" s="6">
        <f t="shared" si="71"/>
        <v>2.6568552880618324E-2</v>
      </c>
      <c r="J196" s="21">
        <v>45181</v>
      </c>
      <c r="K196" s="1">
        <v>45.43</v>
      </c>
      <c r="L196" s="1">
        <v>30.114599999999999</v>
      </c>
      <c r="M196" s="6">
        <f t="shared" si="75"/>
        <v>-9.1600039482776507E-3</v>
      </c>
      <c r="N196" s="21">
        <v>45181</v>
      </c>
      <c r="O196" s="1">
        <v>13.47</v>
      </c>
      <c r="P196" s="1">
        <v>12.575699999999999</v>
      </c>
      <c r="Q196" s="6">
        <f t="shared" si="76"/>
        <v>-3.6997718341996721E-3</v>
      </c>
      <c r="R196" s="21">
        <v>45181</v>
      </c>
      <c r="S196" s="1">
        <v>7.92</v>
      </c>
      <c r="T196" s="1">
        <v>7.4179000000000004</v>
      </c>
      <c r="U196" s="6">
        <f t="shared" si="72"/>
        <v>0</v>
      </c>
      <c r="V196" s="21">
        <v>45181</v>
      </c>
      <c r="W196" s="1">
        <v>6.49</v>
      </c>
      <c r="X196" s="1">
        <v>5.7569999999999997</v>
      </c>
      <c r="Y196" s="6">
        <f t="shared" si="74"/>
        <v>0</v>
      </c>
      <c r="Z196" s="21">
        <v>45181</v>
      </c>
      <c r="AA196" s="1">
        <v>2.23</v>
      </c>
      <c r="AB196" s="1">
        <v>2.23</v>
      </c>
      <c r="AC196" s="6">
        <f t="shared" si="77"/>
        <v>0</v>
      </c>
      <c r="AD196" s="21">
        <v>45181</v>
      </c>
      <c r="AE196" s="1">
        <v>7.22</v>
      </c>
      <c r="AF196" s="1">
        <v>6.742</v>
      </c>
      <c r="AG196" s="6">
        <f t="shared" si="78"/>
        <v>-8.2377169755810664E-3</v>
      </c>
      <c r="AH196" s="21">
        <v>45181</v>
      </c>
      <c r="AI196" s="1">
        <v>8.51</v>
      </c>
      <c r="AJ196" s="1">
        <v>7.9172000000000002</v>
      </c>
      <c r="AK196" s="6">
        <f t="shared" si="79"/>
        <v>0</v>
      </c>
      <c r="AL196" s="21">
        <v>45181</v>
      </c>
      <c r="AM196" s="1">
        <v>1.61</v>
      </c>
      <c r="AN196" s="1">
        <v>1.61</v>
      </c>
      <c r="AO196" s="6">
        <v>0</v>
      </c>
      <c r="AP196" s="21" t="s">
        <v>199</v>
      </c>
      <c r="AQ196" s="1">
        <v>8899.56</v>
      </c>
      <c r="AR196" s="6">
        <v>-4.6326017953289833E-3</v>
      </c>
    </row>
    <row r="197" spans="2:44" x14ac:dyDescent="0.35">
      <c r="B197" s="21">
        <v>45182</v>
      </c>
      <c r="C197" s="1">
        <v>0.56000000000000005</v>
      </c>
      <c r="D197" s="1">
        <v>0.56000000000000005</v>
      </c>
      <c r="E197" s="6">
        <f t="shared" si="73"/>
        <v>3.7037037037036979E-2</v>
      </c>
      <c r="F197" s="21">
        <v>45182</v>
      </c>
      <c r="G197" s="1">
        <v>15.45</v>
      </c>
      <c r="H197" s="1">
        <v>11.599399999999999</v>
      </c>
      <c r="I197" s="6">
        <f t="shared" si="71"/>
        <v>-6.5477728956664372E-4</v>
      </c>
      <c r="J197" s="21">
        <v>45182</v>
      </c>
      <c r="K197" s="1">
        <v>45.4</v>
      </c>
      <c r="L197" s="1">
        <v>30.0947</v>
      </c>
      <c r="M197" s="6">
        <f t="shared" si="75"/>
        <v>-6.6080904278986718E-4</v>
      </c>
      <c r="N197" s="21">
        <v>45182</v>
      </c>
      <c r="O197" s="1">
        <v>13.41</v>
      </c>
      <c r="P197" s="1">
        <v>12.5197</v>
      </c>
      <c r="Q197" s="6">
        <f t="shared" si="76"/>
        <v>-4.4530324355701589E-3</v>
      </c>
      <c r="R197" s="21">
        <v>45182</v>
      </c>
      <c r="S197" s="1">
        <v>7.98</v>
      </c>
      <c r="T197" s="1">
        <v>7.4741</v>
      </c>
      <c r="U197" s="6">
        <f t="shared" si="72"/>
        <v>7.5762682160718242E-3</v>
      </c>
      <c r="V197" s="21">
        <v>45182</v>
      </c>
      <c r="W197" s="1">
        <v>6.49</v>
      </c>
      <c r="X197" s="1">
        <v>5.7569999999999997</v>
      </c>
      <c r="Y197" s="6">
        <f t="shared" si="74"/>
        <v>0</v>
      </c>
      <c r="Z197" s="21">
        <v>45182</v>
      </c>
      <c r="AA197" s="1">
        <v>2.2000000000000002</v>
      </c>
      <c r="AB197" s="1">
        <v>2.2000000000000002</v>
      </c>
      <c r="AC197" s="6">
        <f t="shared" si="77"/>
        <v>-1.3452914798206206E-2</v>
      </c>
      <c r="AD197" s="21">
        <v>45182</v>
      </c>
      <c r="AE197" s="1">
        <v>7.28</v>
      </c>
      <c r="AF197" s="1">
        <v>6.798</v>
      </c>
      <c r="AG197" s="6">
        <f t="shared" si="78"/>
        <v>8.3061406110946923E-3</v>
      </c>
      <c r="AH197" s="21">
        <v>45182</v>
      </c>
      <c r="AI197" s="1">
        <v>8.51</v>
      </c>
      <c r="AJ197" s="1">
        <v>7.9172000000000002</v>
      </c>
      <c r="AK197" s="6">
        <f t="shared" si="79"/>
        <v>0</v>
      </c>
      <c r="AL197" s="21">
        <v>45182</v>
      </c>
      <c r="AM197" s="1">
        <v>1.61</v>
      </c>
      <c r="AN197" s="1">
        <v>1.61</v>
      </c>
      <c r="AO197" s="6">
        <v>0</v>
      </c>
      <c r="AP197" s="21" t="s">
        <v>200</v>
      </c>
      <c r="AQ197" s="1">
        <v>8878.8799999999992</v>
      </c>
      <c r="AR197" s="6">
        <v>-2.3237103856820207E-3</v>
      </c>
    </row>
    <row r="198" spans="2:44" x14ac:dyDescent="0.35">
      <c r="B198" s="21">
        <v>45183</v>
      </c>
      <c r="C198" s="1">
        <v>0.55000000000000004</v>
      </c>
      <c r="D198" s="1">
        <v>0.55000000000000004</v>
      </c>
      <c r="E198" s="6">
        <f t="shared" si="73"/>
        <v>-1.7857142857142905E-2</v>
      </c>
      <c r="F198" s="21">
        <v>45183</v>
      </c>
      <c r="G198" s="1">
        <v>15.44</v>
      </c>
      <c r="H198" s="1">
        <v>11.591900000000001</v>
      </c>
      <c r="I198" s="6">
        <f t="shared" si="71"/>
        <v>-6.4658516819826595E-4</v>
      </c>
      <c r="J198" s="21">
        <v>45183</v>
      </c>
      <c r="K198" s="1">
        <v>45.39</v>
      </c>
      <c r="L198" s="1">
        <v>30.088000000000001</v>
      </c>
      <c r="M198" s="6">
        <f t="shared" si="75"/>
        <v>-2.2263056285654059E-4</v>
      </c>
      <c r="N198" s="21">
        <v>45183</v>
      </c>
      <c r="O198" s="1">
        <v>13.48</v>
      </c>
      <c r="P198" s="1">
        <v>12.585100000000001</v>
      </c>
      <c r="Q198" s="6">
        <f t="shared" si="76"/>
        <v>5.2237673426680509E-3</v>
      </c>
      <c r="R198" s="21">
        <v>45183</v>
      </c>
      <c r="S198" s="1">
        <v>8</v>
      </c>
      <c r="T198" s="1">
        <v>7.4927999999999999</v>
      </c>
      <c r="U198" s="6">
        <f t="shared" si="72"/>
        <v>2.5019734817570694E-3</v>
      </c>
      <c r="V198" s="21">
        <v>45183</v>
      </c>
      <c r="W198" s="1">
        <v>6.48</v>
      </c>
      <c r="X198" s="1">
        <v>5.7480000000000002</v>
      </c>
      <c r="Y198" s="6">
        <f t="shared" si="74"/>
        <v>-1.5633142261594069E-3</v>
      </c>
      <c r="Z198" s="21">
        <v>45183</v>
      </c>
      <c r="AA198" s="1">
        <v>2.21</v>
      </c>
      <c r="AB198" s="1">
        <v>2.21</v>
      </c>
      <c r="AC198" s="6">
        <f t="shared" si="77"/>
        <v>4.5454545454544082E-3</v>
      </c>
      <c r="AD198" s="21">
        <v>45183</v>
      </c>
      <c r="AE198" s="1">
        <v>7.3</v>
      </c>
      <c r="AF198" s="1">
        <v>6.8167</v>
      </c>
      <c r="AG198" s="6">
        <f t="shared" si="78"/>
        <v>2.7508090614887237E-3</v>
      </c>
      <c r="AH198" s="21">
        <v>45183</v>
      </c>
      <c r="AI198" s="1">
        <v>8.5500000000000007</v>
      </c>
      <c r="AJ198" s="1">
        <v>7.9543999999999997</v>
      </c>
      <c r="AK198" s="6">
        <f t="shared" si="79"/>
        <v>4.698630829080841E-3</v>
      </c>
      <c r="AL198" s="21">
        <v>45183</v>
      </c>
      <c r="AM198" s="1">
        <v>1.61</v>
      </c>
      <c r="AN198" s="1">
        <v>1.61</v>
      </c>
      <c r="AO198" s="6">
        <v>0</v>
      </c>
      <c r="AP198" s="21" t="s">
        <v>201</v>
      </c>
      <c r="AQ198" s="1">
        <v>8876.39</v>
      </c>
      <c r="AR198" s="6">
        <v>-2.804407763140615E-4</v>
      </c>
    </row>
    <row r="199" spans="2:44" x14ac:dyDescent="0.35">
      <c r="B199" s="21">
        <v>45184</v>
      </c>
      <c r="C199" s="1">
        <v>0.57999999999999996</v>
      </c>
      <c r="D199" s="1">
        <v>0.57999999999999996</v>
      </c>
      <c r="E199" s="6">
        <f t="shared" si="73"/>
        <v>5.4545454545454453E-2</v>
      </c>
      <c r="F199" s="21">
        <v>45184</v>
      </c>
      <c r="G199" s="1">
        <v>15.3</v>
      </c>
      <c r="H199" s="1">
        <v>11.486800000000001</v>
      </c>
      <c r="I199" s="6">
        <f t="shared" ref="I199:I262" si="80">(H199/H198)-1</f>
        <v>-9.0666758684944115E-3</v>
      </c>
      <c r="J199" s="21">
        <v>45184</v>
      </c>
      <c r="K199" s="1">
        <v>45.29</v>
      </c>
      <c r="L199" s="1">
        <v>30.021799999999999</v>
      </c>
      <c r="M199" s="6">
        <f t="shared" si="75"/>
        <v>-2.2002127093858626E-3</v>
      </c>
      <c r="N199" s="21">
        <v>45184</v>
      </c>
      <c r="O199" s="1">
        <v>13.4</v>
      </c>
      <c r="P199" s="1">
        <v>12.510400000000001</v>
      </c>
      <c r="Q199" s="6">
        <f t="shared" si="76"/>
        <v>-5.9355904998767972E-3</v>
      </c>
      <c r="R199" s="21">
        <v>45184</v>
      </c>
      <c r="S199" s="1">
        <v>8</v>
      </c>
      <c r="T199" s="1">
        <v>7.4927999999999999</v>
      </c>
      <c r="U199" s="6">
        <f t="shared" si="72"/>
        <v>0</v>
      </c>
      <c r="V199" s="21">
        <v>45184</v>
      </c>
      <c r="W199" s="1">
        <v>6.47</v>
      </c>
      <c r="X199" s="1">
        <v>5.7389999999999999</v>
      </c>
      <c r="Y199" s="6">
        <f t="shared" si="74"/>
        <v>-1.5657620041754639E-3</v>
      </c>
      <c r="Z199" s="21">
        <v>45184</v>
      </c>
      <c r="AA199" s="1">
        <v>2.2000000000000002</v>
      </c>
      <c r="AB199" s="1">
        <v>2.2000000000000002</v>
      </c>
      <c r="AC199" s="6">
        <f t="shared" si="77"/>
        <v>-4.5248868778279272E-3</v>
      </c>
      <c r="AD199" s="21">
        <v>45184</v>
      </c>
      <c r="AE199" s="1">
        <v>7.3</v>
      </c>
      <c r="AF199" s="1">
        <v>6.8167</v>
      </c>
      <c r="AG199" s="6">
        <f t="shared" si="78"/>
        <v>0</v>
      </c>
      <c r="AH199" s="21">
        <v>45184</v>
      </c>
      <c r="AI199" s="1">
        <v>8.5</v>
      </c>
      <c r="AJ199" s="1">
        <v>7.9078999999999997</v>
      </c>
      <c r="AK199" s="6">
        <f t="shared" si="79"/>
        <v>-5.8458211807301819E-3</v>
      </c>
      <c r="AL199" s="21">
        <v>45184</v>
      </c>
      <c r="AM199" s="1">
        <v>1.56</v>
      </c>
      <c r="AN199" s="1">
        <v>1.56</v>
      </c>
      <c r="AO199" s="6">
        <v>-3.1055900621118071E-2</v>
      </c>
      <c r="AP199" s="21" t="s">
        <v>202</v>
      </c>
      <c r="AQ199" s="1">
        <v>8819.36</v>
      </c>
      <c r="AR199" s="6">
        <v>-6.4249092254845541E-3</v>
      </c>
    </row>
    <row r="200" spans="2:44" x14ac:dyDescent="0.35">
      <c r="B200" s="21">
        <v>45187</v>
      </c>
      <c r="C200" s="1">
        <v>0.59</v>
      </c>
      <c r="D200" s="1">
        <v>0.59</v>
      </c>
      <c r="E200" s="6">
        <f t="shared" si="73"/>
        <v>1.7241379310344751E-2</v>
      </c>
      <c r="F200" s="21">
        <v>45187</v>
      </c>
      <c r="G200" s="1">
        <v>15.19</v>
      </c>
      <c r="H200" s="1">
        <v>11.404199999999999</v>
      </c>
      <c r="I200" s="6">
        <f t="shared" si="80"/>
        <v>-7.1908625552808969E-3</v>
      </c>
      <c r="J200" s="21">
        <v>45187</v>
      </c>
      <c r="K200" s="1">
        <v>45</v>
      </c>
      <c r="L200" s="1">
        <v>29.829499999999999</v>
      </c>
      <c r="M200" s="6">
        <f t="shared" si="75"/>
        <v>-6.4053454489737538E-3</v>
      </c>
      <c r="N200" s="21">
        <v>45187</v>
      </c>
      <c r="O200" s="1">
        <v>13.39</v>
      </c>
      <c r="P200" s="1">
        <v>12.500999999999999</v>
      </c>
      <c r="Q200" s="6">
        <f t="shared" si="76"/>
        <v>-7.5137485611975752E-4</v>
      </c>
      <c r="R200" s="21">
        <v>45187</v>
      </c>
      <c r="S200" s="1">
        <v>8</v>
      </c>
      <c r="T200" s="1">
        <v>7.4927999999999999</v>
      </c>
      <c r="U200" s="6">
        <f t="shared" si="72"/>
        <v>0</v>
      </c>
      <c r="V200" s="21">
        <v>45187</v>
      </c>
      <c r="W200" s="1">
        <v>6.47</v>
      </c>
      <c r="X200" s="1">
        <v>5.7389999999999999</v>
      </c>
      <c r="Y200" s="6">
        <f t="shared" si="74"/>
        <v>0</v>
      </c>
      <c r="Z200" s="21">
        <v>45187</v>
      </c>
      <c r="AA200" s="1">
        <v>2.2000000000000002</v>
      </c>
      <c r="AB200" s="1">
        <v>2.2000000000000002</v>
      </c>
      <c r="AC200" s="6">
        <f t="shared" si="77"/>
        <v>0</v>
      </c>
      <c r="AD200" s="21">
        <v>45187</v>
      </c>
      <c r="AE200" s="1">
        <v>7.29</v>
      </c>
      <c r="AF200" s="1">
        <v>6.8074000000000003</v>
      </c>
      <c r="AG200" s="6">
        <f t="shared" si="78"/>
        <v>-1.3642965071074542E-3</v>
      </c>
      <c r="AH200" s="21">
        <v>45187</v>
      </c>
      <c r="AI200" s="1">
        <v>8.5399999999999991</v>
      </c>
      <c r="AJ200" s="1">
        <v>7.9451000000000001</v>
      </c>
      <c r="AK200" s="6">
        <f t="shared" si="79"/>
        <v>4.7041566028909187E-3</v>
      </c>
      <c r="AL200" s="21">
        <v>45187</v>
      </c>
      <c r="AM200" s="1">
        <v>1.49</v>
      </c>
      <c r="AN200" s="1">
        <v>1.49</v>
      </c>
      <c r="AO200" s="6">
        <v>-4.4871794871794934E-2</v>
      </c>
      <c r="AP200" s="21" t="s">
        <v>203</v>
      </c>
      <c r="AQ200" s="1">
        <v>8774.99</v>
      </c>
      <c r="AR200" s="6">
        <v>-5.0309773044756589E-3</v>
      </c>
    </row>
    <row r="201" spans="2:44" x14ac:dyDescent="0.35">
      <c r="B201" s="21">
        <v>45188</v>
      </c>
      <c r="C201" s="1">
        <v>0.61</v>
      </c>
      <c r="D201" s="1">
        <v>0.61</v>
      </c>
      <c r="E201" s="6">
        <f t="shared" si="73"/>
        <v>3.3898305084745894E-2</v>
      </c>
      <c r="F201" s="21">
        <v>45188</v>
      </c>
      <c r="G201" s="1">
        <v>15.18</v>
      </c>
      <c r="H201" s="1">
        <v>11.396699999999999</v>
      </c>
      <c r="I201" s="6">
        <f t="shared" si="80"/>
        <v>-6.5765244383653165E-4</v>
      </c>
      <c r="J201" s="21">
        <v>45188</v>
      </c>
      <c r="K201" s="1">
        <v>44</v>
      </c>
      <c r="L201" s="1">
        <v>29.166599999999999</v>
      </c>
      <c r="M201" s="6">
        <f t="shared" si="75"/>
        <v>-2.2222967196902421E-2</v>
      </c>
      <c r="N201" s="21">
        <v>45188</v>
      </c>
      <c r="O201" s="1">
        <v>13.7</v>
      </c>
      <c r="P201" s="1">
        <v>12.7905</v>
      </c>
      <c r="Q201" s="6">
        <f t="shared" si="76"/>
        <v>2.3158147348212088E-2</v>
      </c>
      <c r="R201" s="21">
        <v>45188</v>
      </c>
      <c r="S201" s="1">
        <v>7.95</v>
      </c>
      <c r="T201" s="1">
        <v>7.4459999999999997</v>
      </c>
      <c r="U201" s="6">
        <f t="shared" ref="U201:U264" si="81">(T201/T200)-1</f>
        <v>-6.2459961563100519E-3</v>
      </c>
      <c r="V201" s="21">
        <v>45188</v>
      </c>
      <c r="W201" s="1">
        <v>6.44</v>
      </c>
      <c r="X201" s="1">
        <v>5.7119999999999997</v>
      </c>
      <c r="Y201" s="6">
        <f t="shared" si="74"/>
        <v>-4.7046523784631811E-3</v>
      </c>
      <c r="Z201" s="21">
        <v>45188</v>
      </c>
      <c r="AA201" s="1">
        <v>2.16</v>
      </c>
      <c r="AB201" s="1">
        <v>2.16</v>
      </c>
      <c r="AC201" s="6">
        <f t="shared" si="77"/>
        <v>-1.8181818181818188E-2</v>
      </c>
      <c r="AD201" s="21">
        <v>45188</v>
      </c>
      <c r="AE201" s="1">
        <v>7.28</v>
      </c>
      <c r="AF201" s="1">
        <v>6.798</v>
      </c>
      <c r="AG201" s="6">
        <f t="shared" si="78"/>
        <v>-1.3808502511972742E-3</v>
      </c>
      <c r="AH201" s="21">
        <v>45188</v>
      </c>
      <c r="AI201" s="1">
        <v>8.5</v>
      </c>
      <c r="AJ201" s="1">
        <v>7.9078999999999997</v>
      </c>
      <c r="AK201" s="6">
        <f t="shared" si="79"/>
        <v>-4.6821311248442798E-3</v>
      </c>
      <c r="AL201" s="21">
        <v>45188</v>
      </c>
      <c r="AM201" s="1">
        <v>1.45</v>
      </c>
      <c r="AN201" s="1">
        <v>1.45</v>
      </c>
      <c r="AO201" s="6">
        <v>-2.684563758389269E-2</v>
      </c>
      <c r="AP201" s="21" t="s">
        <v>204</v>
      </c>
      <c r="AQ201" s="1">
        <v>8732.74</v>
      </c>
      <c r="AR201" s="6">
        <v>-4.8148203017894797E-3</v>
      </c>
    </row>
    <row r="202" spans="2:44" x14ac:dyDescent="0.35">
      <c r="B202" s="21">
        <v>45189</v>
      </c>
      <c r="C202" s="1">
        <v>0.6</v>
      </c>
      <c r="D202" s="1">
        <v>0.6</v>
      </c>
      <c r="E202" s="6">
        <f t="shared" si="73"/>
        <v>-1.6393442622950838E-2</v>
      </c>
      <c r="F202" s="21">
        <v>45189</v>
      </c>
      <c r="G202" s="1">
        <v>15</v>
      </c>
      <c r="H202" s="1">
        <v>11.2616</v>
      </c>
      <c r="I202" s="6">
        <f t="shared" si="80"/>
        <v>-1.1854308703396543E-2</v>
      </c>
      <c r="J202" s="21">
        <v>45189</v>
      </c>
      <c r="K202" s="1">
        <v>43.8</v>
      </c>
      <c r="L202" s="1">
        <v>29.034099999999999</v>
      </c>
      <c r="M202" s="6">
        <f t="shared" si="75"/>
        <v>-4.5428675265543061E-3</v>
      </c>
      <c r="N202" s="21">
        <v>45189</v>
      </c>
      <c r="O202" s="1">
        <v>13.7</v>
      </c>
      <c r="P202" s="1">
        <v>12.7905</v>
      </c>
      <c r="Q202" s="6">
        <f t="shared" si="76"/>
        <v>0</v>
      </c>
      <c r="R202" s="21">
        <v>45189</v>
      </c>
      <c r="S202" s="1">
        <v>7.89</v>
      </c>
      <c r="T202" s="1">
        <v>7.3898000000000001</v>
      </c>
      <c r="U202" s="6">
        <f t="shared" si="81"/>
        <v>-7.5476766048884203E-3</v>
      </c>
      <c r="V202" s="21">
        <v>45189</v>
      </c>
      <c r="W202" s="1">
        <v>6.45</v>
      </c>
      <c r="X202" s="1">
        <v>5.7210000000000001</v>
      </c>
      <c r="Y202" s="6">
        <f t="shared" si="74"/>
        <v>1.5756302521008347E-3</v>
      </c>
      <c r="Z202" s="21">
        <v>45189</v>
      </c>
      <c r="AA202" s="1">
        <v>2.13</v>
      </c>
      <c r="AB202" s="1">
        <v>2.13</v>
      </c>
      <c r="AC202" s="6">
        <f t="shared" si="77"/>
        <v>-1.3888888888888951E-2</v>
      </c>
      <c r="AD202" s="21">
        <v>45189</v>
      </c>
      <c r="AE202" s="1">
        <v>7.28</v>
      </c>
      <c r="AF202" s="1">
        <v>6.798</v>
      </c>
      <c r="AG202" s="6">
        <f t="shared" si="78"/>
        <v>0</v>
      </c>
      <c r="AH202" s="21">
        <v>45189</v>
      </c>
      <c r="AI202" s="1">
        <v>8.4</v>
      </c>
      <c r="AJ202" s="1">
        <v>7.8148999999999997</v>
      </c>
      <c r="AK202" s="6">
        <f t="shared" si="79"/>
        <v>-1.1760391507226964E-2</v>
      </c>
      <c r="AL202" s="21">
        <v>45189</v>
      </c>
      <c r="AM202" s="1">
        <v>1.39</v>
      </c>
      <c r="AN202" s="1">
        <v>1.39</v>
      </c>
      <c r="AO202" s="6">
        <v>-4.1379310344827669E-2</v>
      </c>
      <c r="AP202" s="21" t="s">
        <v>205</v>
      </c>
      <c r="AQ202" s="1">
        <v>8669.43</v>
      </c>
      <c r="AR202" s="6">
        <v>-7.2497291800740493E-3</v>
      </c>
    </row>
    <row r="203" spans="2:44" x14ac:dyDescent="0.35">
      <c r="B203" s="21">
        <v>45190</v>
      </c>
      <c r="C203" s="1">
        <v>0.59</v>
      </c>
      <c r="D203" s="1">
        <v>0.59</v>
      </c>
      <c r="E203" s="6">
        <f t="shared" si="73"/>
        <v>-1.6666666666666718E-2</v>
      </c>
      <c r="F203" s="21">
        <v>45190</v>
      </c>
      <c r="G203" s="1">
        <v>15</v>
      </c>
      <c r="H203" s="1">
        <v>11.2616</v>
      </c>
      <c r="I203" s="6">
        <f t="shared" si="80"/>
        <v>0</v>
      </c>
      <c r="J203" s="21">
        <v>45190</v>
      </c>
      <c r="K203" s="1">
        <v>41.8</v>
      </c>
      <c r="L203" s="1">
        <v>27.708300000000001</v>
      </c>
      <c r="M203" s="6">
        <f t="shared" si="75"/>
        <v>-4.5663547346051603E-2</v>
      </c>
      <c r="N203" s="21">
        <v>45190</v>
      </c>
      <c r="O203" s="1">
        <v>13.32</v>
      </c>
      <c r="P203" s="1">
        <v>12.435700000000001</v>
      </c>
      <c r="Q203" s="6">
        <f t="shared" si="76"/>
        <v>-2.7739337789765783E-2</v>
      </c>
      <c r="R203" s="21">
        <v>45190</v>
      </c>
      <c r="S203" s="1">
        <v>7.78</v>
      </c>
      <c r="T203" s="1">
        <v>7.2866999999999997</v>
      </c>
      <c r="U203" s="6">
        <f t="shared" si="81"/>
        <v>-1.3951663103196399E-2</v>
      </c>
      <c r="V203" s="21">
        <v>45190</v>
      </c>
      <c r="W203" s="1">
        <v>6.45</v>
      </c>
      <c r="X203" s="1">
        <v>5.7210000000000001</v>
      </c>
      <c r="Y203" s="6">
        <f t="shared" si="74"/>
        <v>0</v>
      </c>
      <c r="Z203" s="21">
        <v>45190</v>
      </c>
      <c r="AA203" s="1">
        <v>2.09</v>
      </c>
      <c r="AB203" s="1">
        <v>2.09</v>
      </c>
      <c r="AC203" s="6">
        <f t="shared" si="77"/>
        <v>-1.8779342723004744E-2</v>
      </c>
      <c r="AD203" s="21">
        <v>45190</v>
      </c>
      <c r="AE203" s="1">
        <v>7</v>
      </c>
      <c r="AF203" s="1">
        <v>6.5366</v>
      </c>
      <c r="AG203" s="6">
        <f t="shared" si="78"/>
        <v>-3.8452486025301602E-2</v>
      </c>
      <c r="AH203" s="21">
        <v>45190</v>
      </c>
      <c r="AI203" s="1">
        <v>8.4</v>
      </c>
      <c r="AJ203" s="1">
        <v>7.8148999999999997</v>
      </c>
      <c r="AK203" s="6">
        <f t="shared" si="79"/>
        <v>0</v>
      </c>
      <c r="AL203" s="21">
        <v>45190</v>
      </c>
      <c r="AM203" s="1">
        <v>1.37</v>
      </c>
      <c r="AN203" s="1">
        <v>1.37</v>
      </c>
      <c r="AO203" s="6">
        <v>-1.4388489208632893E-2</v>
      </c>
      <c r="AP203" s="21" t="s">
        <v>206</v>
      </c>
      <c r="AQ203" s="1">
        <v>8544.93</v>
      </c>
      <c r="AR203" s="6">
        <v>-1.4360805727712256E-2</v>
      </c>
    </row>
    <row r="204" spans="2:44" x14ac:dyDescent="0.35">
      <c r="B204" s="21">
        <v>45191</v>
      </c>
      <c r="C204" s="1">
        <v>0.59</v>
      </c>
      <c r="D204" s="1">
        <v>0.59</v>
      </c>
      <c r="E204" s="6">
        <f t="shared" si="73"/>
        <v>0</v>
      </c>
      <c r="F204" s="21">
        <v>45191</v>
      </c>
      <c r="G204" s="1">
        <v>15</v>
      </c>
      <c r="H204" s="1">
        <v>11.2616</v>
      </c>
      <c r="I204" s="6">
        <f t="shared" si="80"/>
        <v>0</v>
      </c>
      <c r="J204" s="21">
        <v>45191</v>
      </c>
      <c r="K204" s="1">
        <v>41.5</v>
      </c>
      <c r="L204" s="1">
        <v>27.509399999999999</v>
      </c>
      <c r="M204" s="6">
        <f t="shared" si="75"/>
        <v>-7.1783545002761517E-3</v>
      </c>
      <c r="N204" s="21">
        <v>45191</v>
      </c>
      <c r="O204" s="1">
        <v>13.4</v>
      </c>
      <c r="P204" s="1">
        <v>12.510400000000001</v>
      </c>
      <c r="Q204" s="6">
        <f t="shared" si="76"/>
        <v>6.0068994909816542E-3</v>
      </c>
      <c r="R204" s="21">
        <v>45191</v>
      </c>
      <c r="S204" s="1">
        <v>7.78</v>
      </c>
      <c r="T204" s="1">
        <v>7.2866999999999997</v>
      </c>
      <c r="U204" s="6">
        <f t="shared" si="81"/>
        <v>0</v>
      </c>
      <c r="V204" s="21">
        <v>45191</v>
      </c>
      <c r="W204" s="1">
        <v>6.47</v>
      </c>
      <c r="X204" s="1">
        <v>5.7389999999999999</v>
      </c>
      <c r="Y204" s="6">
        <f t="shared" si="74"/>
        <v>3.1463030938647663E-3</v>
      </c>
      <c r="Z204" s="21">
        <v>45191</v>
      </c>
      <c r="AA204" s="1">
        <v>2.08</v>
      </c>
      <c r="AB204" s="1">
        <v>2.08</v>
      </c>
      <c r="AC204" s="6">
        <f t="shared" si="77"/>
        <v>-4.7846889952152249E-3</v>
      </c>
      <c r="AD204" s="21">
        <v>45191</v>
      </c>
      <c r="AE204" s="1">
        <v>7</v>
      </c>
      <c r="AF204" s="1">
        <v>6.5366</v>
      </c>
      <c r="AG204" s="6">
        <f t="shared" si="78"/>
        <v>0</v>
      </c>
      <c r="AH204" s="21">
        <v>45191</v>
      </c>
      <c r="AI204" s="1">
        <v>8.3000000000000007</v>
      </c>
      <c r="AJ204" s="1">
        <v>7.7218999999999998</v>
      </c>
      <c r="AK204" s="6">
        <f t="shared" si="79"/>
        <v>-1.1900344214257341E-2</v>
      </c>
      <c r="AL204" s="21">
        <v>45191</v>
      </c>
      <c r="AM204" s="1">
        <v>1.35</v>
      </c>
      <c r="AN204" s="1">
        <v>1.35</v>
      </c>
      <c r="AO204" s="6">
        <v>-1.4598540145985384E-2</v>
      </c>
      <c r="AP204" s="21" t="s">
        <v>207</v>
      </c>
      <c r="AQ204" s="1">
        <v>8498.52</v>
      </c>
      <c r="AR204" s="6">
        <v>-5.4312908356183298E-3</v>
      </c>
    </row>
    <row r="205" spans="2:44" x14ac:dyDescent="0.35">
      <c r="B205" s="21">
        <v>45194</v>
      </c>
      <c r="C205" s="1">
        <v>0.61</v>
      </c>
      <c r="D205" s="1">
        <v>0.61</v>
      </c>
      <c r="E205" s="6">
        <f t="shared" si="73"/>
        <v>3.3898305084745894E-2</v>
      </c>
      <c r="F205" s="21">
        <v>45194</v>
      </c>
      <c r="G205" s="1">
        <v>15</v>
      </c>
      <c r="H205" s="1">
        <v>11.2616</v>
      </c>
      <c r="I205" s="6">
        <f t="shared" si="80"/>
        <v>0</v>
      </c>
      <c r="J205" s="21">
        <v>45194</v>
      </c>
      <c r="K205" s="1">
        <v>40.5</v>
      </c>
      <c r="L205" s="1">
        <v>26.846599999999999</v>
      </c>
      <c r="M205" s="6">
        <f t="shared" si="75"/>
        <v>-2.4093582557235038E-2</v>
      </c>
      <c r="N205" s="21">
        <v>45194</v>
      </c>
      <c r="O205" s="1">
        <v>13.39</v>
      </c>
      <c r="P205" s="1">
        <v>12.500999999999999</v>
      </c>
      <c r="Q205" s="6">
        <f t="shared" si="76"/>
        <v>-7.5137485611975752E-4</v>
      </c>
      <c r="R205" s="21">
        <v>45194</v>
      </c>
      <c r="S205" s="1">
        <v>7.7</v>
      </c>
      <c r="T205" s="1">
        <v>7.2118000000000002</v>
      </c>
      <c r="U205" s="6">
        <f t="shared" si="81"/>
        <v>-1.027900146842875E-2</v>
      </c>
      <c r="V205" s="21">
        <v>45194</v>
      </c>
      <c r="W205" s="1">
        <v>6.47</v>
      </c>
      <c r="X205" s="1">
        <v>5.7389999999999999</v>
      </c>
      <c r="Y205" s="6">
        <f t="shared" si="74"/>
        <v>0</v>
      </c>
      <c r="Z205" s="21">
        <v>45194</v>
      </c>
      <c r="AA205" s="1">
        <v>2.08</v>
      </c>
      <c r="AB205" s="1">
        <v>2.08</v>
      </c>
      <c r="AC205" s="6">
        <f t="shared" si="77"/>
        <v>0</v>
      </c>
      <c r="AD205" s="21">
        <v>45194</v>
      </c>
      <c r="AE205" s="1">
        <v>7</v>
      </c>
      <c r="AF205" s="1">
        <v>6.5366</v>
      </c>
      <c r="AG205" s="6">
        <f t="shared" si="78"/>
        <v>0</v>
      </c>
      <c r="AH205" s="21">
        <v>45194</v>
      </c>
      <c r="AI205" s="1">
        <v>8.4499999999999993</v>
      </c>
      <c r="AJ205" s="1">
        <v>7.8613999999999997</v>
      </c>
      <c r="AK205" s="6">
        <f t="shared" si="79"/>
        <v>1.806550201375301E-2</v>
      </c>
      <c r="AL205" s="21">
        <v>45194</v>
      </c>
      <c r="AM205" s="1">
        <v>1.3</v>
      </c>
      <c r="AN205" s="1">
        <v>1.3</v>
      </c>
      <c r="AO205" s="6">
        <v>-3.703703703703709E-2</v>
      </c>
      <c r="AP205" s="21" t="s">
        <v>208</v>
      </c>
      <c r="AQ205" s="1">
        <v>8428.57</v>
      </c>
      <c r="AR205" s="6">
        <v>-8.2308449000533246E-3</v>
      </c>
    </row>
    <row r="206" spans="2:44" x14ac:dyDescent="0.35">
      <c r="B206" s="21">
        <v>45195</v>
      </c>
      <c r="C206" s="1">
        <v>0.61</v>
      </c>
      <c r="D206" s="1">
        <v>0.61</v>
      </c>
      <c r="E206" s="6">
        <f t="shared" si="73"/>
        <v>0</v>
      </c>
      <c r="F206" s="21">
        <v>45195</v>
      </c>
      <c r="G206" s="1">
        <v>14.8</v>
      </c>
      <c r="H206" s="1">
        <v>11.1114</v>
      </c>
      <c r="I206" s="6">
        <f t="shared" si="80"/>
        <v>-1.3337358812246958E-2</v>
      </c>
      <c r="J206" s="21">
        <v>45195</v>
      </c>
      <c r="K206" s="1">
        <v>41.48</v>
      </c>
      <c r="L206" s="1">
        <v>27.496200000000002</v>
      </c>
      <c r="M206" s="6">
        <f t="shared" si="75"/>
        <v>2.4196732547138389E-2</v>
      </c>
      <c r="N206" s="21">
        <v>45195</v>
      </c>
      <c r="O206" s="1">
        <v>13.31</v>
      </c>
      <c r="P206" s="1">
        <v>12.426399999999999</v>
      </c>
      <c r="Q206" s="6">
        <f t="shared" si="76"/>
        <v>-5.9675225981921098E-3</v>
      </c>
      <c r="R206" s="21">
        <v>45195</v>
      </c>
      <c r="S206" s="1">
        <v>7.79</v>
      </c>
      <c r="T206" s="1">
        <v>7.2961</v>
      </c>
      <c r="U206" s="6">
        <f t="shared" si="81"/>
        <v>1.1689176072547713E-2</v>
      </c>
      <c r="V206" s="21">
        <v>45195</v>
      </c>
      <c r="W206" s="1">
        <v>6.46</v>
      </c>
      <c r="X206" s="1">
        <v>5.73</v>
      </c>
      <c r="Y206" s="6">
        <f t="shared" si="74"/>
        <v>-1.568217459487653E-3</v>
      </c>
      <c r="Z206" s="21">
        <v>45195</v>
      </c>
      <c r="AA206" s="1">
        <v>2.08</v>
      </c>
      <c r="AB206" s="1">
        <v>2.08</v>
      </c>
      <c r="AC206" s="6">
        <f t="shared" si="77"/>
        <v>0</v>
      </c>
      <c r="AD206" s="21">
        <v>45195</v>
      </c>
      <c r="AE206" s="1">
        <v>7</v>
      </c>
      <c r="AF206" s="1">
        <v>6.5366</v>
      </c>
      <c r="AG206" s="6">
        <f t="shared" si="78"/>
        <v>0</v>
      </c>
      <c r="AH206" s="21">
        <v>45195</v>
      </c>
      <c r="AI206" s="1">
        <v>8.4499999999999993</v>
      </c>
      <c r="AJ206" s="1">
        <v>7.8613999999999997</v>
      </c>
      <c r="AK206" s="6">
        <f t="shared" si="79"/>
        <v>0</v>
      </c>
      <c r="AL206" s="21">
        <v>45195</v>
      </c>
      <c r="AM206" s="1">
        <v>1.27</v>
      </c>
      <c r="AN206" s="1">
        <v>1.27</v>
      </c>
      <c r="AO206" s="6">
        <v>-2.3076923076923106E-2</v>
      </c>
      <c r="AP206" s="21" t="s">
        <v>209</v>
      </c>
      <c r="AQ206" s="1">
        <v>8450.2000000000007</v>
      </c>
      <c r="AR206" s="6">
        <v>2.5662716214021053E-3</v>
      </c>
    </row>
    <row r="207" spans="2:44" x14ac:dyDescent="0.35">
      <c r="B207" s="21">
        <v>45197</v>
      </c>
      <c r="C207" s="1">
        <v>0.57999999999999996</v>
      </c>
      <c r="D207" s="1">
        <v>0.57999999999999996</v>
      </c>
      <c r="E207" s="6">
        <f t="shared" si="73"/>
        <v>-4.9180327868852514E-2</v>
      </c>
      <c r="F207" s="21">
        <v>45197</v>
      </c>
      <c r="G207" s="1">
        <v>15</v>
      </c>
      <c r="H207" s="1">
        <v>11.2616</v>
      </c>
      <c r="I207" s="6">
        <f t="shared" si="80"/>
        <v>1.3517648541137905E-2</v>
      </c>
      <c r="J207" s="21">
        <v>45197</v>
      </c>
      <c r="K207" s="1">
        <v>41.44</v>
      </c>
      <c r="L207" s="1">
        <v>27.4697</v>
      </c>
      <c r="M207" s="6">
        <f t="shared" si="75"/>
        <v>-9.6376953906363028E-4</v>
      </c>
      <c r="N207" s="21">
        <v>45197</v>
      </c>
      <c r="O207" s="1">
        <v>13.3</v>
      </c>
      <c r="P207" s="1">
        <v>12.417</v>
      </c>
      <c r="Q207" s="6">
        <f t="shared" si="76"/>
        <v>-7.5645400115875727E-4</v>
      </c>
      <c r="R207" s="21">
        <v>45197</v>
      </c>
      <c r="S207" s="1">
        <v>7.7</v>
      </c>
      <c r="T207" s="1">
        <v>7.2118000000000002</v>
      </c>
      <c r="U207" s="6">
        <f t="shared" si="81"/>
        <v>-1.1554117953427201E-2</v>
      </c>
      <c r="V207" s="21">
        <v>45197</v>
      </c>
      <c r="W207" s="1">
        <v>6.46</v>
      </c>
      <c r="X207" s="1">
        <v>5.73</v>
      </c>
      <c r="Y207" s="6">
        <f t="shared" si="74"/>
        <v>0</v>
      </c>
      <c r="Z207" s="21">
        <v>45197</v>
      </c>
      <c r="AA207" s="1">
        <v>2.0499999999999998</v>
      </c>
      <c r="AB207" s="1">
        <v>2.0499999999999998</v>
      </c>
      <c r="AC207" s="6">
        <f t="shared" si="77"/>
        <v>-1.4423076923077094E-2</v>
      </c>
      <c r="AD207" s="21">
        <v>45197</v>
      </c>
      <c r="AE207" s="1">
        <v>6.86</v>
      </c>
      <c r="AF207" s="1">
        <v>6.4058000000000002</v>
      </c>
      <c r="AG207" s="6">
        <f t="shared" si="78"/>
        <v>-2.0010402961784357E-2</v>
      </c>
      <c r="AH207" s="21">
        <v>45197</v>
      </c>
      <c r="AI207" s="1">
        <v>8.4499999999999993</v>
      </c>
      <c r="AJ207" s="1">
        <v>7.8613999999999997</v>
      </c>
      <c r="AK207" s="6">
        <f t="shared" si="79"/>
        <v>0</v>
      </c>
      <c r="AL207" s="21">
        <v>45197</v>
      </c>
      <c r="AM207" s="1">
        <v>1.28</v>
      </c>
      <c r="AN207" s="1">
        <v>1.28</v>
      </c>
      <c r="AO207" s="6">
        <v>7.8740157480314821E-3</v>
      </c>
      <c r="AP207" s="21" t="s">
        <v>210</v>
      </c>
      <c r="AQ207" s="1">
        <v>8443.33</v>
      </c>
      <c r="AR207" s="6">
        <v>-8.1299850891114467E-4</v>
      </c>
    </row>
    <row r="208" spans="2:44" x14ac:dyDescent="0.35">
      <c r="B208" s="21">
        <v>45198</v>
      </c>
      <c r="C208" s="1">
        <v>0.59</v>
      </c>
      <c r="D208" s="1">
        <v>0.59</v>
      </c>
      <c r="E208" s="6">
        <f t="shared" si="73"/>
        <v>1.7241379310344751E-2</v>
      </c>
      <c r="F208" s="21">
        <v>45198</v>
      </c>
      <c r="G208" s="1">
        <v>15</v>
      </c>
      <c r="H208" s="1">
        <v>11.2616</v>
      </c>
      <c r="I208" s="6">
        <f t="shared" si="80"/>
        <v>0</v>
      </c>
      <c r="J208" s="21">
        <v>45198</v>
      </c>
      <c r="K208" s="1">
        <v>41.35</v>
      </c>
      <c r="L208" s="1">
        <v>27.41</v>
      </c>
      <c r="M208" s="6">
        <f t="shared" si="75"/>
        <v>-2.1733036764143288E-3</v>
      </c>
      <c r="N208" s="21">
        <v>45198</v>
      </c>
      <c r="O208" s="1">
        <v>13.3</v>
      </c>
      <c r="P208" s="1">
        <v>12.417</v>
      </c>
      <c r="Q208" s="6">
        <f t="shared" si="76"/>
        <v>0</v>
      </c>
      <c r="R208" s="21">
        <v>45198</v>
      </c>
      <c r="S208" s="1">
        <v>7.7</v>
      </c>
      <c r="T208" s="1">
        <v>7.2118000000000002</v>
      </c>
      <c r="U208" s="6">
        <f t="shared" si="81"/>
        <v>0</v>
      </c>
      <c r="V208" s="21">
        <v>45198</v>
      </c>
      <c r="W208" s="1">
        <v>6.45</v>
      </c>
      <c r="X208" s="1">
        <v>5.7210000000000001</v>
      </c>
      <c r="Y208" s="6">
        <f t="shared" si="74"/>
        <v>-1.5706806282722585E-3</v>
      </c>
      <c r="Z208" s="21">
        <v>45198</v>
      </c>
      <c r="AA208" s="1">
        <v>2.06</v>
      </c>
      <c r="AB208" s="1">
        <v>2.06</v>
      </c>
      <c r="AC208" s="6">
        <f t="shared" si="77"/>
        <v>4.8780487804878092E-3</v>
      </c>
      <c r="AD208" s="21">
        <v>45198</v>
      </c>
      <c r="AE208" s="1">
        <v>6.87</v>
      </c>
      <c r="AF208" s="1">
        <v>6.4151999999999996</v>
      </c>
      <c r="AG208" s="6">
        <f t="shared" si="78"/>
        <v>1.4674201504885076E-3</v>
      </c>
      <c r="AH208" s="21">
        <v>45198</v>
      </c>
      <c r="AI208" s="1">
        <v>8.4</v>
      </c>
      <c r="AJ208" s="1">
        <v>7.8148999999999997</v>
      </c>
      <c r="AK208" s="6">
        <f t="shared" si="79"/>
        <v>-5.9149769761110971E-3</v>
      </c>
      <c r="AL208" s="21">
        <v>45198</v>
      </c>
      <c r="AM208" s="1">
        <v>1.3</v>
      </c>
      <c r="AN208" s="1">
        <v>1.3</v>
      </c>
      <c r="AO208" s="6">
        <v>1.5625E-2</v>
      </c>
      <c r="AP208" s="21" t="s">
        <v>211</v>
      </c>
      <c r="AQ208" s="1">
        <v>8458.43</v>
      </c>
      <c r="AR208" s="6">
        <v>1.7883939156706496E-3</v>
      </c>
    </row>
    <row r="209" spans="2:44" x14ac:dyDescent="0.35">
      <c r="B209" s="21">
        <v>45201</v>
      </c>
      <c r="C209" s="1">
        <v>0.59</v>
      </c>
      <c r="D209" s="1">
        <v>0.59</v>
      </c>
      <c r="E209" s="6">
        <f t="shared" ref="E209:E272" si="82">(D209/D208)-1</f>
        <v>0</v>
      </c>
      <c r="F209" s="21">
        <v>45201</v>
      </c>
      <c r="G209" s="1">
        <v>15.3</v>
      </c>
      <c r="H209" s="1">
        <v>11.486800000000001</v>
      </c>
      <c r="I209" s="6">
        <f t="shared" si="80"/>
        <v>1.9997158485472788E-2</v>
      </c>
      <c r="J209" s="21">
        <v>45201</v>
      </c>
      <c r="K209" s="1">
        <v>42.5</v>
      </c>
      <c r="L209" s="1">
        <v>28.1723</v>
      </c>
      <c r="M209" s="6">
        <f t="shared" si="75"/>
        <v>2.7811017876687272E-2</v>
      </c>
      <c r="N209" s="21">
        <v>45201</v>
      </c>
      <c r="O209" s="1">
        <v>13</v>
      </c>
      <c r="P209" s="1">
        <v>12.136900000000001</v>
      </c>
      <c r="Q209" s="6">
        <f t="shared" si="76"/>
        <v>-2.255778368365946E-2</v>
      </c>
      <c r="R209" s="21">
        <v>45201</v>
      </c>
      <c r="S209" s="1">
        <v>7.7</v>
      </c>
      <c r="T209" s="1">
        <v>7.2118000000000002</v>
      </c>
      <c r="U209" s="6">
        <f t="shared" si="81"/>
        <v>0</v>
      </c>
      <c r="V209" s="21">
        <v>45201</v>
      </c>
      <c r="W209" s="1">
        <v>6.43</v>
      </c>
      <c r="X209" s="1">
        <v>5.7039999999999997</v>
      </c>
      <c r="Y209" s="6">
        <f t="shared" si="74"/>
        <v>-2.9715084775389089E-3</v>
      </c>
      <c r="Z209" s="21">
        <v>45201</v>
      </c>
      <c r="AA209" s="1">
        <v>2.06</v>
      </c>
      <c r="AB209" s="1">
        <v>2.06</v>
      </c>
      <c r="AC209" s="6">
        <f t="shared" si="77"/>
        <v>0</v>
      </c>
      <c r="AD209" s="21">
        <v>45201</v>
      </c>
      <c r="AE209" s="1">
        <v>7</v>
      </c>
      <c r="AF209" s="1">
        <v>6.5366</v>
      </c>
      <c r="AG209" s="6">
        <f t="shared" si="78"/>
        <v>1.8923805960842977E-2</v>
      </c>
      <c r="AH209" s="21">
        <v>45201</v>
      </c>
      <c r="AI209" s="1">
        <v>8.4</v>
      </c>
      <c r="AJ209" s="1">
        <v>7.8148999999999997</v>
      </c>
      <c r="AK209" s="6">
        <f t="shared" si="79"/>
        <v>0</v>
      </c>
      <c r="AL209" s="21">
        <v>45201</v>
      </c>
      <c r="AM209" s="1">
        <v>1.35</v>
      </c>
      <c r="AN209" s="1">
        <v>1.35</v>
      </c>
      <c r="AO209" s="6">
        <v>3.8461538461538547E-2</v>
      </c>
      <c r="AP209" s="21" t="s">
        <v>212</v>
      </c>
      <c r="AQ209" s="1">
        <v>8487.2099999999991</v>
      </c>
      <c r="AR209" s="6">
        <v>3.4025226903808825E-3</v>
      </c>
    </row>
    <row r="210" spans="2:44" x14ac:dyDescent="0.35">
      <c r="B210" s="21">
        <v>45202</v>
      </c>
      <c r="C210" s="1">
        <v>0.56000000000000005</v>
      </c>
      <c r="D210" s="1">
        <v>0.56000000000000005</v>
      </c>
      <c r="E210" s="6">
        <f t="shared" si="82"/>
        <v>-5.0847457627118509E-2</v>
      </c>
      <c r="F210" s="21">
        <v>45202</v>
      </c>
      <c r="G210" s="1">
        <v>15.3</v>
      </c>
      <c r="H210" s="1">
        <v>11.486800000000001</v>
      </c>
      <c r="I210" s="6">
        <f t="shared" si="80"/>
        <v>0</v>
      </c>
      <c r="J210" s="21">
        <v>45202</v>
      </c>
      <c r="K210" s="1">
        <v>42.5</v>
      </c>
      <c r="L210" s="1">
        <v>28.1723</v>
      </c>
      <c r="M210" s="6">
        <f t="shared" si="75"/>
        <v>0</v>
      </c>
      <c r="N210" s="21">
        <v>45202</v>
      </c>
      <c r="O210" s="1">
        <v>12.69</v>
      </c>
      <c r="P210" s="1">
        <v>11.8475</v>
      </c>
      <c r="Q210" s="6">
        <f t="shared" si="76"/>
        <v>-2.3844639075876084E-2</v>
      </c>
      <c r="R210" s="21">
        <v>45202</v>
      </c>
      <c r="S210" s="1">
        <v>8.0500000000000007</v>
      </c>
      <c r="T210" s="1">
        <v>7.5396000000000001</v>
      </c>
      <c r="U210" s="6">
        <f t="shared" si="81"/>
        <v>4.5453284894201085E-2</v>
      </c>
      <c r="V210" s="21">
        <v>45202</v>
      </c>
      <c r="W210" s="1">
        <v>6.44</v>
      </c>
      <c r="X210" s="1">
        <v>5.7119999999999997</v>
      </c>
      <c r="Y210" s="6">
        <f t="shared" si="74"/>
        <v>1.4025245441795509E-3</v>
      </c>
      <c r="Z210" s="21">
        <v>45202</v>
      </c>
      <c r="AA210" s="1">
        <v>2.06</v>
      </c>
      <c r="AB210" s="1">
        <v>2.06</v>
      </c>
      <c r="AC210" s="6">
        <f t="shared" si="77"/>
        <v>0</v>
      </c>
      <c r="AD210" s="21">
        <v>45202</v>
      </c>
      <c r="AE210" s="1">
        <v>7</v>
      </c>
      <c r="AF210" s="1">
        <v>6.5366</v>
      </c>
      <c r="AG210" s="6">
        <f t="shared" si="78"/>
        <v>0</v>
      </c>
      <c r="AH210" s="21">
        <v>45202</v>
      </c>
      <c r="AI210" s="1">
        <v>8.4</v>
      </c>
      <c r="AJ210" s="1">
        <v>7.8148999999999997</v>
      </c>
      <c r="AK210" s="6">
        <f t="shared" si="79"/>
        <v>0</v>
      </c>
      <c r="AL210" s="21">
        <v>45202</v>
      </c>
      <c r="AM210" s="1">
        <v>1.41</v>
      </c>
      <c r="AN210" s="1">
        <v>1.41</v>
      </c>
      <c r="AO210" s="6">
        <v>4.4444444444444287E-2</v>
      </c>
      <c r="AP210" s="21" t="s">
        <v>213</v>
      </c>
      <c r="AQ210" s="1">
        <v>8478.34</v>
      </c>
      <c r="AR210" s="6">
        <v>-1.0451019828658925E-3</v>
      </c>
    </row>
    <row r="211" spans="2:44" x14ac:dyDescent="0.35">
      <c r="B211" s="21">
        <v>45203</v>
      </c>
      <c r="C211" s="1">
        <v>0.54</v>
      </c>
      <c r="D211" s="1">
        <v>0.54</v>
      </c>
      <c r="E211" s="6">
        <f t="shared" si="82"/>
        <v>-3.5714285714285698E-2</v>
      </c>
      <c r="F211" s="21">
        <v>45203</v>
      </c>
      <c r="G211" s="1">
        <v>15.21</v>
      </c>
      <c r="H211" s="1">
        <v>11.4193</v>
      </c>
      <c r="I211" s="6">
        <f t="shared" si="80"/>
        <v>-5.8763101995334965E-3</v>
      </c>
      <c r="J211" s="21">
        <v>45203</v>
      </c>
      <c r="K211" s="1">
        <v>42.5</v>
      </c>
      <c r="L211" s="1">
        <v>28.1723</v>
      </c>
      <c r="M211" s="6">
        <f t="shared" si="75"/>
        <v>0</v>
      </c>
      <c r="N211" s="21">
        <v>45203</v>
      </c>
      <c r="O211" s="1">
        <v>12.46</v>
      </c>
      <c r="P211" s="1">
        <v>11.6328</v>
      </c>
      <c r="Q211" s="6">
        <f t="shared" si="76"/>
        <v>-1.8121966659632838E-2</v>
      </c>
      <c r="R211" s="21">
        <v>45203</v>
      </c>
      <c r="S211" s="1">
        <v>7.9</v>
      </c>
      <c r="T211" s="1">
        <v>7.3990999999999998</v>
      </c>
      <c r="U211" s="6">
        <f t="shared" si="81"/>
        <v>-1.8634940845668191E-2</v>
      </c>
      <c r="V211" s="21">
        <v>45203</v>
      </c>
      <c r="W211" s="1">
        <v>6.43</v>
      </c>
      <c r="X211" s="1">
        <v>5.7039999999999997</v>
      </c>
      <c r="Y211" s="6">
        <f t="shared" si="74"/>
        <v>-1.4005602240896309E-3</v>
      </c>
      <c r="Z211" s="21">
        <v>45203</v>
      </c>
      <c r="AA211" s="1">
        <v>2.06</v>
      </c>
      <c r="AB211" s="1">
        <v>2.06</v>
      </c>
      <c r="AC211" s="6">
        <f t="shared" si="77"/>
        <v>0</v>
      </c>
      <c r="AD211" s="21">
        <v>45203</v>
      </c>
      <c r="AE211" s="1">
        <v>7</v>
      </c>
      <c r="AF211" s="1">
        <v>6.5366</v>
      </c>
      <c r="AG211" s="6">
        <f t="shared" si="78"/>
        <v>0</v>
      </c>
      <c r="AH211" s="21">
        <v>45203</v>
      </c>
      <c r="AI211" s="1">
        <v>8.4</v>
      </c>
      <c r="AJ211" s="1">
        <v>7.8148999999999997</v>
      </c>
      <c r="AK211" s="6">
        <f t="shared" si="79"/>
        <v>0</v>
      </c>
      <c r="AL211" s="21">
        <v>45203</v>
      </c>
      <c r="AM211" s="1">
        <v>1.44</v>
      </c>
      <c r="AN211" s="1">
        <v>1.44</v>
      </c>
      <c r="AO211" s="6">
        <v>2.1276595744680771E-2</v>
      </c>
      <c r="AP211" s="21" t="s">
        <v>214</v>
      </c>
      <c r="AQ211" s="1">
        <v>8481.9</v>
      </c>
      <c r="AR211" s="6">
        <v>4.1989351689131205E-4</v>
      </c>
    </row>
    <row r="212" spans="2:44" x14ac:dyDescent="0.35">
      <c r="B212" s="21">
        <v>45204</v>
      </c>
      <c r="C212" s="1">
        <v>0.55000000000000004</v>
      </c>
      <c r="D212" s="1">
        <v>0.55000000000000004</v>
      </c>
      <c r="E212" s="6">
        <f t="shared" si="82"/>
        <v>1.8518518518518601E-2</v>
      </c>
      <c r="F212" s="21">
        <v>45204</v>
      </c>
      <c r="G212" s="1">
        <v>15.21</v>
      </c>
      <c r="H212" s="1">
        <v>11.4193</v>
      </c>
      <c r="I212" s="6">
        <f t="shared" si="80"/>
        <v>0</v>
      </c>
      <c r="J212" s="21">
        <v>45204</v>
      </c>
      <c r="K212" s="1">
        <v>42.2</v>
      </c>
      <c r="L212" s="1">
        <v>27.973500000000001</v>
      </c>
      <c r="M212" s="6">
        <f t="shared" si="75"/>
        <v>-7.0565768503103588E-3</v>
      </c>
      <c r="N212" s="21">
        <v>45204</v>
      </c>
      <c r="O212" s="1">
        <v>12.56</v>
      </c>
      <c r="P212" s="1">
        <v>11.726100000000001</v>
      </c>
      <c r="Q212" s="6">
        <f t="shared" si="76"/>
        <v>8.0204250051578718E-3</v>
      </c>
      <c r="R212" s="21">
        <v>45204</v>
      </c>
      <c r="S212" s="1">
        <v>7.87</v>
      </c>
      <c r="T212" s="1">
        <v>7.3710000000000004</v>
      </c>
      <c r="U212" s="6">
        <f t="shared" si="81"/>
        <v>-3.7977591869280403E-3</v>
      </c>
      <c r="V212" s="21">
        <v>45204</v>
      </c>
      <c r="W212" s="1">
        <v>6.43</v>
      </c>
      <c r="X212" s="1">
        <v>5.7039999999999997</v>
      </c>
      <c r="Y212" s="6">
        <f t="shared" si="74"/>
        <v>0</v>
      </c>
      <c r="Z212" s="21">
        <v>45204</v>
      </c>
      <c r="AA212" s="1">
        <v>2.06</v>
      </c>
      <c r="AB212" s="1">
        <v>2.06</v>
      </c>
      <c r="AC212" s="6">
        <f t="shared" si="77"/>
        <v>0</v>
      </c>
      <c r="AD212" s="21">
        <v>45204</v>
      </c>
      <c r="AE212" s="1">
        <v>6.97</v>
      </c>
      <c r="AF212" s="1">
        <v>6.5086000000000004</v>
      </c>
      <c r="AG212" s="6">
        <f t="shared" si="78"/>
        <v>-4.2835724994645386E-3</v>
      </c>
      <c r="AH212" s="21">
        <v>45204</v>
      </c>
      <c r="AI212" s="1">
        <v>8.4</v>
      </c>
      <c r="AJ212" s="1">
        <v>7.8148999999999997</v>
      </c>
      <c r="AK212" s="6">
        <f t="shared" si="79"/>
        <v>0</v>
      </c>
      <c r="AL212" s="21">
        <v>45204</v>
      </c>
      <c r="AM212" s="1">
        <v>1.49</v>
      </c>
      <c r="AN212" s="1">
        <v>1.49</v>
      </c>
      <c r="AO212" s="6">
        <v>3.4722222222222321E-2</v>
      </c>
      <c r="AP212" s="21" t="s">
        <v>215</v>
      </c>
      <c r="AQ212" s="1">
        <v>8478.51</v>
      </c>
      <c r="AR212" s="6">
        <v>-3.9967460120959863E-4</v>
      </c>
    </row>
    <row r="213" spans="2:44" x14ac:dyDescent="0.35">
      <c r="B213" s="21">
        <v>45205</v>
      </c>
      <c r="C213" s="1">
        <v>0.56999999999999995</v>
      </c>
      <c r="D213" s="1">
        <v>0.56999999999999995</v>
      </c>
      <c r="E213" s="6">
        <f t="shared" si="82"/>
        <v>3.6363636363636154E-2</v>
      </c>
      <c r="F213" s="21">
        <v>45205</v>
      </c>
      <c r="G213" s="1">
        <v>15.9</v>
      </c>
      <c r="H213" s="1">
        <v>11.9373</v>
      </c>
      <c r="I213" s="6">
        <f t="shared" si="80"/>
        <v>4.5361799760055499E-2</v>
      </c>
      <c r="J213" s="21">
        <v>45205</v>
      </c>
      <c r="K213" s="1">
        <v>42.5</v>
      </c>
      <c r="L213" s="1">
        <v>28.1723</v>
      </c>
      <c r="M213" s="6">
        <f t="shared" si="75"/>
        <v>7.1067260085437844E-3</v>
      </c>
      <c r="N213" s="21">
        <v>45205</v>
      </c>
      <c r="O213" s="1">
        <v>12.5</v>
      </c>
      <c r="P213" s="1">
        <v>11.6701</v>
      </c>
      <c r="Q213" s="6">
        <f t="shared" si="76"/>
        <v>-4.7756713655862093E-3</v>
      </c>
      <c r="R213" s="21">
        <v>45205</v>
      </c>
      <c r="S213" s="1">
        <v>7.9</v>
      </c>
      <c r="T213" s="1">
        <v>7.3990999999999998</v>
      </c>
      <c r="U213" s="6">
        <f t="shared" si="81"/>
        <v>3.8122371455704407E-3</v>
      </c>
      <c r="V213" s="21">
        <v>45205</v>
      </c>
      <c r="W213" s="1">
        <v>6.43</v>
      </c>
      <c r="X213" s="1">
        <v>5.7039999999999997</v>
      </c>
      <c r="Y213" s="6">
        <f t="shared" ref="Y213:Y276" si="83">(X213/X212)-1</f>
        <v>0</v>
      </c>
      <c r="Z213" s="21">
        <v>45205</v>
      </c>
      <c r="AA213" s="1">
        <v>2.06</v>
      </c>
      <c r="AB213" s="1">
        <v>2.06</v>
      </c>
      <c r="AC213" s="6">
        <f t="shared" si="77"/>
        <v>0</v>
      </c>
      <c r="AD213" s="21">
        <v>45205</v>
      </c>
      <c r="AE213" s="1">
        <v>6.9</v>
      </c>
      <c r="AF213" s="1">
        <v>6.4432</v>
      </c>
      <c r="AG213" s="6">
        <f t="shared" si="78"/>
        <v>-1.0048243861967343E-2</v>
      </c>
      <c r="AH213" s="21">
        <v>45205</v>
      </c>
      <c r="AI213" s="1">
        <v>8.3000000000000007</v>
      </c>
      <c r="AJ213" s="1">
        <v>7.7218999999999998</v>
      </c>
      <c r="AK213" s="6">
        <f t="shared" si="79"/>
        <v>-1.1900344214257341E-2</v>
      </c>
      <c r="AL213" s="21">
        <v>45205</v>
      </c>
      <c r="AM213" s="1">
        <v>1.55</v>
      </c>
      <c r="AN213" s="1">
        <v>1.55</v>
      </c>
      <c r="AO213" s="6">
        <v>4.0268456375838868E-2</v>
      </c>
      <c r="AP213" s="21" t="s">
        <v>216</v>
      </c>
      <c r="AQ213" s="1">
        <v>8481.23</v>
      </c>
      <c r="AR213" s="6">
        <v>3.2081108591008878E-4</v>
      </c>
    </row>
    <row r="214" spans="2:44" x14ac:dyDescent="0.35">
      <c r="B214" s="21">
        <v>45208</v>
      </c>
      <c r="C214" s="1">
        <v>0.56999999999999995</v>
      </c>
      <c r="D214" s="1">
        <v>0.56999999999999995</v>
      </c>
      <c r="E214" s="6">
        <f t="shared" si="82"/>
        <v>0</v>
      </c>
      <c r="F214" s="21">
        <v>45208</v>
      </c>
      <c r="G214" s="1">
        <v>15.26</v>
      </c>
      <c r="H214" s="1">
        <v>11.456799999999999</v>
      </c>
      <c r="I214" s="6">
        <f t="shared" si="80"/>
        <v>-4.0251983279301129E-2</v>
      </c>
      <c r="J214" s="21">
        <v>45208</v>
      </c>
      <c r="K214" s="1">
        <v>42.5</v>
      </c>
      <c r="L214" s="1">
        <v>28.1723</v>
      </c>
      <c r="M214" s="6">
        <f t="shared" si="75"/>
        <v>0</v>
      </c>
      <c r="N214" s="21">
        <v>45208</v>
      </c>
      <c r="O214" s="1">
        <v>12.5</v>
      </c>
      <c r="P214" s="1">
        <v>11.6701</v>
      </c>
      <c r="Q214" s="6">
        <f t="shared" si="76"/>
        <v>0</v>
      </c>
      <c r="R214" s="21">
        <v>45208</v>
      </c>
      <c r="S214" s="1">
        <v>7.89</v>
      </c>
      <c r="T214" s="1">
        <v>7.3898000000000001</v>
      </c>
      <c r="U214" s="6">
        <f t="shared" si="81"/>
        <v>-1.2569096241433764E-3</v>
      </c>
      <c r="V214" s="21">
        <v>45208</v>
      </c>
      <c r="W214" s="1">
        <v>6.43</v>
      </c>
      <c r="X214" s="1">
        <v>5.7039999999999997</v>
      </c>
      <c r="Y214" s="6">
        <f t="shared" si="83"/>
        <v>0</v>
      </c>
      <c r="Z214" s="21">
        <v>45208</v>
      </c>
      <c r="AA214" s="1">
        <v>2.0299999999999998</v>
      </c>
      <c r="AB214" s="1">
        <v>2.0299999999999998</v>
      </c>
      <c r="AC214" s="6">
        <f t="shared" si="77"/>
        <v>-1.4563106796116609E-2</v>
      </c>
      <c r="AD214" s="21">
        <v>45208</v>
      </c>
      <c r="AE214" s="1">
        <v>6.94</v>
      </c>
      <c r="AF214" s="1">
        <v>6.4805999999999999</v>
      </c>
      <c r="AG214" s="6">
        <f t="shared" si="78"/>
        <v>5.8045691581822823E-3</v>
      </c>
      <c r="AH214" s="21">
        <v>45208</v>
      </c>
      <c r="AI214" s="1">
        <v>8.39</v>
      </c>
      <c r="AJ214" s="1">
        <v>7.8056000000000001</v>
      </c>
      <c r="AK214" s="6">
        <f t="shared" si="79"/>
        <v>1.0839301208251939E-2</v>
      </c>
      <c r="AL214" s="21">
        <v>45208</v>
      </c>
      <c r="AM214" s="1">
        <v>1.55</v>
      </c>
      <c r="AN214" s="1">
        <v>1.55</v>
      </c>
      <c r="AO214" s="6">
        <v>0</v>
      </c>
      <c r="AP214" s="21" t="s">
        <v>217</v>
      </c>
      <c r="AQ214" s="1">
        <v>8458.01</v>
      </c>
      <c r="AR214" s="6">
        <v>-2.737810435514576E-3</v>
      </c>
    </row>
    <row r="215" spans="2:44" x14ac:dyDescent="0.35">
      <c r="B215" s="21">
        <v>45209</v>
      </c>
      <c r="C215" s="1">
        <v>0.56999999999999995</v>
      </c>
      <c r="D215" s="1">
        <v>0.56999999999999995</v>
      </c>
      <c r="E215" s="6">
        <f t="shared" si="82"/>
        <v>0</v>
      </c>
      <c r="F215" s="21">
        <v>45209</v>
      </c>
      <c r="G215" s="1">
        <v>15.85</v>
      </c>
      <c r="H215" s="1">
        <v>11.899800000000001</v>
      </c>
      <c r="I215" s="6">
        <f t="shared" si="80"/>
        <v>3.8666992528454847E-2</v>
      </c>
      <c r="J215" s="21">
        <v>45209</v>
      </c>
      <c r="K215" s="1">
        <v>42.5</v>
      </c>
      <c r="L215" s="1">
        <v>28.1723</v>
      </c>
      <c r="M215" s="6">
        <f t="shared" si="75"/>
        <v>0</v>
      </c>
      <c r="N215" s="21">
        <v>45209</v>
      </c>
      <c r="O215" s="1">
        <v>12.5</v>
      </c>
      <c r="P215" s="1">
        <v>11.6701</v>
      </c>
      <c r="Q215" s="6">
        <f t="shared" si="76"/>
        <v>0</v>
      </c>
      <c r="R215" s="21">
        <v>45209</v>
      </c>
      <c r="S215" s="1">
        <v>7.74</v>
      </c>
      <c r="T215" s="1">
        <v>7.2492999999999999</v>
      </c>
      <c r="U215" s="6">
        <f t="shared" si="81"/>
        <v>-1.9012693171669093E-2</v>
      </c>
      <c r="V215" s="21">
        <v>45209</v>
      </c>
      <c r="W215" s="1">
        <v>6.45</v>
      </c>
      <c r="X215" s="1">
        <v>5.7210000000000001</v>
      </c>
      <c r="Y215" s="6">
        <f t="shared" si="83"/>
        <v>2.9803646563815178E-3</v>
      </c>
      <c r="Z215" s="21">
        <v>45209</v>
      </c>
      <c r="AA215" s="1">
        <v>2.04</v>
      </c>
      <c r="AB215" s="1">
        <v>2.04</v>
      </c>
      <c r="AC215" s="6">
        <f t="shared" si="77"/>
        <v>4.9261083743843415E-3</v>
      </c>
      <c r="AD215" s="21">
        <v>45209</v>
      </c>
      <c r="AE215" s="1">
        <v>6.88</v>
      </c>
      <c r="AF215" s="1">
        <v>6.4245000000000001</v>
      </c>
      <c r="AG215" s="6">
        <f t="shared" si="78"/>
        <v>-8.6566058698268611E-3</v>
      </c>
      <c r="AH215" s="21">
        <v>45209</v>
      </c>
      <c r="AI215" s="1">
        <v>8.39</v>
      </c>
      <c r="AJ215" s="1">
        <v>7.8056000000000001</v>
      </c>
      <c r="AK215" s="6">
        <f t="shared" si="79"/>
        <v>0</v>
      </c>
      <c r="AL215" s="21">
        <v>45209</v>
      </c>
      <c r="AM215" s="1">
        <v>1.55</v>
      </c>
      <c r="AN215" s="1">
        <v>1.55</v>
      </c>
      <c r="AO215" s="6">
        <v>0</v>
      </c>
      <c r="AP215" s="21" t="s">
        <v>218</v>
      </c>
      <c r="AQ215" s="1">
        <v>8473.09</v>
      </c>
      <c r="AR215" s="6">
        <v>1.7829252980310351E-3</v>
      </c>
    </row>
    <row r="216" spans="2:44" x14ac:dyDescent="0.35">
      <c r="B216" s="21">
        <v>45210</v>
      </c>
      <c r="C216" s="1">
        <v>0.54</v>
      </c>
      <c r="D216" s="1">
        <v>0.54</v>
      </c>
      <c r="E216" s="6">
        <f t="shared" si="82"/>
        <v>-5.2631578947368252E-2</v>
      </c>
      <c r="F216" s="21">
        <v>45210</v>
      </c>
      <c r="G216" s="1">
        <v>15.78</v>
      </c>
      <c r="H216" s="1">
        <v>11.847200000000001</v>
      </c>
      <c r="I216" s="6">
        <f t="shared" si="80"/>
        <v>-4.4202423570144367E-3</v>
      </c>
      <c r="J216" s="21">
        <v>45210</v>
      </c>
      <c r="K216" s="1">
        <v>42.4</v>
      </c>
      <c r="L216" s="1">
        <v>28.106000000000002</v>
      </c>
      <c r="M216" s="6">
        <f t="shared" si="75"/>
        <v>-2.3533754787503636E-3</v>
      </c>
      <c r="N216" s="21">
        <v>45210</v>
      </c>
      <c r="O216" s="1">
        <v>12.41</v>
      </c>
      <c r="P216" s="1">
        <v>11.5861</v>
      </c>
      <c r="Q216" s="6">
        <f t="shared" si="76"/>
        <v>-7.1978817662230465E-3</v>
      </c>
      <c r="R216" s="21">
        <v>45210</v>
      </c>
      <c r="S216" s="1">
        <v>7.71</v>
      </c>
      <c r="T216" s="1">
        <v>7.2211999999999996</v>
      </c>
      <c r="U216" s="6">
        <f t="shared" si="81"/>
        <v>-3.8762363262659916E-3</v>
      </c>
      <c r="V216" s="21">
        <v>45210</v>
      </c>
      <c r="W216" s="1">
        <v>6.41</v>
      </c>
      <c r="X216" s="1">
        <v>5.6859999999999999</v>
      </c>
      <c r="Y216" s="6">
        <f t="shared" si="83"/>
        <v>-6.1178115714036752E-3</v>
      </c>
      <c r="Z216" s="21">
        <v>45210</v>
      </c>
      <c r="AA216" s="1">
        <v>2.0299999999999998</v>
      </c>
      <c r="AB216" s="1">
        <v>2.0299999999999998</v>
      </c>
      <c r="AC216" s="6">
        <f t="shared" si="77"/>
        <v>-4.9019607843138191E-3</v>
      </c>
      <c r="AD216" s="21">
        <v>45210</v>
      </c>
      <c r="AE216" s="1">
        <v>6.85</v>
      </c>
      <c r="AF216" s="1">
        <v>6.3964999999999996</v>
      </c>
      <c r="AG216" s="6">
        <f t="shared" si="78"/>
        <v>-4.3583158222429974E-3</v>
      </c>
      <c r="AH216" s="21">
        <v>45210</v>
      </c>
      <c r="AI216" s="1">
        <v>8.4</v>
      </c>
      <c r="AJ216" s="1">
        <v>7.8148999999999997</v>
      </c>
      <c r="AK216" s="6">
        <f t="shared" si="79"/>
        <v>1.1914522906630864E-3</v>
      </c>
      <c r="AL216" s="21">
        <v>45210</v>
      </c>
      <c r="AM216" s="1">
        <v>1.55</v>
      </c>
      <c r="AN216" s="1">
        <v>1.55</v>
      </c>
      <c r="AO216" s="6">
        <v>0</v>
      </c>
      <c r="AP216" s="21" t="s">
        <v>219</v>
      </c>
      <c r="AQ216" s="1">
        <v>8458.9699999999993</v>
      </c>
      <c r="AR216" s="6">
        <v>-1.6664522623979217E-3</v>
      </c>
    </row>
    <row r="217" spans="2:44" x14ac:dyDescent="0.35">
      <c r="B217" s="21">
        <v>45211</v>
      </c>
      <c r="C217" s="1">
        <v>0.56000000000000005</v>
      </c>
      <c r="D217" s="1">
        <v>0.56000000000000005</v>
      </c>
      <c r="E217" s="6">
        <f t="shared" si="82"/>
        <v>3.7037037037036979E-2</v>
      </c>
      <c r="F217" s="21">
        <v>45211</v>
      </c>
      <c r="G217" s="1">
        <v>15.76</v>
      </c>
      <c r="H217" s="1">
        <v>11.8322</v>
      </c>
      <c r="I217" s="6">
        <f t="shared" si="80"/>
        <v>-1.2661219528665724E-3</v>
      </c>
      <c r="J217" s="21">
        <v>45211</v>
      </c>
      <c r="K217" s="1">
        <v>42.9</v>
      </c>
      <c r="L217" s="1">
        <v>28.4375</v>
      </c>
      <c r="M217" s="6">
        <f t="shared" si="75"/>
        <v>1.1794634597594778E-2</v>
      </c>
      <c r="N217" s="21">
        <v>45211</v>
      </c>
      <c r="O217" s="1">
        <v>12.39</v>
      </c>
      <c r="P217" s="1">
        <v>11.567399999999999</v>
      </c>
      <c r="Q217" s="6">
        <f t="shared" si="76"/>
        <v>-1.6140029863371819E-3</v>
      </c>
      <c r="R217" s="21">
        <v>45211</v>
      </c>
      <c r="S217" s="1">
        <v>7.75</v>
      </c>
      <c r="T217" s="1">
        <v>7.2587000000000002</v>
      </c>
      <c r="U217" s="6">
        <f t="shared" si="81"/>
        <v>5.1930427075832508E-3</v>
      </c>
      <c r="V217" s="21">
        <v>45211</v>
      </c>
      <c r="W217" s="1">
        <v>6.41</v>
      </c>
      <c r="X217" s="1">
        <v>5.6859999999999999</v>
      </c>
      <c r="Y217" s="6">
        <f t="shared" si="83"/>
        <v>0</v>
      </c>
      <c r="Z217" s="21">
        <v>45211</v>
      </c>
      <c r="AA217" s="1">
        <v>2.02</v>
      </c>
      <c r="AB217" s="1">
        <v>2.02</v>
      </c>
      <c r="AC217" s="6">
        <f t="shared" si="77"/>
        <v>-4.9261083743841194E-3</v>
      </c>
      <c r="AD217" s="21">
        <v>45211</v>
      </c>
      <c r="AE217" s="1">
        <v>6.84</v>
      </c>
      <c r="AF217" s="1">
        <v>6.3872</v>
      </c>
      <c r="AG217" s="6">
        <f t="shared" si="78"/>
        <v>-1.4539201125615131E-3</v>
      </c>
      <c r="AH217" s="21">
        <v>45211</v>
      </c>
      <c r="AI217" s="1">
        <v>8.39</v>
      </c>
      <c r="AJ217" s="1">
        <v>7.8056000000000001</v>
      </c>
      <c r="AK217" s="6">
        <f t="shared" si="79"/>
        <v>-1.1900344214257341E-3</v>
      </c>
      <c r="AL217" s="21">
        <v>45211</v>
      </c>
      <c r="AM217" s="1">
        <v>1.55</v>
      </c>
      <c r="AN217" s="1">
        <v>1.55</v>
      </c>
      <c r="AO217" s="6">
        <v>0</v>
      </c>
      <c r="AP217" s="21" t="s">
        <v>220</v>
      </c>
      <c r="AQ217" s="1">
        <v>8465.73</v>
      </c>
      <c r="AR217" s="6">
        <v>7.9915166976607388E-4</v>
      </c>
    </row>
    <row r="218" spans="2:44" x14ac:dyDescent="0.35">
      <c r="B218" s="21">
        <v>45212</v>
      </c>
      <c r="C218" s="1">
        <v>0.56000000000000005</v>
      </c>
      <c r="D218" s="1">
        <v>0.56000000000000005</v>
      </c>
      <c r="E218" s="6">
        <f t="shared" si="82"/>
        <v>0</v>
      </c>
      <c r="F218" s="21">
        <v>45212</v>
      </c>
      <c r="G218" s="1">
        <v>15.5</v>
      </c>
      <c r="H218" s="1">
        <v>11.637</v>
      </c>
      <c r="I218" s="6">
        <f t="shared" si="80"/>
        <v>-1.6497354676222487E-2</v>
      </c>
      <c r="J218" s="21">
        <v>45212</v>
      </c>
      <c r="K218" s="1">
        <v>43.65</v>
      </c>
      <c r="L218" s="1">
        <v>28.9346</v>
      </c>
      <c r="M218" s="6">
        <f t="shared" si="75"/>
        <v>1.7480439560439542E-2</v>
      </c>
      <c r="N218" s="21">
        <v>45212</v>
      </c>
      <c r="O218" s="1">
        <v>12.38</v>
      </c>
      <c r="P218" s="1">
        <v>11.5581</v>
      </c>
      <c r="Q218" s="6">
        <f t="shared" si="76"/>
        <v>-8.0398360910827193E-4</v>
      </c>
      <c r="R218" s="21">
        <v>45212</v>
      </c>
      <c r="S218" s="1">
        <v>7.75</v>
      </c>
      <c r="T218" s="1">
        <v>7.2587000000000002</v>
      </c>
      <c r="U218" s="6">
        <f t="shared" si="81"/>
        <v>0</v>
      </c>
      <c r="V218" s="21">
        <v>45212</v>
      </c>
      <c r="W218" s="1">
        <v>6.41</v>
      </c>
      <c r="X218" s="1">
        <v>5.6859999999999999</v>
      </c>
      <c r="Y218" s="6">
        <f t="shared" si="83"/>
        <v>0</v>
      </c>
      <c r="Z218" s="21">
        <v>45212</v>
      </c>
      <c r="AA218" s="1">
        <v>2.06</v>
      </c>
      <c r="AB218" s="1">
        <v>2.06</v>
      </c>
      <c r="AC218" s="6">
        <f t="shared" si="77"/>
        <v>1.980198019801982E-2</v>
      </c>
      <c r="AD218" s="21">
        <v>45212</v>
      </c>
      <c r="AE218" s="1">
        <v>6.83</v>
      </c>
      <c r="AF218" s="1">
        <v>6.3777999999999997</v>
      </c>
      <c r="AG218" s="6">
        <f t="shared" si="78"/>
        <v>-1.4716933867735538E-3</v>
      </c>
      <c r="AH218" s="21">
        <v>45212</v>
      </c>
      <c r="AI218" s="1">
        <v>8.39</v>
      </c>
      <c r="AJ218" s="1">
        <v>7.8056000000000001</v>
      </c>
      <c r="AK218" s="6">
        <f t="shared" si="79"/>
        <v>0</v>
      </c>
      <c r="AL218" s="21">
        <v>45212</v>
      </c>
      <c r="AM218" s="1">
        <v>1.55</v>
      </c>
      <c r="AN218" s="1">
        <v>1.55</v>
      </c>
      <c r="AO218" s="6">
        <v>0</v>
      </c>
      <c r="AP218" s="21" t="s">
        <v>221</v>
      </c>
      <c r="AQ218" s="1">
        <v>8486.36</v>
      </c>
      <c r="AR218" s="6">
        <v>2.436883765487563E-3</v>
      </c>
    </row>
    <row r="219" spans="2:44" x14ac:dyDescent="0.35">
      <c r="B219" s="21">
        <v>45215</v>
      </c>
      <c r="C219" s="1">
        <v>0.54</v>
      </c>
      <c r="D219" s="1">
        <v>0.54</v>
      </c>
      <c r="E219" s="6">
        <f t="shared" si="82"/>
        <v>-3.5714285714285698E-2</v>
      </c>
      <c r="F219" s="21">
        <v>45215</v>
      </c>
      <c r="G219" s="1">
        <v>15.38</v>
      </c>
      <c r="H219" s="1">
        <v>11.546900000000001</v>
      </c>
      <c r="I219" s="6">
        <f t="shared" si="80"/>
        <v>-7.7425453295522084E-3</v>
      </c>
      <c r="J219" s="21">
        <v>45215</v>
      </c>
      <c r="K219" s="1">
        <v>43.94</v>
      </c>
      <c r="L219" s="1">
        <v>29.126899999999999</v>
      </c>
      <c r="M219" s="6">
        <f t="shared" si="75"/>
        <v>6.6460224091571263E-3</v>
      </c>
      <c r="N219" s="21">
        <v>45215</v>
      </c>
      <c r="O219" s="1">
        <v>11.99</v>
      </c>
      <c r="P219" s="1">
        <v>11.194000000000001</v>
      </c>
      <c r="Q219" s="6">
        <f t="shared" si="76"/>
        <v>-3.1501717410300945E-2</v>
      </c>
      <c r="R219" s="21">
        <v>45215</v>
      </c>
      <c r="S219" s="1">
        <v>7.75</v>
      </c>
      <c r="T219" s="1">
        <v>7.2587000000000002</v>
      </c>
      <c r="U219" s="6">
        <f t="shared" si="81"/>
        <v>0</v>
      </c>
      <c r="V219" s="21">
        <v>45215</v>
      </c>
      <c r="W219" s="1">
        <v>6.42</v>
      </c>
      <c r="X219" s="1">
        <v>5.6950000000000003</v>
      </c>
      <c r="Y219" s="6">
        <f t="shared" si="83"/>
        <v>1.5828350334154973E-3</v>
      </c>
      <c r="Z219" s="21">
        <v>45215</v>
      </c>
      <c r="AA219" s="1">
        <v>2.08</v>
      </c>
      <c r="AB219" s="1">
        <v>2.08</v>
      </c>
      <c r="AC219" s="6">
        <f t="shared" si="77"/>
        <v>9.7087378640776656E-3</v>
      </c>
      <c r="AD219" s="21">
        <v>45215</v>
      </c>
      <c r="AE219" s="1">
        <v>6.83</v>
      </c>
      <c r="AF219" s="1">
        <v>6.3777999999999997</v>
      </c>
      <c r="AG219" s="6">
        <f t="shared" si="78"/>
        <v>0</v>
      </c>
      <c r="AH219" s="21">
        <v>45215</v>
      </c>
      <c r="AI219" s="1">
        <v>8.35</v>
      </c>
      <c r="AJ219" s="1">
        <v>7.7683999999999997</v>
      </c>
      <c r="AK219" s="6">
        <f t="shared" si="79"/>
        <v>-4.7658091626524568E-3</v>
      </c>
      <c r="AL219" s="21">
        <v>45215</v>
      </c>
      <c r="AM219" s="1">
        <v>1.55</v>
      </c>
      <c r="AN219" s="1">
        <v>1.55</v>
      </c>
      <c r="AO219" s="6">
        <v>0</v>
      </c>
      <c r="AP219" s="21" t="s">
        <v>222</v>
      </c>
      <c r="AQ219" s="1">
        <v>8491.0400000000009</v>
      </c>
      <c r="AR219" s="6">
        <v>5.5147318756221253E-4</v>
      </c>
    </row>
    <row r="220" spans="2:44" x14ac:dyDescent="0.35">
      <c r="B220" s="21">
        <v>45216</v>
      </c>
      <c r="C220" s="1">
        <v>0.55000000000000004</v>
      </c>
      <c r="D220" s="1">
        <v>0.55000000000000004</v>
      </c>
      <c r="E220" s="6">
        <f t="shared" si="82"/>
        <v>1.8518518518518601E-2</v>
      </c>
      <c r="F220" s="21">
        <v>45216</v>
      </c>
      <c r="G220" s="1">
        <v>15.26</v>
      </c>
      <c r="H220" s="1">
        <v>11.456799999999999</v>
      </c>
      <c r="I220" s="6">
        <f t="shared" si="80"/>
        <v>-7.8029601018456685E-3</v>
      </c>
      <c r="J220" s="21">
        <v>45216</v>
      </c>
      <c r="K220" s="1">
        <v>43.2</v>
      </c>
      <c r="L220" s="1">
        <v>28.636299999999999</v>
      </c>
      <c r="M220" s="6">
        <f t="shared" si="75"/>
        <v>-1.684353638732583E-2</v>
      </c>
      <c r="N220" s="21">
        <v>45216</v>
      </c>
      <c r="O220" s="1">
        <v>11.6</v>
      </c>
      <c r="P220" s="1">
        <v>10.8299</v>
      </c>
      <c r="Q220" s="6">
        <f t="shared" si="76"/>
        <v>-3.2526353403609098E-2</v>
      </c>
      <c r="R220" s="21">
        <v>45216</v>
      </c>
      <c r="S220" s="1">
        <v>7.76</v>
      </c>
      <c r="T220" s="1">
        <v>7.2679999999999998</v>
      </c>
      <c r="U220" s="6">
        <f t="shared" si="81"/>
        <v>1.2812211553032693E-3</v>
      </c>
      <c r="V220" s="21">
        <v>45216</v>
      </c>
      <c r="W220" s="1">
        <v>6.42</v>
      </c>
      <c r="X220" s="1">
        <v>5.6950000000000003</v>
      </c>
      <c r="Y220" s="6">
        <f t="shared" si="83"/>
        <v>0</v>
      </c>
      <c r="Z220" s="21">
        <v>45216</v>
      </c>
      <c r="AA220" s="1">
        <v>2.13</v>
      </c>
      <c r="AB220" s="1">
        <v>2.13</v>
      </c>
      <c r="AC220" s="6">
        <f t="shared" si="77"/>
        <v>2.4038461538461453E-2</v>
      </c>
      <c r="AD220" s="21">
        <v>45216</v>
      </c>
      <c r="AE220" s="1">
        <v>6.8</v>
      </c>
      <c r="AF220" s="1">
        <v>6.3498000000000001</v>
      </c>
      <c r="AG220" s="6">
        <f t="shared" si="78"/>
        <v>-4.3902286054752215E-3</v>
      </c>
      <c r="AH220" s="21">
        <v>45216</v>
      </c>
      <c r="AI220" s="1">
        <v>8.35</v>
      </c>
      <c r="AJ220" s="1">
        <v>7.7683999999999997</v>
      </c>
      <c r="AK220" s="6">
        <f t="shared" si="79"/>
        <v>0</v>
      </c>
      <c r="AL220" s="21">
        <v>45216</v>
      </c>
      <c r="AM220" s="1">
        <v>1.55</v>
      </c>
      <c r="AN220" s="1">
        <v>1.55</v>
      </c>
      <c r="AO220" s="6">
        <v>0</v>
      </c>
      <c r="AP220" s="21" t="s">
        <v>223</v>
      </c>
      <c r="AQ220" s="1">
        <v>8487.1200000000008</v>
      </c>
      <c r="AR220" s="6">
        <v>-4.6166311782769309E-4</v>
      </c>
    </row>
    <row r="221" spans="2:44" x14ac:dyDescent="0.35">
      <c r="B221" s="21">
        <v>45217</v>
      </c>
      <c r="C221" s="1">
        <v>0.54</v>
      </c>
      <c r="D221" s="1">
        <v>0.54</v>
      </c>
      <c r="E221" s="6">
        <f t="shared" si="82"/>
        <v>-1.8181818181818188E-2</v>
      </c>
      <c r="F221" s="21">
        <v>45217</v>
      </c>
      <c r="G221" s="1">
        <v>15.38</v>
      </c>
      <c r="H221" s="1">
        <v>11.546900000000001</v>
      </c>
      <c r="I221" s="6">
        <f t="shared" si="80"/>
        <v>7.8643251169612238E-3</v>
      </c>
      <c r="J221" s="21">
        <v>45217</v>
      </c>
      <c r="K221" s="1">
        <v>43</v>
      </c>
      <c r="L221" s="1">
        <v>28.503799999999998</v>
      </c>
      <c r="M221" s="6">
        <f t="shared" si="75"/>
        <v>-4.6269944091938964E-3</v>
      </c>
      <c r="N221" s="21">
        <v>45217</v>
      </c>
      <c r="O221" s="1">
        <v>11.94</v>
      </c>
      <c r="P221" s="1">
        <v>11.1473</v>
      </c>
      <c r="Q221" s="6">
        <f t="shared" si="76"/>
        <v>2.93077498407186E-2</v>
      </c>
      <c r="R221" s="21">
        <v>45217</v>
      </c>
      <c r="S221" s="1">
        <v>7.94</v>
      </c>
      <c r="T221" s="1">
        <v>7.4366000000000003</v>
      </c>
      <c r="U221" s="6">
        <f t="shared" si="81"/>
        <v>2.3197578425977028E-2</v>
      </c>
      <c r="V221" s="21">
        <v>45217</v>
      </c>
      <c r="W221" s="1">
        <v>6.42</v>
      </c>
      <c r="X221" s="1">
        <v>5.6950000000000003</v>
      </c>
      <c r="Y221" s="6">
        <f t="shared" si="83"/>
        <v>0</v>
      </c>
      <c r="Z221" s="21">
        <v>45217</v>
      </c>
      <c r="AA221" s="1">
        <v>2.13</v>
      </c>
      <c r="AB221" s="1">
        <v>2.13</v>
      </c>
      <c r="AC221" s="6">
        <f t="shared" si="77"/>
        <v>0</v>
      </c>
      <c r="AD221" s="21">
        <v>45217</v>
      </c>
      <c r="AE221" s="1">
        <v>6.8</v>
      </c>
      <c r="AF221" s="1">
        <v>6.3498000000000001</v>
      </c>
      <c r="AG221" s="6">
        <f t="shared" si="78"/>
        <v>0</v>
      </c>
      <c r="AH221" s="21">
        <v>45217</v>
      </c>
      <c r="AI221" s="1">
        <v>8.3000000000000007</v>
      </c>
      <c r="AJ221" s="1">
        <v>7.7218999999999998</v>
      </c>
      <c r="AK221" s="6">
        <f t="shared" si="79"/>
        <v>-5.9857885793728194E-3</v>
      </c>
      <c r="AL221" s="21">
        <v>45217</v>
      </c>
      <c r="AM221" s="1">
        <v>1.51</v>
      </c>
      <c r="AN221" s="1">
        <v>1.51</v>
      </c>
      <c r="AO221" s="6">
        <v>-2.5806451612903292E-2</v>
      </c>
      <c r="AP221" s="21" t="s">
        <v>224</v>
      </c>
      <c r="AQ221" s="1">
        <v>8500.93</v>
      </c>
      <c r="AR221" s="6">
        <v>1.6271715257942798E-3</v>
      </c>
    </row>
    <row r="222" spans="2:44" x14ac:dyDescent="0.35">
      <c r="B222" s="21">
        <v>45218</v>
      </c>
      <c r="C222" s="1">
        <v>0.54</v>
      </c>
      <c r="D222" s="1">
        <v>0.54</v>
      </c>
      <c r="E222" s="6">
        <f t="shared" si="82"/>
        <v>0</v>
      </c>
      <c r="F222" s="21">
        <v>45218</v>
      </c>
      <c r="G222" s="1">
        <v>15.2</v>
      </c>
      <c r="H222" s="1">
        <v>11.4117</v>
      </c>
      <c r="I222" s="6">
        <f t="shared" si="80"/>
        <v>-1.1708770319306616E-2</v>
      </c>
      <c r="J222" s="21">
        <v>45218</v>
      </c>
      <c r="K222" s="1">
        <v>42.8</v>
      </c>
      <c r="L222" s="1">
        <v>28.371200000000002</v>
      </c>
      <c r="M222" s="6">
        <f t="shared" si="75"/>
        <v>-4.6520113107725303E-3</v>
      </c>
      <c r="N222" s="21">
        <v>45218</v>
      </c>
      <c r="O222" s="1">
        <v>11.5</v>
      </c>
      <c r="P222" s="1">
        <v>10.736499999999999</v>
      </c>
      <c r="Q222" s="6">
        <f t="shared" si="76"/>
        <v>-3.6851973123536608E-2</v>
      </c>
      <c r="R222" s="21">
        <v>45218</v>
      </c>
      <c r="S222" s="1">
        <v>7.8</v>
      </c>
      <c r="T222" s="1">
        <v>7.3055000000000003</v>
      </c>
      <c r="U222" s="6">
        <f t="shared" si="81"/>
        <v>-1.762902401635158E-2</v>
      </c>
      <c r="V222" s="21">
        <v>45218</v>
      </c>
      <c r="W222" s="1">
        <v>6.4</v>
      </c>
      <c r="X222" s="1">
        <v>5.6769999999999996</v>
      </c>
      <c r="Y222" s="6">
        <f t="shared" si="83"/>
        <v>-3.1606672519755019E-3</v>
      </c>
      <c r="Z222" s="21">
        <v>45218</v>
      </c>
      <c r="AA222" s="1">
        <v>2.0499999999999998</v>
      </c>
      <c r="AB222" s="1">
        <v>2.0499999999999998</v>
      </c>
      <c r="AC222" s="6">
        <f t="shared" si="77"/>
        <v>-3.7558685446009377E-2</v>
      </c>
      <c r="AD222" s="21">
        <v>45218</v>
      </c>
      <c r="AE222" s="1">
        <v>6.8</v>
      </c>
      <c r="AF222" s="1">
        <v>6.3498000000000001</v>
      </c>
      <c r="AG222" s="6">
        <f t="shared" si="78"/>
        <v>0</v>
      </c>
      <c r="AH222" s="21">
        <v>45218</v>
      </c>
      <c r="AI222" s="1">
        <v>8.2100000000000009</v>
      </c>
      <c r="AJ222" s="1">
        <v>7.6380999999999997</v>
      </c>
      <c r="AK222" s="6">
        <f t="shared" si="79"/>
        <v>-1.0852251388906886E-2</v>
      </c>
      <c r="AL222" s="21">
        <v>45218</v>
      </c>
      <c r="AM222" s="1">
        <v>1.46</v>
      </c>
      <c r="AN222" s="1">
        <v>1.46</v>
      </c>
      <c r="AO222" s="6">
        <v>-3.3112582781457012E-2</v>
      </c>
      <c r="AP222" s="21" t="s">
        <v>225</v>
      </c>
      <c r="AQ222" s="1">
        <v>8446.48</v>
      </c>
      <c r="AR222" s="6">
        <v>-6.4051815507245591E-3</v>
      </c>
    </row>
    <row r="223" spans="2:44" x14ac:dyDescent="0.35">
      <c r="B223" s="21">
        <v>45219</v>
      </c>
      <c r="C223" s="1">
        <v>0.55000000000000004</v>
      </c>
      <c r="D223" s="1">
        <v>0.55000000000000004</v>
      </c>
      <c r="E223" s="6">
        <f t="shared" si="82"/>
        <v>1.8518518518518601E-2</v>
      </c>
      <c r="F223" s="21">
        <v>45219</v>
      </c>
      <c r="G223" s="1">
        <v>15.2</v>
      </c>
      <c r="H223" s="1">
        <v>11.4117</v>
      </c>
      <c r="I223" s="6">
        <f t="shared" si="80"/>
        <v>0</v>
      </c>
      <c r="J223" s="21">
        <v>45219</v>
      </c>
      <c r="K223" s="1">
        <v>42.8</v>
      </c>
      <c r="L223" s="1">
        <v>28.371200000000002</v>
      </c>
      <c r="M223" s="6">
        <f t="shared" si="75"/>
        <v>0</v>
      </c>
      <c r="N223" s="21">
        <v>45219</v>
      </c>
      <c r="O223" s="1">
        <v>11.2</v>
      </c>
      <c r="P223" s="1">
        <v>10.4564</v>
      </c>
      <c r="Q223" s="6">
        <f t="shared" si="76"/>
        <v>-2.6088576351697368E-2</v>
      </c>
      <c r="R223" s="21">
        <v>45219</v>
      </c>
      <c r="S223" s="1">
        <v>7.75</v>
      </c>
      <c r="T223" s="1">
        <v>7.2587000000000002</v>
      </c>
      <c r="U223" s="6">
        <f t="shared" si="81"/>
        <v>-6.4061323660256075E-3</v>
      </c>
      <c r="V223" s="21">
        <v>45219</v>
      </c>
      <c r="W223" s="1">
        <v>6.4</v>
      </c>
      <c r="X223" s="1">
        <v>5.6769999999999996</v>
      </c>
      <c r="Y223" s="6">
        <f t="shared" si="83"/>
        <v>0</v>
      </c>
      <c r="Z223" s="21">
        <v>45219</v>
      </c>
      <c r="AA223" s="1">
        <v>2.06</v>
      </c>
      <c r="AB223" s="1">
        <v>2.06</v>
      </c>
      <c r="AC223" s="6">
        <f t="shared" si="77"/>
        <v>4.8780487804878092E-3</v>
      </c>
      <c r="AD223" s="21">
        <v>45219</v>
      </c>
      <c r="AE223" s="1">
        <v>6.7</v>
      </c>
      <c r="AF223" s="1">
        <v>6.2564000000000002</v>
      </c>
      <c r="AG223" s="6">
        <f t="shared" si="78"/>
        <v>-1.4709124696840825E-2</v>
      </c>
      <c r="AH223" s="21">
        <v>45219</v>
      </c>
      <c r="AI223" s="1">
        <v>8.17</v>
      </c>
      <c r="AJ223" s="1">
        <v>7.6009000000000002</v>
      </c>
      <c r="AK223" s="6">
        <f t="shared" si="79"/>
        <v>-4.8703211531663237E-3</v>
      </c>
      <c r="AL223" s="21">
        <v>45219</v>
      </c>
      <c r="AM223" s="1">
        <v>1.52</v>
      </c>
      <c r="AN223" s="1">
        <v>1.52</v>
      </c>
      <c r="AO223" s="6">
        <v>4.1095890410958846E-2</v>
      </c>
      <c r="AP223" s="21" t="s">
        <v>226</v>
      </c>
      <c r="AQ223" s="1">
        <v>8446.4599999999991</v>
      </c>
      <c r="AR223" s="6">
        <v>-2.3678502761859122E-6</v>
      </c>
    </row>
    <row r="224" spans="2:44" x14ac:dyDescent="0.35">
      <c r="B224" s="21">
        <v>45222</v>
      </c>
      <c r="C224" s="1">
        <v>0.55000000000000004</v>
      </c>
      <c r="D224" s="1">
        <v>0.55000000000000004</v>
      </c>
      <c r="E224" s="6">
        <f t="shared" si="82"/>
        <v>0</v>
      </c>
      <c r="F224" s="21">
        <v>45222</v>
      </c>
      <c r="G224" s="1">
        <v>14.9</v>
      </c>
      <c r="H224" s="1">
        <v>11.186500000000001</v>
      </c>
      <c r="I224" s="6">
        <f t="shared" si="80"/>
        <v>-1.9734132513122393E-2</v>
      </c>
      <c r="J224" s="21">
        <v>45222</v>
      </c>
      <c r="K224" s="1">
        <v>43.5</v>
      </c>
      <c r="L224" s="1">
        <v>28.8352</v>
      </c>
      <c r="M224" s="6">
        <f t="shared" si="75"/>
        <v>1.6354613128806594E-2</v>
      </c>
      <c r="N224" s="21">
        <v>45222</v>
      </c>
      <c r="O224" s="1">
        <v>11.87</v>
      </c>
      <c r="P224" s="1">
        <v>11.082000000000001</v>
      </c>
      <c r="Q224" s="6">
        <f t="shared" si="76"/>
        <v>5.982938678703964E-2</v>
      </c>
      <c r="R224" s="21">
        <v>45222</v>
      </c>
      <c r="S224" s="1">
        <v>7.8</v>
      </c>
      <c r="T224" s="1">
        <v>7.3055000000000003</v>
      </c>
      <c r="U224" s="6">
        <f t="shared" si="81"/>
        <v>6.4474354912036347E-3</v>
      </c>
      <c r="V224" s="21">
        <v>45222</v>
      </c>
      <c r="W224" s="1">
        <v>6.42</v>
      </c>
      <c r="X224" s="1">
        <v>5.6950000000000003</v>
      </c>
      <c r="Y224" s="6">
        <f t="shared" si="83"/>
        <v>3.1706887440550169E-3</v>
      </c>
      <c r="Z224" s="21">
        <v>45222</v>
      </c>
      <c r="AA224" s="1">
        <v>2.0499999999999998</v>
      </c>
      <c r="AB224" s="1">
        <v>2.0499999999999998</v>
      </c>
      <c r="AC224" s="6">
        <f t="shared" si="77"/>
        <v>-4.8543689320389438E-3</v>
      </c>
      <c r="AD224" s="21">
        <v>45222</v>
      </c>
      <c r="AE224" s="1">
        <v>6.65</v>
      </c>
      <c r="AF224" s="1">
        <v>6.2096999999999998</v>
      </c>
      <c r="AG224" s="6">
        <f t="shared" si="78"/>
        <v>-7.4643564989451683E-3</v>
      </c>
      <c r="AH224" s="21">
        <v>45222</v>
      </c>
      <c r="AI224" s="1">
        <v>8.09</v>
      </c>
      <c r="AJ224" s="1">
        <v>7.5265000000000004</v>
      </c>
      <c r="AK224" s="6">
        <f t="shared" si="79"/>
        <v>-9.7883145416989281E-3</v>
      </c>
      <c r="AL224" s="21">
        <v>45222</v>
      </c>
      <c r="AM224" s="1">
        <v>1.54</v>
      </c>
      <c r="AN224" s="1">
        <v>1.54</v>
      </c>
      <c r="AO224" s="6">
        <v>1.3157894736842035E-2</v>
      </c>
      <c r="AP224" s="21" t="s">
        <v>227</v>
      </c>
      <c r="AQ224" s="1">
        <v>8494.8700000000008</v>
      </c>
      <c r="AR224" s="6">
        <v>5.7313951643649386E-3</v>
      </c>
    </row>
    <row r="225" spans="2:44" x14ac:dyDescent="0.35">
      <c r="B225" s="21">
        <v>45223</v>
      </c>
      <c r="C225" s="1">
        <v>0.55000000000000004</v>
      </c>
      <c r="D225" s="1">
        <v>0.55000000000000004</v>
      </c>
      <c r="E225" s="6">
        <f t="shared" si="82"/>
        <v>0</v>
      </c>
      <c r="F225" s="21">
        <v>45223</v>
      </c>
      <c r="G225" s="1">
        <v>14.9</v>
      </c>
      <c r="H225" s="1">
        <v>11.186500000000001</v>
      </c>
      <c r="I225" s="6">
        <f t="shared" si="80"/>
        <v>0</v>
      </c>
      <c r="J225" s="21">
        <v>45223</v>
      </c>
      <c r="K225" s="1">
        <v>43.49</v>
      </c>
      <c r="L225" s="1">
        <v>28.828600000000002</v>
      </c>
      <c r="M225" s="6">
        <f t="shared" si="75"/>
        <v>-2.2888691599154409E-4</v>
      </c>
      <c r="N225" s="21">
        <v>45223</v>
      </c>
      <c r="O225" s="1">
        <v>12.58</v>
      </c>
      <c r="P225" s="1">
        <v>11.7448</v>
      </c>
      <c r="Q225" s="6">
        <f t="shared" si="76"/>
        <v>5.9808698790831949E-2</v>
      </c>
      <c r="R225" s="21">
        <v>45223</v>
      </c>
      <c r="S225" s="1">
        <v>7.75</v>
      </c>
      <c r="T225" s="1">
        <v>7.2587000000000002</v>
      </c>
      <c r="U225" s="6">
        <f t="shared" si="81"/>
        <v>-6.4061323660256075E-3</v>
      </c>
      <c r="V225" s="21">
        <v>45223</v>
      </c>
      <c r="W225" s="1">
        <v>6.4</v>
      </c>
      <c r="X225" s="1">
        <v>5.6769999999999996</v>
      </c>
      <c r="Y225" s="6">
        <f t="shared" si="83"/>
        <v>-3.1606672519755019E-3</v>
      </c>
      <c r="Z225" s="21">
        <v>45223</v>
      </c>
      <c r="AA225" s="1">
        <v>2.0499999999999998</v>
      </c>
      <c r="AB225" s="1">
        <v>2.0499999999999998</v>
      </c>
      <c r="AC225" s="6">
        <f t="shared" si="77"/>
        <v>0</v>
      </c>
      <c r="AD225" s="21">
        <v>45223</v>
      </c>
      <c r="AE225" s="1">
        <v>6.52</v>
      </c>
      <c r="AF225" s="1">
        <v>6.0884</v>
      </c>
      <c r="AG225" s="6">
        <f t="shared" si="78"/>
        <v>-1.9533954941462484E-2</v>
      </c>
      <c r="AH225" s="21">
        <v>45223</v>
      </c>
      <c r="AI225" s="1">
        <v>8</v>
      </c>
      <c r="AJ225" s="1">
        <v>7.4428000000000001</v>
      </c>
      <c r="AK225" s="6">
        <f t="shared" si="79"/>
        <v>-1.1120706835846761E-2</v>
      </c>
      <c r="AL225" s="21">
        <v>45223</v>
      </c>
      <c r="AM225" s="1">
        <v>1.54</v>
      </c>
      <c r="AN225" s="1">
        <v>1.54</v>
      </c>
      <c r="AO225" s="6">
        <v>0</v>
      </c>
      <c r="AP225" s="21" t="s">
        <v>228</v>
      </c>
      <c r="AQ225" s="1">
        <v>8494.25</v>
      </c>
      <c r="AR225" s="6">
        <v>-7.2985225200716819E-5</v>
      </c>
    </row>
    <row r="226" spans="2:44" x14ac:dyDescent="0.35">
      <c r="B226" s="21">
        <v>45224</v>
      </c>
      <c r="C226" s="1">
        <v>0.55000000000000004</v>
      </c>
      <c r="D226" s="1">
        <v>0.55000000000000004</v>
      </c>
      <c r="E226" s="6">
        <f t="shared" si="82"/>
        <v>0</v>
      </c>
      <c r="F226" s="21">
        <v>45224</v>
      </c>
      <c r="G226" s="1">
        <v>14.9</v>
      </c>
      <c r="H226" s="1">
        <v>11.186500000000001</v>
      </c>
      <c r="I226" s="6">
        <f t="shared" si="80"/>
        <v>0</v>
      </c>
      <c r="J226" s="21">
        <v>45224</v>
      </c>
      <c r="K226" s="1">
        <v>43.34</v>
      </c>
      <c r="L226" s="1">
        <v>28.729099999999999</v>
      </c>
      <c r="M226" s="6">
        <f t="shared" si="75"/>
        <v>-3.4514336457546202E-3</v>
      </c>
      <c r="N226" s="21">
        <v>45224</v>
      </c>
      <c r="O226" s="1">
        <v>13.33</v>
      </c>
      <c r="P226" s="1">
        <v>12.445</v>
      </c>
      <c r="Q226" s="6">
        <f t="shared" si="76"/>
        <v>5.9617873441863756E-2</v>
      </c>
      <c r="R226" s="21">
        <v>45224</v>
      </c>
      <c r="S226" s="1">
        <v>7.75</v>
      </c>
      <c r="T226" s="1">
        <v>7.2587000000000002</v>
      </c>
      <c r="U226" s="6">
        <f t="shared" si="81"/>
        <v>0</v>
      </c>
      <c r="V226" s="21">
        <v>45224</v>
      </c>
      <c r="W226" s="1">
        <v>6.4</v>
      </c>
      <c r="X226" s="1">
        <v>5.6769999999999996</v>
      </c>
      <c r="Y226" s="6">
        <f t="shared" si="83"/>
        <v>0</v>
      </c>
      <c r="Z226" s="21">
        <v>45224</v>
      </c>
      <c r="AA226" s="1">
        <v>2.0499999999999998</v>
      </c>
      <c r="AB226" s="1">
        <v>2.0499999999999998</v>
      </c>
      <c r="AC226" s="6">
        <f t="shared" si="77"/>
        <v>0</v>
      </c>
      <c r="AD226" s="21">
        <v>45224</v>
      </c>
      <c r="AE226" s="1">
        <v>6.4</v>
      </c>
      <c r="AF226" s="1">
        <v>5.9763000000000002</v>
      </c>
      <c r="AG226" s="6">
        <f t="shared" si="78"/>
        <v>-1.8412062282373021E-2</v>
      </c>
      <c r="AH226" s="21">
        <v>45224</v>
      </c>
      <c r="AI226" s="1">
        <v>8</v>
      </c>
      <c r="AJ226" s="1">
        <v>7.4428000000000001</v>
      </c>
      <c r="AK226" s="6">
        <f t="shared" si="79"/>
        <v>0</v>
      </c>
      <c r="AL226" s="21">
        <v>45224</v>
      </c>
      <c r="AM226" s="1">
        <v>1.48</v>
      </c>
      <c r="AN226" s="1">
        <v>1.48</v>
      </c>
      <c r="AO226" s="6">
        <v>-3.8961038961038974E-2</v>
      </c>
      <c r="AP226" s="21" t="s">
        <v>229</v>
      </c>
      <c r="AQ226" s="1">
        <v>8445.27</v>
      </c>
      <c r="AR226" s="6">
        <v>-5.7662536421696498E-3</v>
      </c>
    </row>
    <row r="227" spans="2:44" x14ac:dyDescent="0.35">
      <c r="B227" s="21">
        <v>45225</v>
      </c>
      <c r="C227" s="1">
        <v>0.55000000000000004</v>
      </c>
      <c r="D227" s="1">
        <v>0.55000000000000004</v>
      </c>
      <c r="E227" s="6">
        <f t="shared" si="82"/>
        <v>0</v>
      </c>
      <c r="F227" s="21">
        <v>45225</v>
      </c>
      <c r="G227" s="1">
        <v>14.7</v>
      </c>
      <c r="H227" s="1">
        <v>11.0364</v>
      </c>
      <c r="I227" s="6">
        <f t="shared" si="80"/>
        <v>-1.3417959147186354E-2</v>
      </c>
      <c r="J227" s="21">
        <v>45225</v>
      </c>
      <c r="K227" s="1">
        <v>43.34</v>
      </c>
      <c r="L227" s="1">
        <v>28.729099999999999</v>
      </c>
      <c r="M227" s="6">
        <f t="shared" si="75"/>
        <v>0</v>
      </c>
      <c r="N227" s="21">
        <v>45225</v>
      </c>
      <c r="O227" s="1">
        <v>13.85</v>
      </c>
      <c r="P227" s="1">
        <v>12.9305</v>
      </c>
      <c r="Q227" s="6">
        <f t="shared" si="76"/>
        <v>3.9011651265568492E-2</v>
      </c>
      <c r="R227" s="21">
        <v>45225</v>
      </c>
      <c r="S227" s="1">
        <v>7.75</v>
      </c>
      <c r="T227" s="1">
        <v>7.2587000000000002</v>
      </c>
      <c r="U227" s="6">
        <f t="shared" si="81"/>
        <v>0</v>
      </c>
      <c r="V227" s="21">
        <v>45225</v>
      </c>
      <c r="W227" s="1">
        <v>6.4</v>
      </c>
      <c r="X227" s="1">
        <v>5.6769999999999996</v>
      </c>
      <c r="Y227" s="6">
        <f t="shared" si="83"/>
        <v>0</v>
      </c>
      <c r="Z227" s="21">
        <v>45225</v>
      </c>
      <c r="AA227" s="1">
        <v>2.06</v>
      </c>
      <c r="AB227" s="1">
        <v>2.06</v>
      </c>
      <c r="AC227" s="6">
        <f t="shared" si="77"/>
        <v>4.8780487804878092E-3</v>
      </c>
      <c r="AD227" s="21">
        <v>45225</v>
      </c>
      <c r="AE227" s="1">
        <v>6.5</v>
      </c>
      <c r="AF227" s="1">
        <v>6.0697000000000001</v>
      </c>
      <c r="AG227" s="6">
        <f t="shared" si="78"/>
        <v>1.5628398842092883E-2</v>
      </c>
      <c r="AH227" s="21">
        <v>45225</v>
      </c>
      <c r="AI227" s="1">
        <v>7.9</v>
      </c>
      <c r="AJ227" s="1">
        <v>7.3497000000000003</v>
      </c>
      <c r="AK227" s="6">
        <f t="shared" si="79"/>
        <v>-1.2508733272424299E-2</v>
      </c>
      <c r="AL227" s="21">
        <v>45225</v>
      </c>
      <c r="AM227" s="1">
        <v>1.48</v>
      </c>
      <c r="AN227" s="1">
        <v>1.48</v>
      </c>
      <c r="AO227" s="6">
        <v>0</v>
      </c>
      <c r="AP227" s="21" t="s">
        <v>230</v>
      </c>
      <c r="AQ227" s="1">
        <v>8449.41</v>
      </c>
      <c r="AR227" s="6">
        <v>4.9021523290537772E-4</v>
      </c>
    </row>
    <row r="228" spans="2:44" x14ac:dyDescent="0.35">
      <c r="B228" s="21">
        <v>45226</v>
      </c>
      <c r="C228" s="1">
        <v>0.55000000000000004</v>
      </c>
      <c r="D228" s="1">
        <v>0.55000000000000004</v>
      </c>
      <c r="E228" s="6">
        <f t="shared" si="82"/>
        <v>0</v>
      </c>
      <c r="F228" s="21">
        <v>45226</v>
      </c>
      <c r="G228" s="1">
        <v>14.75</v>
      </c>
      <c r="H228" s="1">
        <v>11.0739</v>
      </c>
      <c r="I228" s="6">
        <f t="shared" si="80"/>
        <v>3.3978471240621033E-3</v>
      </c>
      <c r="J228" s="21">
        <v>45226</v>
      </c>
      <c r="K228" s="1">
        <v>43</v>
      </c>
      <c r="L228" s="1">
        <v>28.503799999999998</v>
      </c>
      <c r="M228" s="6">
        <f t="shared" si="75"/>
        <v>-7.8422226940628725E-3</v>
      </c>
      <c r="N228" s="21">
        <v>45226</v>
      </c>
      <c r="O228" s="1">
        <v>13.06</v>
      </c>
      <c r="P228" s="1">
        <v>12.1929</v>
      </c>
      <c r="Q228" s="6">
        <f t="shared" si="76"/>
        <v>-5.7043424461544423E-2</v>
      </c>
      <c r="R228" s="21">
        <v>45226</v>
      </c>
      <c r="S228" s="1">
        <v>7.75</v>
      </c>
      <c r="T228" s="1">
        <v>7.2587000000000002</v>
      </c>
      <c r="U228" s="6">
        <f t="shared" si="81"/>
        <v>0</v>
      </c>
      <c r="V228" s="21">
        <v>45226</v>
      </c>
      <c r="W228" s="1">
        <v>6.4</v>
      </c>
      <c r="X228" s="1">
        <v>5.6769999999999996</v>
      </c>
      <c r="Y228" s="6">
        <f t="shared" si="83"/>
        <v>0</v>
      </c>
      <c r="Z228" s="21">
        <v>45226</v>
      </c>
      <c r="AA228" s="1">
        <v>2.0499999999999998</v>
      </c>
      <c r="AB228" s="1">
        <v>2.0499999999999998</v>
      </c>
      <c r="AC228" s="6">
        <f t="shared" si="77"/>
        <v>-4.8543689320389438E-3</v>
      </c>
      <c r="AD228" s="21">
        <v>45226</v>
      </c>
      <c r="AE228" s="1">
        <v>6.6</v>
      </c>
      <c r="AF228" s="1">
        <v>6.1631</v>
      </c>
      <c r="AG228" s="6">
        <f t="shared" si="78"/>
        <v>1.5387910440384234E-2</v>
      </c>
      <c r="AH228" s="21">
        <v>45226</v>
      </c>
      <c r="AI228" s="1">
        <v>7.95</v>
      </c>
      <c r="AJ228" s="1">
        <v>7.3962000000000003</v>
      </c>
      <c r="AK228" s="6">
        <f t="shared" si="79"/>
        <v>6.326788848524334E-3</v>
      </c>
      <c r="AL228" s="21">
        <v>45226</v>
      </c>
      <c r="AM228" s="1">
        <v>1.48</v>
      </c>
      <c r="AN228" s="1">
        <v>1.48</v>
      </c>
      <c r="AO228" s="6">
        <v>0</v>
      </c>
      <c r="AP228" s="21" t="s">
        <v>231</v>
      </c>
      <c r="AQ228" s="1">
        <v>8438.86</v>
      </c>
      <c r="AR228" s="6">
        <v>-1.2486078909650367E-3</v>
      </c>
    </row>
    <row r="229" spans="2:44" x14ac:dyDescent="0.35">
      <c r="B229" s="21">
        <v>45229</v>
      </c>
      <c r="C229" s="1">
        <v>0.54</v>
      </c>
      <c r="D229" s="1">
        <v>0.54</v>
      </c>
      <c r="E229" s="6">
        <f t="shared" si="82"/>
        <v>-1.8181818181818188E-2</v>
      </c>
      <c r="F229" s="21">
        <v>45229</v>
      </c>
      <c r="G229" s="1">
        <v>14.75</v>
      </c>
      <c r="H229" s="1">
        <v>11.0739</v>
      </c>
      <c r="I229" s="6">
        <f t="shared" si="80"/>
        <v>0</v>
      </c>
      <c r="J229" s="21">
        <v>45229</v>
      </c>
      <c r="K229" s="1">
        <v>42.9</v>
      </c>
      <c r="L229" s="1">
        <v>28.4375</v>
      </c>
      <c r="M229" s="6">
        <f t="shared" si="75"/>
        <v>-2.3260056553862096E-3</v>
      </c>
      <c r="N229" s="21">
        <v>45229</v>
      </c>
      <c r="O229" s="1">
        <v>12.69</v>
      </c>
      <c r="P229" s="1">
        <v>11.8475</v>
      </c>
      <c r="Q229" s="6">
        <f t="shared" si="76"/>
        <v>-2.8327961354558728E-2</v>
      </c>
      <c r="R229" s="21">
        <v>45229</v>
      </c>
      <c r="S229" s="1">
        <v>7.75</v>
      </c>
      <c r="T229" s="1">
        <v>7.2587000000000002</v>
      </c>
      <c r="U229" s="6">
        <f t="shared" si="81"/>
        <v>0</v>
      </c>
      <c r="V229" s="21">
        <v>45229</v>
      </c>
      <c r="W229" s="1">
        <v>6.4</v>
      </c>
      <c r="X229" s="1">
        <v>5.6769999999999996</v>
      </c>
      <c r="Y229" s="6">
        <f t="shared" si="83"/>
        <v>0</v>
      </c>
      <c r="Z229" s="21">
        <v>45229</v>
      </c>
      <c r="AA229" s="1">
        <v>2.0499999999999998</v>
      </c>
      <c r="AB229" s="1">
        <v>2.0499999999999998</v>
      </c>
      <c r="AC229" s="6">
        <f t="shared" si="77"/>
        <v>0</v>
      </c>
      <c r="AD229" s="21">
        <v>45229</v>
      </c>
      <c r="AE229" s="1">
        <v>6.6</v>
      </c>
      <c r="AF229" s="1">
        <v>6.1631</v>
      </c>
      <c r="AG229" s="6">
        <f t="shared" si="78"/>
        <v>0</v>
      </c>
      <c r="AH229" s="21">
        <v>45229</v>
      </c>
      <c r="AI229" s="1">
        <v>7.9</v>
      </c>
      <c r="AJ229" s="1">
        <v>7.3497000000000003</v>
      </c>
      <c r="AK229" s="6">
        <f t="shared" si="79"/>
        <v>-6.2870122495335412E-3</v>
      </c>
      <c r="AL229" s="21">
        <v>45229</v>
      </c>
      <c r="AM229" s="1">
        <v>1.48</v>
      </c>
      <c r="AN229" s="1">
        <v>1.48</v>
      </c>
      <c r="AO229" s="6">
        <v>0</v>
      </c>
      <c r="AP229" s="21" t="s">
        <v>232</v>
      </c>
      <c r="AQ229" s="1">
        <v>8415.67</v>
      </c>
      <c r="AR229" s="6">
        <v>-2.7480015073126918E-3</v>
      </c>
    </row>
    <row r="230" spans="2:44" x14ac:dyDescent="0.35">
      <c r="B230" s="21">
        <v>45230</v>
      </c>
      <c r="C230" s="1">
        <v>0.55000000000000004</v>
      </c>
      <c r="D230" s="1">
        <v>0.55000000000000004</v>
      </c>
      <c r="E230" s="6">
        <f t="shared" si="82"/>
        <v>1.8518518518518601E-2</v>
      </c>
      <c r="F230" s="21">
        <v>45230</v>
      </c>
      <c r="G230" s="1">
        <v>14.66</v>
      </c>
      <c r="H230" s="1">
        <v>11.0063</v>
      </c>
      <c r="I230" s="6">
        <f t="shared" si="80"/>
        <v>-6.1044437822267428E-3</v>
      </c>
      <c r="J230" s="21">
        <v>45230</v>
      </c>
      <c r="K230" s="1">
        <v>42.5</v>
      </c>
      <c r="L230" s="1">
        <v>28.1723</v>
      </c>
      <c r="M230" s="6">
        <f t="shared" si="75"/>
        <v>-9.3257142857142705E-3</v>
      </c>
      <c r="N230" s="21">
        <v>45230</v>
      </c>
      <c r="O230" s="1">
        <v>12.38</v>
      </c>
      <c r="P230" s="1">
        <v>11.5581</v>
      </c>
      <c r="Q230" s="6">
        <f t="shared" si="76"/>
        <v>-2.4427094323697052E-2</v>
      </c>
      <c r="R230" s="21">
        <v>45230</v>
      </c>
      <c r="S230" s="1">
        <v>7.68</v>
      </c>
      <c r="T230" s="1">
        <v>7.1931000000000003</v>
      </c>
      <c r="U230" s="6">
        <f t="shared" si="81"/>
        <v>-9.0374309449350321E-3</v>
      </c>
      <c r="V230" s="21">
        <v>45230</v>
      </c>
      <c r="W230" s="1">
        <v>6.4</v>
      </c>
      <c r="X230" s="1">
        <v>5.6769999999999996</v>
      </c>
      <c r="Y230" s="6">
        <f t="shared" si="83"/>
        <v>0</v>
      </c>
      <c r="Z230" s="21">
        <v>45230</v>
      </c>
      <c r="AA230" s="1">
        <v>2.04</v>
      </c>
      <c r="AB230" s="1">
        <v>2.04</v>
      </c>
      <c r="AC230" s="6">
        <f t="shared" si="77"/>
        <v>-4.8780487804876982E-3</v>
      </c>
      <c r="AD230" s="21">
        <v>45230</v>
      </c>
      <c r="AE230" s="1">
        <v>6.6</v>
      </c>
      <c r="AF230" s="1">
        <v>6.1631</v>
      </c>
      <c r="AG230" s="6">
        <f t="shared" si="78"/>
        <v>0</v>
      </c>
      <c r="AH230" s="21">
        <v>45230</v>
      </c>
      <c r="AI230" s="1">
        <v>7.85</v>
      </c>
      <c r="AJ230" s="1">
        <v>7.3032000000000004</v>
      </c>
      <c r="AK230" s="6">
        <f t="shared" si="79"/>
        <v>-6.326788848524445E-3</v>
      </c>
      <c r="AL230" s="21">
        <v>45230</v>
      </c>
      <c r="AM230" s="1">
        <v>1.42</v>
      </c>
      <c r="AN230" s="1">
        <v>1.42</v>
      </c>
      <c r="AO230" s="6">
        <v>-4.0540540540540571E-2</v>
      </c>
      <c r="AP230" s="21" t="s">
        <v>233</v>
      </c>
      <c r="AQ230" s="1">
        <v>8395.2800000000007</v>
      </c>
      <c r="AR230" s="6">
        <v>-2.4228611625692897E-3</v>
      </c>
    </row>
    <row r="231" spans="2:44" x14ac:dyDescent="0.35">
      <c r="B231" s="21">
        <v>45231</v>
      </c>
      <c r="C231" s="1">
        <v>0.55000000000000004</v>
      </c>
      <c r="D231" s="1">
        <v>0.55000000000000004</v>
      </c>
      <c r="E231" s="6">
        <f t="shared" si="82"/>
        <v>0</v>
      </c>
      <c r="F231" s="21">
        <v>45231</v>
      </c>
      <c r="G231" s="1">
        <v>14.37</v>
      </c>
      <c r="H231" s="1">
        <v>10.788600000000001</v>
      </c>
      <c r="I231" s="6">
        <f t="shared" si="80"/>
        <v>-1.9779580785549977E-2</v>
      </c>
      <c r="J231" s="21">
        <v>45231</v>
      </c>
      <c r="K231" s="1">
        <v>43</v>
      </c>
      <c r="L231" s="1">
        <v>28.503799999999998</v>
      </c>
      <c r="M231" s="6">
        <f t="shared" si="75"/>
        <v>1.176687739375204E-2</v>
      </c>
      <c r="N231" s="21">
        <v>45231</v>
      </c>
      <c r="O231" s="1">
        <v>12.48</v>
      </c>
      <c r="P231" s="1">
        <v>11.6515</v>
      </c>
      <c r="Q231" s="6">
        <f t="shared" si="76"/>
        <v>8.0809129528209844E-3</v>
      </c>
      <c r="R231" s="21">
        <v>45231</v>
      </c>
      <c r="S231" s="1">
        <v>7.87</v>
      </c>
      <c r="T231" s="1">
        <v>7.3710000000000004</v>
      </c>
      <c r="U231" s="6">
        <f t="shared" si="81"/>
        <v>2.4732034866747243E-2</v>
      </c>
      <c r="V231" s="21">
        <v>45231</v>
      </c>
      <c r="W231" s="1">
        <v>6.4</v>
      </c>
      <c r="X231" s="1">
        <v>5.6769999999999996</v>
      </c>
      <c r="Y231" s="6">
        <f t="shared" si="83"/>
        <v>0</v>
      </c>
      <c r="Z231" s="21">
        <v>45231</v>
      </c>
      <c r="AA231" s="1">
        <v>2.04</v>
      </c>
      <c r="AB231" s="1">
        <v>2.04</v>
      </c>
      <c r="AC231" s="6">
        <f t="shared" si="77"/>
        <v>0</v>
      </c>
      <c r="AD231" s="21">
        <v>45231</v>
      </c>
      <c r="AE231" s="1">
        <v>6.6</v>
      </c>
      <c r="AF231" s="1">
        <v>6.1631</v>
      </c>
      <c r="AG231" s="6">
        <f t="shared" si="78"/>
        <v>0</v>
      </c>
      <c r="AH231" s="21">
        <v>45231</v>
      </c>
      <c r="AI231" s="1">
        <v>7.78</v>
      </c>
      <c r="AJ231" s="1">
        <v>7.2381000000000002</v>
      </c>
      <c r="AK231" s="6">
        <f t="shared" si="79"/>
        <v>-8.9139007558330929E-3</v>
      </c>
      <c r="AL231" s="21">
        <v>45231</v>
      </c>
      <c r="AM231" s="1">
        <v>1.42</v>
      </c>
      <c r="AN231" s="1">
        <v>1.42</v>
      </c>
      <c r="AO231" s="6">
        <v>0</v>
      </c>
      <c r="AP231" s="21" t="s">
        <v>234</v>
      </c>
      <c r="AQ231" s="1">
        <v>8396.16</v>
      </c>
      <c r="AR231" s="6">
        <v>1.048208040708154E-4</v>
      </c>
    </row>
    <row r="232" spans="2:44" x14ac:dyDescent="0.35">
      <c r="B232" s="21">
        <v>45232</v>
      </c>
      <c r="C232" s="1">
        <v>0.55000000000000004</v>
      </c>
      <c r="D232" s="1">
        <v>0.55000000000000004</v>
      </c>
      <c r="E232" s="6">
        <f t="shared" si="82"/>
        <v>0</v>
      </c>
      <c r="F232" s="21">
        <v>45232</v>
      </c>
      <c r="G232" s="1">
        <v>14.84</v>
      </c>
      <c r="H232" s="1">
        <v>11.141500000000001</v>
      </c>
      <c r="I232" s="6">
        <f t="shared" si="80"/>
        <v>3.2710453626976665E-2</v>
      </c>
      <c r="J232" s="21">
        <v>45232</v>
      </c>
      <c r="K232" s="1">
        <v>42.98</v>
      </c>
      <c r="L232" s="1">
        <v>28.490500000000001</v>
      </c>
      <c r="M232" s="6">
        <f t="shared" si="75"/>
        <v>-4.6660445273949414E-4</v>
      </c>
      <c r="N232" s="21">
        <v>45232</v>
      </c>
      <c r="O232" s="1">
        <v>12.43</v>
      </c>
      <c r="P232" s="1">
        <v>11.604799999999999</v>
      </c>
      <c r="Q232" s="6">
        <f t="shared" si="76"/>
        <v>-4.0080676307772123E-3</v>
      </c>
      <c r="R232" s="21">
        <v>45232</v>
      </c>
      <c r="S232" s="1">
        <v>7.8</v>
      </c>
      <c r="T232" s="1">
        <v>7.3055000000000003</v>
      </c>
      <c r="U232" s="6">
        <f t="shared" si="81"/>
        <v>-8.8861755528422126E-3</v>
      </c>
      <c r="V232" s="21">
        <v>45232</v>
      </c>
      <c r="W232" s="1">
        <v>6.34</v>
      </c>
      <c r="X232" s="1">
        <v>5.6239999999999997</v>
      </c>
      <c r="Y232" s="6">
        <f t="shared" si="83"/>
        <v>-9.3359168574951301E-3</v>
      </c>
      <c r="Z232" s="21">
        <v>45232</v>
      </c>
      <c r="AA232" s="1">
        <v>2.04</v>
      </c>
      <c r="AB232" s="1">
        <v>2.04</v>
      </c>
      <c r="AC232" s="6">
        <f t="shared" si="77"/>
        <v>0</v>
      </c>
      <c r="AD232" s="21">
        <v>45232</v>
      </c>
      <c r="AE232" s="1">
        <v>6.6</v>
      </c>
      <c r="AF232" s="1">
        <v>6.1631</v>
      </c>
      <c r="AG232" s="6">
        <f t="shared" si="78"/>
        <v>0</v>
      </c>
      <c r="AH232" s="21">
        <v>45232</v>
      </c>
      <c r="AI232" s="1">
        <v>7.8</v>
      </c>
      <c r="AJ232" s="1">
        <v>7.2567000000000004</v>
      </c>
      <c r="AK232" s="6">
        <f t="shared" si="79"/>
        <v>2.5697351514899491E-3</v>
      </c>
      <c r="AL232" s="21">
        <v>45232</v>
      </c>
      <c r="AM232" s="1">
        <v>1.36</v>
      </c>
      <c r="AN232" s="1">
        <v>1.36</v>
      </c>
      <c r="AO232" s="6">
        <v>-4.2253521126760396E-2</v>
      </c>
      <c r="AP232" s="21" t="s">
        <v>235</v>
      </c>
      <c r="AQ232" s="1">
        <v>8403.0400000000009</v>
      </c>
      <c r="AR232" s="6">
        <v>8.1942221205899557E-4</v>
      </c>
    </row>
    <row r="233" spans="2:44" x14ac:dyDescent="0.35">
      <c r="B233" s="21">
        <v>45233</v>
      </c>
      <c r="C233" s="1">
        <v>0.55000000000000004</v>
      </c>
      <c r="D233" s="1">
        <v>0.55000000000000004</v>
      </c>
      <c r="E233" s="6">
        <f t="shared" si="82"/>
        <v>0</v>
      </c>
      <c r="F233" s="21">
        <v>45233</v>
      </c>
      <c r="G233" s="1">
        <v>14.85</v>
      </c>
      <c r="H233" s="1">
        <v>11.148999999999999</v>
      </c>
      <c r="I233" s="6">
        <f t="shared" si="80"/>
        <v>6.7315891037988962E-4</v>
      </c>
      <c r="J233" s="21">
        <v>45233</v>
      </c>
      <c r="K233" s="1">
        <v>42.98</v>
      </c>
      <c r="L233" s="1">
        <v>28.490500000000001</v>
      </c>
      <c r="M233" s="6">
        <f t="shared" si="75"/>
        <v>0</v>
      </c>
      <c r="N233" s="21">
        <v>45233</v>
      </c>
      <c r="O233" s="1">
        <v>12.43</v>
      </c>
      <c r="P233" s="1">
        <v>11.604799999999999</v>
      </c>
      <c r="Q233" s="6">
        <f t="shared" si="76"/>
        <v>0</v>
      </c>
      <c r="R233" s="21">
        <v>45233</v>
      </c>
      <c r="S233" s="1">
        <v>7.8</v>
      </c>
      <c r="T233" s="1">
        <v>7.3055000000000003</v>
      </c>
      <c r="U233" s="6">
        <f t="shared" si="81"/>
        <v>0</v>
      </c>
      <c r="V233" s="21">
        <v>45233</v>
      </c>
      <c r="W233" s="1">
        <v>6.35</v>
      </c>
      <c r="X233" s="1">
        <v>5.633</v>
      </c>
      <c r="Y233" s="6">
        <f t="shared" si="83"/>
        <v>1.6002844950213646E-3</v>
      </c>
      <c r="Z233" s="21">
        <v>45233</v>
      </c>
      <c r="AA233" s="1">
        <v>2.0299999999999998</v>
      </c>
      <c r="AB233" s="1">
        <v>2.0299999999999998</v>
      </c>
      <c r="AC233" s="6">
        <f t="shared" si="77"/>
        <v>-4.9019607843138191E-3</v>
      </c>
      <c r="AD233" s="21">
        <v>45233</v>
      </c>
      <c r="AE233" s="1">
        <v>6.64</v>
      </c>
      <c r="AF233" s="1">
        <v>6.2004000000000001</v>
      </c>
      <c r="AG233" s="6">
        <f t="shared" si="78"/>
        <v>6.0521490808196354E-3</v>
      </c>
      <c r="AH233" s="21">
        <v>45233</v>
      </c>
      <c r="AI233" s="1">
        <v>7.9</v>
      </c>
      <c r="AJ233" s="1">
        <v>7.3497000000000003</v>
      </c>
      <c r="AK233" s="6">
        <f t="shared" si="79"/>
        <v>1.2815742692959597E-2</v>
      </c>
      <c r="AL233" s="21">
        <v>45233</v>
      </c>
      <c r="AM233" s="1">
        <v>1.36</v>
      </c>
      <c r="AN233" s="1">
        <v>1.36</v>
      </c>
      <c r="AO233" s="6">
        <v>0</v>
      </c>
      <c r="AP233" s="21" t="s">
        <v>236</v>
      </c>
      <c r="AQ233" s="1">
        <v>8418.94</v>
      </c>
      <c r="AR233" s="6">
        <v>1.8921723566709403E-3</v>
      </c>
    </row>
    <row r="234" spans="2:44" x14ac:dyDescent="0.35">
      <c r="B234" s="21">
        <v>45236</v>
      </c>
      <c r="C234" s="1">
        <v>0.56999999999999995</v>
      </c>
      <c r="D234" s="1">
        <v>0.56999999999999995</v>
      </c>
      <c r="E234" s="6">
        <f t="shared" si="82"/>
        <v>3.6363636363636154E-2</v>
      </c>
      <c r="F234" s="21">
        <v>45236</v>
      </c>
      <c r="G234" s="1">
        <v>14.37</v>
      </c>
      <c r="H234" s="1">
        <v>10.788600000000001</v>
      </c>
      <c r="I234" s="6">
        <f t="shared" si="80"/>
        <v>-3.2325769127275805E-2</v>
      </c>
      <c r="J234" s="21">
        <v>45236</v>
      </c>
      <c r="K234" s="1">
        <v>42.98</v>
      </c>
      <c r="L234" s="1">
        <v>28.490500000000001</v>
      </c>
      <c r="M234" s="6">
        <f t="shared" si="75"/>
        <v>0</v>
      </c>
      <c r="N234" s="21">
        <v>45236</v>
      </c>
      <c r="O234" s="1">
        <v>12.59</v>
      </c>
      <c r="P234" s="1">
        <v>11.754200000000001</v>
      </c>
      <c r="Q234" s="6">
        <f t="shared" si="76"/>
        <v>1.2873983179374271E-2</v>
      </c>
      <c r="R234" s="21">
        <v>45236</v>
      </c>
      <c r="S234" s="1">
        <v>7.8</v>
      </c>
      <c r="T234" s="1">
        <v>7.3055000000000003</v>
      </c>
      <c r="U234" s="6">
        <f t="shared" si="81"/>
        <v>0</v>
      </c>
      <c r="V234" s="21">
        <v>45236</v>
      </c>
      <c r="W234" s="1">
        <v>6.33</v>
      </c>
      <c r="X234" s="1">
        <v>5.6150000000000002</v>
      </c>
      <c r="Y234" s="6">
        <f t="shared" si="83"/>
        <v>-3.1954553523876328E-3</v>
      </c>
      <c r="Z234" s="21">
        <v>45236</v>
      </c>
      <c r="AA234" s="1">
        <v>2.04</v>
      </c>
      <c r="AB234" s="1">
        <v>2.04</v>
      </c>
      <c r="AC234" s="6">
        <f t="shared" si="77"/>
        <v>4.9261083743843415E-3</v>
      </c>
      <c r="AD234" s="21">
        <v>45236</v>
      </c>
      <c r="AE234" s="1">
        <v>6.9</v>
      </c>
      <c r="AF234" s="1">
        <v>6.4432</v>
      </c>
      <c r="AG234" s="6">
        <f t="shared" si="78"/>
        <v>3.9158763950712938E-2</v>
      </c>
      <c r="AH234" s="21">
        <v>45236</v>
      </c>
      <c r="AI234" s="1">
        <v>7.85</v>
      </c>
      <c r="AJ234" s="1">
        <v>7.3032000000000004</v>
      </c>
      <c r="AK234" s="6">
        <f t="shared" si="79"/>
        <v>-6.326788848524445E-3</v>
      </c>
      <c r="AL234" s="21">
        <v>45236</v>
      </c>
      <c r="AM234" s="1">
        <v>1.42</v>
      </c>
      <c r="AN234" s="1">
        <v>1.42</v>
      </c>
      <c r="AO234" s="6">
        <v>4.4117647058823373E-2</v>
      </c>
      <c r="AP234" s="21" t="s">
        <v>237</v>
      </c>
      <c r="AQ234" s="1">
        <v>8414.17</v>
      </c>
      <c r="AR234" s="6">
        <v>-5.665796406674195E-4</v>
      </c>
    </row>
    <row r="235" spans="2:44" x14ac:dyDescent="0.35">
      <c r="B235" s="21">
        <v>45237</v>
      </c>
      <c r="C235" s="1">
        <v>0.6</v>
      </c>
      <c r="D235" s="1">
        <v>0.6</v>
      </c>
      <c r="E235" s="6">
        <f t="shared" si="82"/>
        <v>5.2631578947368363E-2</v>
      </c>
      <c r="F235" s="21">
        <v>45237</v>
      </c>
      <c r="G235" s="1">
        <v>14.78</v>
      </c>
      <c r="H235" s="1">
        <v>11.096399999999999</v>
      </c>
      <c r="I235" s="6">
        <f t="shared" si="80"/>
        <v>2.853011512151693E-2</v>
      </c>
      <c r="J235" s="21">
        <v>45237</v>
      </c>
      <c r="K235" s="1">
        <v>42.85</v>
      </c>
      <c r="L235" s="1">
        <v>28.404299999999999</v>
      </c>
      <c r="M235" s="6">
        <f t="shared" si="75"/>
        <v>-3.0255699268177949E-3</v>
      </c>
      <c r="N235" s="21">
        <v>45237</v>
      </c>
      <c r="O235" s="1">
        <v>12.6</v>
      </c>
      <c r="P235" s="1">
        <v>11.763500000000001</v>
      </c>
      <c r="Q235" s="6">
        <f t="shared" si="76"/>
        <v>7.9120654744690988E-4</v>
      </c>
      <c r="R235" s="21">
        <v>45237</v>
      </c>
      <c r="S235" s="1">
        <v>7.8</v>
      </c>
      <c r="T235" s="1">
        <v>7.3055000000000003</v>
      </c>
      <c r="U235" s="6">
        <f t="shared" si="81"/>
        <v>0</v>
      </c>
      <c r="V235" s="21">
        <v>45237</v>
      </c>
      <c r="W235" s="1">
        <v>6.33</v>
      </c>
      <c r="X235" s="1">
        <v>5.6150000000000002</v>
      </c>
      <c r="Y235" s="6">
        <f t="shared" si="83"/>
        <v>0</v>
      </c>
      <c r="Z235" s="21">
        <v>45237</v>
      </c>
      <c r="AA235" s="1">
        <v>2.04</v>
      </c>
      <c r="AB235" s="1">
        <v>2.04</v>
      </c>
      <c r="AC235" s="6">
        <f t="shared" si="77"/>
        <v>0</v>
      </c>
      <c r="AD235" s="21">
        <v>45237</v>
      </c>
      <c r="AE235" s="1">
        <v>6.9</v>
      </c>
      <c r="AF235" s="1">
        <v>6.4432</v>
      </c>
      <c r="AG235" s="6">
        <f t="shared" si="78"/>
        <v>0</v>
      </c>
      <c r="AH235" s="21">
        <v>45237</v>
      </c>
      <c r="AI235" s="1">
        <v>7.95</v>
      </c>
      <c r="AJ235" s="1">
        <v>7.3962000000000003</v>
      </c>
      <c r="AK235" s="6">
        <f t="shared" si="79"/>
        <v>1.2734143936904418E-2</v>
      </c>
      <c r="AL235" s="21">
        <v>45237</v>
      </c>
      <c r="AM235" s="1">
        <v>1.48</v>
      </c>
      <c r="AN235" s="1">
        <v>1.48</v>
      </c>
      <c r="AO235" s="6">
        <v>4.2253521126760507E-2</v>
      </c>
      <c r="AP235" s="21" t="s">
        <v>238</v>
      </c>
      <c r="AQ235" s="1">
        <v>8413.59</v>
      </c>
      <c r="AR235" s="6">
        <v>-6.8931338444544465E-5</v>
      </c>
    </row>
    <row r="236" spans="2:44" x14ac:dyDescent="0.35">
      <c r="B236" s="21">
        <v>45238</v>
      </c>
      <c r="C236" s="1">
        <v>0.6</v>
      </c>
      <c r="D236" s="1">
        <v>0.6</v>
      </c>
      <c r="E236" s="6">
        <f t="shared" si="82"/>
        <v>0</v>
      </c>
      <c r="F236" s="21">
        <v>45238</v>
      </c>
      <c r="G236" s="1">
        <v>14.2</v>
      </c>
      <c r="H236" s="1">
        <v>10.661</v>
      </c>
      <c r="I236" s="6">
        <f t="shared" si="80"/>
        <v>-3.9237951047186415E-2</v>
      </c>
      <c r="J236" s="21">
        <v>45238</v>
      </c>
      <c r="K236" s="1">
        <v>42.45</v>
      </c>
      <c r="L236" s="1">
        <v>28.139199999999999</v>
      </c>
      <c r="M236" s="6">
        <f t="shared" si="75"/>
        <v>-9.3330939329608897E-3</v>
      </c>
      <c r="N236" s="21">
        <v>45238</v>
      </c>
      <c r="O236" s="1">
        <v>12.65</v>
      </c>
      <c r="P236" s="1">
        <v>11.8102</v>
      </c>
      <c r="Q236" s="6">
        <f t="shared" si="76"/>
        <v>3.9699069154588429E-3</v>
      </c>
      <c r="R236" s="21">
        <v>45238</v>
      </c>
      <c r="S236" s="1">
        <v>7.77</v>
      </c>
      <c r="T236" s="1">
        <v>7.2774000000000001</v>
      </c>
      <c r="U236" s="6">
        <f t="shared" si="81"/>
        <v>-3.8464170830196931E-3</v>
      </c>
      <c r="V236" s="21">
        <v>45238</v>
      </c>
      <c r="W236" s="1">
        <v>6.3</v>
      </c>
      <c r="X236" s="1">
        <v>5.5880000000000001</v>
      </c>
      <c r="Y236" s="6">
        <f t="shared" si="83"/>
        <v>-4.8085485307213238E-3</v>
      </c>
      <c r="Z236" s="21">
        <v>45238</v>
      </c>
      <c r="AA236" s="1">
        <v>2.04</v>
      </c>
      <c r="AB236" s="1">
        <v>2.04</v>
      </c>
      <c r="AC236" s="6">
        <f t="shared" si="77"/>
        <v>0</v>
      </c>
      <c r="AD236" s="21">
        <v>45238</v>
      </c>
      <c r="AE236" s="1">
        <v>6.9</v>
      </c>
      <c r="AF236" s="1">
        <v>6.4432</v>
      </c>
      <c r="AG236" s="6">
        <f t="shared" si="78"/>
        <v>0</v>
      </c>
      <c r="AH236" s="21">
        <v>45238</v>
      </c>
      <c r="AI236" s="1">
        <v>8.1</v>
      </c>
      <c r="AJ236" s="1">
        <v>7.5358000000000001</v>
      </c>
      <c r="AK236" s="6">
        <f t="shared" si="79"/>
        <v>1.8874557205051268E-2</v>
      </c>
      <c r="AL236" s="21">
        <v>45238</v>
      </c>
      <c r="AM236" s="1">
        <v>1.51</v>
      </c>
      <c r="AN236" s="1">
        <v>1.51</v>
      </c>
      <c r="AO236" s="6">
        <v>2.0270270270270396E-2</v>
      </c>
      <c r="AP236" s="21" t="s">
        <v>239</v>
      </c>
      <c r="AQ236" s="1">
        <v>8411.3700000000008</v>
      </c>
      <c r="AR236" s="6">
        <v>-2.6385882839541352E-4</v>
      </c>
    </row>
    <row r="237" spans="2:44" x14ac:dyDescent="0.35">
      <c r="B237" s="21">
        <v>45239</v>
      </c>
      <c r="C237" s="1">
        <v>0.61</v>
      </c>
      <c r="D237" s="1">
        <v>0.61</v>
      </c>
      <c r="E237" s="6">
        <f t="shared" si="82"/>
        <v>1.6666666666666607E-2</v>
      </c>
      <c r="F237" s="21">
        <v>45239</v>
      </c>
      <c r="G237" s="1">
        <v>14.59</v>
      </c>
      <c r="H237" s="1">
        <v>10.953799999999999</v>
      </c>
      <c r="I237" s="6">
        <f t="shared" si="80"/>
        <v>2.7464590563736957E-2</v>
      </c>
      <c r="J237" s="21">
        <v>45239</v>
      </c>
      <c r="K237" s="1">
        <v>43</v>
      </c>
      <c r="L237" s="1">
        <v>28.503799999999998</v>
      </c>
      <c r="M237" s="6">
        <f t="shared" si="75"/>
        <v>1.2957013703303488E-2</v>
      </c>
      <c r="N237" s="21">
        <v>45239</v>
      </c>
      <c r="O237" s="1">
        <v>13.09</v>
      </c>
      <c r="P237" s="1">
        <v>12.221</v>
      </c>
      <c r="Q237" s="6">
        <f t="shared" si="76"/>
        <v>3.4783492235525237E-2</v>
      </c>
      <c r="R237" s="21">
        <v>45239</v>
      </c>
      <c r="S237" s="1">
        <v>7.77</v>
      </c>
      <c r="T237" s="1">
        <v>7.2774000000000001</v>
      </c>
      <c r="U237" s="6">
        <f t="shared" si="81"/>
        <v>0</v>
      </c>
      <c r="V237" s="21">
        <v>45239</v>
      </c>
      <c r="W237" s="1">
        <v>6.3</v>
      </c>
      <c r="X237" s="1">
        <v>5.5880000000000001</v>
      </c>
      <c r="Y237" s="6">
        <f t="shared" si="83"/>
        <v>0</v>
      </c>
      <c r="Z237" s="21">
        <v>45239</v>
      </c>
      <c r="AA237" s="1">
        <v>2.0499999999999998</v>
      </c>
      <c r="AB237" s="1">
        <v>2.0499999999999998</v>
      </c>
      <c r="AC237" s="6">
        <f t="shared" si="77"/>
        <v>4.9019607843137081E-3</v>
      </c>
      <c r="AD237" s="21">
        <v>45239</v>
      </c>
      <c r="AE237" s="1">
        <v>6.65</v>
      </c>
      <c r="AF237" s="1">
        <v>6.2096999999999998</v>
      </c>
      <c r="AG237" s="6">
        <f t="shared" si="78"/>
        <v>-3.6239756642662102E-2</v>
      </c>
      <c r="AH237" s="21">
        <v>45239</v>
      </c>
      <c r="AI237" s="1">
        <v>8.3800000000000008</v>
      </c>
      <c r="AJ237" s="1">
        <v>7.7962999999999996</v>
      </c>
      <c r="AK237" s="6">
        <f t="shared" si="79"/>
        <v>3.4568327184903991E-2</v>
      </c>
      <c r="AL237" s="21">
        <v>45239</v>
      </c>
      <c r="AM237" s="1">
        <v>1.51</v>
      </c>
      <c r="AN237" s="1">
        <v>1.51</v>
      </c>
      <c r="AO237" s="6">
        <v>0</v>
      </c>
      <c r="AP237" s="21" t="s">
        <v>240</v>
      </c>
      <c r="AQ237" s="1">
        <v>8447.15</v>
      </c>
      <c r="AR237" s="6">
        <v>4.2537660333570315E-3</v>
      </c>
    </row>
    <row r="238" spans="2:44" x14ac:dyDescent="0.35">
      <c r="B238" s="21">
        <v>45240</v>
      </c>
      <c r="C238" s="1">
        <v>0.61</v>
      </c>
      <c r="D238" s="1">
        <v>0.61</v>
      </c>
      <c r="E238" s="6">
        <f t="shared" si="82"/>
        <v>0</v>
      </c>
      <c r="F238" s="21">
        <v>45240</v>
      </c>
      <c r="G238" s="1">
        <v>14.2</v>
      </c>
      <c r="H238" s="1">
        <v>10.661</v>
      </c>
      <c r="I238" s="6">
        <f t="shared" si="80"/>
        <v>-2.6730449706951043E-2</v>
      </c>
      <c r="J238" s="21">
        <v>45240</v>
      </c>
      <c r="K238" s="1">
        <v>43</v>
      </c>
      <c r="L238" s="1">
        <v>28.503799999999998</v>
      </c>
      <c r="M238" s="6">
        <f t="shared" si="75"/>
        <v>0</v>
      </c>
      <c r="N238" s="21">
        <v>45240</v>
      </c>
      <c r="O238" s="1">
        <v>12.62</v>
      </c>
      <c r="P238" s="1">
        <v>11.7822</v>
      </c>
      <c r="Q238" s="6">
        <f t="shared" si="76"/>
        <v>-3.5905408722690546E-2</v>
      </c>
      <c r="R238" s="21">
        <v>45240</v>
      </c>
      <c r="S238" s="1">
        <v>7.7</v>
      </c>
      <c r="T238" s="1">
        <v>7.2118000000000002</v>
      </c>
      <c r="U238" s="6">
        <f t="shared" si="81"/>
        <v>-9.0142083711215459E-3</v>
      </c>
      <c r="V238" s="21">
        <v>45240</v>
      </c>
      <c r="W238" s="1">
        <v>6.3</v>
      </c>
      <c r="X238" s="1">
        <v>5.5880000000000001</v>
      </c>
      <c r="Y238" s="6">
        <f t="shared" si="83"/>
        <v>0</v>
      </c>
      <c r="Z238" s="21">
        <v>45240</v>
      </c>
      <c r="AA238" s="1">
        <v>2.06</v>
      </c>
      <c r="AB238" s="1">
        <v>2.06</v>
      </c>
      <c r="AC238" s="6">
        <f t="shared" si="77"/>
        <v>4.8780487804878092E-3</v>
      </c>
      <c r="AD238" s="21">
        <v>45240</v>
      </c>
      <c r="AE238" s="1">
        <v>6.88</v>
      </c>
      <c r="AF238" s="1">
        <v>6.4245000000000001</v>
      </c>
      <c r="AG238" s="6">
        <f t="shared" si="78"/>
        <v>3.4591043045557823E-2</v>
      </c>
      <c r="AH238" s="21">
        <v>45240</v>
      </c>
      <c r="AI238" s="1">
        <v>8.3000000000000007</v>
      </c>
      <c r="AJ238" s="1">
        <v>7.7218999999999998</v>
      </c>
      <c r="AK238" s="6">
        <f t="shared" si="79"/>
        <v>-9.5429883406230598E-3</v>
      </c>
      <c r="AL238" s="21">
        <v>45240</v>
      </c>
      <c r="AM238" s="1">
        <v>1.45</v>
      </c>
      <c r="AN238" s="1">
        <v>1.45</v>
      </c>
      <c r="AO238" s="6">
        <v>-3.9735099337748325E-2</v>
      </c>
      <c r="AP238" s="21" t="s">
        <v>241</v>
      </c>
      <c r="AQ238" s="1">
        <v>8450.7199999999993</v>
      </c>
      <c r="AR238" s="6">
        <v>4.2262775018797605E-4</v>
      </c>
    </row>
    <row r="239" spans="2:44" x14ac:dyDescent="0.35">
      <c r="B239" s="21">
        <v>45243</v>
      </c>
      <c r="C239" s="1">
        <v>0.61</v>
      </c>
      <c r="D239" s="1">
        <v>0.61</v>
      </c>
      <c r="E239" s="6">
        <f t="shared" si="82"/>
        <v>0</v>
      </c>
      <c r="F239" s="21">
        <v>45243</v>
      </c>
      <c r="G239" s="1">
        <v>14.19</v>
      </c>
      <c r="H239" s="1">
        <v>10.653499999999999</v>
      </c>
      <c r="I239" s="6">
        <f t="shared" si="80"/>
        <v>-7.0349873370234572E-4</v>
      </c>
      <c r="J239" s="21">
        <v>45243</v>
      </c>
      <c r="K239" s="1">
        <v>43.5</v>
      </c>
      <c r="L239" s="1">
        <v>28.8352</v>
      </c>
      <c r="M239" s="6">
        <f t="shared" si="75"/>
        <v>1.162651997277564E-2</v>
      </c>
      <c r="N239" s="21">
        <v>45243</v>
      </c>
      <c r="O239" s="1">
        <v>12.55</v>
      </c>
      <c r="P239" s="1">
        <v>11.716799999999999</v>
      </c>
      <c r="Q239" s="6">
        <f t="shared" si="76"/>
        <v>-5.5507460406376552E-3</v>
      </c>
      <c r="R239" s="21">
        <v>45243</v>
      </c>
      <c r="S239" s="1">
        <v>7.35</v>
      </c>
      <c r="T239" s="1">
        <v>6.8840000000000003</v>
      </c>
      <c r="U239" s="6">
        <f t="shared" si="81"/>
        <v>-4.5453284894201196E-2</v>
      </c>
      <c r="V239" s="21">
        <v>45243</v>
      </c>
      <c r="W239" s="1">
        <v>6.3</v>
      </c>
      <c r="X239" s="1">
        <v>5.5880000000000001</v>
      </c>
      <c r="Y239" s="6">
        <f t="shared" si="83"/>
        <v>0</v>
      </c>
      <c r="Z239" s="21">
        <v>45243</v>
      </c>
      <c r="AA239" s="1">
        <v>2.09</v>
      </c>
      <c r="AB239" s="1">
        <v>2.09</v>
      </c>
      <c r="AC239" s="6">
        <f t="shared" si="77"/>
        <v>1.4563106796116498E-2</v>
      </c>
      <c r="AD239" s="21">
        <v>45243</v>
      </c>
      <c r="AE239" s="1">
        <v>6.88</v>
      </c>
      <c r="AF239" s="1">
        <v>6.4245000000000001</v>
      </c>
      <c r="AG239" s="6">
        <f t="shared" si="78"/>
        <v>0</v>
      </c>
      <c r="AH239" s="21">
        <v>45243</v>
      </c>
      <c r="AI239" s="1">
        <v>8.15</v>
      </c>
      <c r="AJ239" s="1">
        <v>7.5823</v>
      </c>
      <c r="AK239" s="6">
        <f t="shared" si="79"/>
        <v>-1.8078452194408068E-2</v>
      </c>
      <c r="AL239" s="21">
        <v>45243</v>
      </c>
      <c r="AM239" s="1">
        <v>1.51</v>
      </c>
      <c r="AN239" s="1">
        <v>1.51</v>
      </c>
      <c r="AO239" s="6">
        <v>4.1379310344827669E-2</v>
      </c>
      <c r="AP239" s="21" t="s">
        <v>242</v>
      </c>
      <c r="AQ239" s="1">
        <v>8460.4699999999993</v>
      </c>
      <c r="AR239" s="6">
        <v>1.1537478463372608E-3</v>
      </c>
    </row>
    <row r="240" spans="2:44" x14ac:dyDescent="0.35">
      <c r="B240" s="21">
        <v>45244</v>
      </c>
      <c r="C240" s="1">
        <v>0.6</v>
      </c>
      <c r="D240" s="1">
        <v>0.6</v>
      </c>
      <c r="E240" s="6">
        <f t="shared" si="82"/>
        <v>-1.6393442622950838E-2</v>
      </c>
      <c r="F240" s="21">
        <v>45244</v>
      </c>
      <c r="G240" s="1">
        <v>14.18</v>
      </c>
      <c r="H240" s="1">
        <v>10.646000000000001</v>
      </c>
      <c r="I240" s="6">
        <f t="shared" si="80"/>
        <v>-7.0399399258447293E-4</v>
      </c>
      <c r="J240" s="21">
        <v>45244</v>
      </c>
      <c r="K240" s="1">
        <v>42.63</v>
      </c>
      <c r="L240" s="1">
        <v>28.258500000000002</v>
      </c>
      <c r="M240" s="6">
        <f t="shared" si="75"/>
        <v>-1.9999861280656894E-2</v>
      </c>
      <c r="N240" s="21">
        <v>45244</v>
      </c>
      <c r="O240" s="1">
        <v>12.9</v>
      </c>
      <c r="P240" s="1">
        <v>12.0436</v>
      </c>
      <c r="Q240" s="6">
        <f t="shared" si="76"/>
        <v>2.7891574491328619E-2</v>
      </c>
      <c r="R240" s="21">
        <v>45244</v>
      </c>
      <c r="S240" s="1">
        <v>7.44</v>
      </c>
      <c r="T240" s="1">
        <v>6.9683000000000002</v>
      </c>
      <c r="U240" s="6">
        <f t="shared" si="81"/>
        <v>1.2245787332946012E-2</v>
      </c>
      <c r="V240" s="21">
        <v>45244</v>
      </c>
      <c r="W240" s="1">
        <v>6.29</v>
      </c>
      <c r="X240" s="1">
        <v>5.5789999999999997</v>
      </c>
      <c r="Y240" s="6">
        <f t="shared" si="83"/>
        <v>-1.6105941302791971E-3</v>
      </c>
      <c r="Z240" s="21">
        <v>45244</v>
      </c>
      <c r="AA240" s="1">
        <v>2.11</v>
      </c>
      <c r="AB240" s="1">
        <v>2.11</v>
      </c>
      <c r="AC240" s="6">
        <f t="shared" si="77"/>
        <v>9.5693779904306719E-3</v>
      </c>
      <c r="AD240" s="21">
        <v>45244</v>
      </c>
      <c r="AE240" s="1">
        <v>6.87</v>
      </c>
      <c r="AF240" s="1">
        <v>6.4151999999999996</v>
      </c>
      <c r="AG240" s="6">
        <f t="shared" si="78"/>
        <v>-1.4475834695307777E-3</v>
      </c>
      <c r="AH240" s="21">
        <v>45244</v>
      </c>
      <c r="AI240" s="1">
        <v>8.1</v>
      </c>
      <c r="AJ240" s="1">
        <v>7.5358000000000001</v>
      </c>
      <c r="AK240" s="6">
        <f t="shared" si="79"/>
        <v>-6.1327037970009268E-3</v>
      </c>
      <c r="AL240" s="21">
        <v>45244</v>
      </c>
      <c r="AM240" s="1">
        <v>1.51</v>
      </c>
      <c r="AN240" s="1">
        <v>1.51</v>
      </c>
      <c r="AO240" s="6">
        <v>0</v>
      </c>
      <c r="AP240" s="21" t="s">
        <v>243</v>
      </c>
      <c r="AQ240" s="1">
        <v>8426.0300000000007</v>
      </c>
      <c r="AR240" s="6">
        <v>-4.0706958360468004E-3</v>
      </c>
    </row>
    <row r="241" spans="2:44" x14ac:dyDescent="0.35">
      <c r="B241" s="21">
        <v>45245</v>
      </c>
      <c r="C241" s="1">
        <v>0.62</v>
      </c>
      <c r="D241" s="1">
        <v>0.62</v>
      </c>
      <c r="E241" s="6">
        <f t="shared" si="82"/>
        <v>3.3333333333333437E-2</v>
      </c>
      <c r="F241" s="21">
        <v>45245</v>
      </c>
      <c r="G241" s="1">
        <v>14.18</v>
      </c>
      <c r="H241" s="1">
        <v>10.646000000000001</v>
      </c>
      <c r="I241" s="6">
        <f t="shared" si="80"/>
        <v>0</v>
      </c>
      <c r="J241" s="21">
        <v>45245</v>
      </c>
      <c r="K241" s="1">
        <v>42.5</v>
      </c>
      <c r="L241" s="1">
        <v>28.1723</v>
      </c>
      <c r="M241" s="6">
        <f t="shared" si="75"/>
        <v>-3.0504096112674572E-3</v>
      </c>
      <c r="N241" s="21">
        <v>45245</v>
      </c>
      <c r="O241" s="1">
        <v>13.18</v>
      </c>
      <c r="P241" s="1">
        <v>12.305</v>
      </c>
      <c r="Q241" s="6">
        <f t="shared" si="76"/>
        <v>2.170447374539175E-2</v>
      </c>
      <c r="R241" s="21">
        <v>45245</v>
      </c>
      <c r="S241" s="1">
        <v>7.34</v>
      </c>
      <c r="T241" s="1">
        <v>6.8746</v>
      </c>
      <c r="U241" s="6">
        <f t="shared" si="81"/>
        <v>-1.3446608211471922E-2</v>
      </c>
      <c r="V241" s="21">
        <v>45245</v>
      </c>
      <c r="W241" s="1">
        <v>6.29</v>
      </c>
      <c r="X241" s="1">
        <v>5.5789999999999997</v>
      </c>
      <c r="Y241" s="6">
        <f t="shared" si="83"/>
        <v>0</v>
      </c>
      <c r="Z241" s="21">
        <v>45245</v>
      </c>
      <c r="AA241" s="1">
        <v>2.1</v>
      </c>
      <c r="AB241" s="1">
        <v>2.1</v>
      </c>
      <c r="AC241" s="6">
        <f t="shared" si="77"/>
        <v>-4.7393364928909332E-3</v>
      </c>
      <c r="AD241" s="21">
        <v>45245</v>
      </c>
      <c r="AE241" s="1">
        <v>6.88</v>
      </c>
      <c r="AF241" s="1">
        <v>6.4245000000000001</v>
      </c>
      <c r="AG241" s="6">
        <f t="shared" si="78"/>
        <v>1.4496820052376513E-3</v>
      </c>
      <c r="AH241" s="21">
        <v>45245</v>
      </c>
      <c r="AI241" s="1">
        <v>8</v>
      </c>
      <c r="AJ241" s="1">
        <v>7.4428000000000001</v>
      </c>
      <c r="AK241" s="6">
        <f t="shared" si="79"/>
        <v>-1.2341091854879416E-2</v>
      </c>
      <c r="AL241" s="21">
        <v>45245</v>
      </c>
      <c r="AM241" s="1">
        <v>1.51</v>
      </c>
      <c r="AN241" s="1">
        <v>1.51</v>
      </c>
      <c r="AO241" s="6">
        <v>0</v>
      </c>
      <c r="AP241" s="21" t="s">
        <v>244</v>
      </c>
      <c r="AQ241" s="1">
        <v>8468.01</v>
      </c>
      <c r="AR241" s="6">
        <v>4.9821802201035492E-3</v>
      </c>
    </row>
    <row r="242" spans="2:44" x14ac:dyDescent="0.35">
      <c r="B242" s="21">
        <v>45246</v>
      </c>
      <c r="C242" s="1">
        <v>0.62</v>
      </c>
      <c r="D242" s="1">
        <v>0.62</v>
      </c>
      <c r="E242" s="6">
        <f t="shared" si="82"/>
        <v>0</v>
      </c>
      <c r="F242" s="21">
        <v>45246</v>
      </c>
      <c r="G242" s="1">
        <v>14.18</v>
      </c>
      <c r="H242" s="1">
        <v>10.646000000000001</v>
      </c>
      <c r="I242" s="6">
        <f t="shared" si="80"/>
        <v>0</v>
      </c>
      <c r="J242" s="21">
        <v>45246</v>
      </c>
      <c r="K242" s="1">
        <v>42.9</v>
      </c>
      <c r="L242" s="1">
        <v>28.4375</v>
      </c>
      <c r="M242" s="6">
        <f t="shared" si="75"/>
        <v>9.4135019150016763E-3</v>
      </c>
      <c r="N242" s="21">
        <v>45246</v>
      </c>
      <c r="O242" s="1">
        <v>13.09</v>
      </c>
      <c r="P242" s="1">
        <v>12.221</v>
      </c>
      <c r="Q242" s="6">
        <f t="shared" si="76"/>
        <v>-6.826493295408298E-3</v>
      </c>
      <c r="R242" s="21">
        <v>45246</v>
      </c>
      <c r="S242" s="1">
        <v>7.34</v>
      </c>
      <c r="T242" s="1">
        <v>6.8746</v>
      </c>
      <c r="U242" s="6">
        <f t="shared" si="81"/>
        <v>0</v>
      </c>
      <c r="V242" s="21">
        <v>45246</v>
      </c>
      <c r="W242" s="1">
        <v>6.29</v>
      </c>
      <c r="X242" s="1">
        <v>5.5789999999999997</v>
      </c>
      <c r="Y242" s="6">
        <f t="shared" si="83"/>
        <v>0</v>
      </c>
      <c r="Z242" s="21">
        <v>45246</v>
      </c>
      <c r="AA242" s="1">
        <v>2.08</v>
      </c>
      <c r="AB242" s="1">
        <v>2.08</v>
      </c>
      <c r="AC242" s="6">
        <f t="shared" si="77"/>
        <v>-9.52380952380949E-3</v>
      </c>
      <c r="AD242" s="21">
        <v>45246</v>
      </c>
      <c r="AE242" s="1">
        <v>6.89</v>
      </c>
      <c r="AF242" s="1">
        <v>6.4339000000000004</v>
      </c>
      <c r="AG242" s="6">
        <f t="shared" si="78"/>
        <v>1.4631488831815531E-3</v>
      </c>
      <c r="AH242" s="21">
        <v>45246</v>
      </c>
      <c r="AI242" s="1">
        <v>8.09</v>
      </c>
      <c r="AJ242" s="1">
        <v>7.5265000000000004</v>
      </c>
      <c r="AK242" s="6">
        <f t="shared" si="79"/>
        <v>1.1245767721825173E-2</v>
      </c>
      <c r="AL242" s="21">
        <v>45246</v>
      </c>
      <c r="AM242" s="1">
        <v>1.46</v>
      </c>
      <c r="AN242" s="1">
        <v>1.46</v>
      </c>
      <c r="AO242" s="6">
        <v>-3.3112582781457012E-2</v>
      </c>
      <c r="AP242" s="21" t="s">
        <v>245</v>
      </c>
      <c r="AQ242" s="1">
        <v>8473.75</v>
      </c>
      <c r="AR242" s="6">
        <v>6.7784520802405268E-4</v>
      </c>
    </row>
    <row r="243" spans="2:44" x14ac:dyDescent="0.35">
      <c r="B243" s="21">
        <v>45247</v>
      </c>
      <c r="C243" s="1">
        <v>0.64</v>
      </c>
      <c r="D243" s="1">
        <v>0.64</v>
      </c>
      <c r="E243" s="6">
        <f t="shared" si="82"/>
        <v>3.2258064516129004E-2</v>
      </c>
      <c r="F243" s="21">
        <v>45247</v>
      </c>
      <c r="G243" s="1">
        <v>14.58</v>
      </c>
      <c r="H243" s="1">
        <v>10.946300000000001</v>
      </c>
      <c r="I243" s="6">
        <f t="shared" si="80"/>
        <v>2.8207777569039916E-2</v>
      </c>
      <c r="J243" s="21">
        <v>45247</v>
      </c>
      <c r="K243" s="1">
        <v>42.8</v>
      </c>
      <c r="L243" s="1">
        <v>28.371200000000002</v>
      </c>
      <c r="M243" s="6">
        <f t="shared" si="75"/>
        <v>-2.3314285714285399E-3</v>
      </c>
      <c r="N243" s="21">
        <v>45247</v>
      </c>
      <c r="O243" s="1">
        <v>12.95</v>
      </c>
      <c r="P243" s="1">
        <v>12.090299999999999</v>
      </c>
      <c r="Q243" s="6">
        <f t="shared" si="76"/>
        <v>-1.0694705834219831E-2</v>
      </c>
      <c r="R243" s="21">
        <v>45247</v>
      </c>
      <c r="S243" s="1">
        <v>7.29</v>
      </c>
      <c r="T243" s="1">
        <v>6.8277999999999999</v>
      </c>
      <c r="U243" s="6">
        <f t="shared" si="81"/>
        <v>-6.8076688098216431E-3</v>
      </c>
      <c r="V243" s="21">
        <v>45247</v>
      </c>
      <c r="W243" s="1">
        <v>6.3</v>
      </c>
      <c r="X243" s="1">
        <v>5.5880000000000001</v>
      </c>
      <c r="Y243" s="6">
        <f t="shared" si="83"/>
        <v>1.6131923283744243E-3</v>
      </c>
      <c r="Z243" s="21">
        <v>45247</v>
      </c>
      <c r="AA243" s="1">
        <v>2.08</v>
      </c>
      <c r="AB243" s="1">
        <v>2.08</v>
      </c>
      <c r="AC243" s="6">
        <f t="shared" si="77"/>
        <v>0</v>
      </c>
      <c r="AD243" s="21">
        <v>45247</v>
      </c>
      <c r="AE243" s="1">
        <v>6.94</v>
      </c>
      <c r="AF243" s="1">
        <v>6.4805999999999999</v>
      </c>
      <c r="AG243" s="6">
        <f t="shared" si="78"/>
        <v>7.2584280141125834E-3</v>
      </c>
      <c r="AH243" s="21">
        <v>45247</v>
      </c>
      <c r="AI243" s="1">
        <v>8.15</v>
      </c>
      <c r="AJ243" s="1">
        <v>7.5823</v>
      </c>
      <c r="AK243" s="6">
        <f t="shared" si="79"/>
        <v>7.4138045572311739E-3</v>
      </c>
      <c r="AL243" s="21">
        <v>45247</v>
      </c>
      <c r="AM243" s="1">
        <v>1.46</v>
      </c>
      <c r="AN243" s="1">
        <v>1.46</v>
      </c>
      <c r="AO243" s="6">
        <v>0</v>
      </c>
      <c r="AP243" s="21" t="s">
        <v>246</v>
      </c>
      <c r="AQ243" s="1">
        <v>8490.99</v>
      </c>
      <c r="AR243" s="6">
        <v>2.034518365540583E-3</v>
      </c>
    </row>
    <row r="244" spans="2:44" x14ac:dyDescent="0.35">
      <c r="B244" s="21">
        <v>45250</v>
      </c>
      <c r="C244" s="1">
        <v>0.65</v>
      </c>
      <c r="D244" s="1">
        <v>0.65</v>
      </c>
      <c r="E244" s="6">
        <f t="shared" si="82"/>
        <v>1.5625E-2</v>
      </c>
      <c r="F244" s="21">
        <v>45250</v>
      </c>
      <c r="G244" s="1">
        <v>14.58</v>
      </c>
      <c r="H244" s="1">
        <v>10.946300000000001</v>
      </c>
      <c r="I244" s="6">
        <f t="shared" si="80"/>
        <v>0</v>
      </c>
      <c r="J244" s="21">
        <v>45250</v>
      </c>
      <c r="K244" s="1">
        <v>42.7</v>
      </c>
      <c r="L244" s="1">
        <v>28.3049</v>
      </c>
      <c r="M244" s="6">
        <f t="shared" si="75"/>
        <v>-2.3368768328446698E-3</v>
      </c>
      <c r="N244" s="21">
        <v>45250</v>
      </c>
      <c r="O244" s="1">
        <v>13.23</v>
      </c>
      <c r="P244" s="1">
        <v>12.351699999999999</v>
      </c>
      <c r="Q244" s="6">
        <f t="shared" si="76"/>
        <v>2.1620638032141537E-2</v>
      </c>
      <c r="R244" s="21">
        <v>45250</v>
      </c>
      <c r="S244" s="1">
        <v>7.26</v>
      </c>
      <c r="T244" s="1">
        <v>6.7996999999999996</v>
      </c>
      <c r="U244" s="6">
        <f t="shared" si="81"/>
        <v>-4.1155276955974207E-3</v>
      </c>
      <c r="V244" s="21">
        <v>45250</v>
      </c>
      <c r="W244" s="1">
        <v>6.3</v>
      </c>
      <c r="X244" s="1">
        <v>5.5880000000000001</v>
      </c>
      <c r="Y244" s="6">
        <f t="shared" si="83"/>
        <v>0</v>
      </c>
      <c r="Z244" s="21">
        <v>45250</v>
      </c>
      <c r="AA244" s="1">
        <v>2.06</v>
      </c>
      <c r="AB244" s="1">
        <v>2.06</v>
      </c>
      <c r="AC244" s="6">
        <f t="shared" si="77"/>
        <v>-9.6153846153845812E-3</v>
      </c>
      <c r="AD244" s="21">
        <v>45250</v>
      </c>
      <c r="AE244" s="1">
        <v>7.21</v>
      </c>
      <c r="AF244" s="1">
        <v>6.7327000000000004</v>
      </c>
      <c r="AG244" s="6">
        <f t="shared" si="78"/>
        <v>3.8900719069222101E-2</v>
      </c>
      <c r="AH244" s="21">
        <v>45250</v>
      </c>
      <c r="AI244" s="1">
        <v>8.16</v>
      </c>
      <c r="AJ244" s="1">
        <v>7.5915999999999997</v>
      </c>
      <c r="AK244" s="6">
        <f t="shared" si="79"/>
        <v>1.2265407594000965E-3</v>
      </c>
      <c r="AL244" s="21">
        <v>45250</v>
      </c>
      <c r="AM244" s="1">
        <v>1.46</v>
      </c>
      <c r="AN244" s="1">
        <v>1.46</v>
      </c>
      <c r="AO244" s="6">
        <v>0</v>
      </c>
      <c r="AP244" s="21" t="s">
        <v>247</v>
      </c>
      <c r="AQ244" s="1">
        <v>8508.48</v>
      </c>
      <c r="AR244" s="6">
        <v>2.0598304791312749E-3</v>
      </c>
    </row>
    <row r="245" spans="2:44" x14ac:dyDescent="0.35">
      <c r="B245" s="21">
        <v>45251</v>
      </c>
      <c r="C245" s="1">
        <v>0.68</v>
      </c>
      <c r="D245" s="1">
        <v>0.68</v>
      </c>
      <c r="E245" s="6">
        <f t="shared" si="82"/>
        <v>4.6153846153846212E-2</v>
      </c>
      <c r="F245" s="21">
        <v>45251</v>
      </c>
      <c r="G245" s="1">
        <v>14.3</v>
      </c>
      <c r="H245" s="1">
        <v>10.7361</v>
      </c>
      <c r="I245" s="6">
        <f t="shared" si="80"/>
        <v>-1.9202835661365047E-2</v>
      </c>
      <c r="J245" s="21">
        <v>45251</v>
      </c>
      <c r="K245" s="1">
        <v>42.7</v>
      </c>
      <c r="L245" s="1">
        <v>28.3049</v>
      </c>
      <c r="M245" s="6">
        <f t="shared" si="75"/>
        <v>0</v>
      </c>
      <c r="N245" s="21">
        <v>45251</v>
      </c>
      <c r="O245" s="1">
        <v>13.39</v>
      </c>
      <c r="P245" s="1">
        <v>12.500999999999999</v>
      </c>
      <c r="Q245" s="6">
        <f t="shared" si="76"/>
        <v>1.2087404972594973E-2</v>
      </c>
      <c r="R245" s="21">
        <v>45251</v>
      </c>
      <c r="S245" s="1">
        <v>7.4</v>
      </c>
      <c r="T245" s="1">
        <v>6.9307999999999996</v>
      </c>
      <c r="U245" s="6">
        <f t="shared" si="81"/>
        <v>1.9280262364516076E-2</v>
      </c>
      <c r="V245" s="21">
        <v>45251</v>
      </c>
      <c r="W245" s="1">
        <v>6.3</v>
      </c>
      <c r="X245" s="1">
        <v>5.5880000000000001</v>
      </c>
      <c r="Y245" s="6">
        <f t="shared" si="83"/>
        <v>0</v>
      </c>
      <c r="Z245" s="21">
        <v>45251</v>
      </c>
      <c r="AA245" s="1">
        <v>2.0499999999999998</v>
      </c>
      <c r="AB245" s="1">
        <v>2.0499999999999998</v>
      </c>
      <c r="AC245" s="6">
        <f t="shared" si="77"/>
        <v>-4.8543689320389438E-3</v>
      </c>
      <c r="AD245" s="21">
        <v>45251</v>
      </c>
      <c r="AE245" s="1">
        <v>7.2</v>
      </c>
      <c r="AF245" s="1">
        <v>6.7233000000000001</v>
      </c>
      <c r="AG245" s="6">
        <f t="shared" si="78"/>
        <v>-1.3961709269684208E-3</v>
      </c>
      <c r="AH245" s="21">
        <v>45251</v>
      </c>
      <c r="AI245" s="1">
        <v>8.1</v>
      </c>
      <c r="AJ245" s="1">
        <v>7.5358000000000001</v>
      </c>
      <c r="AK245" s="6">
        <f t="shared" si="79"/>
        <v>-7.3502292006955017E-3</v>
      </c>
      <c r="AL245" s="21">
        <v>45251</v>
      </c>
      <c r="AM245" s="1">
        <v>1.46</v>
      </c>
      <c r="AN245" s="1">
        <v>1.46</v>
      </c>
      <c r="AO245" s="6">
        <v>0</v>
      </c>
      <c r="AP245" s="21" t="s">
        <v>248</v>
      </c>
      <c r="AQ245" s="1">
        <v>8540.5400000000009</v>
      </c>
      <c r="AR245" s="6">
        <v>3.7680055662117073E-3</v>
      </c>
    </row>
    <row r="246" spans="2:44" x14ac:dyDescent="0.35">
      <c r="B246" s="21">
        <v>45252</v>
      </c>
      <c r="C246" s="1">
        <v>0.7</v>
      </c>
      <c r="D246" s="1">
        <v>0.7</v>
      </c>
      <c r="E246" s="6">
        <f t="shared" si="82"/>
        <v>2.9411764705882248E-2</v>
      </c>
      <c r="F246" s="21">
        <v>45252</v>
      </c>
      <c r="G246" s="1">
        <v>14.3</v>
      </c>
      <c r="H246" s="1">
        <v>10.7361</v>
      </c>
      <c r="I246" s="6">
        <f t="shared" si="80"/>
        <v>0</v>
      </c>
      <c r="J246" s="21">
        <v>45252</v>
      </c>
      <c r="K246" s="1">
        <v>43</v>
      </c>
      <c r="L246" s="1">
        <v>28.503799999999998</v>
      </c>
      <c r="M246" s="6">
        <f t="shared" si="75"/>
        <v>7.0270518532127291E-3</v>
      </c>
      <c r="N246" s="21">
        <v>45252</v>
      </c>
      <c r="O246" s="1">
        <v>13.23</v>
      </c>
      <c r="P246" s="1">
        <v>12.351699999999999</v>
      </c>
      <c r="Q246" s="6">
        <f t="shared" si="76"/>
        <v>-1.1943044556435467E-2</v>
      </c>
      <c r="R246" s="21">
        <v>45252</v>
      </c>
      <c r="S246" s="1">
        <v>7.34</v>
      </c>
      <c r="T246" s="1">
        <v>6.8746</v>
      </c>
      <c r="U246" s="6">
        <f t="shared" si="81"/>
        <v>-8.1087320367057014E-3</v>
      </c>
      <c r="V246" s="21">
        <v>45252</v>
      </c>
      <c r="W246" s="1">
        <v>6.28</v>
      </c>
      <c r="X246" s="1">
        <v>5.5709999999999997</v>
      </c>
      <c r="Y246" s="6">
        <f t="shared" si="83"/>
        <v>-3.0422333571940019E-3</v>
      </c>
      <c r="Z246" s="21">
        <v>45252</v>
      </c>
      <c r="AA246" s="1">
        <v>2.04</v>
      </c>
      <c r="AB246" s="1">
        <v>2.04</v>
      </c>
      <c r="AC246" s="6">
        <f t="shared" si="77"/>
        <v>-4.8780487804876982E-3</v>
      </c>
      <c r="AD246" s="21">
        <v>45252</v>
      </c>
      <c r="AE246" s="1">
        <v>7</v>
      </c>
      <c r="AF246" s="1">
        <v>6.5366</v>
      </c>
      <c r="AG246" s="6">
        <f t="shared" si="78"/>
        <v>-2.7769101482902792E-2</v>
      </c>
      <c r="AH246" s="21">
        <v>45252</v>
      </c>
      <c r="AI246" s="1">
        <v>8.14</v>
      </c>
      <c r="AJ246" s="1">
        <v>7.5730000000000004</v>
      </c>
      <c r="AK246" s="6">
        <f t="shared" si="79"/>
        <v>4.9364367419517663E-3</v>
      </c>
      <c r="AL246" s="21">
        <v>45252</v>
      </c>
      <c r="AM246" s="1">
        <v>1.46</v>
      </c>
      <c r="AN246" s="1">
        <v>1.46</v>
      </c>
      <c r="AO246" s="6">
        <v>0</v>
      </c>
      <c r="AP246" s="21" t="s">
        <v>249</v>
      </c>
      <c r="AQ246" s="1">
        <v>8556.4</v>
      </c>
      <c r="AR246" s="6">
        <v>1.8570254339889125E-3</v>
      </c>
    </row>
    <row r="247" spans="2:44" x14ac:dyDescent="0.35">
      <c r="B247" s="21">
        <v>45253</v>
      </c>
      <c r="C247" s="1">
        <v>0.71</v>
      </c>
      <c r="D247" s="1">
        <v>0.71</v>
      </c>
      <c r="E247" s="6">
        <f t="shared" si="82"/>
        <v>1.4285714285714235E-2</v>
      </c>
      <c r="F247" s="21">
        <v>45253</v>
      </c>
      <c r="G247" s="1">
        <v>15.12</v>
      </c>
      <c r="H247" s="1">
        <v>11.351699999999999</v>
      </c>
      <c r="I247" s="6">
        <f t="shared" si="80"/>
        <v>5.73392572721938E-2</v>
      </c>
      <c r="J247" s="21">
        <v>45253</v>
      </c>
      <c r="K247" s="1">
        <v>42.7</v>
      </c>
      <c r="L247" s="1">
        <v>28.3049</v>
      </c>
      <c r="M247" s="6">
        <f t="shared" si="75"/>
        <v>-6.9780169661588509E-3</v>
      </c>
      <c r="N247" s="21">
        <v>45253</v>
      </c>
      <c r="O247" s="1">
        <v>13.4</v>
      </c>
      <c r="P247" s="1">
        <v>12.510400000000001</v>
      </c>
      <c r="Q247" s="6">
        <f t="shared" si="76"/>
        <v>1.284843381882661E-2</v>
      </c>
      <c r="R247" s="21">
        <v>45253</v>
      </c>
      <c r="S247" s="1">
        <v>7.34</v>
      </c>
      <c r="T247" s="1">
        <v>6.8746</v>
      </c>
      <c r="U247" s="6">
        <f t="shared" si="81"/>
        <v>0</v>
      </c>
      <c r="V247" s="21">
        <v>45253</v>
      </c>
      <c r="W247" s="1">
        <v>6.29</v>
      </c>
      <c r="X247" s="1">
        <v>5.5789999999999997</v>
      </c>
      <c r="Y247" s="6">
        <f t="shared" si="83"/>
        <v>1.4360078980435453E-3</v>
      </c>
      <c r="Z247" s="21">
        <v>45253</v>
      </c>
      <c r="AA247" s="1">
        <v>2.02</v>
      </c>
      <c r="AB247" s="1">
        <v>2.02</v>
      </c>
      <c r="AC247" s="6">
        <f t="shared" si="77"/>
        <v>-9.8039215686274161E-3</v>
      </c>
      <c r="AD247" s="21">
        <v>45253</v>
      </c>
      <c r="AE247" s="1">
        <v>7.07</v>
      </c>
      <c r="AF247" s="1">
        <v>6.6018999999999997</v>
      </c>
      <c r="AG247" s="6">
        <f t="shared" si="78"/>
        <v>9.9899030076797679E-3</v>
      </c>
      <c r="AH247" s="21">
        <v>45253</v>
      </c>
      <c r="AI247" s="1">
        <v>8.1</v>
      </c>
      <c r="AJ247" s="1">
        <v>7.5358000000000001</v>
      </c>
      <c r="AK247" s="6">
        <f t="shared" si="79"/>
        <v>-4.9121880364453308E-3</v>
      </c>
      <c r="AL247" s="21">
        <v>45253</v>
      </c>
      <c r="AM247" s="1">
        <v>1.43</v>
      </c>
      <c r="AN247" s="1">
        <v>1.43</v>
      </c>
      <c r="AO247" s="6">
        <v>-2.0547945205479423E-2</v>
      </c>
      <c r="AP247" s="21" t="s">
        <v>250</v>
      </c>
      <c r="AQ247" s="1">
        <v>8566.7000000000007</v>
      </c>
      <c r="AR247" s="6">
        <v>1.2037772895143739E-3</v>
      </c>
    </row>
    <row r="248" spans="2:44" x14ac:dyDescent="0.35">
      <c r="B248" s="21">
        <v>45254</v>
      </c>
      <c r="C248" s="1">
        <v>0.71</v>
      </c>
      <c r="D248" s="1">
        <v>0.71</v>
      </c>
      <c r="E248" s="6">
        <f t="shared" si="82"/>
        <v>0</v>
      </c>
      <c r="F248" s="21">
        <v>45254</v>
      </c>
      <c r="G248" s="1">
        <v>15.29</v>
      </c>
      <c r="H248" s="1">
        <v>11.4793</v>
      </c>
      <c r="I248" s="6">
        <f t="shared" si="80"/>
        <v>1.1240607133733427E-2</v>
      </c>
      <c r="J248" s="21">
        <v>45254</v>
      </c>
      <c r="K248" s="1">
        <v>42.7</v>
      </c>
      <c r="L248" s="1">
        <v>28.3049</v>
      </c>
      <c r="M248" s="6">
        <f t="shared" si="75"/>
        <v>0</v>
      </c>
      <c r="N248" s="21">
        <v>45254</v>
      </c>
      <c r="O248" s="1">
        <v>13.28</v>
      </c>
      <c r="P248" s="1">
        <v>12.398300000000001</v>
      </c>
      <c r="Q248" s="6">
        <f t="shared" si="76"/>
        <v>-8.9605448267041643E-3</v>
      </c>
      <c r="R248" s="21">
        <v>45254</v>
      </c>
      <c r="S248" s="1">
        <v>7.38</v>
      </c>
      <c r="T248" s="1">
        <v>6.9120999999999997</v>
      </c>
      <c r="U248" s="6">
        <f t="shared" si="81"/>
        <v>5.4548628283825895E-3</v>
      </c>
      <c r="V248" s="21">
        <v>45254</v>
      </c>
      <c r="W248" s="1">
        <v>6.28</v>
      </c>
      <c r="X248" s="1">
        <v>5.5709999999999997</v>
      </c>
      <c r="Y248" s="6">
        <f t="shared" si="83"/>
        <v>-1.4339487363326242E-3</v>
      </c>
      <c r="Z248" s="21">
        <v>45254</v>
      </c>
      <c r="AA248" s="1">
        <v>2.02</v>
      </c>
      <c r="AB248" s="1">
        <v>2.02</v>
      </c>
      <c r="AC248" s="6">
        <f t="shared" si="77"/>
        <v>0</v>
      </c>
      <c r="AD248" s="21">
        <v>45254</v>
      </c>
      <c r="AE248" s="1">
        <v>7.08</v>
      </c>
      <c r="AF248" s="1">
        <v>6.6113</v>
      </c>
      <c r="AG248" s="6">
        <f t="shared" si="78"/>
        <v>1.4238325330586665E-3</v>
      </c>
      <c r="AH248" s="21">
        <v>45254</v>
      </c>
      <c r="AI248" s="1">
        <v>8.1</v>
      </c>
      <c r="AJ248" s="1">
        <v>7.5358000000000001</v>
      </c>
      <c r="AK248" s="6">
        <f t="shared" si="79"/>
        <v>0</v>
      </c>
      <c r="AL248" s="21">
        <v>45254</v>
      </c>
      <c r="AM248" s="1">
        <v>1.49</v>
      </c>
      <c r="AN248" s="1">
        <v>1.49</v>
      </c>
      <c r="AO248" s="6">
        <v>4.1958041958042092E-2</v>
      </c>
      <c r="AP248" s="21" t="s">
        <v>251</v>
      </c>
      <c r="AQ248" s="1">
        <v>8542.3700000000008</v>
      </c>
      <c r="AR248" s="6">
        <v>-2.8400667701682369E-3</v>
      </c>
    </row>
    <row r="249" spans="2:44" x14ac:dyDescent="0.35">
      <c r="B249" s="21">
        <v>45257</v>
      </c>
      <c r="C249" s="1">
        <v>0.72</v>
      </c>
      <c r="D249" s="1">
        <v>0.72</v>
      </c>
      <c r="E249" s="6">
        <f t="shared" si="82"/>
        <v>1.4084507042253502E-2</v>
      </c>
      <c r="F249" s="21">
        <v>45257</v>
      </c>
      <c r="G249" s="1">
        <v>16</v>
      </c>
      <c r="H249" s="1">
        <v>12.0124</v>
      </c>
      <c r="I249" s="6">
        <f t="shared" si="80"/>
        <v>4.6440113944230088E-2</v>
      </c>
      <c r="J249" s="21">
        <v>45257</v>
      </c>
      <c r="K249" s="1">
        <v>42.8</v>
      </c>
      <c r="L249" s="1">
        <v>28.371200000000002</v>
      </c>
      <c r="M249" s="6">
        <f t="shared" si="75"/>
        <v>2.3423506177375764E-3</v>
      </c>
      <c r="N249" s="21">
        <v>45257</v>
      </c>
      <c r="O249" s="1">
        <v>13.5</v>
      </c>
      <c r="P249" s="1">
        <v>12.6037</v>
      </c>
      <c r="Q249" s="6">
        <f t="shared" si="76"/>
        <v>1.6566787382141124E-2</v>
      </c>
      <c r="R249" s="21">
        <v>45257</v>
      </c>
      <c r="S249" s="1">
        <v>7.39</v>
      </c>
      <c r="T249" s="1">
        <v>6.9215</v>
      </c>
      <c r="U249" s="6">
        <f t="shared" si="81"/>
        <v>1.3599340287322459E-3</v>
      </c>
      <c r="V249" s="21">
        <v>45257</v>
      </c>
      <c r="W249" s="1">
        <v>6.27</v>
      </c>
      <c r="X249" s="1">
        <v>5.5620000000000003</v>
      </c>
      <c r="Y249" s="6">
        <f t="shared" si="83"/>
        <v>-1.615508885298822E-3</v>
      </c>
      <c r="Z249" s="21">
        <v>45257</v>
      </c>
      <c r="AA249" s="1">
        <v>2.0099999999999998</v>
      </c>
      <c r="AB249" s="1">
        <v>2.0099999999999998</v>
      </c>
      <c r="AC249" s="6">
        <f t="shared" si="77"/>
        <v>-4.9504950495050659E-3</v>
      </c>
      <c r="AD249" s="21">
        <v>45257</v>
      </c>
      <c r="AE249" s="1">
        <v>7.3</v>
      </c>
      <c r="AF249" s="1">
        <v>6.8167</v>
      </c>
      <c r="AG249" s="6">
        <f t="shared" si="78"/>
        <v>3.1068019905313715E-2</v>
      </c>
      <c r="AH249" s="21">
        <v>45257</v>
      </c>
      <c r="AI249" s="1">
        <v>8.1</v>
      </c>
      <c r="AJ249" s="1">
        <v>7.5358000000000001</v>
      </c>
      <c r="AK249" s="6">
        <f t="shared" si="79"/>
        <v>0</v>
      </c>
      <c r="AL249" s="21">
        <v>45257</v>
      </c>
      <c r="AM249" s="1">
        <v>1.49</v>
      </c>
      <c r="AN249" s="1">
        <v>1.49</v>
      </c>
      <c r="AO249" s="6">
        <v>0</v>
      </c>
      <c r="AP249" s="21" t="s">
        <v>252</v>
      </c>
      <c r="AQ249" s="1">
        <v>8565.26</v>
      </c>
      <c r="AR249" s="6">
        <v>2.6795842371611922E-3</v>
      </c>
    </row>
    <row r="250" spans="2:44" x14ac:dyDescent="0.35">
      <c r="B250" s="21">
        <v>45258</v>
      </c>
      <c r="C250" s="1">
        <v>0.71</v>
      </c>
      <c r="D250" s="1">
        <v>0.71</v>
      </c>
      <c r="E250" s="6">
        <f t="shared" si="82"/>
        <v>-1.3888888888888951E-2</v>
      </c>
      <c r="F250" s="21">
        <v>45258</v>
      </c>
      <c r="G250" s="1">
        <v>16.88</v>
      </c>
      <c r="H250" s="1">
        <v>12.673</v>
      </c>
      <c r="I250" s="6">
        <f t="shared" si="80"/>
        <v>5.4993173720488953E-2</v>
      </c>
      <c r="J250" s="21">
        <v>45258</v>
      </c>
      <c r="K250" s="1">
        <v>43.17</v>
      </c>
      <c r="L250" s="1">
        <v>28.616499999999998</v>
      </c>
      <c r="M250" s="6">
        <f t="shared" si="75"/>
        <v>8.6460918114141805E-3</v>
      </c>
      <c r="N250" s="21">
        <v>45258</v>
      </c>
      <c r="O250" s="1">
        <v>13.57</v>
      </c>
      <c r="P250" s="1">
        <v>12.6691</v>
      </c>
      <c r="Q250" s="6">
        <f t="shared" si="76"/>
        <v>5.1889524504709073E-3</v>
      </c>
      <c r="R250" s="21">
        <v>45258</v>
      </c>
      <c r="S250" s="1">
        <v>7.39</v>
      </c>
      <c r="T250" s="1">
        <v>6.9215</v>
      </c>
      <c r="U250" s="6">
        <f t="shared" si="81"/>
        <v>0</v>
      </c>
      <c r="V250" s="21">
        <v>45258</v>
      </c>
      <c r="W250" s="1">
        <v>6.27</v>
      </c>
      <c r="X250" s="1">
        <v>5.5620000000000003</v>
      </c>
      <c r="Y250" s="6">
        <f t="shared" si="83"/>
        <v>0</v>
      </c>
      <c r="Z250" s="21">
        <v>45258</v>
      </c>
      <c r="AA250" s="1">
        <v>2.0099999999999998</v>
      </c>
      <c r="AB250" s="1">
        <v>2.0099999999999998</v>
      </c>
      <c r="AC250" s="6">
        <f t="shared" si="77"/>
        <v>0</v>
      </c>
      <c r="AD250" s="21">
        <v>45258</v>
      </c>
      <c r="AE250" s="1">
        <v>7.5</v>
      </c>
      <c r="AF250" s="1">
        <v>7.0034999999999998</v>
      </c>
      <c r="AG250" s="6">
        <f t="shared" si="78"/>
        <v>2.7403288981471929E-2</v>
      </c>
      <c r="AH250" s="21">
        <v>45258</v>
      </c>
      <c r="AI250" s="1">
        <v>8.0500000000000007</v>
      </c>
      <c r="AJ250" s="1">
        <v>7.4893000000000001</v>
      </c>
      <c r="AK250" s="6">
        <f t="shared" si="79"/>
        <v>-6.1705459274397079E-3</v>
      </c>
      <c r="AL250" s="21">
        <v>45258</v>
      </c>
      <c r="AM250" s="1">
        <v>1.43</v>
      </c>
      <c r="AN250" s="1">
        <v>1.43</v>
      </c>
      <c r="AO250" s="6">
        <v>-4.0268456375838979E-2</v>
      </c>
      <c r="AP250" s="21" t="s">
        <v>253</v>
      </c>
      <c r="AQ250" s="1">
        <v>8569.75</v>
      </c>
      <c r="AR250" s="6">
        <v>5.2421059022145222E-4</v>
      </c>
    </row>
    <row r="251" spans="2:44" x14ac:dyDescent="0.35">
      <c r="B251" s="21">
        <v>45259</v>
      </c>
      <c r="C251" s="1">
        <v>0.7</v>
      </c>
      <c r="D251" s="1">
        <v>0.7</v>
      </c>
      <c r="E251" s="6">
        <f t="shared" si="82"/>
        <v>-1.4084507042253502E-2</v>
      </c>
      <c r="F251" s="21">
        <v>45259</v>
      </c>
      <c r="G251" s="1">
        <v>16.96</v>
      </c>
      <c r="H251" s="1">
        <v>12.7331</v>
      </c>
      <c r="I251" s="6">
        <f t="shared" si="80"/>
        <v>4.7423656592755492E-3</v>
      </c>
      <c r="J251" s="21">
        <v>45259</v>
      </c>
      <c r="K251" s="1">
        <v>43.17</v>
      </c>
      <c r="L251" s="1">
        <v>28.616499999999998</v>
      </c>
      <c r="M251" s="6">
        <f t="shared" si="75"/>
        <v>0</v>
      </c>
      <c r="N251" s="21">
        <v>45259</v>
      </c>
      <c r="O251" s="1">
        <v>13.35</v>
      </c>
      <c r="P251" s="1">
        <v>12.463699999999999</v>
      </c>
      <c r="Q251" s="6">
        <f t="shared" si="76"/>
        <v>-1.6212674933499649E-2</v>
      </c>
      <c r="R251" s="21">
        <v>45259</v>
      </c>
      <c r="S251" s="1">
        <v>7.39</v>
      </c>
      <c r="T251" s="1">
        <v>6.9215</v>
      </c>
      <c r="U251" s="6">
        <f t="shared" si="81"/>
        <v>0</v>
      </c>
      <c r="V251" s="21">
        <v>45259</v>
      </c>
      <c r="W251" s="1">
        <v>6.26</v>
      </c>
      <c r="X251" s="1">
        <v>5.5529999999999999</v>
      </c>
      <c r="Y251" s="6">
        <f t="shared" si="83"/>
        <v>-1.6181229773463146E-3</v>
      </c>
      <c r="Z251" s="21">
        <v>45259</v>
      </c>
      <c r="AA251" s="1">
        <v>1.98</v>
      </c>
      <c r="AB251" s="1">
        <v>1.98</v>
      </c>
      <c r="AC251" s="6">
        <f t="shared" si="77"/>
        <v>-1.492537313432829E-2</v>
      </c>
      <c r="AD251" s="21">
        <v>45259</v>
      </c>
      <c r="AE251" s="1">
        <v>7.49</v>
      </c>
      <c r="AF251" s="1">
        <v>6.9941000000000004</v>
      </c>
      <c r="AG251" s="6">
        <f t="shared" si="78"/>
        <v>-1.3421860498321614E-3</v>
      </c>
      <c r="AH251" s="21">
        <v>45259</v>
      </c>
      <c r="AI251" s="1">
        <v>8.0500000000000007</v>
      </c>
      <c r="AJ251" s="1">
        <v>7.4893000000000001</v>
      </c>
      <c r="AK251" s="6">
        <f t="shared" si="79"/>
        <v>0</v>
      </c>
      <c r="AL251" s="21">
        <v>45259</v>
      </c>
      <c r="AM251" s="1">
        <v>1.43</v>
      </c>
      <c r="AN251" s="1">
        <v>1.43</v>
      </c>
      <c r="AO251" s="6">
        <v>0</v>
      </c>
      <c r="AP251" s="21" t="s">
        <v>254</v>
      </c>
      <c r="AQ251" s="1">
        <v>8568.5400000000009</v>
      </c>
      <c r="AR251" s="6">
        <v>-1.4119431722037223E-4</v>
      </c>
    </row>
    <row r="252" spans="2:44" x14ac:dyDescent="0.35">
      <c r="B252" s="21">
        <v>45260</v>
      </c>
      <c r="C252" s="1">
        <v>0.7</v>
      </c>
      <c r="D252" s="1">
        <v>0.7</v>
      </c>
      <c r="E252" s="6">
        <f t="shared" si="82"/>
        <v>0</v>
      </c>
      <c r="F252" s="21">
        <v>45260</v>
      </c>
      <c r="G252" s="1">
        <v>16.940000000000001</v>
      </c>
      <c r="H252" s="1">
        <v>12.7181</v>
      </c>
      <c r="I252" s="6">
        <f t="shared" si="80"/>
        <v>-1.1780320581791237E-3</v>
      </c>
      <c r="J252" s="21">
        <v>45260</v>
      </c>
      <c r="K252" s="1">
        <v>44</v>
      </c>
      <c r="L252" s="1">
        <v>29.166599999999999</v>
      </c>
      <c r="M252" s="6">
        <f t="shared" si="75"/>
        <v>1.9223175440742146E-2</v>
      </c>
      <c r="N252" s="21">
        <v>45260</v>
      </c>
      <c r="O252" s="1">
        <v>13.54</v>
      </c>
      <c r="P252" s="1">
        <v>12.6411</v>
      </c>
      <c r="Q252" s="6">
        <f t="shared" si="76"/>
        <v>1.4233333600776721E-2</v>
      </c>
      <c r="R252" s="21">
        <v>45260</v>
      </c>
      <c r="S252" s="1">
        <v>7.45</v>
      </c>
      <c r="T252" s="1">
        <v>6.9776999999999996</v>
      </c>
      <c r="U252" s="6">
        <f t="shared" si="81"/>
        <v>8.1196272484287402E-3</v>
      </c>
      <c r="V252" s="21">
        <v>45260</v>
      </c>
      <c r="W252" s="1">
        <v>6.27</v>
      </c>
      <c r="X252" s="1">
        <v>5.5620000000000003</v>
      </c>
      <c r="Y252" s="6">
        <f t="shared" si="83"/>
        <v>1.6207455429497752E-3</v>
      </c>
      <c r="Z252" s="21">
        <v>45260</v>
      </c>
      <c r="AA252" s="1">
        <v>1.95</v>
      </c>
      <c r="AB252" s="1">
        <v>1.95</v>
      </c>
      <c r="AC252" s="6">
        <f t="shared" si="77"/>
        <v>-1.5151515151515138E-2</v>
      </c>
      <c r="AD252" s="21">
        <v>45260</v>
      </c>
      <c r="AE252" s="1">
        <v>7.48</v>
      </c>
      <c r="AF252" s="1">
        <v>6.9847999999999999</v>
      </c>
      <c r="AG252" s="6">
        <f t="shared" si="78"/>
        <v>-1.3296921691140495E-3</v>
      </c>
      <c r="AH252" s="21">
        <v>45260</v>
      </c>
      <c r="AI252" s="1">
        <v>8.0299999999999994</v>
      </c>
      <c r="AJ252" s="1">
        <v>7.4706999999999999</v>
      </c>
      <c r="AK252" s="6">
        <f t="shared" si="79"/>
        <v>-2.4835431882819226E-3</v>
      </c>
      <c r="AL252" s="21">
        <v>45260</v>
      </c>
      <c r="AM252" s="1">
        <v>1.49</v>
      </c>
      <c r="AN252" s="1">
        <v>1.49</v>
      </c>
      <c r="AO252" s="6">
        <v>4.1958041958042092E-2</v>
      </c>
      <c r="AP252" s="21" t="s">
        <v>255</v>
      </c>
      <c r="AQ252" s="1">
        <v>8576.83</v>
      </c>
      <c r="AR252" s="6">
        <v>9.6749271171048257E-4</v>
      </c>
    </row>
    <row r="253" spans="2:44" x14ac:dyDescent="0.35">
      <c r="B253" s="21">
        <v>45261</v>
      </c>
      <c r="C253" s="1">
        <v>0.71</v>
      </c>
      <c r="D253" s="1">
        <v>0.71</v>
      </c>
      <c r="E253" s="6">
        <f t="shared" si="82"/>
        <v>1.4285714285714235E-2</v>
      </c>
      <c r="F253" s="21">
        <v>45261</v>
      </c>
      <c r="G253" s="1">
        <v>16.75</v>
      </c>
      <c r="H253" s="1">
        <v>12.5754</v>
      </c>
      <c r="I253" s="6">
        <f t="shared" si="80"/>
        <v>-1.122022943678691E-2</v>
      </c>
      <c r="J253" s="21">
        <v>45261</v>
      </c>
      <c r="K253" s="1">
        <v>43</v>
      </c>
      <c r="L253" s="1">
        <v>28.503799999999998</v>
      </c>
      <c r="M253" s="6">
        <f t="shared" si="75"/>
        <v>-2.2724623370567687E-2</v>
      </c>
      <c r="N253" s="21">
        <v>45261</v>
      </c>
      <c r="O253" s="1">
        <v>13.67</v>
      </c>
      <c r="P253" s="1">
        <v>12.762499999999999</v>
      </c>
      <c r="Q253" s="6">
        <f t="shared" si="76"/>
        <v>9.6035946238854919E-3</v>
      </c>
      <c r="R253" s="21">
        <v>45261</v>
      </c>
      <c r="S253" s="1">
        <v>7.43</v>
      </c>
      <c r="T253" s="1">
        <v>6.9588999999999999</v>
      </c>
      <c r="U253" s="6">
        <f t="shared" si="81"/>
        <v>-2.6942975479025133E-3</v>
      </c>
      <c r="V253" s="21">
        <v>45261</v>
      </c>
      <c r="W253" s="1">
        <v>6.25</v>
      </c>
      <c r="X253" s="1">
        <v>5.5439999999999996</v>
      </c>
      <c r="Y253" s="6">
        <f t="shared" si="83"/>
        <v>-3.2362459546926292E-3</v>
      </c>
      <c r="Z253" s="21">
        <v>45261</v>
      </c>
      <c r="AA253" s="1">
        <v>1.94</v>
      </c>
      <c r="AB253" s="1">
        <v>1.94</v>
      </c>
      <c r="AC253" s="6">
        <f t="shared" si="77"/>
        <v>-5.12820512820511E-3</v>
      </c>
      <c r="AD253" s="21">
        <v>45261</v>
      </c>
      <c r="AE253" s="1">
        <v>7.48</v>
      </c>
      <c r="AF253" s="1">
        <v>6.9847999999999999</v>
      </c>
      <c r="AG253" s="6">
        <f t="shared" si="78"/>
        <v>0</v>
      </c>
      <c r="AH253" s="21">
        <v>45261</v>
      </c>
      <c r="AI253" s="1">
        <v>8.0500000000000007</v>
      </c>
      <c r="AJ253" s="1">
        <v>7.4893000000000001</v>
      </c>
      <c r="AK253" s="6">
        <f t="shared" si="79"/>
        <v>2.4897265316503603E-3</v>
      </c>
      <c r="AL253" s="21">
        <v>45261</v>
      </c>
      <c r="AM253" s="1">
        <v>1.44</v>
      </c>
      <c r="AN253" s="1">
        <v>1.44</v>
      </c>
      <c r="AO253" s="6">
        <v>-3.3557046979865834E-2</v>
      </c>
      <c r="AP253" s="21" t="s">
        <v>256</v>
      </c>
      <c r="AQ253" s="1">
        <v>8575.74</v>
      </c>
      <c r="AR253" s="6">
        <v>-1.2708658093962821E-4</v>
      </c>
    </row>
    <row r="254" spans="2:44" x14ac:dyDescent="0.35">
      <c r="B254" s="21">
        <v>45264</v>
      </c>
      <c r="C254" s="1">
        <v>0.7</v>
      </c>
      <c r="D254" s="1">
        <v>0.7</v>
      </c>
      <c r="E254" s="6">
        <f t="shared" si="82"/>
        <v>-1.4084507042253502E-2</v>
      </c>
      <c r="F254" s="21">
        <v>45264</v>
      </c>
      <c r="G254" s="1">
        <v>16.63</v>
      </c>
      <c r="H254" s="1">
        <v>12.4854</v>
      </c>
      <c r="I254" s="6">
        <f t="shared" si="80"/>
        <v>-7.1568300014313024E-3</v>
      </c>
      <c r="J254" s="21">
        <v>45264</v>
      </c>
      <c r="K254" s="1">
        <v>42.9</v>
      </c>
      <c r="L254" s="1">
        <v>28.4375</v>
      </c>
      <c r="M254" s="6">
        <f t="shared" si="75"/>
        <v>-2.3260056553862096E-3</v>
      </c>
      <c r="N254" s="21">
        <v>45264</v>
      </c>
      <c r="O254" s="1">
        <v>14</v>
      </c>
      <c r="P254" s="1">
        <v>13.070499999999999</v>
      </c>
      <c r="Q254" s="6">
        <f t="shared" si="76"/>
        <v>2.4133202742409487E-2</v>
      </c>
      <c r="R254" s="21">
        <v>45264</v>
      </c>
      <c r="S254" s="1">
        <v>7.41</v>
      </c>
      <c r="T254" s="1">
        <v>6.9401999999999999</v>
      </c>
      <c r="U254" s="6">
        <f t="shared" si="81"/>
        <v>-2.6872063113423383E-3</v>
      </c>
      <c r="V254" s="21">
        <v>45264</v>
      </c>
      <c r="W254" s="1">
        <v>6.24</v>
      </c>
      <c r="X254" s="1">
        <v>5.5350000000000001</v>
      </c>
      <c r="Y254" s="6">
        <f t="shared" si="83"/>
        <v>-1.6233766233765268E-3</v>
      </c>
      <c r="Z254" s="21">
        <v>45264</v>
      </c>
      <c r="AA254" s="1">
        <v>1.94</v>
      </c>
      <c r="AB254" s="1">
        <v>1.94</v>
      </c>
      <c r="AC254" s="6">
        <f t="shared" si="77"/>
        <v>0</v>
      </c>
      <c r="AD254" s="21">
        <v>45264</v>
      </c>
      <c r="AE254" s="1">
        <v>7.68</v>
      </c>
      <c r="AF254" s="1">
        <v>7.1715999999999998</v>
      </c>
      <c r="AG254" s="6">
        <f t="shared" si="78"/>
        <v>2.674378650784548E-2</v>
      </c>
      <c r="AH254" s="21">
        <v>45264</v>
      </c>
      <c r="AI254" s="1">
        <v>8.0399999999999991</v>
      </c>
      <c r="AJ254" s="1">
        <v>7.48</v>
      </c>
      <c r="AK254" s="6">
        <f t="shared" si="79"/>
        <v>-1.2417715941409613E-3</v>
      </c>
      <c r="AL254" s="21">
        <v>45264</v>
      </c>
      <c r="AM254" s="1">
        <v>1.38</v>
      </c>
      <c r="AN254" s="1">
        <v>1.38</v>
      </c>
      <c r="AO254" s="6">
        <v>-4.1666666666666741E-2</v>
      </c>
      <c r="AP254" s="21" t="s">
        <v>257</v>
      </c>
      <c r="AQ254" s="1">
        <v>8578.0400000000009</v>
      </c>
      <c r="AR254" s="6">
        <v>2.6819842952341411E-4</v>
      </c>
    </row>
    <row r="255" spans="2:44" x14ac:dyDescent="0.35">
      <c r="B255" s="21">
        <v>45265</v>
      </c>
      <c r="C255" s="1">
        <v>0.71</v>
      </c>
      <c r="D255" s="1">
        <v>0.71</v>
      </c>
      <c r="E255" s="6">
        <f t="shared" si="82"/>
        <v>1.4285714285714235E-2</v>
      </c>
      <c r="F255" s="21">
        <v>45265</v>
      </c>
      <c r="G255" s="1">
        <v>16.75</v>
      </c>
      <c r="H255" s="1">
        <v>12.5754</v>
      </c>
      <c r="I255" s="6">
        <f t="shared" si="80"/>
        <v>7.2084194338988272E-3</v>
      </c>
      <c r="J255" s="21">
        <v>45265</v>
      </c>
      <c r="K255" s="1">
        <v>43.9</v>
      </c>
      <c r="L255" s="1">
        <v>29.1004</v>
      </c>
      <c r="M255" s="6">
        <f t="shared" si="75"/>
        <v>2.3310769230769246E-2</v>
      </c>
      <c r="N255" s="21">
        <v>45265</v>
      </c>
      <c r="O255" s="1">
        <v>14.7</v>
      </c>
      <c r="P255" s="1">
        <v>13.7241</v>
      </c>
      <c r="Q255" s="6">
        <f t="shared" si="76"/>
        <v>5.0005738112543607E-2</v>
      </c>
      <c r="R255" s="21">
        <v>45265</v>
      </c>
      <c r="S255" s="1">
        <v>7.2</v>
      </c>
      <c r="T255" s="1">
        <v>6.7435</v>
      </c>
      <c r="U255" s="6">
        <f t="shared" si="81"/>
        <v>-2.8342122705397488E-2</v>
      </c>
      <c r="V255" s="21">
        <v>45265</v>
      </c>
      <c r="W255" s="1">
        <v>6.24</v>
      </c>
      <c r="X255" s="1">
        <v>5.5350000000000001</v>
      </c>
      <c r="Y255" s="6">
        <f t="shared" si="83"/>
        <v>0</v>
      </c>
      <c r="Z255" s="21">
        <v>45265</v>
      </c>
      <c r="AA255" s="1">
        <v>1.92</v>
      </c>
      <c r="AB255" s="1">
        <v>1.92</v>
      </c>
      <c r="AC255" s="6">
        <f t="shared" si="77"/>
        <v>-1.0309278350515427E-2</v>
      </c>
      <c r="AD255" s="21">
        <v>45265</v>
      </c>
      <c r="AE255" s="1">
        <v>7.5</v>
      </c>
      <c r="AF255" s="1">
        <v>7.0034999999999998</v>
      </c>
      <c r="AG255" s="6">
        <f t="shared" si="78"/>
        <v>-2.3439678732779301E-2</v>
      </c>
      <c r="AH255" s="21">
        <v>45265</v>
      </c>
      <c r="AI255" s="1">
        <v>8.14</v>
      </c>
      <c r="AJ255" s="1">
        <v>7.5730000000000004</v>
      </c>
      <c r="AK255" s="6">
        <f t="shared" si="79"/>
        <v>1.243315508021392E-2</v>
      </c>
      <c r="AL255" s="21">
        <v>45265</v>
      </c>
      <c r="AM255" s="1">
        <v>1.44</v>
      </c>
      <c r="AN255" s="1">
        <v>1.44</v>
      </c>
      <c r="AO255" s="6">
        <v>4.3478260869565188E-2</v>
      </c>
      <c r="AP255" s="21" t="s">
        <v>258</v>
      </c>
      <c r="AQ255" s="1">
        <v>8588.58</v>
      </c>
      <c r="AR255" s="6">
        <v>1.2287189148103561E-3</v>
      </c>
    </row>
    <row r="256" spans="2:44" x14ac:dyDescent="0.35">
      <c r="B256" s="21">
        <v>45266</v>
      </c>
      <c r="C256" s="1">
        <v>0.74</v>
      </c>
      <c r="D256" s="1">
        <v>0.74</v>
      </c>
      <c r="E256" s="6">
        <f t="shared" si="82"/>
        <v>4.2253521126760507E-2</v>
      </c>
      <c r="F256" s="21">
        <v>45266</v>
      </c>
      <c r="G256" s="1">
        <v>16.84</v>
      </c>
      <c r="H256" s="1">
        <v>12.643000000000001</v>
      </c>
      <c r="I256" s="6">
        <f t="shared" si="80"/>
        <v>5.3755745344084005E-3</v>
      </c>
      <c r="J256" s="21">
        <v>45266</v>
      </c>
      <c r="K256" s="1">
        <v>43.9</v>
      </c>
      <c r="L256" s="1">
        <v>29.1004</v>
      </c>
      <c r="M256" s="6">
        <f t="shared" si="75"/>
        <v>0</v>
      </c>
      <c r="N256" s="21">
        <v>45266</v>
      </c>
      <c r="O256" s="1">
        <v>15.39</v>
      </c>
      <c r="P256" s="1">
        <v>14.3683</v>
      </c>
      <c r="Q256" s="6">
        <f t="shared" si="76"/>
        <v>4.6939325711704116E-2</v>
      </c>
      <c r="R256" s="21">
        <v>45266</v>
      </c>
      <c r="S256" s="1">
        <v>7.28</v>
      </c>
      <c r="T256" s="1">
        <v>6.8183999999999996</v>
      </c>
      <c r="U256" s="6">
        <f t="shared" si="81"/>
        <v>1.1106991918143239E-2</v>
      </c>
      <c r="V256" s="21">
        <v>45266</v>
      </c>
      <c r="W256" s="1">
        <v>6.23</v>
      </c>
      <c r="X256" s="1">
        <v>5.5259999999999998</v>
      </c>
      <c r="Y256" s="6">
        <f t="shared" si="83"/>
        <v>-1.6260162601626771E-3</v>
      </c>
      <c r="Z256" s="21">
        <v>45266</v>
      </c>
      <c r="AA256" s="1">
        <v>1.9</v>
      </c>
      <c r="AB256" s="1">
        <v>1.9</v>
      </c>
      <c r="AC256" s="6">
        <f t="shared" si="77"/>
        <v>-1.041666666666663E-2</v>
      </c>
      <c r="AD256" s="21">
        <v>45266</v>
      </c>
      <c r="AE256" s="1">
        <v>7.5</v>
      </c>
      <c r="AF256" s="1">
        <v>7.0034999999999998</v>
      </c>
      <c r="AG256" s="6">
        <f t="shared" si="78"/>
        <v>0</v>
      </c>
      <c r="AH256" s="21">
        <v>45266</v>
      </c>
      <c r="AI256" s="1">
        <v>8.1300000000000008</v>
      </c>
      <c r="AJ256" s="1">
        <v>7.5636999999999999</v>
      </c>
      <c r="AK256" s="6">
        <f t="shared" si="79"/>
        <v>-1.2280470091113882E-3</v>
      </c>
      <c r="AL256" s="21">
        <v>45266</v>
      </c>
      <c r="AM256" s="1">
        <v>1.38</v>
      </c>
      <c r="AN256" s="1">
        <v>1.38</v>
      </c>
      <c r="AO256" s="6">
        <v>-4.1666666666666741E-2</v>
      </c>
      <c r="AP256" s="21" t="s">
        <v>259</v>
      </c>
      <c r="AQ256" s="1">
        <v>8596.5300000000007</v>
      </c>
      <c r="AR256" s="6">
        <v>9.2564777879466931E-4</v>
      </c>
    </row>
    <row r="257" spans="2:44" x14ac:dyDescent="0.35">
      <c r="B257" s="21">
        <v>45267</v>
      </c>
      <c r="C257" s="1">
        <v>0.76</v>
      </c>
      <c r="D257" s="1">
        <v>0.76</v>
      </c>
      <c r="E257" s="6">
        <f t="shared" si="82"/>
        <v>2.7027027027026973E-2</v>
      </c>
      <c r="F257" s="21">
        <v>45267</v>
      </c>
      <c r="G257" s="1">
        <v>16.78</v>
      </c>
      <c r="H257" s="1">
        <v>12.598000000000001</v>
      </c>
      <c r="I257" s="6">
        <f t="shared" si="80"/>
        <v>-3.5592818160247175E-3</v>
      </c>
      <c r="J257" s="21">
        <v>45267</v>
      </c>
      <c r="K257" s="1">
        <v>43.9</v>
      </c>
      <c r="L257" s="1">
        <v>29.1004</v>
      </c>
      <c r="M257" s="6">
        <f t="shared" si="75"/>
        <v>0</v>
      </c>
      <c r="N257" s="21">
        <v>45267</v>
      </c>
      <c r="O257" s="1">
        <v>15.59</v>
      </c>
      <c r="P257" s="1">
        <v>14.555</v>
      </c>
      <c r="Q257" s="6">
        <f t="shared" si="76"/>
        <v>1.299388236604182E-2</v>
      </c>
      <c r="R257" s="21">
        <v>45267</v>
      </c>
      <c r="S257" s="1">
        <v>7</v>
      </c>
      <c r="T257" s="1">
        <v>6.5561999999999996</v>
      </c>
      <c r="U257" s="6">
        <f t="shared" si="81"/>
        <v>-3.845476944737769E-2</v>
      </c>
      <c r="V257" s="21">
        <v>45267</v>
      </c>
      <c r="W257" s="1">
        <v>6.23</v>
      </c>
      <c r="X257" s="1">
        <v>5.5259999999999998</v>
      </c>
      <c r="Y257" s="6">
        <f t="shared" si="83"/>
        <v>0</v>
      </c>
      <c r="Z257" s="21">
        <v>45267</v>
      </c>
      <c r="AA257" s="1">
        <v>1.96</v>
      </c>
      <c r="AB257" s="1">
        <v>1.96</v>
      </c>
      <c r="AC257" s="6">
        <f t="shared" si="77"/>
        <v>3.1578947368421151E-2</v>
      </c>
      <c r="AD257" s="21">
        <v>45267</v>
      </c>
      <c r="AE257" s="1">
        <v>7.56</v>
      </c>
      <c r="AF257" s="1">
        <v>7.0594999999999999</v>
      </c>
      <c r="AG257" s="6">
        <f t="shared" si="78"/>
        <v>7.9960019990004128E-3</v>
      </c>
      <c r="AH257" s="21">
        <v>45267</v>
      </c>
      <c r="AI257" s="1">
        <v>8.1300000000000008</v>
      </c>
      <c r="AJ257" s="1">
        <v>7.5636999999999999</v>
      </c>
      <c r="AK257" s="6">
        <f t="shared" si="79"/>
        <v>0</v>
      </c>
      <c r="AL257" s="21">
        <v>45267</v>
      </c>
      <c r="AM257" s="1">
        <v>1.38</v>
      </c>
      <c r="AN257" s="1">
        <v>1.38</v>
      </c>
      <c r="AO257" s="6">
        <v>0</v>
      </c>
      <c r="AP257" s="21" t="s">
        <v>260</v>
      </c>
      <c r="AQ257" s="1">
        <v>8584.7999999999993</v>
      </c>
      <c r="AR257" s="6">
        <v>-1.3645040498900807E-3</v>
      </c>
    </row>
    <row r="258" spans="2:44" x14ac:dyDescent="0.35">
      <c r="B258" s="21">
        <v>45268</v>
      </c>
      <c r="C258" s="1">
        <v>0.76</v>
      </c>
      <c r="D258" s="1">
        <v>0.76</v>
      </c>
      <c r="E258" s="6">
        <f t="shared" si="82"/>
        <v>0</v>
      </c>
      <c r="F258" s="21">
        <v>45268</v>
      </c>
      <c r="G258" s="1">
        <v>16.75</v>
      </c>
      <c r="H258" s="1">
        <v>12.5754</v>
      </c>
      <c r="I258" s="6">
        <f t="shared" si="80"/>
        <v>-1.7939355453246986E-3</v>
      </c>
      <c r="J258" s="21">
        <v>45268</v>
      </c>
      <c r="K258" s="1">
        <v>43.7</v>
      </c>
      <c r="L258" s="1">
        <v>28.9678</v>
      </c>
      <c r="M258" s="6">
        <f t="shared" si="75"/>
        <v>-4.556638396723045E-3</v>
      </c>
      <c r="N258" s="21">
        <v>45268</v>
      </c>
      <c r="O258" s="1">
        <v>15.46</v>
      </c>
      <c r="P258" s="1">
        <v>14.4336</v>
      </c>
      <c r="Q258" s="6">
        <f t="shared" si="76"/>
        <v>-8.3407763655101164E-3</v>
      </c>
      <c r="R258" s="21">
        <v>45268</v>
      </c>
      <c r="S258" s="1">
        <v>7.02</v>
      </c>
      <c r="T258" s="1">
        <v>6.5749000000000004</v>
      </c>
      <c r="U258" s="6">
        <f t="shared" si="81"/>
        <v>2.8522619810256167E-3</v>
      </c>
      <c r="V258" s="21">
        <v>45268</v>
      </c>
      <c r="W258" s="1">
        <v>6.23</v>
      </c>
      <c r="X258" s="1">
        <v>5.5259999999999998</v>
      </c>
      <c r="Y258" s="6">
        <f t="shared" si="83"/>
        <v>0</v>
      </c>
      <c r="Z258" s="21">
        <v>45268</v>
      </c>
      <c r="AA258" s="1">
        <v>1.97</v>
      </c>
      <c r="AB258" s="1">
        <v>1.97</v>
      </c>
      <c r="AC258" s="6">
        <f t="shared" si="77"/>
        <v>5.1020408163264808E-3</v>
      </c>
      <c r="AD258" s="21">
        <v>45268</v>
      </c>
      <c r="AE258" s="1">
        <v>7.55</v>
      </c>
      <c r="AF258" s="1">
        <v>7.0502000000000002</v>
      </c>
      <c r="AG258" s="6">
        <f t="shared" si="78"/>
        <v>-1.3173737516820605E-3</v>
      </c>
      <c r="AH258" s="21">
        <v>45268</v>
      </c>
      <c r="AI258" s="1">
        <v>8.1999999999999993</v>
      </c>
      <c r="AJ258" s="1">
        <v>7.6288</v>
      </c>
      <c r="AK258" s="6">
        <f t="shared" si="79"/>
        <v>8.6068987400347297E-3</v>
      </c>
      <c r="AL258" s="21">
        <v>45268</v>
      </c>
      <c r="AM258" s="1">
        <v>1.39</v>
      </c>
      <c r="AN258" s="1">
        <v>1.39</v>
      </c>
      <c r="AO258" s="6">
        <v>7.2463768115942351E-3</v>
      </c>
      <c r="AP258" s="21" t="s">
        <v>261</v>
      </c>
      <c r="AQ258" s="1">
        <v>8610.61</v>
      </c>
      <c r="AR258" s="6">
        <v>3.0064765632282775E-3</v>
      </c>
    </row>
    <row r="259" spans="2:44" x14ac:dyDescent="0.35">
      <c r="B259" s="21">
        <v>45271</v>
      </c>
      <c r="C259" s="1">
        <v>0.73</v>
      </c>
      <c r="D259" s="1">
        <v>0.73</v>
      </c>
      <c r="E259" s="6">
        <f t="shared" si="82"/>
        <v>-3.9473684210526327E-2</v>
      </c>
      <c r="F259" s="21">
        <v>45271</v>
      </c>
      <c r="G259" s="1">
        <v>16.75</v>
      </c>
      <c r="H259" s="1">
        <v>12.5754</v>
      </c>
      <c r="I259" s="6">
        <f t="shared" si="80"/>
        <v>0</v>
      </c>
      <c r="J259" s="21">
        <v>45271</v>
      </c>
      <c r="K259" s="1">
        <v>43.9</v>
      </c>
      <c r="L259" s="1">
        <v>29.1004</v>
      </c>
      <c r="M259" s="6">
        <f t="shared" ref="M259:M322" si="84">(L259/L258)-1</f>
        <v>4.577496392546232E-3</v>
      </c>
      <c r="N259" s="21">
        <v>45271</v>
      </c>
      <c r="O259" s="1">
        <v>15.6</v>
      </c>
      <c r="P259" s="1">
        <v>14.564299999999999</v>
      </c>
      <c r="Q259" s="6">
        <f t="shared" ref="Q259:Q322" si="85">(P259/P258)-1</f>
        <v>9.05525994900791E-3</v>
      </c>
      <c r="R259" s="21">
        <v>45271</v>
      </c>
      <c r="S259" s="1">
        <v>7.02</v>
      </c>
      <c r="T259" s="1">
        <v>6.5749000000000004</v>
      </c>
      <c r="U259" s="6">
        <f t="shared" si="81"/>
        <v>0</v>
      </c>
      <c r="V259" s="21">
        <v>45271</v>
      </c>
      <c r="W259" s="1">
        <v>6.23</v>
      </c>
      <c r="X259" s="1">
        <v>5.5259999999999998</v>
      </c>
      <c r="Y259" s="6">
        <f t="shared" si="83"/>
        <v>0</v>
      </c>
      <c r="Z259" s="21">
        <v>45271</v>
      </c>
      <c r="AA259" s="1">
        <v>1.95</v>
      </c>
      <c r="AB259" s="1">
        <v>1.95</v>
      </c>
      <c r="AC259" s="6">
        <f t="shared" ref="AC259:AC322" si="86">(AB259/AB258)-1</f>
        <v>-1.0152284263959421E-2</v>
      </c>
      <c r="AD259" s="21">
        <v>45271</v>
      </c>
      <c r="AE259" s="1">
        <v>7.54</v>
      </c>
      <c r="AF259" s="1">
        <v>7.0407999999999999</v>
      </c>
      <c r="AG259" s="6">
        <f t="shared" ref="AG259:AG322" si="87">(AF259/AF258)-1</f>
        <v>-1.3332955093472432E-3</v>
      </c>
      <c r="AH259" s="21">
        <v>45271</v>
      </c>
      <c r="AI259" s="1">
        <v>8.18</v>
      </c>
      <c r="AJ259" s="1">
        <v>7.6101999999999999</v>
      </c>
      <c r="AK259" s="6">
        <f t="shared" ref="AK259:AK322" si="88">(AJ259/AJ258)-1</f>
        <v>-2.4381291946309336E-3</v>
      </c>
      <c r="AL259" s="21">
        <v>45271</v>
      </c>
      <c r="AM259" s="1">
        <v>1.4</v>
      </c>
      <c r="AN259" s="1">
        <v>1.4</v>
      </c>
      <c r="AO259" s="6">
        <v>7.194244604316502E-3</v>
      </c>
      <c r="AP259" s="21" t="s">
        <v>262</v>
      </c>
      <c r="AQ259" s="1">
        <v>8603.86</v>
      </c>
      <c r="AR259" s="6">
        <v>-7.8391658662979591E-4</v>
      </c>
    </row>
    <row r="260" spans="2:44" x14ac:dyDescent="0.35">
      <c r="B260" s="21">
        <v>45272</v>
      </c>
      <c r="C260" s="1">
        <v>0.75</v>
      </c>
      <c r="D260" s="1">
        <v>0.75</v>
      </c>
      <c r="E260" s="6">
        <f t="shared" si="82"/>
        <v>2.7397260273972712E-2</v>
      </c>
      <c r="F260" s="21">
        <v>45272</v>
      </c>
      <c r="G260" s="1">
        <v>16.75</v>
      </c>
      <c r="H260" s="1">
        <v>12.5754</v>
      </c>
      <c r="I260" s="6">
        <f t="shared" si="80"/>
        <v>0</v>
      </c>
      <c r="J260" s="21">
        <v>45272</v>
      </c>
      <c r="K260" s="1">
        <v>44.49</v>
      </c>
      <c r="L260" s="1">
        <v>29.491499999999998</v>
      </c>
      <c r="M260" s="6">
        <f t="shared" si="84"/>
        <v>1.3439677805116013E-2</v>
      </c>
      <c r="N260" s="21">
        <v>45272</v>
      </c>
      <c r="O260" s="1">
        <v>15.34</v>
      </c>
      <c r="P260" s="1">
        <v>14.3216</v>
      </c>
      <c r="Q260" s="6">
        <f t="shared" si="85"/>
        <v>-1.6664034660093474E-2</v>
      </c>
      <c r="R260" s="21">
        <v>45272</v>
      </c>
      <c r="S260" s="1">
        <v>7.19</v>
      </c>
      <c r="T260" s="1">
        <v>6.7342000000000004</v>
      </c>
      <c r="U260" s="6">
        <f t="shared" si="81"/>
        <v>2.422850537650767E-2</v>
      </c>
      <c r="V260" s="21">
        <v>45272</v>
      </c>
      <c r="W260" s="1">
        <v>6.2</v>
      </c>
      <c r="X260" s="1">
        <v>5.5</v>
      </c>
      <c r="Y260" s="6">
        <f t="shared" si="83"/>
        <v>-4.7050307636626876E-3</v>
      </c>
      <c r="Z260" s="21">
        <v>45272</v>
      </c>
      <c r="AA260" s="1">
        <v>1.96</v>
      </c>
      <c r="AB260" s="1">
        <v>1.96</v>
      </c>
      <c r="AC260" s="6">
        <f t="shared" si="86"/>
        <v>5.12820512820511E-3</v>
      </c>
      <c r="AD260" s="21">
        <v>45272</v>
      </c>
      <c r="AE260" s="1">
        <v>7.54</v>
      </c>
      <c r="AF260" s="1">
        <v>7.0407999999999999</v>
      </c>
      <c r="AG260" s="6">
        <f t="shared" si="87"/>
        <v>0</v>
      </c>
      <c r="AH260" s="21">
        <v>45272</v>
      </c>
      <c r="AI260" s="1">
        <v>8.17</v>
      </c>
      <c r="AJ260" s="1">
        <v>7.6009000000000002</v>
      </c>
      <c r="AK260" s="6">
        <f t="shared" si="88"/>
        <v>-1.2220440987096293E-3</v>
      </c>
      <c r="AL260" s="21">
        <v>45272</v>
      </c>
      <c r="AM260" s="1">
        <v>1.4</v>
      </c>
      <c r="AN260" s="1">
        <v>1.4</v>
      </c>
      <c r="AO260" s="6">
        <v>0</v>
      </c>
      <c r="AP260" s="21" t="s">
        <v>263</v>
      </c>
      <c r="AQ260" s="1">
        <v>8620.0300000000007</v>
      </c>
      <c r="AR260" s="6">
        <v>1.8793890184172213E-3</v>
      </c>
    </row>
    <row r="261" spans="2:44" x14ac:dyDescent="0.35">
      <c r="B261" s="21">
        <v>45273</v>
      </c>
      <c r="C261" s="1">
        <v>0.74</v>
      </c>
      <c r="D261" s="1">
        <v>0.74</v>
      </c>
      <c r="E261" s="6">
        <f t="shared" si="82"/>
        <v>-1.3333333333333308E-2</v>
      </c>
      <c r="F261" s="21">
        <v>45273</v>
      </c>
      <c r="G261" s="1">
        <v>16.75</v>
      </c>
      <c r="H261" s="1">
        <v>12.5754</v>
      </c>
      <c r="I261" s="6">
        <f t="shared" si="80"/>
        <v>0</v>
      </c>
      <c r="J261" s="21">
        <v>45273</v>
      </c>
      <c r="K261" s="1">
        <v>44.45</v>
      </c>
      <c r="L261" s="1">
        <v>29.4649</v>
      </c>
      <c r="M261" s="6">
        <f t="shared" si="84"/>
        <v>-9.0195480053567589E-4</v>
      </c>
      <c r="N261" s="21">
        <v>45273</v>
      </c>
      <c r="O261" s="1">
        <v>15.2</v>
      </c>
      <c r="P261" s="1">
        <v>14.190899999999999</v>
      </c>
      <c r="Q261" s="6">
        <f t="shared" si="85"/>
        <v>-9.1260752988493454E-3</v>
      </c>
      <c r="R261" s="21">
        <v>45273</v>
      </c>
      <c r="S261" s="1">
        <v>7.17</v>
      </c>
      <c r="T261" s="1">
        <v>6.7153999999999998</v>
      </c>
      <c r="U261" s="6">
        <f t="shared" si="81"/>
        <v>-2.7917198776395979E-3</v>
      </c>
      <c r="V261" s="21">
        <v>45273</v>
      </c>
      <c r="W261" s="1">
        <v>6.1</v>
      </c>
      <c r="X261" s="1">
        <v>5.4109999999999996</v>
      </c>
      <c r="Y261" s="6">
        <f t="shared" si="83"/>
        <v>-1.6181818181818297E-2</v>
      </c>
      <c r="Z261" s="21">
        <v>45273</v>
      </c>
      <c r="AA261" s="1">
        <v>1.93</v>
      </c>
      <c r="AB261" s="1">
        <v>1.93</v>
      </c>
      <c r="AC261" s="6">
        <f t="shared" si="86"/>
        <v>-1.5306122448979553E-2</v>
      </c>
      <c r="AD261" s="21">
        <v>45273</v>
      </c>
      <c r="AE261" s="1">
        <v>7.53</v>
      </c>
      <c r="AF261" s="1">
        <v>7.0315000000000003</v>
      </c>
      <c r="AG261" s="6">
        <f t="shared" si="87"/>
        <v>-1.3208726281104255E-3</v>
      </c>
      <c r="AH261" s="21">
        <v>45273</v>
      </c>
      <c r="AI261" s="1">
        <v>8.15</v>
      </c>
      <c r="AJ261" s="1">
        <v>7.5823</v>
      </c>
      <c r="AK261" s="6">
        <f t="shared" si="88"/>
        <v>-2.4470786354248153E-3</v>
      </c>
      <c r="AL261" s="21">
        <v>45273</v>
      </c>
      <c r="AM261" s="1">
        <v>1.4</v>
      </c>
      <c r="AN261" s="1">
        <v>1.4</v>
      </c>
      <c r="AO261" s="6">
        <v>0</v>
      </c>
      <c r="AP261" s="21" t="s">
        <v>264</v>
      </c>
      <c r="AQ261" s="1">
        <v>8619.15</v>
      </c>
      <c r="AR261" s="6">
        <v>-1.0208781175946591E-4</v>
      </c>
    </row>
    <row r="262" spans="2:44" x14ac:dyDescent="0.35">
      <c r="B262" s="21">
        <v>45274</v>
      </c>
      <c r="C262" s="1">
        <v>0.75</v>
      </c>
      <c r="D262" s="1">
        <v>0.75</v>
      </c>
      <c r="E262" s="6">
        <f t="shared" si="82"/>
        <v>1.3513513513513598E-2</v>
      </c>
      <c r="F262" s="21">
        <v>45274</v>
      </c>
      <c r="G262" s="1">
        <v>16.739999999999998</v>
      </c>
      <c r="H262" s="1">
        <v>12.5679</v>
      </c>
      <c r="I262" s="6">
        <f t="shared" si="80"/>
        <v>-5.964025001192752E-4</v>
      </c>
      <c r="J262" s="21">
        <v>45274</v>
      </c>
      <c r="K262" s="1">
        <v>44.8</v>
      </c>
      <c r="L262" s="1">
        <v>29.696899999999999</v>
      </c>
      <c r="M262" s="6">
        <f t="shared" si="84"/>
        <v>7.8737752376556447E-3</v>
      </c>
      <c r="N262" s="21">
        <v>45274</v>
      </c>
      <c r="O262" s="1">
        <v>15.2</v>
      </c>
      <c r="P262" s="1">
        <v>14.190899999999999</v>
      </c>
      <c r="Q262" s="6">
        <f t="shared" si="85"/>
        <v>0</v>
      </c>
      <c r="R262" s="21">
        <v>45274</v>
      </c>
      <c r="S262" s="1">
        <v>7.2</v>
      </c>
      <c r="T262" s="1">
        <v>6.7435</v>
      </c>
      <c r="U262" s="6">
        <f t="shared" si="81"/>
        <v>4.1844119486553755E-3</v>
      </c>
      <c r="V262" s="21">
        <v>45274</v>
      </c>
      <c r="W262" s="1">
        <v>6.09</v>
      </c>
      <c r="X262" s="1">
        <v>5.4020000000000001</v>
      </c>
      <c r="Y262" s="6">
        <f t="shared" si="83"/>
        <v>-1.6632785067454137E-3</v>
      </c>
      <c r="Z262" s="21">
        <v>45274</v>
      </c>
      <c r="AA262" s="1">
        <v>1.92</v>
      </c>
      <c r="AB262" s="1">
        <v>1.92</v>
      </c>
      <c r="AC262" s="6">
        <f t="shared" si="86"/>
        <v>-5.1813471502590858E-3</v>
      </c>
      <c r="AD262" s="21">
        <v>45274</v>
      </c>
      <c r="AE262" s="1">
        <v>7.64</v>
      </c>
      <c r="AF262" s="1">
        <v>7.1341999999999999</v>
      </c>
      <c r="AG262" s="6">
        <f t="shared" si="87"/>
        <v>1.4605702908341067E-2</v>
      </c>
      <c r="AH262" s="21">
        <v>45274</v>
      </c>
      <c r="AI262" s="1">
        <v>8.0500000000000007</v>
      </c>
      <c r="AJ262" s="1">
        <v>7.4893000000000001</v>
      </c>
      <c r="AK262" s="6">
        <f t="shared" si="88"/>
        <v>-1.2265407594001854E-2</v>
      </c>
      <c r="AL262" s="21">
        <v>45274</v>
      </c>
      <c r="AM262" s="1">
        <v>1.4</v>
      </c>
      <c r="AN262" s="1">
        <v>1.4</v>
      </c>
      <c r="AO262" s="6">
        <v>0</v>
      </c>
      <c r="AP262" s="21" t="s">
        <v>265</v>
      </c>
      <c r="AQ262" s="1">
        <v>8649.1200000000008</v>
      </c>
      <c r="AR262" s="6">
        <v>3.4771410173859429E-3</v>
      </c>
    </row>
    <row r="263" spans="2:44" x14ac:dyDescent="0.35">
      <c r="B263" s="21">
        <v>45275</v>
      </c>
      <c r="C263" s="1">
        <v>0.74</v>
      </c>
      <c r="D263" s="1">
        <v>0.74</v>
      </c>
      <c r="E263" s="6">
        <f t="shared" si="82"/>
        <v>-1.3333333333333308E-2</v>
      </c>
      <c r="F263" s="21">
        <v>45275</v>
      </c>
      <c r="G263" s="1">
        <v>16.649999999999999</v>
      </c>
      <c r="H263" s="1">
        <v>12.500400000000001</v>
      </c>
      <c r="I263" s="6">
        <f t="shared" ref="I263:I326" si="89">(H263/H262)-1</f>
        <v>-5.3708256749336325E-3</v>
      </c>
      <c r="J263" s="21">
        <v>45275</v>
      </c>
      <c r="K263" s="1">
        <v>44.99</v>
      </c>
      <c r="L263" s="1">
        <v>29.822900000000001</v>
      </c>
      <c r="M263" s="6">
        <f t="shared" si="84"/>
        <v>4.2428671006065066E-3</v>
      </c>
      <c r="N263" s="21">
        <v>45275</v>
      </c>
      <c r="O263" s="1">
        <v>15.2</v>
      </c>
      <c r="P263" s="1">
        <v>14.190899999999999</v>
      </c>
      <c r="Q263" s="6">
        <f t="shared" si="85"/>
        <v>0</v>
      </c>
      <c r="R263" s="21">
        <v>45275</v>
      </c>
      <c r="S263" s="1">
        <v>7.12</v>
      </c>
      <c r="T263" s="1">
        <v>6.6685999999999996</v>
      </c>
      <c r="U263" s="6">
        <f t="shared" si="81"/>
        <v>-1.1106991918143461E-2</v>
      </c>
      <c r="V263" s="21">
        <v>45275</v>
      </c>
      <c r="W263" s="1">
        <v>6.14</v>
      </c>
      <c r="X263" s="1">
        <v>5.4459999999999997</v>
      </c>
      <c r="Y263" s="6">
        <f t="shared" si="83"/>
        <v>8.1451314328024882E-3</v>
      </c>
      <c r="Z263" s="21">
        <v>45275</v>
      </c>
      <c r="AA263" s="1">
        <v>1.92</v>
      </c>
      <c r="AB263" s="1">
        <v>1.92</v>
      </c>
      <c r="AC263" s="6">
        <f t="shared" si="86"/>
        <v>0</v>
      </c>
      <c r="AD263" s="21">
        <v>45275</v>
      </c>
      <c r="AE263" s="1">
        <v>7.68</v>
      </c>
      <c r="AF263" s="1">
        <v>7.1715999999999998</v>
      </c>
      <c r="AG263" s="6">
        <f t="shared" si="87"/>
        <v>5.24235373272397E-3</v>
      </c>
      <c r="AH263" s="21">
        <v>45275</v>
      </c>
      <c r="AI263" s="1">
        <v>8</v>
      </c>
      <c r="AJ263" s="1">
        <v>7.4428000000000001</v>
      </c>
      <c r="AK263" s="6">
        <f t="shared" si="88"/>
        <v>-6.2088579707049174E-3</v>
      </c>
      <c r="AL263" s="21">
        <v>45275</v>
      </c>
      <c r="AM263" s="1">
        <v>1.46</v>
      </c>
      <c r="AN263" s="1">
        <v>1.46</v>
      </c>
      <c r="AO263" s="6">
        <v>4.2857142857142927E-2</v>
      </c>
      <c r="AP263" s="21" t="s">
        <v>266</v>
      </c>
      <c r="AQ263" s="1">
        <v>8646.34</v>
      </c>
      <c r="AR263" s="6">
        <v>-3.2141998261103755E-4</v>
      </c>
    </row>
    <row r="264" spans="2:44" x14ac:dyDescent="0.35">
      <c r="B264" s="21">
        <v>45278</v>
      </c>
      <c r="C264" s="1">
        <v>0.74</v>
      </c>
      <c r="D264" s="1">
        <v>0.74</v>
      </c>
      <c r="E264" s="6">
        <f t="shared" si="82"/>
        <v>0</v>
      </c>
      <c r="F264" s="21">
        <v>45278</v>
      </c>
      <c r="G264" s="1">
        <v>16.649999999999999</v>
      </c>
      <c r="H264" s="1">
        <v>12.500400000000001</v>
      </c>
      <c r="I264" s="6">
        <f t="shared" si="89"/>
        <v>0</v>
      </c>
      <c r="J264" s="21">
        <v>45278</v>
      </c>
      <c r="K264" s="1">
        <v>45</v>
      </c>
      <c r="L264" s="1">
        <v>29.829499999999999</v>
      </c>
      <c r="M264" s="6">
        <f t="shared" si="84"/>
        <v>2.2130644571793923E-4</v>
      </c>
      <c r="N264" s="21">
        <v>45278</v>
      </c>
      <c r="O264" s="1">
        <v>15.19</v>
      </c>
      <c r="P264" s="1">
        <v>14.1815</v>
      </c>
      <c r="Q264" s="6">
        <f t="shared" si="85"/>
        <v>-6.6239632440501239E-4</v>
      </c>
      <c r="R264" s="21">
        <v>45278</v>
      </c>
      <c r="S264" s="1">
        <v>7.22</v>
      </c>
      <c r="T264" s="1">
        <v>6.7622999999999998</v>
      </c>
      <c r="U264" s="6">
        <f t="shared" si="81"/>
        <v>1.405092523168272E-2</v>
      </c>
      <c r="V264" s="21">
        <v>45278</v>
      </c>
      <c r="W264" s="1">
        <v>6.12</v>
      </c>
      <c r="X264" s="1">
        <v>5.4290000000000003</v>
      </c>
      <c r="Y264" s="6">
        <f t="shared" si="83"/>
        <v>-3.1215571061328218E-3</v>
      </c>
      <c r="Z264" s="21">
        <v>45278</v>
      </c>
      <c r="AA264" s="1">
        <v>1.89</v>
      </c>
      <c r="AB264" s="1">
        <v>1.89</v>
      </c>
      <c r="AC264" s="6">
        <f t="shared" si="86"/>
        <v>-1.5625E-2</v>
      </c>
      <c r="AD264" s="21">
        <v>45278</v>
      </c>
      <c r="AE264" s="1">
        <v>7.66</v>
      </c>
      <c r="AF264" s="1">
        <v>7.1528999999999998</v>
      </c>
      <c r="AG264" s="6">
        <f t="shared" si="87"/>
        <v>-2.6075073902616097E-3</v>
      </c>
      <c r="AH264" s="21">
        <v>45278</v>
      </c>
      <c r="AI264" s="1">
        <v>8</v>
      </c>
      <c r="AJ264" s="1">
        <v>7.4428000000000001</v>
      </c>
      <c r="AK264" s="6">
        <f t="shared" si="88"/>
        <v>0</v>
      </c>
      <c r="AL264" s="21">
        <v>45278</v>
      </c>
      <c r="AM264" s="1">
        <v>1.52</v>
      </c>
      <c r="AN264" s="1">
        <v>1.52</v>
      </c>
      <c r="AO264" s="6">
        <v>4.1095890410958846E-2</v>
      </c>
      <c r="AP264" s="21" t="s">
        <v>267</v>
      </c>
      <c r="AQ264" s="1">
        <v>8620.18</v>
      </c>
      <c r="AR264" s="6">
        <v>-3.0255576347910651E-3</v>
      </c>
    </row>
    <row r="265" spans="2:44" x14ac:dyDescent="0.35">
      <c r="B265" s="21">
        <v>45279</v>
      </c>
      <c r="C265" s="1">
        <v>0.7</v>
      </c>
      <c r="D265" s="1">
        <v>0.7</v>
      </c>
      <c r="E265" s="6">
        <f t="shared" si="82"/>
        <v>-5.4054054054054057E-2</v>
      </c>
      <c r="F265" s="21">
        <v>45279</v>
      </c>
      <c r="G265" s="1">
        <v>16.399999999999999</v>
      </c>
      <c r="H265" s="1">
        <v>12.3127</v>
      </c>
      <c r="I265" s="6">
        <f t="shared" si="89"/>
        <v>-1.5015519503375985E-2</v>
      </c>
      <c r="J265" s="21">
        <v>45279</v>
      </c>
      <c r="K265" s="1">
        <v>44.7</v>
      </c>
      <c r="L265" s="1">
        <v>29.630700000000001</v>
      </c>
      <c r="M265" s="6">
        <f t="shared" si="84"/>
        <v>-6.6645434888281674E-3</v>
      </c>
      <c r="N265" s="21">
        <v>45279</v>
      </c>
      <c r="O265" s="1">
        <v>15.09</v>
      </c>
      <c r="P265" s="1">
        <v>14.088200000000001</v>
      </c>
      <c r="Q265" s="6">
        <f t="shared" si="85"/>
        <v>-6.5789937594753489E-3</v>
      </c>
      <c r="R265" s="21">
        <v>45279</v>
      </c>
      <c r="S265" s="1">
        <v>7.2</v>
      </c>
      <c r="T265" s="1">
        <v>6.7435</v>
      </c>
      <c r="U265" s="6">
        <f t="shared" ref="U265:U328" si="90">(T265/T264)-1</f>
        <v>-2.780119190216257E-3</v>
      </c>
      <c r="V265" s="21">
        <v>45279</v>
      </c>
      <c r="W265" s="1">
        <v>6.1</v>
      </c>
      <c r="X265" s="1">
        <v>5.4109999999999996</v>
      </c>
      <c r="Y265" s="6">
        <f t="shared" si="83"/>
        <v>-3.3155277214957923E-3</v>
      </c>
      <c r="Z265" s="21">
        <v>45279</v>
      </c>
      <c r="AA265" s="1">
        <v>1.88</v>
      </c>
      <c r="AB265" s="1">
        <v>1.88</v>
      </c>
      <c r="AC265" s="6">
        <f t="shared" si="86"/>
        <v>-5.2910052910053462E-3</v>
      </c>
      <c r="AD265" s="21">
        <v>45279</v>
      </c>
      <c r="AE265" s="1">
        <v>7.64</v>
      </c>
      <c r="AF265" s="1">
        <v>7.1341999999999999</v>
      </c>
      <c r="AG265" s="6">
        <f t="shared" si="87"/>
        <v>-2.6143242600903394E-3</v>
      </c>
      <c r="AH265" s="21">
        <v>45279</v>
      </c>
      <c r="AI265" s="1">
        <v>7.97</v>
      </c>
      <c r="AJ265" s="1">
        <v>7.4147999999999996</v>
      </c>
      <c r="AK265" s="6">
        <f t="shared" si="88"/>
        <v>-3.762025044338202E-3</v>
      </c>
      <c r="AL265" s="21">
        <v>45279</v>
      </c>
      <c r="AM265" s="1">
        <v>1.46</v>
      </c>
      <c r="AN265" s="1">
        <v>1.46</v>
      </c>
      <c r="AO265" s="6">
        <v>-3.9473684210526327E-2</v>
      </c>
      <c r="AP265" s="21" t="s">
        <v>268</v>
      </c>
      <c r="AQ265" s="1">
        <v>8620.14</v>
      </c>
      <c r="AR265" s="6">
        <v>-4.6402743331119822E-6</v>
      </c>
    </row>
    <row r="266" spans="2:44" x14ac:dyDescent="0.35">
      <c r="B266" s="21">
        <v>45280</v>
      </c>
      <c r="C266" s="1">
        <v>0.71</v>
      </c>
      <c r="D266" s="1">
        <v>0.71</v>
      </c>
      <c r="E266" s="6">
        <f t="shared" si="82"/>
        <v>1.4285714285714235E-2</v>
      </c>
      <c r="F266" s="21">
        <v>45280</v>
      </c>
      <c r="G266" s="1">
        <v>16.45</v>
      </c>
      <c r="H266" s="1">
        <v>12.350199999999999</v>
      </c>
      <c r="I266" s="6">
        <f t="shared" si="89"/>
        <v>3.0456358069310685E-3</v>
      </c>
      <c r="J266" s="21">
        <v>45280</v>
      </c>
      <c r="K266" s="1">
        <v>44.5</v>
      </c>
      <c r="L266" s="1">
        <v>29.498100000000001</v>
      </c>
      <c r="M266" s="6">
        <f t="shared" si="84"/>
        <v>-4.4750883374338191E-3</v>
      </c>
      <c r="N266" s="21">
        <v>45280</v>
      </c>
      <c r="O266" s="1">
        <v>15</v>
      </c>
      <c r="P266" s="1">
        <v>14.004200000000001</v>
      </c>
      <c r="Q266" s="6">
        <f t="shared" si="85"/>
        <v>-5.9624366491105585E-3</v>
      </c>
      <c r="R266" s="21">
        <v>45280</v>
      </c>
      <c r="S266" s="1">
        <v>7.2</v>
      </c>
      <c r="T266" s="1">
        <v>6.7435</v>
      </c>
      <c r="U266" s="6">
        <f t="shared" si="90"/>
        <v>0</v>
      </c>
      <c r="V266" s="21">
        <v>45280</v>
      </c>
      <c r="W266" s="1">
        <v>6.11</v>
      </c>
      <c r="X266" s="1">
        <v>5.42</v>
      </c>
      <c r="Y266" s="6">
        <f t="shared" si="83"/>
        <v>1.6632785067456357E-3</v>
      </c>
      <c r="Z266" s="21">
        <v>45280</v>
      </c>
      <c r="AA266" s="1">
        <v>1.89</v>
      </c>
      <c r="AB266" s="1">
        <v>1.89</v>
      </c>
      <c r="AC266" s="6">
        <f t="shared" si="86"/>
        <v>5.3191489361701372E-3</v>
      </c>
      <c r="AD266" s="21">
        <v>45280</v>
      </c>
      <c r="AE266" s="1">
        <v>7.64</v>
      </c>
      <c r="AF266" s="1">
        <v>7.1341999999999999</v>
      </c>
      <c r="AG266" s="6">
        <f t="shared" si="87"/>
        <v>0</v>
      </c>
      <c r="AH266" s="21">
        <v>45280</v>
      </c>
      <c r="AI266" s="1">
        <v>7.97</v>
      </c>
      <c r="AJ266" s="1">
        <v>7.4147999999999996</v>
      </c>
      <c r="AK266" s="6">
        <f t="shared" si="88"/>
        <v>0</v>
      </c>
      <c r="AL266" s="21">
        <v>45280</v>
      </c>
      <c r="AM266" s="1">
        <v>1.46</v>
      </c>
      <c r="AN266" s="1">
        <v>1.46</v>
      </c>
      <c r="AO266" s="6">
        <v>0</v>
      </c>
      <c r="AP266" s="21" t="s">
        <v>269</v>
      </c>
      <c r="AQ266" s="1">
        <v>8619.85</v>
      </c>
      <c r="AR266" s="6">
        <v>-3.364214502310503E-5</v>
      </c>
    </row>
    <row r="267" spans="2:44" x14ac:dyDescent="0.35">
      <c r="B267" s="21">
        <v>45281</v>
      </c>
      <c r="C267" s="1">
        <v>0.72</v>
      </c>
      <c r="D267" s="1">
        <v>0.72</v>
      </c>
      <c r="E267" s="6">
        <f t="shared" si="82"/>
        <v>1.4084507042253502E-2</v>
      </c>
      <c r="F267" s="21">
        <v>45281</v>
      </c>
      <c r="G267" s="1">
        <v>16.36</v>
      </c>
      <c r="H267" s="1">
        <v>12.2826</v>
      </c>
      <c r="I267" s="6">
        <f t="shared" si="89"/>
        <v>-5.4735955693023808E-3</v>
      </c>
      <c r="J267" s="21">
        <v>45281</v>
      </c>
      <c r="K267" s="1">
        <v>44.3</v>
      </c>
      <c r="L267" s="1">
        <v>29.365500000000001</v>
      </c>
      <c r="M267" s="6">
        <f t="shared" si="84"/>
        <v>-4.4952047759008185E-3</v>
      </c>
      <c r="N267" s="21">
        <v>45281</v>
      </c>
      <c r="O267" s="1">
        <v>15</v>
      </c>
      <c r="P267" s="1">
        <v>14.004200000000001</v>
      </c>
      <c r="Q267" s="6">
        <f t="shared" si="85"/>
        <v>0</v>
      </c>
      <c r="R267" s="21">
        <v>45281</v>
      </c>
      <c r="S267" s="1">
        <v>7.23</v>
      </c>
      <c r="T267" s="1">
        <v>6.7716000000000003</v>
      </c>
      <c r="U267" s="6">
        <f t="shared" si="90"/>
        <v>4.1669756061393226E-3</v>
      </c>
      <c r="V267" s="21">
        <v>45281</v>
      </c>
      <c r="W267" s="1">
        <v>6.09</v>
      </c>
      <c r="X267" s="1">
        <v>5.4020000000000001</v>
      </c>
      <c r="Y267" s="6">
        <f t="shared" si="83"/>
        <v>-3.3210332103320583E-3</v>
      </c>
      <c r="Z267" s="21">
        <v>45281</v>
      </c>
      <c r="AA267" s="1">
        <v>1.87</v>
      </c>
      <c r="AB267" s="1">
        <v>1.87</v>
      </c>
      <c r="AC267" s="6">
        <f t="shared" si="86"/>
        <v>-1.058201058201047E-2</v>
      </c>
      <c r="AD267" s="21">
        <v>45281</v>
      </c>
      <c r="AE267" s="1">
        <v>7.53</v>
      </c>
      <c r="AF267" s="1">
        <v>7.0315000000000003</v>
      </c>
      <c r="AG267" s="6">
        <f t="shared" si="87"/>
        <v>-1.4395447282105844E-2</v>
      </c>
      <c r="AH267" s="21">
        <v>45281</v>
      </c>
      <c r="AI267" s="1">
        <v>7.95</v>
      </c>
      <c r="AJ267" s="1">
        <v>7.3962000000000003</v>
      </c>
      <c r="AK267" s="6">
        <f t="shared" si="88"/>
        <v>-2.5084965204724696E-3</v>
      </c>
      <c r="AL267" s="21">
        <v>45281</v>
      </c>
      <c r="AM267" s="1">
        <v>1.52</v>
      </c>
      <c r="AN267" s="1">
        <v>1.52</v>
      </c>
      <c r="AO267" s="6">
        <v>4.1095890410958846E-2</v>
      </c>
      <c r="AP267" s="21" t="s">
        <v>270</v>
      </c>
      <c r="AQ267" s="1">
        <v>8592.41</v>
      </c>
      <c r="AR267" s="6">
        <v>-3.1833500582957308E-3</v>
      </c>
    </row>
    <row r="268" spans="2:44" x14ac:dyDescent="0.35">
      <c r="B268" s="21">
        <v>45282</v>
      </c>
      <c r="C268" s="1">
        <v>0.72</v>
      </c>
      <c r="D268" s="1">
        <v>0.72</v>
      </c>
      <c r="E268" s="6">
        <f t="shared" si="82"/>
        <v>0</v>
      </c>
      <c r="F268" s="21">
        <v>45282</v>
      </c>
      <c r="G268" s="1">
        <v>16.600000000000001</v>
      </c>
      <c r="H268" s="1">
        <v>12.4628</v>
      </c>
      <c r="I268" s="6">
        <f t="shared" si="89"/>
        <v>1.4671160829140328E-2</v>
      </c>
      <c r="J268" s="21">
        <v>45282</v>
      </c>
      <c r="K268" s="1">
        <v>44.96</v>
      </c>
      <c r="L268" s="1">
        <v>29.803000000000001</v>
      </c>
      <c r="M268" s="6">
        <f t="shared" si="84"/>
        <v>1.4898435238630325E-2</v>
      </c>
      <c r="N268" s="21">
        <v>45282</v>
      </c>
      <c r="O268" s="1">
        <v>15.58</v>
      </c>
      <c r="P268" s="1">
        <v>14.5456</v>
      </c>
      <c r="Q268" s="6">
        <f t="shared" si="85"/>
        <v>3.8659830622241875E-2</v>
      </c>
      <c r="R268" s="21">
        <v>45282</v>
      </c>
      <c r="S268" s="1">
        <v>7.33</v>
      </c>
      <c r="T268" s="1">
        <v>6.8653000000000004</v>
      </c>
      <c r="U268" s="6">
        <f t="shared" si="90"/>
        <v>1.3837202433693685E-2</v>
      </c>
      <c r="V268" s="21">
        <v>45282</v>
      </c>
      <c r="W268" s="1">
        <v>6.08</v>
      </c>
      <c r="X268" s="1">
        <v>5.3929999999999998</v>
      </c>
      <c r="Y268" s="6">
        <f t="shared" si="83"/>
        <v>-1.6660496112551604E-3</v>
      </c>
      <c r="Z268" s="21">
        <v>45282</v>
      </c>
      <c r="AA268" s="1">
        <v>1.86</v>
      </c>
      <c r="AB268" s="1">
        <v>1.86</v>
      </c>
      <c r="AC268" s="6">
        <f t="shared" si="86"/>
        <v>-5.3475935828877219E-3</v>
      </c>
      <c r="AD268" s="21">
        <v>45282</v>
      </c>
      <c r="AE268" s="1">
        <v>7.62</v>
      </c>
      <c r="AF268" s="1">
        <v>7.1154999999999999</v>
      </c>
      <c r="AG268" s="6">
        <f t="shared" si="87"/>
        <v>1.1946241911398703E-2</v>
      </c>
      <c r="AH268" s="21">
        <v>45282</v>
      </c>
      <c r="AI268" s="1">
        <v>7.95</v>
      </c>
      <c r="AJ268" s="1">
        <v>7.3962000000000003</v>
      </c>
      <c r="AK268" s="6">
        <f t="shared" si="88"/>
        <v>0</v>
      </c>
      <c r="AL268" s="21">
        <v>45282</v>
      </c>
      <c r="AM268" s="1">
        <v>1.5</v>
      </c>
      <c r="AN268" s="1">
        <v>1.5</v>
      </c>
      <c r="AO268" s="6">
        <v>-1.3157894736842146E-2</v>
      </c>
      <c r="AP268" s="21" t="s">
        <v>271</v>
      </c>
      <c r="AQ268" s="1">
        <v>8609.1299999999992</v>
      </c>
      <c r="AR268" s="6">
        <v>1.9459034194131419E-3</v>
      </c>
    </row>
    <row r="269" spans="2:44" x14ac:dyDescent="0.35">
      <c r="B269" s="21">
        <v>45285</v>
      </c>
      <c r="C269" s="1">
        <v>0.71</v>
      </c>
      <c r="D269" s="1">
        <v>0.71</v>
      </c>
      <c r="E269" s="6">
        <f t="shared" si="82"/>
        <v>-1.3888888888888951E-2</v>
      </c>
      <c r="F269" s="21">
        <v>45285</v>
      </c>
      <c r="G269" s="1">
        <v>16.600000000000001</v>
      </c>
      <c r="H269" s="1">
        <v>12.4628</v>
      </c>
      <c r="I269" s="6">
        <f t="shared" si="89"/>
        <v>0</v>
      </c>
      <c r="J269" s="21">
        <v>45285</v>
      </c>
      <c r="K269" s="1">
        <v>44.94</v>
      </c>
      <c r="L269" s="1">
        <v>29.7897</v>
      </c>
      <c r="M269" s="6">
        <f t="shared" si="84"/>
        <v>-4.4626379894641133E-4</v>
      </c>
      <c r="N269" s="21">
        <v>45285</v>
      </c>
      <c r="O269" s="1">
        <v>15.5</v>
      </c>
      <c r="P269" s="1">
        <v>14.471</v>
      </c>
      <c r="Q269" s="6">
        <f t="shared" si="85"/>
        <v>-5.1286987130129136E-3</v>
      </c>
      <c r="R269" s="21">
        <v>45285</v>
      </c>
      <c r="S269" s="1">
        <v>7.4</v>
      </c>
      <c r="T269" s="1">
        <v>6.9307999999999996</v>
      </c>
      <c r="U269" s="6">
        <f t="shared" si="90"/>
        <v>9.5407338353747928E-3</v>
      </c>
      <c r="V269" s="21">
        <v>45285</v>
      </c>
      <c r="W269" s="1">
        <v>6.08</v>
      </c>
      <c r="X269" s="1">
        <v>5.3929999999999998</v>
      </c>
      <c r="Y269" s="6">
        <f t="shared" si="83"/>
        <v>0</v>
      </c>
      <c r="Z269" s="21">
        <v>45285</v>
      </c>
      <c r="AA269" s="1">
        <v>1.87</v>
      </c>
      <c r="AB269" s="1">
        <v>1.87</v>
      </c>
      <c r="AC269" s="6">
        <f t="shared" si="86"/>
        <v>5.3763440860215006E-3</v>
      </c>
      <c r="AD269" s="21">
        <v>45285</v>
      </c>
      <c r="AE269" s="1">
        <v>7.65</v>
      </c>
      <c r="AF269" s="1">
        <v>7.1435000000000004</v>
      </c>
      <c r="AG269" s="6">
        <f t="shared" si="87"/>
        <v>3.935071323167838E-3</v>
      </c>
      <c r="AH269" s="21">
        <v>45285</v>
      </c>
      <c r="AI269" s="1">
        <v>7.95</v>
      </c>
      <c r="AJ269" s="1">
        <v>7.3962000000000003</v>
      </c>
      <c r="AK269" s="6">
        <f t="shared" si="88"/>
        <v>0</v>
      </c>
      <c r="AL269" s="21">
        <v>45285</v>
      </c>
      <c r="AM269" s="1">
        <v>1.44</v>
      </c>
      <c r="AN269" s="1">
        <v>1.44</v>
      </c>
      <c r="AO269" s="6">
        <v>-4.0000000000000036E-2</v>
      </c>
      <c r="AP269" s="21" t="s">
        <v>272</v>
      </c>
      <c r="AQ269" s="1">
        <v>8600.3799999999992</v>
      </c>
      <c r="AR269" s="6">
        <v>-1.0163628612879227E-3</v>
      </c>
    </row>
    <row r="270" spans="2:44" x14ac:dyDescent="0.35">
      <c r="B270" s="21">
        <v>45286</v>
      </c>
      <c r="C270" s="1">
        <v>0.7</v>
      </c>
      <c r="D270" s="1">
        <v>0.7</v>
      </c>
      <c r="E270" s="6">
        <f t="shared" si="82"/>
        <v>-1.4084507042253502E-2</v>
      </c>
      <c r="F270" s="21">
        <v>45286</v>
      </c>
      <c r="G270" s="1">
        <v>16.600000000000001</v>
      </c>
      <c r="H270" s="1">
        <v>12.4628</v>
      </c>
      <c r="I270" s="6">
        <f t="shared" si="89"/>
        <v>0</v>
      </c>
      <c r="J270" s="21">
        <v>45286</v>
      </c>
      <c r="K270" s="1">
        <v>45</v>
      </c>
      <c r="L270" s="1">
        <v>29.829499999999999</v>
      </c>
      <c r="M270" s="6">
        <f t="shared" si="84"/>
        <v>1.3360322527584678E-3</v>
      </c>
      <c r="N270" s="21">
        <v>45286</v>
      </c>
      <c r="O270" s="1">
        <v>15.37</v>
      </c>
      <c r="P270" s="1">
        <v>14.349600000000001</v>
      </c>
      <c r="Q270" s="6">
        <f t="shared" si="85"/>
        <v>-8.3891921774583711E-3</v>
      </c>
      <c r="R270" s="21">
        <v>45286</v>
      </c>
      <c r="S270" s="1">
        <v>7.48</v>
      </c>
      <c r="T270" s="1">
        <v>7.0057999999999998</v>
      </c>
      <c r="U270" s="6">
        <f t="shared" si="90"/>
        <v>1.0821261614820887E-2</v>
      </c>
      <c r="V270" s="21">
        <v>45286</v>
      </c>
      <c r="W270" s="1">
        <v>6.08</v>
      </c>
      <c r="X270" s="1">
        <v>5.3929999999999998</v>
      </c>
      <c r="Y270" s="6">
        <f t="shared" si="83"/>
        <v>0</v>
      </c>
      <c r="Z270" s="21">
        <v>45286</v>
      </c>
      <c r="AA270" s="1">
        <v>1.87</v>
      </c>
      <c r="AB270" s="1">
        <v>1.87</v>
      </c>
      <c r="AC270" s="6">
        <f t="shared" si="86"/>
        <v>0</v>
      </c>
      <c r="AD270" s="21">
        <v>45286</v>
      </c>
      <c r="AE270" s="1">
        <v>7.65</v>
      </c>
      <c r="AF270" s="1">
        <v>7.1435000000000004</v>
      </c>
      <c r="AG270" s="6">
        <f t="shared" si="87"/>
        <v>0</v>
      </c>
      <c r="AH270" s="21">
        <v>45286</v>
      </c>
      <c r="AI270" s="1">
        <v>7.95</v>
      </c>
      <c r="AJ270" s="1">
        <v>7.3962000000000003</v>
      </c>
      <c r="AK270" s="6">
        <f t="shared" si="88"/>
        <v>0</v>
      </c>
      <c r="AL270" s="21">
        <v>45286</v>
      </c>
      <c r="AM270" s="1">
        <v>1.5</v>
      </c>
      <c r="AN270" s="1">
        <v>1.5</v>
      </c>
      <c r="AO270" s="6">
        <v>4.1666666666666741E-2</v>
      </c>
      <c r="AP270" s="21" t="s">
        <v>273</v>
      </c>
      <c r="AQ270" s="1">
        <v>8609.33</v>
      </c>
      <c r="AR270" s="6">
        <v>1.0406516921346309E-3</v>
      </c>
    </row>
    <row r="271" spans="2:44" x14ac:dyDescent="0.35">
      <c r="B271" s="21">
        <v>45287</v>
      </c>
      <c r="C271" s="1">
        <v>0.7</v>
      </c>
      <c r="D271" s="1">
        <v>0.7</v>
      </c>
      <c r="E271" s="6">
        <f t="shared" si="82"/>
        <v>0</v>
      </c>
      <c r="F271" s="21">
        <v>45287</v>
      </c>
      <c r="G271" s="1">
        <v>16.579999999999998</v>
      </c>
      <c r="H271" s="1">
        <v>12.447800000000001</v>
      </c>
      <c r="I271" s="6">
        <f t="shared" si="89"/>
        <v>-1.2035818596141112E-3</v>
      </c>
      <c r="J271" s="21">
        <v>45287</v>
      </c>
      <c r="K271" s="1">
        <v>45.88</v>
      </c>
      <c r="L271" s="1">
        <v>30.4129</v>
      </c>
      <c r="M271" s="6">
        <f t="shared" si="84"/>
        <v>1.9557820278583327E-2</v>
      </c>
      <c r="N271" s="21">
        <v>45287</v>
      </c>
      <c r="O271" s="1">
        <v>15.25</v>
      </c>
      <c r="P271" s="1">
        <v>14.2376</v>
      </c>
      <c r="Q271" s="6">
        <f t="shared" si="85"/>
        <v>-7.8050956124212645E-3</v>
      </c>
      <c r="R271" s="21">
        <v>45287</v>
      </c>
      <c r="S271" s="1">
        <v>7.48</v>
      </c>
      <c r="T271" s="1">
        <v>7.0057999999999998</v>
      </c>
      <c r="U271" s="6">
        <f t="shared" si="90"/>
        <v>0</v>
      </c>
      <c r="V271" s="21">
        <v>45287</v>
      </c>
      <c r="W271" s="1">
        <v>6.08</v>
      </c>
      <c r="X271" s="1">
        <v>5.3929999999999998</v>
      </c>
      <c r="Y271" s="6">
        <f t="shared" si="83"/>
        <v>0</v>
      </c>
      <c r="Z271" s="21">
        <v>45287</v>
      </c>
      <c r="AA271" s="1">
        <v>1.9</v>
      </c>
      <c r="AB271" s="1">
        <v>1.9</v>
      </c>
      <c r="AC271" s="6">
        <f t="shared" si="86"/>
        <v>1.6042780748662944E-2</v>
      </c>
      <c r="AD271" s="21">
        <v>45287</v>
      </c>
      <c r="AE271" s="1">
        <v>7.63</v>
      </c>
      <c r="AF271" s="1">
        <v>7.1249000000000002</v>
      </c>
      <c r="AG271" s="6">
        <f t="shared" si="87"/>
        <v>-2.6037656610905513E-3</v>
      </c>
      <c r="AH271" s="21">
        <v>45287</v>
      </c>
      <c r="AI271" s="1">
        <v>8.0299999999999994</v>
      </c>
      <c r="AJ271" s="1">
        <v>7.4706999999999999</v>
      </c>
      <c r="AK271" s="6">
        <f t="shared" si="88"/>
        <v>1.0072740055704132E-2</v>
      </c>
      <c r="AL271" s="21">
        <v>45287</v>
      </c>
      <c r="AM271" s="1">
        <v>1.5</v>
      </c>
      <c r="AN271" s="1">
        <v>1.5</v>
      </c>
      <c r="AO271" s="6">
        <v>0</v>
      </c>
      <c r="AP271" s="21" t="s">
        <v>274</v>
      </c>
      <c r="AQ271" s="1">
        <v>8651</v>
      </c>
      <c r="AR271" s="6">
        <v>4.84009789379658E-3</v>
      </c>
    </row>
    <row r="272" spans="2:44" x14ac:dyDescent="0.35">
      <c r="B272" s="21">
        <v>45288</v>
      </c>
      <c r="C272" s="1">
        <v>0.69</v>
      </c>
      <c r="D272" s="1">
        <v>0.69</v>
      </c>
      <c r="E272" s="6">
        <f t="shared" si="82"/>
        <v>-1.4285714285714346E-2</v>
      </c>
      <c r="F272" s="21">
        <v>45288</v>
      </c>
      <c r="G272" s="1">
        <v>16.55</v>
      </c>
      <c r="H272" s="1">
        <v>12.4253</v>
      </c>
      <c r="I272" s="6">
        <f t="shared" si="89"/>
        <v>-1.8075483217918631E-3</v>
      </c>
      <c r="J272" s="21">
        <v>45288</v>
      </c>
      <c r="K272" s="1">
        <v>46</v>
      </c>
      <c r="L272" s="1">
        <v>30.4924</v>
      </c>
      <c r="M272" s="6">
        <f t="shared" si="84"/>
        <v>2.6140223392048245E-3</v>
      </c>
      <c r="N272" s="21">
        <v>45288</v>
      </c>
      <c r="O272" s="1">
        <v>15.68</v>
      </c>
      <c r="P272" s="1">
        <v>14.638999999999999</v>
      </c>
      <c r="Q272" s="6">
        <f t="shared" si="85"/>
        <v>2.8192953868629411E-2</v>
      </c>
      <c r="R272" s="21">
        <v>45288</v>
      </c>
      <c r="S272" s="1">
        <v>7.5</v>
      </c>
      <c r="T272" s="1">
        <v>7.0244999999999997</v>
      </c>
      <c r="U272" s="6">
        <f t="shared" si="90"/>
        <v>2.6692169345399197E-3</v>
      </c>
      <c r="V272" s="21">
        <v>45288</v>
      </c>
      <c r="W272" s="1">
        <v>6</v>
      </c>
      <c r="X272" s="1">
        <v>5.3220000000000001</v>
      </c>
      <c r="Y272" s="6">
        <f t="shared" si="83"/>
        <v>-1.3165214166512063E-2</v>
      </c>
      <c r="Z272" s="21">
        <v>45288</v>
      </c>
      <c r="AA272" s="1">
        <v>1.96</v>
      </c>
      <c r="AB272" s="1">
        <v>1.96</v>
      </c>
      <c r="AC272" s="6">
        <f t="shared" si="86"/>
        <v>3.1578947368421151E-2</v>
      </c>
      <c r="AD272" s="21">
        <v>45288</v>
      </c>
      <c r="AE272" s="1">
        <v>7.61</v>
      </c>
      <c r="AF272" s="1">
        <v>7.1062000000000003</v>
      </c>
      <c r="AG272" s="6">
        <f t="shared" si="87"/>
        <v>-2.6245982399752954E-3</v>
      </c>
      <c r="AH272" s="21">
        <v>45288</v>
      </c>
      <c r="AI272" s="1">
        <v>8</v>
      </c>
      <c r="AJ272" s="1">
        <v>7.4428000000000001</v>
      </c>
      <c r="AK272" s="6">
        <f t="shared" si="88"/>
        <v>-3.7345897974754294E-3</v>
      </c>
      <c r="AL272" s="21">
        <v>45288</v>
      </c>
      <c r="AM272" s="1">
        <v>1.5</v>
      </c>
      <c r="AN272" s="1">
        <v>1.5</v>
      </c>
      <c r="AO272" s="6">
        <v>0</v>
      </c>
      <c r="AP272" s="21" t="s">
        <v>275</v>
      </c>
      <c r="AQ272" s="1">
        <v>8724.8700000000008</v>
      </c>
      <c r="AR272" s="6">
        <v>8.538897237313714E-3</v>
      </c>
    </row>
    <row r="273" spans="2:44" x14ac:dyDescent="0.35">
      <c r="B273" s="21">
        <v>45289</v>
      </c>
      <c r="C273" s="1">
        <v>0.71</v>
      </c>
      <c r="D273" s="1">
        <v>0.71</v>
      </c>
      <c r="E273" s="6">
        <f t="shared" ref="E273:E336" si="91">(D273/D272)-1</f>
        <v>2.898550724637694E-2</v>
      </c>
      <c r="F273" s="21">
        <v>45289</v>
      </c>
      <c r="G273" s="1">
        <v>16.53</v>
      </c>
      <c r="H273" s="1">
        <v>12.410299999999999</v>
      </c>
      <c r="I273" s="6">
        <f t="shared" si="89"/>
        <v>-1.2072143127329626E-3</v>
      </c>
      <c r="J273" s="21">
        <v>45289</v>
      </c>
      <c r="K273" s="1">
        <v>46.14</v>
      </c>
      <c r="L273" s="1">
        <v>30.5852</v>
      </c>
      <c r="M273" s="6">
        <f t="shared" si="84"/>
        <v>3.0433813015702249E-3</v>
      </c>
      <c r="N273" s="21">
        <v>45289</v>
      </c>
      <c r="O273" s="1">
        <v>15.95</v>
      </c>
      <c r="P273" s="1">
        <v>14.8911</v>
      </c>
      <c r="Q273" s="6">
        <f t="shared" si="85"/>
        <v>1.7221121661315619E-2</v>
      </c>
      <c r="R273" s="21">
        <v>45289</v>
      </c>
      <c r="S273" s="1">
        <v>7.48</v>
      </c>
      <c r="T273" s="1">
        <v>7.0057999999999998</v>
      </c>
      <c r="U273" s="6">
        <f t="shared" si="90"/>
        <v>-2.6621111822905386E-3</v>
      </c>
      <c r="V273" s="21">
        <v>45289</v>
      </c>
      <c r="W273" s="1">
        <v>6.04</v>
      </c>
      <c r="X273" s="1">
        <v>5.3579999999999997</v>
      </c>
      <c r="Y273" s="6">
        <f t="shared" si="83"/>
        <v>6.7643742953775732E-3</v>
      </c>
      <c r="Z273" s="21">
        <v>45289</v>
      </c>
      <c r="AA273" s="1">
        <v>1.97</v>
      </c>
      <c r="AB273" s="1">
        <v>1.97</v>
      </c>
      <c r="AC273" s="6">
        <f t="shared" si="86"/>
        <v>5.1020408163264808E-3</v>
      </c>
      <c r="AD273" s="21">
        <v>45289</v>
      </c>
      <c r="AE273" s="1">
        <v>7.64</v>
      </c>
      <c r="AF273" s="1">
        <v>7.1341999999999999</v>
      </c>
      <c r="AG273" s="6">
        <f t="shared" si="87"/>
        <v>3.9402212152768179E-3</v>
      </c>
      <c r="AH273" s="21">
        <v>45289</v>
      </c>
      <c r="AI273" s="1">
        <v>8</v>
      </c>
      <c r="AJ273" s="1">
        <v>7.4428000000000001</v>
      </c>
      <c r="AK273" s="6">
        <f t="shared" si="88"/>
        <v>0</v>
      </c>
      <c r="AL273" s="21">
        <v>45289</v>
      </c>
      <c r="AM273" s="1">
        <v>1.5</v>
      </c>
      <c r="AN273" s="1">
        <v>1.5</v>
      </c>
      <c r="AO273" s="6">
        <v>0</v>
      </c>
      <c r="AP273" s="21" t="s">
        <v>276</v>
      </c>
      <c r="AQ273" s="1">
        <v>8750.59</v>
      </c>
      <c r="AR273" s="6">
        <v>2.947894925654948E-3</v>
      </c>
    </row>
    <row r="274" spans="2:44" x14ac:dyDescent="0.35">
      <c r="B274" s="21">
        <v>45293</v>
      </c>
      <c r="C274" s="1">
        <v>0.68</v>
      </c>
      <c r="D274" s="1">
        <v>0.68</v>
      </c>
      <c r="E274" s="6">
        <f t="shared" si="91"/>
        <v>-4.2253521126760396E-2</v>
      </c>
      <c r="F274" s="21">
        <v>45293</v>
      </c>
      <c r="G274" s="1">
        <v>16.399999999999999</v>
      </c>
      <c r="H274" s="1">
        <v>12.3127</v>
      </c>
      <c r="I274" s="6">
        <f t="shared" si="89"/>
        <v>-7.8644351869011642E-3</v>
      </c>
      <c r="J274" s="21">
        <v>45293</v>
      </c>
      <c r="K274" s="1">
        <v>45.4</v>
      </c>
      <c r="L274" s="1">
        <v>30.0947</v>
      </c>
      <c r="M274" s="6">
        <f t="shared" si="84"/>
        <v>-1.6037168303624005E-2</v>
      </c>
      <c r="N274" s="21">
        <v>45293</v>
      </c>
      <c r="O274" s="1">
        <v>15.89</v>
      </c>
      <c r="P274" s="1">
        <v>14.835100000000001</v>
      </c>
      <c r="Q274" s="6">
        <f t="shared" si="85"/>
        <v>-3.7606355474074649E-3</v>
      </c>
      <c r="R274" s="21">
        <v>45293</v>
      </c>
      <c r="S274" s="1">
        <v>7.55</v>
      </c>
      <c r="T274" s="1">
        <v>7.0712999999999999</v>
      </c>
      <c r="U274" s="6">
        <f t="shared" si="90"/>
        <v>9.3493962145649867E-3</v>
      </c>
      <c r="V274" s="21">
        <v>45293</v>
      </c>
      <c r="W274" s="1">
        <v>6.04</v>
      </c>
      <c r="X274" s="1">
        <v>5.3579999999999997</v>
      </c>
      <c r="Y274" s="6">
        <f t="shared" si="83"/>
        <v>0</v>
      </c>
      <c r="Z274" s="21">
        <v>45293</v>
      </c>
      <c r="AA274" s="1">
        <v>1.98</v>
      </c>
      <c r="AB274" s="1">
        <v>1.98</v>
      </c>
      <c r="AC274" s="6">
        <f t="shared" si="86"/>
        <v>5.0761421319795996E-3</v>
      </c>
      <c r="AD274" s="21">
        <v>45293</v>
      </c>
      <c r="AE274" s="1">
        <v>7.91</v>
      </c>
      <c r="AF274" s="1">
        <v>7.3863000000000003</v>
      </c>
      <c r="AG274" s="6">
        <f t="shared" si="87"/>
        <v>3.533682823582196E-2</v>
      </c>
      <c r="AH274" s="21">
        <v>45293</v>
      </c>
      <c r="AI274" s="1">
        <v>7.99</v>
      </c>
      <c r="AJ274" s="1">
        <v>7.4335000000000004</v>
      </c>
      <c r="AK274" s="6">
        <f t="shared" si="88"/>
        <v>-1.2495297468694266E-3</v>
      </c>
      <c r="AL274" s="21">
        <v>45293</v>
      </c>
      <c r="AM274" s="1">
        <v>1.5</v>
      </c>
      <c r="AN274" s="1">
        <v>1.5</v>
      </c>
      <c r="AO274" s="6">
        <v>0</v>
      </c>
      <c r="AP274" s="21" t="s">
        <v>277</v>
      </c>
      <c r="AQ274" s="1">
        <v>8691.01</v>
      </c>
      <c r="AR274" s="6">
        <v>-6.8086837573237968E-3</v>
      </c>
    </row>
    <row r="275" spans="2:44" x14ac:dyDescent="0.35">
      <c r="B275" s="21">
        <v>45294</v>
      </c>
      <c r="C275" s="1">
        <v>0.65</v>
      </c>
      <c r="D275" s="1">
        <v>0.65</v>
      </c>
      <c r="E275" s="6">
        <f t="shared" si="91"/>
        <v>-4.4117647058823595E-2</v>
      </c>
      <c r="F275" s="21">
        <v>45294</v>
      </c>
      <c r="G275" s="1">
        <v>16.25</v>
      </c>
      <c r="H275" s="1">
        <v>12.200100000000001</v>
      </c>
      <c r="I275" s="6">
        <f t="shared" si="89"/>
        <v>-9.145029116278236E-3</v>
      </c>
      <c r="J275" s="21">
        <v>45294</v>
      </c>
      <c r="K275" s="1">
        <v>44.98</v>
      </c>
      <c r="L275" s="1">
        <v>29.816299999999998</v>
      </c>
      <c r="M275" s="6">
        <f t="shared" si="84"/>
        <v>-9.2507983133243155E-3</v>
      </c>
      <c r="N275" s="21">
        <v>45294</v>
      </c>
      <c r="O275" s="1">
        <v>15.25</v>
      </c>
      <c r="P275" s="1">
        <v>14.2376</v>
      </c>
      <c r="Q275" s="6">
        <f t="shared" si="85"/>
        <v>-4.0276101947408494E-2</v>
      </c>
      <c r="R275" s="21">
        <v>45294</v>
      </c>
      <c r="S275" s="1">
        <v>7.42</v>
      </c>
      <c r="T275" s="1">
        <v>6.9496000000000002</v>
      </c>
      <c r="U275" s="6">
        <f t="shared" si="90"/>
        <v>-1.7210413926717849E-2</v>
      </c>
      <c r="V275" s="21">
        <v>45294</v>
      </c>
      <c r="W275" s="1">
        <v>5.8</v>
      </c>
      <c r="X275" s="1">
        <v>5.1449999999999996</v>
      </c>
      <c r="Y275" s="6">
        <f t="shared" si="83"/>
        <v>-3.9753639417693165E-2</v>
      </c>
      <c r="Z275" s="21">
        <v>45294</v>
      </c>
      <c r="AA275" s="1">
        <v>2.02</v>
      </c>
      <c r="AB275" s="1">
        <v>2.02</v>
      </c>
      <c r="AC275" s="6">
        <f t="shared" si="86"/>
        <v>2.020202020202011E-2</v>
      </c>
      <c r="AD275" s="21">
        <v>45294</v>
      </c>
      <c r="AE275" s="1">
        <v>7.9</v>
      </c>
      <c r="AF275" s="1">
        <v>7.3769999999999998</v>
      </c>
      <c r="AG275" s="6">
        <f t="shared" si="87"/>
        <v>-1.2590877706023518E-3</v>
      </c>
      <c r="AH275" s="21">
        <v>45294</v>
      </c>
      <c r="AI275" s="1">
        <v>7.9</v>
      </c>
      <c r="AJ275" s="1">
        <v>7.3497000000000003</v>
      </c>
      <c r="AK275" s="6">
        <f t="shared" si="88"/>
        <v>-1.1273289836550737E-2</v>
      </c>
      <c r="AL275" s="21">
        <v>45294</v>
      </c>
      <c r="AM275" s="1">
        <v>1.5</v>
      </c>
      <c r="AN275" s="1">
        <v>1.5</v>
      </c>
      <c r="AO275" s="6">
        <v>0</v>
      </c>
      <c r="AP275" s="21" t="s">
        <v>278</v>
      </c>
      <c r="AQ275" s="1">
        <v>8613.5400000000009</v>
      </c>
      <c r="AR275" s="6">
        <v>-8.9138086367406277E-3</v>
      </c>
    </row>
    <row r="276" spans="2:44" x14ac:dyDescent="0.35">
      <c r="B276" s="21">
        <v>45295</v>
      </c>
      <c r="C276" s="1">
        <v>0.67</v>
      </c>
      <c r="D276" s="1">
        <v>0.67</v>
      </c>
      <c r="E276" s="6">
        <f t="shared" si="91"/>
        <v>3.0769230769230882E-2</v>
      </c>
      <c r="F276" s="21">
        <v>45295</v>
      </c>
      <c r="G276" s="1">
        <v>16.2</v>
      </c>
      <c r="H276" s="1">
        <v>12.1625</v>
      </c>
      <c r="I276" s="6">
        <f t="shared" si="89"/>
        <v>-3.0819419512956303E-3</v>
      </c>
      <c r="J276" s="21">
        <v>45295</v>
      </c>
      <c r="K276" s="1">
        <v>44.49</v>
      </c>
      <c r="L276" s="1">
        <v>29.491499999999998</v>
      </c>
      <c r="M276" s="6">
        <f t="shared" si="84"/>
        <v>-1.0893370404778557E-2</v>
      </c>
      <c r="N276" s="21">
        <v>45295</v>
      </c>
      <c r="O276" s="1">
        <v>15</v>
      </c>
      <c r="P276" s="1">
        <v>14.004200000000001</v>
      </c>
      <c r="Q276" s="6">
        <f t="shared" si="85"/>
        <v>-1.6393212339158247E-2</v>
      </c>
      <c r="R276" s="21">
        <v>45295</v>
      </c>
      <c r="S276" s="1">
        <v>7.35</v>
      </c>
      <c r="T276" s="1">
        <v>6.8840000000000003</v>
      </c>
      <c r="U276" s="6">
        <f t="shared" si="90"/>
        <v>-9.4393921952342641E-3</v>
      </c>
      <c r="V276" s="21">
        <v>45295</v>
      </c>
      <c r="W276" s="1">
        <v>5.74</v>
      </c>
      <c r="X276" s="1">
        <v>5.0919999999999996</v>
      </c>
      <c r="Y276" s="6">
        <f t="shared" si="83"/>
        <v>-1.0301263362487822E-2</v>
      </c>
      <c r="Z276" s="21">
        <v>45295</v>
      </c>
      <c r="AA276" s="1">
        <v>2.0099999999999998</v>
      </c>
      <c r="AB276" s="1">
        <v>2.0099999999999998</v>
      </c>
      <c r="AC276" s="6">
        <f t="shared" si="86"/>
        <v>-4.9504950495050659E-3</v>
      </c>
      <c r="AD276" s="21">
        <v>45295</v>
      </c>
      <c r="AE276" s="1">
        <v>7.75</v>
      </c>
      <c r="AF276" s="1">
        <v>7.2369000000000003</v>
      </c>
      <c r="AG276" s="6">
        <f t="shared" si="87"/>
        <v>-1.8991459943066169E-2</v>
      </c>
      <c r="AH276" s="21">
        <v>45295</v>
      </c>
      <c r="AI276" s="1">
        <v>7.88</v>
      </c>
      <c r="AJ276" s="1">
        <v>7.3311000000000002</v>
      </c>
      <c r="AK276" s="6">
        <f t="shared" si="88"/>
        <v>-2.5307155394097558E-3</v>
      </c>
      <c r="AL276" s="21">
        <v>45295</v>
      </c>
      <c r="AM276" s="1">
        <v>1.48</v>
      </c>
      <c r="AN276" s="1">
        <v>1.48</v>
      </c>
      <c r="AO276" s="6">
        <v>-1.3333333333333308E-2</v>
      </c>
      <c r="AP276" s="21" t="s">
        <v>279</v>
      </c>
      <c r="AQ276" s="1">
        <v>8583.59</v>
      </c>
      <c r="AR276" s="6">
        <v>-3.4770837541824307E-3</v>
      </c>
    </row>
    <row r="277" spans="2:44" x14ac:dyDescent="0.35">
      <c r="B277" s="21">
        <v>45296</v>
      </c>
      <c r="C277" s="1">
        <v>0.67</v>
      </c>
      <c r="D277" s="1">
        <v>0.67</v>
      </c>
      <c r="E277" s="6">
        <f t="shared" si="91"/>
        <v>0</v>
      </c>
      <c r="F277" s="21">
        <v>45296</v>
      </c>
      <c r="G277" s="1">
        <v>16</v>
      </c>
      <c r="H277" s="1">
        <v>12.0124</v>
      </c>
      <c r="I277" s="6">
        <f t="shared" si="89"/>
        <v>-1.2341212744090502E-2</v>
      </c>
      <c r="J277" s="21">
        <v>45296</v>
      </c>
      <c r="K277" s="1">
        <v>44.5</v>
      </c>
      <c r="L277" s="1">
        <v>29.498100000000001</v>
      </c>
      <c r="M277" s="6">
        <f t="shared" si="84"/>
        <v>2.2379329637356449E-4</v>
      </c>
      <c r="N277" s="21">
        <v>45296</v>
      </c>
      <c r="O277" s="1">
        <v>15.18</v>
      </c>
      <c r="P277" s="1">
        <v>14.1722</v>
      </c>
      <c r="Q277" s="6">
        <f t="shared" si="85"/>
        <v>1.1996401079676033E-2</v>
      </c>
      <c r="R277" s="21">
        <v>45296</v>
      </c>
      <c r="S277" s="1">
        <v>7.1</v>
      </c>
      <c r="T277" s="1">
        <v>6.6498999999999997</v>
      </c>
      <c r="U277" s="6">
        <f t="shared" si="90"/>
        <v>-3.4006391632771749E-2</v>
      </c>
      <c r="V277" s="21">
        <v>45296</v>
      </c>
      <c r="W277" s="1">
        <v>5.7</v>
      </c>
      <c r="X277" s="1">
        <v>5.056</v>
      </c>
      <c r="Y277" s="6">
        <f t="shared" ref="Y277:Y340" si="92">(X277/X276)-1</f>
        <v>-7.0699135899449095E-3</v>
      </c>
      <c r="Z277" s="21">
        <v>45296</v>
      </c>
      <c r="AA277" s="1">
        <v>1.98</v>
      </c>
      <c r="AB277" s="1">
        <v>1.98</v>
      </c>
      <c r="AC277" s="6">
        <f t="shared" si="86"/>
        <v>-1.492537313432829E-2</v>
      </c>
      <c r="AD277" s="21">
        <v>45296</v>
      </c>
      <c r="AE277" s="1">
        <v>7.73</v>
      </c>
      <c r="AF277" s="1">
        <v>7.2183000000000002</v>
      </c>
      <c r="AG277" s="6">
        <f t="shared" si="87"/>
        <v>-2.5701612568918009E-3</v>
      </c>
      <c r="AH277" s="21">
        <v>45296</v>
      </c>
      <c r="AI277" s="1">
        <v>7.84</v>
      </c>
      <c r="AJ277" s="1">
        <v>7.2938999999999998</v>
      </c>
      <c r="AK277" s="6">
        <f t="shared" si="88"/>
        <v>-5.0742726193886423E-3</v>
      </c>
      <c r="AL277" s="21">
        <v>45296</v>
      </c>
      <c r="AM277" s="1">
        <v>1.52</v>
      </c>
      <c r="AN277" s="1">
        <v>1.52</v>
      </c>
      <c r="AO277" s="6">
        <v>2.7027027027026973E-2</v>
      </c>
      <c r="AP277" s="21" t="s">
        <v>280</v>
      </c>
      <c r="AQ277" s="1">
        <v>8553.82</v>
      </c>
      <c r="AR277" s="6">
        <v>-3.4682458039119179E-3</v>
      </c>
    </row>
    <row r="278" spans="2:44" x14ac:dyDescent="0.35">
      <c r="B278" s="21">
        <v>45299</v>
      </c>
      <c r="C278" s="1">
        <v>0.66</v>
      </c>
      <c r="D278" s="1">
        <v>0.66</v>
      </c>
      <c r="E278" s="6">
        <f t="shared" si="91"/>
        <v>-1.4925373134328401E-2</v>
      </c>
      <c r="F278" s="21">
        <v>45299</v>
      </c>
      <c r="G278" s="1">
        <v>16</v>
      </c>
      <c r="H278" s="1">
        <v>12.0124</v>
      </c>
      <c r="I278" s="6">
        <f t="shared" si="89"/>
        <v>0</v>
      </c>
      <c r="J278" s="21">
        <v>45299</v>
      </c>
      <c r="K278" s="1">
        <v>44.5</v>
      </c>
      <c r="L278" s="1">
        <v>29.498100000000001</v>
      </c>
      <c r="M278" s="6">
        <f t="shared" si="84"/>
        <v>0</v>
      </c>
      <c r="N278" s="21">
        <v>45299</v>
      </c>
      <c r="O278" s="1">
        <v>14.99</v>
      </c>
      <c r="P278" s="1">
        <v>13.9948</v>
      </c>
      <c r="Q278" s="6">
        <f t="shared" si="85"/>
        <v>-1.2517463767093395E-2</v>
      </c>
      <c r="R278" s="21">
        <v>45299</v>
      </c>
      <c r="S278" s="1">
        <v>7.1</v>
      </c>
      <c r="T278" s="1">
        <v>6.6498999999999997</v>
      </c>
      <c r="U278" s="6">
        <f t="shared" si="90"/>
        <v>0</v>
      </c>
      <c r="V278" s="21">
        <v>45299</v>
      </c>
      <c r="W278" s="1">
        <v>5.7</v>
      </c>
      <c r="X278" s="1">
        <v>5.056</v>
      </c>
      <c r="Y278" s="6">
        <f t="shared" si="92"/>
        <v>0</v>
      </c>
      <c r="Z278" s="21">
        <v>45299</v>
      </c>
      <c r="AA278" s="1">
        <v>1.96</v>
      </c>
      <c r="AB278" s="1">
        <v>1.96</v>
      </c>
      <c r="AC278" s="6">
        <f t="shared" si="86"/>
        <v>-1.0101010101010055E-2</v>
      </c>
      <c r="AD278" s="21">
        <v>45299</v>
      </c>
      <c r="AE278" s="1">
        <v>7.5</v>
      </c>
      <c r="AF278" s="1">
        <v>7.0034999999999998</v>
      </c>
      <c r="AG278" s="6">
        <f t="shared" si="87"/>
        <v>-2.975769918124771E-2</v>
      </c>
      <c r="AH278" s="21">
        <v>45299</v>
      </c>
      <c r="AI278" s="1">
        <v>7.7</v>
      </c>
      <c r="AJ278" s="1">
        <v>7.1637000000000004</v>
      </c>
      <c r="AK278" s="6">
        <f t="shared" si="88"/>
        <v>-1.7850532636860872E-2</v>
      </c>
      <c r="AL278" s="21">
        <v>45299</v>
      </c>
      <c r="AM278" s="1">
        <v>1.52</v>
      </c>
      <c r="AN278" s="1">
        <v>1.52</v>
      </c>
      <c r="AO278" s="6">
        <v>0</v>
      </c>
      <c r="AP278" s="21" t="s">
        <v>281</v>
      </c>
      <c r="AQ278" s="1">
        <v>8515.24</v>
      </c>
      <c r="AR278" s="6">
        <v>-4.51026558894152E-3</v>
      </c>
    </row>
    <row r="279" spans="2:44" x14ac:dyDescent="0.35">
      <c r="B279" s="21">
        <v>45300</v>
      </c>
      <c r="C279" s="1">
        <v>0.66</v>
      </c>
      <c r="D279" s="1">
        <v>0.66</v>
      </c>
      <c r="E279" s="6">
        <f t="shared" si="91"/>
        <v>0</v>
      </c>
      <c r="F279" s="21">
        <v>45300</v>
      </c>
      <c r="G279" s="1">
        <v>15.8</v>
      </c>
      <c r="H279" s="1">
        <v>11.8622</v>
      </c>
      <c r="I279" s="6">
        <f t="shared" si="89"/>
        <v>-1.2503746129000071E-2</v>
      </c>
      <c r="J279" s="21">
        <v>45300</v>
      </c>
      <c r="K279" s="1">
        <v>43.84</v>
      </c>
      <c r="L279" s="1">
        <v>29.060600000000001</v>
      </c>
      <c r="M279" s="6">
        <f t="shared" si="84"/>
        <v>-1.4831463721392213E-2</v>
      </c>
      <c r="N279" s="21">
        <v>45300</v>
      </c>
      <c r="O279" s="1">
        <v>14.87</v>
      </c>
      <c r="P279" s="1">
        <v>13.8828</v>
      </c>
      <c r="Q279" s="6">
        <f t="shared" si="85"/>
        <v>-8.0029725326550283E-3</v>
      </c>
      <c r="R279" s="21">
        <v>45300</v>
      </c>
      <c r="S279" s="1">
        <v>7.05</v>
      </c>
      <c r="T279" s="1">
        <v>6.6029999999999998</v>
      </c>
      <c r="U279" s="6">
        <f t="shared" si="90"/>
        <v>-7.0527376351523507E-3</v>
      </c>
      <c r="V279" s="21">
        <v>45300</v>
      </c>
      <c r="W279" s="1">
        <v>5.69</v>
      </c>
      <c r="X279" s="1">
        <v>5.0469999999999997</v>
      </c>
      <c r="Y279" s="6">
        <f t="shared" si="92"/>
        <v>-1.7800632911393333E-3</v>
      </c>
      <c r="Z279" s="21">
        <v>45300</v>
      </c>
      <c r="AA279" s="1">
        <v>1.98</v>
      </c>
      <c r="AB279" s="1">
        <v>1.98</v>
      </c>
      <c r="AC279" s="6">
        <f t="shared" si="86"/>
        <v>1.0204081632652962E-2</v>
      </c>
      <c r="AD279" s="21">
        <v>45300</v>
      </c>
      <c r="AE279" s="1">
        <v>7.51</v>
      </c>
      <c r="AF279" s="1">
        <v>7.0128000000000004</v>
      </c>
      <c r="AG279" s="6">
        <f t="shared" si="87"/>
        <v>1.3279074748340225E-3</v>
      </c>
      <c r="AH279" s="21">
        <v>45300</v>
      </c>
      <c r="AI279" s="1">
        <v>7.73</v>
      </c>
      <c r="AJ279" s="1">
        <v>7.1916000000000002</v>
      </c>
      <c r="AK279" s="6">
        <f t="shared" si="88"/>
        <v>3.8946354537459094E-3</v>
      </c>
      <c r="AL279" s="21">
        <v>45300</v>
      </c>
      <c r="AM279" s="1">
        <v>1.52</v>
      </c>
      <c r="AN279" s="1">
        <v>1.52</v>
      </c>
      <c r="AO279" s="6">
        <v>0</v>
      </c>
      <c r="AP279" s="21" t="s">
        <v>282</v>
      </c>
      <c r="AQ279" s="1">
        <v>8483.7900000000009</v>
      </c>
      <c r="AR279" s="6">
        <v>-3.6933779905203856E-3</v>
      </c>
    </row>
    <row r="280" spans="2:44" x14ac:dyDescent="0.35">
      <c r="B280" s="21">
        <v>45301</v>
      </c>
      <c r="C280" s="1">
        <v>0.64</v>
      </c>
      <c r="D280" s="1">
        <v>0.64</v>
      </c>
      <c r="E280" s="6">
        <f t="shared" si="91"/>
        <v>-3.0303030303030276E-2</v>
      </c>
      <c r="F280" s="21">
        <v>45301</v>
      </c>
      <c r="G280" s="1">
        <v>15.33</v>
      </c>
      <c r="H280" s="1">
        <v>11.5093</v>
      </c>
      <c r="I280" s="6">
        <f t="shared" si="89"/>
        <v>-2.9749962064372526E-2</v>
      </c>
      <c r="J280" s="21">
        <v>45301</v>
      </c>
      <c r="K280" s="1">
        <v>43.5</v>
      </c>
      <c r="L280" s="1">
        <v>28.8352</v>
      </c>
      <c r="M280" s="6">
        <f t="shared" si="84"/>
        <v>-7.7562059971232333E-3</v>
      </c>
      <c r="N280" s="21">
        <v>45301</v>
      </c>
      <c r="O280" s="1">
        <v>14.37</v>
      </c>
      <c r="P280" s="1">
        <v>13.416</v>
      </c>
      <c r="Q280" s="6">
        <f t="shared" si="85"/>
        <v>-3.3624340911055373E-2</v>
      </c>
      <c r="R280" s="21">
        <v>45301</v>
      </c>
      <c r="S280" s="1">
        <v>6.97</v>
      </c>
      <c r="T280" s="1">
        <v>6.5281000000000002</v>
      </c>
      <c r="U280" s="6">
        <f t="shared" si="90"/>
        <v>-1.1343328789943929E-2</v>
      </c>
      <c r="V280" s="21">
        <v>45301</v>
      </c>
      <c r="W280" s="1">
        <v>5.5</v>
      </c>
      <c r="X280" s="1">
        <v>4.8789999999999996</v>
      </c>
      <c r="Y280" s="6">
        <f t="shared" si="92"/>
        <v>-3.3287101248266282E-2</v>
      </c>
      <c r="Z280" s="21">
        <v>45301</v>
      </c>
      <c r="AA280" s="1">
        <v>1.97</v>
      </c>
      <c r="AB280" s="1">
        <v>1.97</v>
      </c>
      <c r="AC280" s="6">
        <f t="shared" si="86"/>
        <v>-5.050505050505083E-3</v>
      </c>
      <c r="AD280" s="21">
        <v>45301</v>
      </c>
      <c r="AE280" s="1">
        <v>7.4</v>
      </c>
      <c r="AF280" s="1">
        <v>6.9100999999999999</v>
      </c>
      <c r="AG280" s="6">
        <f t="shared" si="87"/>
        <v>-1.4644649783253527E-2</v>
      </c>
      <c r="AH280" s="21">
        <v>45301</v>
      </c>
      <c r="AI280" s="1">
        <v>7.7</v>
      </c>
      <c r="AJ280" s="1">
        <v>7.1637000000000004</v>
      </c>
      <c r="AK280" s="6">
        <f t="shared" si="88"/>
        <v>-3.8795261137993808E-3</v>
      </c>
      <c r="AL280" s="21">
        <v>45301</v>
      </c>
      <c r="AM280" s="1">
        <v>1.52</v>
      </c>
      <c r="AN280" s="1">
        <v>1.52</v>
      </c>
      <c r="AO280" s="6">
        <v>0</v>
      </c>
      <c r="AP280" s="21" t="s">
        <v>283</v>
      </c>
      <c r="AQ280" s="1">
        <v>8425.59</v>
      </c>
      <c r="AR280" s="6">
        <v>-6.8601415169400326E-3</v>
      </c>
    </row>
    <row r="281" spans="2:44" x14ac:dyDescent="0.35">
      <c r="B281" s="21">
        <v>45302</v>
      </c>
      <c r="C281" s="1">
        <v>0.64</v>
      </c>
      <c r="D281" s="1">
        <v>0.64</v>
      </c>
      <c r="E281" s="6">
        <f t="shared" si="91"/>
        <v>0</v>
      </c>
      <c r="F281" s="21">
        <v>45302</v>
      </c>
      <c r="G281" s="1">
        <v>15.3</v>
      </c>
      <c r="H281" s="1">
        <v>11.486800000000001</v>
      </c>
      <c r="I281" s="6">
        <f t="shared" si="89"/>
        <v>-1.9549407870156355E-3</v>
      </c>
      <c r="J281" s="21">
        <v>45302</v>
      </c>
      <c r="K281" s="1">
        <v>44.1</v>
      </c>
      <c r="L281" s="1">
        <v>29.232900000000001</v>
      </c>
      <c r="M281" s="6">
        <f t="shared" si="84"/>
        <v>1.3792170680279714E-2</v>
      </c>
      <c r="N281" s="21">
        <v>45302</v>
      </c>
      <c r="O281" s="1">
        <v>14.3</v>
      </c>
      <c r="P281" s="1">
        <v>13.3506</v>
      </c>
      <c r="Q281" s="6">
        <f t="shared" si="85"/>
        <v>-4.8747763864043225E-3</v>
      </c>
      <c r="R281" s="21">
        <v>45302</v>
      </c>
      <c r="S281" s="1">
        <v>7.1</v>
      </c>
      <c r="T281" s="1">
        <v>6.6498999999999997</v>
      </c>
      <c r="U281" s="6">
        <f t="shared" si="90"/>
        <v>1.8657802423369674E-2</v>
      </c>
      <c r="V281" s="21">
        <v>45302</v>
      </c>
      <c r="W281" s="1">
        <v>5.6</v>
      </c>
      <c r="X281" s="1">
        <v>4.9669999999999996</v>
      </c>
      <c r="Y281" s="6">
        <f t="shared" si="92"/>
        <v>1.8036482885837257E-2</v>
      </c>
      <c r="Z281" s="21">
        <v>45302</v>
      </c>
      <c r="AA281" s="1">
        <v>1.93</v>
      </c>
      <c r="AB281" s="1">
        <v>1.93</v>
      </c>
      <c r="AC281" s="6">
        <f t="shared" si="86"/>
        <v>-2.0304568527918843E-2</v>
      </c>
      <c r="AD281" s="21">
        <v>45302</v>
      </c>
      <c r="AE281" s="1">
        <v>7.4</v>
      </c>
      <c r="AF281" s="1">
        <v>6.9100999999999999</v>
      </c>
      <c r="AG281" s="6">
        <f t="shared" si="87"/>
        <v>0</v>
      </c>
      <c r="AH281" s="21">
        <v>45302</v>
      </c>
      <c r="AI281" s="1">
        <v>7.89</v>
      </c>
      <c r="AJ281" s="1">
        <v>7.3403999999999998</v>
      </c>
      <c r="AK281" s="6">
        <f t="shared" si="88"/>
        <v>2.4666024540391129E-2</v>
      </c>
      <c r="AL281" s="21">
        <v>45302</v>
      </c>
      <c r="AM281" s="1">
        <v>1.48</v>
      </c>
      <c r="AN281" s="1">
        <v>1.48</v>
      </c>
      <c r="AO281" s="6">
        <v>-2.6315789473684181E-2</v>
      </c>
      <c r="AP281" s="21" t="s">
        <v>284</v>
      </c>
      <c r="AQ281" s="1">
        <v>8434.09</v>
      </c>
      <c r="AR281" s="6">
        <v>1.0088314290157552E-3</v>
      </c>
    </row>
    <row r="282" spans="2:44" x14ac:dyDescent="0.35">
      <c r="B282" s="21">
        <v>45303</v>
      </c>
      <c r="C282" s="1">
        <v>0.63</v>
      </c>
      <c r="D282" s="1">
        <v>0.63</v>
      </c>
      <c r="E282" s="6">
        <f t="shared" si="91"/>
        <v>-1.5625E-2</v>
      </c>
      <c r="F282" s="21">
        <v>45303</v>
      </c>
      <c r="G282" s="1">
        <v>16</v>
      </c>
      <c r="H282" s="1">
        <v>12.0124</v>
      </c>
      <c r="I282" s="6">
        <f t="shared" si="89"/>
        <v>4.5756868753699775E-2</v>
      </c>
      <c r="J282" s="21">
        <v>45303</v>
      </c>
      <c r="K282" s="1">
        <v>44.1</v>
      </c>
      <c r="L282" s="1">
        <v>29.232900000000001</v>
      </c>
      <c r="M282" s="6">
        <f t="shared" si="84"/>
        <v>0</v>
      </c>
      <c r="N282" s="21">
        <v>45303</v>
      </c>
      <c r="O282" s="1">
        <v>14.2</v>
      </c>
      <c r="P282" s="1">
        <v>13.257300000000001</v>
      </c>
      <c r="Q282" s="6">
        <f t="shared" si="85"/>
        <v>-6.9884499573051873E-3</v>
      </c>
      <c r="R282" s="21">
        <v>45303</v>
      </c>
      <c r="S282" s="1">
        <v>7.11</v>
      </c>
      <c r="T282" s="1">
        <v>6.6592000000000002</v>
      </c>
      <c r="U282" s="6">
        <f t="shared" si="90"/>
        <v>1.398517270936539E-3</v>
      </c>
      <c r="V282" s="21">
        <v>45303</v>
      </c>
      <c r="W282" s="1">
        <v>5.69</v>
      </c>
      <c r="X282" s="1">
        <v>5.0469999999999997</v>
      </c>
      <c r="Y282" s="6">
        <f t="shared" si="92"/>
        <v>1.6106301590497196E-2</v>
      </c>
      <c r="Z282" s="21">
        <v>45303</v>
      </c>
      <c r="AA282" s="1">
        <v>1.97</v>
      </c>
      <c r="AB282" s="1">
        <v>1.97</v>
      </c>
      <c r="AC282" s="6">
        <f t="shared" si="86"/>
        <v>2.0725388601036343E-2</v>
      </c>
      <c r="AD282" s="21">
        <v>45303</v>
      </c>
      <c r="AE282" s="1">
        <v>7.39</v>
      </c>
      <c r="AF282" s="1">
        <v>6.9008000000000003</v>
      </c>
      <c r="AG282" s="6">
        <f t="shared" si="87"/>
        <v>-1.3458560657587659E-3</v>
      </c>
      <c r="AH282" s="21">
        <v>45303</v>
      </c>
      <c r="AI282" s="1">
        <v>8.0500000000000007</v>
      </c>
      <c r="AJ282" s="1">
        <v>7.4893000000000001</v>
      </c>
      <c r="AK282" s="6">
        <f t="shared" si="88"/>
        <v>2.0284998092747086E-2</v>
      </c>
      <c r="AL282" s="21">
        <v>45303</v>
      </c>
      <c r="AM282" s="1">
        <v>1.48</v>
      </c>
      <c r="AN282" s="1">
        <v>1.48</v>
      </c>
      <c r="AO282" s="6">
        <v>0</v>
      </c>
      <c r="AP282" s="21" t="s">
        <v>285</v>
      </c>
      <c r="AQ282" s="1">
        <v>8461.11</v>
      </c>
      <c r="AR282" s="6">
        <v>3.2036651256983628E-3</v>
      </c>
    </row>
    <row r="283" spans="2:44" x14ac:dyDescent="0.35">
      <c r="B283" s="21">
        <v>45306</v>
      </c>
      <c r="C283" s="1">
        <v>0.63</v>
      </c>
      <c r="D283" s="1">
        <v>0.63</v>
      </c>
      <c r="E283" s="6">
        <f t="shared" si="91"/>
        <v>0</v>
      </c>
      <c r="F283" s="21">
        <v>45306</v>
      </c>
      <c r="G283" s="1">
        <v>15.85</v>
      </c>
      <c r="H283" s="1">
        <v>11.899800000000001</v>
      </c>
      <c r="I283" s="6">
        <f t="shared" si="89"/>
        <v>-9.3736472311942709E-3</v>
      </c>
      <c r="J283" s="21">
        <v>45306</v>
      </c>
      <c r="K283" s="1">
        <v>44</v>
      </c>
      <c r="L283" s="1">
        <v>29.166599999999999</v>
      </c>
      <c r="M283" s="6">
        <f t="shared" si="84"/>
        <v>-2.2679925700153092E-3</v>
      </c>
      <c r="N283" s="21">
        <v>45306</v>
      </c>
      <c r="O283" s="1">
        <v>13.64</v>
      </c>
      <c r="P283" s="1">
        <v>12.734400000000001</v>
      </c>
      <c r="Q283" s="6">
        <f t="shared" si="85"/>
        <v>-3.9442420402344358E-2</v>
      </c>
      <c r="R283" s="21">
        <v>45306</v>
      </c>
      <c r="S283" s="1">
        <v>7.11</v>
      </c>
      <c r="T283" s="1">
        <v>6.6592000000000002</v>
      </c>
      <c r="U283" s="6">
        <f t="shared" si="90"/>
        <v>0</v>
      </c>
      <c r="V283" s="21">
        <v>45306</v>
      </c>
      <c r="W283" s="1">
        <v>5.56</v>
      </c>
      <c r="X283" s="1">
        <v>4.9320000000000004</v>
      </c>
      <c r="Y283" s="6">
        <f t="shared" si="92"/>
        <v>-2.2785813354467832E-2</v>
      </c>
      <c r="Z283" s="21">
        <v>45306</v>
      </c>
      <c r="AA283" s="1">
        <v>1.95</v>
      </c>
      <c r="AB283" s="1">
        <v>1.95</v>
      </c>
      <c r="AC283" s="6">
        <f t="shared" si="86"/>
        <v>-1.0152284263959421E-2</v>
      </c>
      <c r="AD283" s="21">
        <v>45306</v>
      </c>
      <c r="AE283" s="1">
        <v>7.39</v>
      </c>
      <c r="AF283" s="1">
        <v>6.9008000000000003</v>
      </c>
      <c r="AG283" s="6">
        <f t="shared" si="87"/>
        <v>0</v>
      </c>
      <c r="AH283" s="21">
        <v>45306</v>
      </c>
      <c r="AI283" s="1">
        <v>8.1</v>
      </c>
      <c r="AJ283" s="1">
        <v>7.5358000000000001</v>
      </c>
      <c r="AK283" s="6">
        <f t="shared" si="88"/>
        <v>6.2088579707049174E-3</v>
      </c>
      <c r="AL283" s="21">
        <v>45306</v>
      </c>
      <c r="AM283" s="1">
        <v>1.48</v>
      </c>
      <c r="AN283" s="1">
        <v>1.48</v>
      </c>
      <c r="AO283" s="6">
        <v>0</v>
      </c>
      <c r="AP283" s="21" t="s">
        <v>286</v>
      </c>
      <c r="AQ283" s="1">
        <v>8446.16</v>
      </c>
      <c r="AR283" s="6">
        <v>-1.7669076515965942E-3</v>
      </c>
    </row>
    <row r="284" spans="2:44" x14ac:dyDescent="0.35">
      <c r="B284" s="21">
        <v>45307</v>
      </c>
      <c r="C284" s="1">
        <v>0.63</v>
      </c>
      <c r="D284" s="1">
        <v>0.63</v>
      </c>
      <c r="E284" s="6">
        <f t="shared" si="91"/>
        <v>0</v>
      </c>
      <c r="F284" s="21">
        <v>45307</v>
      </c>
      <c r="G284" s="1">
        <v>16.09</v>
      </c>
      <c r="H284" s="1">
        <v>12.0799</v>
      </c>
      <c r="I284" s="6">
        <f t="shared" si="89"/>
        <v>1.5134708146355313E-2</v>
      </c>
      <c r="J284" s="21">
        <v>45307</v>
      </c>
      <c r="K284" s="1">
        <v>43.52</v>
      </c>
      <c r="L284" s="1">
        <v>28.848500000000001</v>
      </c>
      <c r="M284" s="6">
        <f t="shared" si="84"/>
        <v>-1.0906310642995631E-2</v>
      </c>
      <c r="N284" s="21">
        <v>45307</v>
      </c>
      <c r="O284" s="1">
        <v>13.45</v>
      </c>
      <c r="P284" s="1">
        <v>12.5571</v>
      </c>
      <c r="Q284" s="6">
        <f t="shared" si="85"/>
        <v>-1.3922917451941297E-2</v>
      </c>
      <c r="R284" s="21">
        <v>45307</v>
      </c>
      <c r="S284" s="1">
        <v>7.17</v>
      </c>
      <c r="T284" s="1">
        <v>6.7153999999999998</v>
      </c>
      <c r="U284" s="6">
        <f t="shared" si="90"/>
        <v>8.4394521864488148E-3</v>
      </c>
      <c r="V284" s="21">
        <v>45307</v>
      </c>
      <c r="W284" s="1">
        <v>5.6</v>
      </c>
      <c r="X284" s="1">
        <v>4.9669999999999996</v>
      </c>
      <c r="Y284" s="6">
        <f t="shared" si="92"/>
        <v>7.0965125709649968E-3</v>
      </c>
      <c r="Z284" s="21">
        <v>45307</v>
      </c>
      <c r="AA284" s="1">
        <v>1.95</v>
      </c>
      <c r="AB284" s="1">
        <v>1.95</v>
      </c>
      <c r="AC284" s="6">
        <f t="shared" si="86"/>
        <v>0</v>
      </c>
      <c r="AD284" s="21">
        <v>45307</v>
      </c>
      <c r="AE284" s="1">
        <v>7.39</v>
      </c>
      <c r="AF284" s="1">
        <v>6.9008000000000003</v>
      </c>
      <c r="AG284" s="6">
        <f t="shared" si="87"/>
        <v>0</v>
      </c>
      <c r="AH284" s="21">
        <v>45307</v>
      </c>
      <c r="AI284" s="1">
        <v>8.07</v>
      </c>
      <c r="AJ284" s="1">
        <v>7.5079000000000002</v>
      </c>
      <c r="AK284" s="6">
        <f t="shared" si="88"/>
        <v>-3.7023275564638247E-3</v>
      </c>
      <c r="AL284" s="21">
        <v>45307</v>
      </c>
      <c r="AM284" s="1">
        <v>1.44</v>
      </c>
      <c r="AN284" s="1">
        <v>1.44</v>
      </c>
      <c r="AO284" s="6">
        <v>-2.7027027027027084E-2</v>
      </c>
      <c r="AP284" s="21" t="s">
        <v>287</v>
      </c>
      <c r="AQ284" s="1">
        <v>8445.76</v>
      </c>
      <c r="AR284" s="6">
        <v>-4.7358799738494994E-5</v>
      </c>
    </row>
    <row r="285" spans="2:44" x14ac:dyDescent="0.35">
      <c r="B285" s="21">
        <v>45308</v>
      </c>
      <c r="C285" s="1">
        <v>0.64</v>
      </c>
      <c r="D285" s="1">
        <v>0.64</v>
      </c>
      <c r="E285" s="6">
        <f t="shared" si="91"/>
        <v>1.5873015873015817E-2</v>
      </c>
      <c r="F285" s="21">
        <v>45308</v>
      </c>
      <c r="G285" s="1">
        <v>16</v>
      </c>
      <c r="H285" s="1">
        <v>12.0124</v>
      </c>
      <c r="I285" s="6">
        <f t="shared" si="89"/>
        <v>-5.5877946009487145E-3</v>
      </c>
      <c r="J285" s="21">
        <v>45308</v>
      </c>
      <c r="K285" s="1">
        <v>44.1</v>
      </c>
      <c r="L285" s="1">
        <v>29.232900000000001</v>
      </c>
      <c r="M285" s="6">
        <f t="shared" si="84"/>
        <v>1.3324782917655931E-2</v>
      </c>
      <c r="N285" s="21">
        <v>45308</v>
      </c>
      <c r="O285" s="1">
        <v>13.11</v>
      </c>
      <c r="P285" s="1">
        <v>12.239599999999999</v>
      </c>
      <c r="Q285" s="6">
        <f t="shared" si="85"/>
        <v>-2.5284500402163013E-2</v>
      </c>
      <c r="R285" s="21">
        <v>45308</v>
      </c>
      <c r="S285" s="1">
        <v>7.3</v>
      </c>
      <c r="T285" s="1">
        <v>6.8372000000000002</v>
      </c>
      <c r="U285" s="6">
        <f t="shared" si="90"/>
        <v>1.8137415492748055E-2</v>
      </c>
      <c r="V285" s="21">
        <v>45308</v>
      </c>
      <c r="W285" s="1">
        <v>5.6</v>
      </c>
      <c r="X285" s="1">
        <v>4.9669999999999996</v>
      </c>
      <c r="Y285" s="6">
        <f t="shared" si="92"/>
        <v>0</v>
      </c>
      <c r="Z285" s="21">
        <v>45308</v>
      </c>
      <c r="AA285" s="1">
        <v>1.92</v>
      </c>
      <c r="AB285" s="1">
        <v>1.92</v>
      </c>
      <c r="AC285" s="6">
        <f t="shared" si="86"/>
        <v>-1.5384615384615441E-2</v>
      </c>
      <c r="AD285" s="21">
        <v>45308</v>
      </c>
      <c r="AE285" s="1">
        <v>7.39</v>
      </c>
      <c r="AF285" s="1">
        <v>6.9008000000000003</v>
      </c>
      <c r="AG285" s="6">
        <f t="shared" si="87"/>
        <v>0</v>
      </c>
      <c r="AH285" s="21">
        <v>45308</v>
      </c>
      <c r="AI285" s="1">
        <v>8</v>
      </c>
      <c r="AJ285" s="1">
        <v>7.4428000000000001</v>
      </c>
      <c r="AK285" s="6">
        <f t="shared" si="88"/>
        <v>-8.6708666870896067E-3</v>
      </c>
      <c r="AL285" s="21">
        <v>45308</v>
      </c>
      <c r="AM285" s="1">
        <v>1.4</v>
      </c>
      <c r="AN285" s="1">
        <v>1.4</v>
      </c>
      <c r="AO285" s="6">
        <v>-2.777777777777779E-2</v>
      </c>
      <c r="AP285" s="21" t="s">
        <v>288</v>
      </c>
      <c r="AQ285" s="1">
        <v>8404.81</v>
      </c>
      <c r="AR285" s="6">
        <v>-4.8485867464859167E-3</v>
      </c>
    </row>
    <row r="286" spans="2:44" x14ac:dyDescent="0.35">
      <c r="B286" s="21">
        <v>45309</v>
      </c>
      <c r="C286" s="1">
        <v>0.66</v>
      </c>
      <c r="D286" s="1">
        <v>0.66</v>
      </c>
      <c r="E286" s="6">
        <f t="shared" si="91"/>
        <v>3.125E-2</v>
      </c>
      <c r="F286" s="21">
        <v>45309</v>
      </c>
      <c r="G286" s="1">
        <v>15.7</v>
      </c>
      <c r="H286" s="1">
        <v>11.787100000000001</v>
      </c>
      <c r="I286" s="6">
        <f t="shared" si="89"/>
        <v>-1.8755619193499995E-2</v>
      </c>
      <c r="J286" s="21">
        <v>45309</v>
      </c>
      <c r="K286" s="1">
        <v>44.22</v>
      </c>
      <c r="L286" s="1">
        <v>29.3125</v>
      </c>
      <c r="M286" s="6">
        <f t="shared" si="84"/>
        <v>2.7229594053275186E-3</v>
      </c>
      <c r="N286" s="21">
        <v>45309</v>
      </c>
      <c r="O286" s="1">
        <v>12.89</v>
      </c>
      <c r="P286" s="1">
        <v>12.0342</v>
      </c>
      <c r="Q286" s="6">
        <f t="shared" si="85"/>
        <v>-1.6781594169744007E-2</v>
      </c>
      <c r="R286" s="21">
        <v>45309</v>
      </c>
      <c r="S286" s="1">
        <v>7.28</v>
      </c>
      <c r="T286" s="1">
        <v>6.8183999999999996</v>
      </c>
      <c r="U286" s="6">
        <f t="shared" si="90"/>
        <v>-2.7496636049846312E-3</v>
      </c>
      <c r="V286" s="21">
        <v>45309</v>
      </c>
      <c r="W286" s="1">
        <v>5.56</v>
      </c>
      <c r="X286" s="1">
        <v>4.9320000000000004</v>
      </c>
      <c r="Y286" s="6">
        <f t="shared" si="92"/>
        <v>-7.0465069458424123E-3</v>
      </c>
      <c r="Z286" s="21">
        <v>45309</v>
      </c>
      <c r="AA286" s="1">
        <v>1.93</v>
      </c>
      <c r="AB286" s="1">
        <v>1.93</v>
      </c>
      <c r="AC286" s="6">
        <f t="shared" si="86"/>
        <v>5.2083333333332593E-3</v>
      </c>
      <c r="AD286" s="21">
        <v>45309</v>
      </c>
      <c r="AE286" s="1">
        <v>7.5</v>
      </c>
      <c r="AF286" s="1">
        <v>7.0034999999999998</v>
      </c>
      <c r="AG286" s="6">
        <f t="shared" si="87"/>
        <v>1.4882332483190375E-2</v>
      </c>
      <c r="AH286" s="21">
        <v>45309</v>
      </c>
      <c r="AI286" s="1">
        <v>8.08</v>
      </c>
      <c r="AJ286" s="1">
        <v>7.5171999999999999</v>
      </c>
      <c r="AK286" s="6">
        <f t="shared" si="88"/>
        <v>9.9962379749556352E-3</v>
      </c>
      <c r="AL286" s="21">
        <v>45309</v>
      </c>
      <c r="AM286" s="1">
        <v>1.4</v>
      </c>
      <c r="AN286" s="1">
        <v>1.4</v>
      </c>
      <c r="AO286" s="6">
        <v>0</v>
      </c>
      <c r="AP286" s="21" t="s">
        <v>289</v>
      </c>
      <c r="AQ286" s="1">
        <v>8419.19</v>
      </c>
      <c r="AR286" s="6">
        <v>1.7109250536300191E-3</v>
      </c>
    </row>
    <row r="287" spans="2:44" x14ac:dyDescent="0.35">
      <c r="B287" s="21">
        <v>45310</v>
      </c>
      <c r="C287" s="1">
        <v>0.65</v>
      </c>
      <c r="D287" s="1">
        <v>0.65</v>
      </c>
      <c r="E287" s="6">
        <f t="shared" si="91"/>
        <v>-1.5151515151515138E-2</v>
      </c>
      <c r="F287" s="21">
        <v>45310</v>
      </c>
      <c r="G287" s="1">
        <v>15.8</v>
      </c>
      <c r="H287" s="1">
        <v>11.8622</v>
      </c>
      <c r="I287" s="6">
        <f t="shared" si="89"/>
        <v>6.3713720932205842E-3</v>
      </c>
      <c r="J287" s="21">
        <v>45310</v>
      </c>
      <c r="K287" s="1">
        <v>45</v>
      </c>
      <c r="L287" s="1">
        <v>29.829499999999999</v>
      </c>
      <c r="M287" s="6">
        <f t="shared" si="84"/>
        <v>1.7637526652451996E-2</v>
      </c>
      <c r="N287" s="21">
        <v>45310</v>
      </c>
      <c r="O287" s="1">
        <v>12.89</v>
      </c>
      <c r="P287" s="1">
        <v>12.0342</v>
      </c>
      <c r="Q287" s="6">
        <f t="shared" si="85"/>
        <v>0</v>
      </c>
      <c r="R287" s="21">
        <v>45310</v>
      </c>
      <c r="S287" s="1">
        <v>7.22</v>
      </c>
      <c r="T287" s="1">
        <v>6.7622999999999998</v>
      </c>
      <c r="U287" s="6">
        <f t="shared" si="90"/>
        <v>-8.2277367124251599E-3</v>
      </c>
      <c r="V287" s="21">
        <v>45310</v>
      </c>
      <c r="W287" s="1">
        <v>5.6</v>
      </c>
      <c r="X287" s="1">
        <v>4.9669999999999996</v>
      </c>
      <c r="Y287" s="6">
        <f t="shared" si="92"/>
        <v>7.0965125709649968E-3</v>
      </c>
      <c r="Z287" s="21">
        <v>45310</v>
      </c>
      <c r="AA287" s="1">
        <v>1.94</v>
      </c>
      <c r="AB287" s="1">
        <v>1.94</v>
      </c>
      <c r="AC287" s="6">
        <f t="shared" si="86"/>
        <v>5.1813471502590858E-3</v>
      </c>
      <c r="AD287" s="21">
        <v>45310</v>
      </c>
      <c r="AE287" s="1">
        <v>7.48</v>
      </c>
      <c r="AF287" s="1">
        <v>6.9847999999999999</v>
      </c>
      <c r="AG287" s="6">
        <f t="shared" si="87"/>
        <v>-2.6700935246661839E-3</v>
      </c>
      <c r="AH287" s="21">
        <v>45310</v>
      </c>
      <c r="AI287" s="1">
        <v>7.99</v>
      </c>
      <c r="AJ287" s="1">
        <v>7.4335000000000004</v>
      </c>
      <c r="AK287" s="6">
        <f t="shared" si="88"/>
        <v>-1.1134464960357526E-2</v>
      </c>
      <c r="AL287" s="21">
        <v>45310</v>
      </c>
      <c r="AM287" s="1">
        <v>1.4</v>
      </c>
      <c r="AN287" s="1">
        <v>1.4</v>
      </c>
      <c r="AO287" s="6">
        <v>0</v>
      </c>
      <c r="AP287" s="21" t="s">
        <v>290</v>
      </c>
      <c r="AQ287" s="1">
        <v>8414.74</v>
      </c>
      <c r="AR287" s="6">
        <v>-5.2855440962851219E-4</v>
      </c>
    </row>
    <row r="288" spans="2:44" x14ac:dyDescent="0.35">
      <c r="B288" s="21">
        <v>45313</v>
      </c>
      <c r="C288" s="1">
        <v>0.66</v>
      </c>
      <c r="D288" s="1">
        <v>0.66</v>
      </c>
      <c r="E288" s="6">
        <f t="shared" si="91"/>
        <v>1.538461538461533E-2</v>
      </c>
      <c r="F288" s="21">
        <v>45313</v>
      </c>
      <c r="G288" s="1">
        <v>15.8</v>
      </c>
      <c r="H288" s="1">
        <v>11.8622</v>
      </c>
      <c r="I288" s="6">
        <f t="shared" si="89"/>
        <v>0</v>
      </c>
      <c r="J288" s="21">
        <v>45313</v>
      </c>
      <c r="K288" s="1">
        <v>45.8</v>
      </c>
      <c r="L288" s="1">
        <v>30.3598</v>
      </c>
      <c r="M288" s="6">
        <f t="shared" si="84"/>
        <v>1.7777703280309698E-2</v>
      </c>
      <c r="N288" s="21">
        <v>45313</v>
      </c>
      <c r="O288" s="1">
        <v>12.9</v>
      </c>
      <c r="P288" s="1">
        <v>12.0436</v>
      </c>
      <c r="Q288" s="6">
        <f t="shared" si="85"/>
        <v>7.8110717787627237E-4</v>
      </c>
      <c r="R288" s="21">
        <v>45313</v>
      </c>
      <c r="S288" s="1">
        <v>7.2</v>
      </c>
      <c r="T288" s="1">
        <v>6.7435</v>
      </c>
      <c r="U288" s="6">
        <f t="shared" si="90"/>
        <v>-2.780119190216257E-3</v>
      </c>
      <c r="V288" s="21">
        <v>45313</v>
      </c>
      <c r="W288" s="1">
        <v>5.6</v>
      </c>
      <c r="X288" s="1">
        <v>4.9669999999999996</v>
      </c>
      <c r="Y288" s="6">
        <f t="shared" si="92"/>
        <v>0</v>
      </c>
      <c r="Z288" s="21">
        <v>45313</v>
      </c>
      <c r="AA288" s="1">
        <v>1.91</v>
      </c>
      <c r="AB288" s="1">
        <v>1.91</v>
      </c>
      <c r="AC288" s="6">
        <f t="shared" si="86"/>
        <v>-1.5463917525773252E-2</v>
      </c>
      <c r="AD288" s="21">
        <v>45313</v>
      </c>
      <c r="AE288" s="1">
        <v>7.5</v>
      </c>
      <c r="AF288" s="1">
        <v>7.0034999999999998</v>
      </c>
      <c r="AG288" s="6">
        <f t="shared" si="87"/>
        <v>2.6772420112244344E-3</v>
      </c>
      <c r="AH288" s="21">
        <v>45313</v>
      </c>
      <c r="AI288" s="1">
        <v>8</v>
      </c>
      <c r="AJ288" s="1">
        <v>7.4428000000000001</v>
      </c>
      <c r="AK288" s="6">
        <f t="shared" si="88"/>
        <v>1.2510930248199603E-3</v>
      </c>
      <c r="AL288" s="21">
        <v>45313</v>
      </c>
      <c r="AM288" s="1">
        <v>1.45</v>
      </c>
      <c r="AN288" s="1">
        <v>1.45</v>
      </c>
      <c r="AO288" s="6">
        <v>3.5714285714285809E-2</v>
      </c>
      <c r="AP288" s="21" t="s">
        <v>291</v>
      </c>
      <c r="AQ288" s="1">
        <v>8436.68</v>
      </c>
      <c r="AR288" s="6">
        <v>2.6073295193911328E-3</v>
      </c>
    </row>
    <row r="289" spans="2:44" x14ac:dyDescent="0.35">
      <c r="B289" s="21">
        <v>45314</v>
      </c>
      <c r="C289" s="1">
        <v>0.67</v>
      </c>
      <c r="D289" s="1">
        <v>0.67</v>
      </c>
      <c r="E289" s="6">
        <f t="shared" si="91"/>
        <v>1.5151515151515138E-2</v>
      </c>
      <c r="F289" s="21">
        <v>45314</v>
      </c>
      <c r="G289" s="1">
        <v>15.72</v>
      </c>
      <c r="H289" s="1">
        <v>11.802199999999999</v>
      </c>
      <c r="I289" s="6">
        <f t="shared" si="89"/>
        <v>-5.058083660703816E-3</v>
      </c>
      <c r="J289" s="21">
        <v>45314</v>
      </c>
      <c r="K289" s="1">
        <v>46</v>
      </c>
      <c r="L289" s="1">
        <v>30.4924</v>
      </c>
      <c r="M289" s="6">
        <f t="shared" si="84"/>
        <v>4.3676177049913889E-3</v>
      </c>
      <c r="N289" s="21">
        <v>45314</v>
      </c>
      <c r="O289" s="1">
        <v>12.8</v>
      </c>
      <c r="P289" s="1">
        <v>11.950200000000001</v>
      </c>
      <c r="Q289" s="6">
        <f t="shared" si="85"/>
        <v>-7.7551562655683304E-3</v>
      </c>
      <c r="R289" s="21">
        <v>45314</v>
      </c>
      <c r="S289" s="1">
        <v>7.15</v>
      </c>
      <c r="T289" s="1">
        <v>6.6966999999999999</v>
      </c>
      <c r="U289" s="6">
        <f t="shared" si="90"/>
        <v>-6.940016312004138E-3</v>
      </c>
      <c r="V289" s="21">
        <v>45314</v>
      </c>
      <c r="W289" s="1">
        <v>5.68</v>
      </c>
      <c r="X289" s="1">
        <v>5.0380000000000003</v>
      </c>
      <c r="Y289" s="6">
        <f t="shared" si="92"/>
        <v>1.4294342661566484E-2</v>
      </c>
      <c r="Z289" s="21">
        <v>45314</v>
      </c>
      <c r="AA289" s="1">
        <v>1.9</v>
      </c>
      <c r="AB289" s="1">
        <v>1.9</v>
      </c>
      <c r="AC289" s="6">
        <f t="shared" si="86"/>
        <v>-5.2356020942407877E-3</v>
      </c>
      <c r="AD289" s="21">
        <v>45314</v>
      </c>
      <c r="AE289" s="1">
        <v>7.5</v>
      </c>
      <c r="AF289" s="1">
        <v>7.0034999999999998</v>
      </c>
      <c r="AG289" s="6">
        <f t="shared" si="87"/>
        <v>0</v>
      </c>
      <c r="AH289" s="21">
        <v>45314</v>
      </c>
      <c r="AI289" s="1">
        <v>7.95</v>
      </c>
      <c r="AJ289" s="1">
        <v>7.3962000000000003</v>
      </c>
      <c r="AK289" s="6">
        <f t="shared" si="88"/>
        <v>-6.2610845380770552E-3</v>
      </c>
      <c r="AL289" s="21">
        <v>45314</v>
      </c>
      <c r="AM289" s="1">
        <v>1.47</v>
      </c>
      <c r="AN289" s="1">
        <v>1.47</v>
      </c>
      <c r="AO289" s="6">
        <v>1.379310344827589E-2</v>
      </c>
      <c r="AP289" s="21" t="s">
        <v>292</v>
      </c>
      <c r="AQ289" s="1">
        <v>8419.92</v>
      </c>
      <c r="AR289" s="6">
        <v>-1.9865634349056638E-3</v>
      </c>
    </row>
    <row r="290" spans="2:44" x14ac:dyDescent="0.35">
      <c r="B290" s="21">
        <v>45315</v>
      </c>
      <c r="C290" s="1">
        <v>0.68</v>
      </c>
      <c r="D290" s="1">
        <v>0.68</v>
      </c>
      <c r="E290" s="6">
        <f t="shared" si="91"/>
        <v>1.4925373134328401E-2</v>
      </c>
      <c r="F290" s="21">
        <v>45315</v>
      </c>
      <c r="G290" s="1">
        <v>15.72</v>
      </c>
      <c r="H290" s="1">
        <v>11.802199999999999</v>
      </c>
      <c r="I290" s="6">
        <f t="shared" si="89"/>
        <v>0</v>
      </c>
      <c r="J290" s="21">
        <v>45315</v>
      </c>
      <c r="K290" s="1">
        <v>46.05</v>
      </c>
      <c r="L290" s="1">
        <v>30.525500000000001</v>
      </c>
      <c r="M290" s="6">
        <f t="shared" si="84"/>
        <v>1.0855163909695431E-3</v>
      </c>
      <c r="N290" s="21">
        <v>45315</v>
      </c>
      <c r="O290" s="1">
        <v>12.64</v>
      </c>
      <c r="P290" s="1">
        <v>11.800800000000001</v>
      </c>
      <c r="Q290" s="6">
        <f t="shared" si="85"/>
        <v>-1.2501882813676701E-2</v>
      </c>
      <c r="R290" s="21">
        <v>45315</v>
      </c>
      <c r="S290" s="1">
        <v>7</v>
      </c>
      <c r="T290" s="1">
        <v>6.5561999999999996</v>
      </c>
      <c r="U290" s="6">
        <f t="shared" si="90"/>
        <v>-2.0980482924425559E-2</v>
      </c>
      <c r="V290" s="21">
        <v>45315</v>
      </c>
      <c r="W290" s="1">
        <v>5.6</v>
      </c>
      <c r="X290" s="1">
        <v>4.9669999999999996</v>
      </c>
      <c r="Y290" s="6">
        <f t="shared" si="92"/>
        <v>-1.409289400555791E-2</v>
      </c>
      <c r="Z290" s="21">
        <v>45315</v>
      </c>
      <c r="AA290" s="1">
        <v>1.9</v>
      </c>
      <c r="AB290" s="1">
        <v>1.9</v>
      </c>
      <c r="AC290" s="6">
        <f t="shared" si="86"/>
        <v>0</v>
      </c>
      <c r="AD290" s="21">
        <v>45315</v>
      </c>
      <c r="AE290" s="1">
        <v>7.4</v>
      </c>
      <c r="AF290" s="1">
        <v>6.9100999999999999</v>
      </c>
      <c r="AG290" s="6">
        <f t="shared" si="87"/>
        <v>-1.3336189048333003E-2</v>
      </c>
      <c r="AH290" s="21">
        <v>45315</v>
      </c>
      <c r="AI290" s="1">
        <v>7.98</v>
      </c>
      <c r="AJ290" s="1">
        <v>7.4241999999999999</v>
      </c>
      <c r="AK290" s="6">
        <f t="shared" si="88"/>
        <v>3.7857278061705912E-3</v>
      </c>
      <c r="AL290" s="21">
        <v>45315</v>
      </c>
      <c r="AM290" s="1">
        <v>1.47</v>
      </c>
      <c r="AN290" s="1">
        <v>1.47</v>
      </c>
      <c r="AO290" s="6">
        <v>0</v>
      </c>
      <c r="AP290" s="21" t="s">
        <v>293</v>
      </c>
      <c r="AQ290" s="1">
        <v>8430.41</v>
      </c>
      <c r="AR290" s="6">
        <v>1.2458550675065183E-3</v>
      </c>
    </row>
    <row r="291" spans="2:44" x14ac:dyDescent="0.35">
      <c r="B291" s="21">
        <v>45316</v>
      </c>
      <c r="C291" s="1">
        <v>0.69</v>
      </c>
      <c r="D291" s="1">
        <v>0.69</v>
      </c>
      <c r="E291" s="6">
        <f t="shared" si="91"/>
        <v>1.4705882352941124E-2</v>
      </c>
      <c r="F291" s="21">
        <v>45316</v>
      </c>
      <c r="G291" s="1">
        <v>15.85</v>
      </c>
      <c r="H291" s="1">
        <v>11.899800000000001</v>
      </c>
      <c r="I291" s="6">
        <f t="shared" si="89"/>
        <v>8.269644642524332E-3</v>
      </c>
      <c r="J291" s="21">
        <v>45316</v>
      </c>
      <c r="K291" s="1">
        <v>46.35</v>
      </c>
      <c r="L291" s="1">
        <v>30.724399999999999</v>
      </c>
      <c r="M291" s="6">
        <f t="shared" si="84"/>
        <v>6.5158637860149859E-3</v>
      </c>
      <c r="N291" s="21">
        <v>45316</v>
      </c>
      <c r="O291" s="1">
        <v>12.43</v>
      </c>
      <c r="P291" s="1">
        <v>11.604799999999999</v>
      </c>
      <c r="Q291" s="6">
        <f t="shared" si="85"/>
        <v>-1.6609043454681172E-2</v>
      </c>
      <c r="R291" s="21">
        <v>45316</v>
      </c>
      <c r="S291" s="1">
        <v>7.2</v>
      </c>
      <c r="T291" s="1">
        <v>6.7435</v>
      </c>
      <c r="U291" s="6">
        <f t="shared" si="90"/>
        <v>2.8568378023855256E-2</v>
      </c>
      <c r="V291" s="21">
        <v>45316</v>
      </c>
      <c r="W291" s="1">
        <v>5.5</v>
      </c>
      <c r="X291" s="1">
        <v>4.8789999999999996</v>
      </c>
      <c r="Y291" s="6">
        <f t="shared" si="92"/>
        <v>-1.7716931749547027E-2</v>
      </c>
      <c r="Z291" s="21">
        <v>45316</v>
      </c>
      <c r="AA291" s="1">
        <v>1.88</v>
      </c>
      <c r="AB291" s="1">
        <v>1.88</v>
      </c>
      <c r="AC291" s="6">
        <f t="shared" si="86"/>
        <v>-1.0526315789473717E-2</v>
      </c>
      <c r="AD291" s="21">
        <v>45316</v>
      </c>
      <c r="AE291" s="1">
        <v>7.49</v>
      </c>
      <c r="AF291" s="1">
        <v>6.9941000000000004</v>
      </c>
      <c r="AG291" s="6">
        <f t="shared" si="87"/>
        <v>1.2156119303628143E-2</v>
      </c>
      <c r="AH291" s="21">
        <v>45316</v>
      </c>
      <c r="AI291" s="1">
        <v>7.9</v>
      </c>
      <c r="AJ291" s="1">
        <v>7.3497000000000003</v>
      </c>
      <c r="AK291" s="6">
        <f t="shared" si="88"/>
        <v>-1.0034751218986449E-2</v>
      </c>
      <c r="AL291" s="21">
        <v>45316</v>
      </c>
      <c r="AM291" s="1">
        <v>1.47</v>
      </c>
      <c r="AN291" s="1">
        <v>1.47</v>
      </c>
      <c r="AO291" s="6">
        <v>0</v>
      </c>
      <c r="AP291" s="21" t="s">
        <v>294</v>
      </c>
      <c r="AQ291" s="1">
        <v>8431.42</v>
      </c>
      <c r="AR291" s="6">
        <v>1.1980437487624229E-4</v>
      </c>
    </row>
    <row r="292" spans="2:44" x14ac:dyDescent="0.35">
      <c r="B292" s="21">
        <v>45317</v>
      </c>
      <c r="C292" s="1">
        <v>0.69</v>
      </c>
      <c r="D292" s="1">
        <v>0.69</v>
      </c>
      <c r="E292" s="6">
        <f t="shared" si="91"/>
        <v>0</v>
      </c>
      <c r="F292" s="21">
        <v>45317</v>
      </c>
      <c r="G292" s="1">
        <v>15.85</v>
      </c>
      <c r="H292" s="1">
        <v>11.899800000000001</v>
      </c>
      <c r="I292" s="6">
        <f t="shared" si="89"/>
        <v>0</v>
      </c>
      <c r="J292" s="21">
        <v>45317</v>
      </c>
      <c r="K292" s="1">
        <v>46.35</v>
      </c>
      <c r="L292" s="1">
        <v>30.724399999999999</v>
      </c>
      <c r="M292" s="6">
        <f t="shared" si="84"/>
        <v>0</v>
      </c>
      <c r="N292" s="21">
        <v>45317</v>
      </c>
      <c r="O292" s="1">
        <v>12.29</v>
      </c>
      <c r="P292" s="1">
        <v>11.4741</v>
      </c>
      <c r="Q292" s="6">
        <f t="shared" si="85"/>
        <v>-1.1262581000965E-2</v>
      </c>
      <c r="R292" s="21">
        <v>45317</v>
      </c>
      <c r="S292" s="1">
        <v>7.19</v>
      </c>
      <c r="T292" s="1">
        <v>6.7342000000000004</v>
      </c>
      <c r="U292" s="6">
        <f t="shared" si="90"/>
        <v>-1.3791058055905303E-3</v>
      </c>
      <c r="V292" s="21">
        <v>45317</v>
      </c>
      <c r="W292" s="1">
        <v>5.6</v>
      </c>
      <c r="X292" s="1">
        <v>4.9669999999999996</v>
      </c>
      <c r="Y292" s="6">
        <f t="shared" si="92"/>
        <v>1.8036482885837257E-2</v>
      </c>
      <c r="Z292" s="21">
        <v>45317</v>
      </c>
      <c r="AA292" s="1">
        <v>1.87</v>
      </c>
      <c r="AB292" s="1">
        <v>1.87</v>
      </c>
      <c r="AC292" s="6">
        <f t="shared" si="86"/>
        <v>-5.3191489361701372E-3</v>
      </c>
      <c r="AD292" s="21">
        <v>45317</v>
      </c>
      <c r="AE292" s="1">
        <v>7.48</v>
      </c>
      <c r="AF292" s="1">
        <v>6.9847999999999999</v>
      </c>
      <c r="AG292" s="6">
        <f t="shared" si="87"/>
        <v>-1.3296921691140495E-3</v>
      </c>
      <c r="AH292" s="21">
        <v>45317</v>
      </c>
      <c r="AI292" s="1">
        <v>7.85</v>
      </c>
      <c r="AJ292" s="1">
        <v>7.3032000000000004</v>
      </c>
      <c r="AK292" s="6">
        <f t="shared" si="88"/>
        <v>-6.326788848524445E-3</v>
      </c>
      <c r="AL292" s="21">
        <v>45317</v>
      </c>
      <c r="AM292" s="1">
        <v>1.41</v>
      </c>
      <c r="AN292" s="1">
        <v>1.41</v>
      </c>
      <c r="AO292" s="6">
        <v>-4.081632653061229E-2</v>
      </c>
      <c r="AP292" s="21" t="s">
        <v>295</v>
      </c>
      <c r="AQ292" s="1">
        <v>8422.5</v>
      </c>
      <c r="AR292" s="6">
        <v>-1.057947534341741E-3</v>
      </c>
    </row>
    <row r="293" spans="2:44" x14ac:dyDescent="0.35">
      <c r="B293" s="21">
        <v>45320</v>
      </c>
      <c r="C293" s="1">
        <v>0.68</v>
      </c>
      <c r="D293" s="1">
        <v>0.68</v>
      </c>
      <c r="E293" s="6">
        <f t="shared" si="91"/>
        <v>-1.4492753623188248E-2</v>
      </c>
      <c r="F293" s="21">
        <v>45320</v>
      </c>
      <c r="G293" s="1">
        <v>15.99</v>
      </c>
      <c r="H293" s="1">
        <v>12.004899999999999</v>
      </c>
      <c r="I293" s="6">
        <f t="shared" si="89"/>
        <v>8.8320812114488501E-3</v>
      </c>
      <c r="J293" s="21">
        <v>45320</v>
      </c>
      <c r="K293" s="1">
        <v>46.45</v>
      </c>
      <c r="L293" s="1">
        <v>30.790700000000001</v>
      </c>
      <c r="M293" s="6">
        <f t="shared" si="84"/>
        <v>2.1578940516333578E-3</v>
      </c>
      <c r="N293" s="21">
        <v>45320</v>
      </c>
      <c r="O293" s="1">
        <v>12.89</v>
      </c>
      <c r="P293" s="1">
        <v>12.0342</v>
      </c>
      <c r="Q293" s="6">
        <f t="shared" si="85"/>
        <v>4.8814286087797809E-2</v>
      </c>
      <c r="R293" s="21">
        <v>45320</v>
      </c>
      <c r="S293" s="1">
        <v>7.2</v>
      </c>
      <c r="T293" s="1">
        <v>6.7435</v>
      </c>
      <c r="U293" s="6">
        <f t="shared" si="90"/>
        <v>1.3810103650024885E-3</v>
      </c>
      <c r="V293" s="21">
        <v>45320</v>
      </c>
      <c r="W293" s="1">
        <v>5.38</v>
      </c>
      <c r="X293" s="1">
        <v>4.7720000000000002</v>
      </c>
      <c r="Y293" s="6">
        <f t="shared" si="92"/>
        <v>-3.9259110126837027E-2</v>
      </c>
      <c r="Z293" s="21">
        <v>45320</v>
      </c>
      <c r="AA293" s="1">
        <v>1.91</v>
      </c>
      <c r="AB293" s="1">
        <v>1.91</v>
      </c>
      <c r="AC293" s="6">
        <f t="shared" si="86"/>
        <v>2.1390374331550666E-2</v>
      </c>
      <c r="AD293" s="21">
        <v>45320</v>
      </c>
      <c r="AE293" s="1">
        <v>7.47</v>
      </c>
      <c r="AF293" s="1">
        <v>6.9755000000000003</v>
      </c>
      <c r="AG293" s="6">
        <f t="shared" si="87"/>
        <v>-1.3314626045125566E-3</v>
      </c>
      <c r="AH293" s="21">
        <v>45320</v>
      </c>
      <c r="AI293" s="1">
        <v>7.9</v>
      </c>
      <c r="AJ293" s="1">
        <v>7.3497000000000003</v>
      </c>
      <c r="AK293" s="6">
        <f t="shared" si="88"/>
        <v>6.3670719684520982E-3</v>
      </c>
      <c r="AL293" s="21">
        <v>45320</v>
      </c>
      <c r="AM293" s="1">
        <v>1.41</v>
      </c>
      <c r="AN293" s="1">
        <v>1.41</v>
      </c>
      <c r="AO293" s="6">
        <v>0</v>
      </c>
      <c r="AP293" s="21" t="s">
        <v>296</v>
      </c>
      <c r="AQ293" s="1">
        <v>8430.3799999999992</v>
      </c>
      <c r="AR293" s="6">
        <v>9.3558919560687848E-4</v>
      </c>
    </row>
    <row r="294" spans="2:44" x14ac:dyDescent="0.35">
      <c r="B294" s="21">
        <v>45321</v>
      </c>
      <c r="C294" s="1">
        <v>0.69</v>
      </c>
      <c r="D294" s="1">
        <v>0.69</v>
      </c>
      <c r="E294" s="6">
        <f t="shared" si="91"/>
        <v>1.4705882352941124E-2</v>
      </c>
      <c r="F294" s="21">
        <v>45321</v>
      </c>
      <c r="G294" s="1">
        <v>15.99</v>
      </c>
      <c r="H294" s="1">
        <v>12.004899999999999</v>
      </c>
      <c r="I294" s="6">
        <f t="shared" si="89"/>
        <v>0</v>
      </c>
      <c r="J294" s="21">
        <v>45321</v>
      </c>
      <c r="K294" s="1">
        <v>46.45</v>
      </c>
      <c r="L294" s="1">
        <v>30.790700000000001</v>
      </c>
      <c r="M294" s="6">
        <f t="shared" si="84"/>
        <v>0</v>
      </c>
      <c r="N294" s="21">
        <v>45321</v>
      </c>
      <c r="O294" s="1">
        <v>13</v>
      </c>
      <c r="P294" s="1">
        <v>12.136900000000001</v>
      </c>
      <c r="Q294" s="6">
        <f t="shared" si="85"/>
        <v>8.5340114008409795E-3</v>
      </c>
      <c r="R294" s="21">
        <v>45321</v>
      </c>
      <c r="S294" s="1">
        <v>7.26</v>
      </c>
      <c r="T294" s="1">
        <v>6.7996999999999996</v>
      </c>
      <c r="U294" s="6">
        <f t="shared" si="90"/>
        <v>8.3339512122784232E-3</v>
      </c>
      <c r="V294" s="21">
        <v>45321</v>
      </c>
      <c r="W294" s="1">
        <v>5.55</v>
      </c>
      <c r="X294" s="1">
        <v>4.923</v>
      </c>
      <c r="Y294" s="6">
        <f t="shared" si="92"/>
        <v>3.1642917015926253E-2</v>
      </c>
      <c r="Z294" s="21">
        <v>45321</v>
      </c>
      <c r="AA294" s="1">
        <v>1.91</v>
      </c>
      <c r="AB294" s="1">
        <v>1.91</v>
      </c>
      <c r="AC294" s="6">
        <f t="shared" si="86"/>
        <v>0</v>
      </c>
      <c r="AD294" s="21">
        <v>45321</v>
      </c>
      <c r="AE294" s="1">
        <v>7.47</v>
      </c>
      <c r="AF294" s="1">
        <v>6.9755000000000003</v>
      </c>
      <c r="AG294" s="6">
        <f t="shared" si="87"/>
        <v>0</v>
      </c>
      <c r="AH294" s="21">
        <v>45321</v>
      </c>
      <c r="AI294" s="1">
        <v>7.9</v>
      </c>
      <c r="AJ294" s="1">
        <v>7.3497000000000003</v>
      </c>
      <c r="AK294" s="6">
        <f t="shared" si="88"/>
        <v>0</v>
      </c>
      <c r="AL294" s="21">
        <v>45321</v>
      </c>
      <c r="AM294" s="1">
        <v>1.41</v>
      </c>
      <c r="AN294" s="1">
        <v>1.41</v>
      </c>
      <c r="AO294" s="6">
        <v>0</v>
      </c>
      <c r="AP294" s="21" t="s">
        <v>297</v>
      </c>
      <c r="AQ294" s="1">
        <v>8416.83</v>
      </c>
      <c r="AR294" s="6">
        <v>-1.6072822340155168E-3</v>
      </c>
    </row>
    <row r="295" spans="2:44" x14ac:dyDescent="0.35">
      <c r="B295" s="21">
        <v>45322</v>
      </c>
      <c r="C295" s="1">
        <v>0.69</v>
      </c>
      <c r="D295" s="1">
        <v>0.69</v>
      </c>
      <c r="E295" s="6">
        <f t="shared" si="91"/>
        <v>0</v>
      </c>
      <c r="F295" s="21">
        <v>45322</v>
      </c>
      <c r="G295" s="1">
        <v>15.9</v>
      </c>
      <c r="H295" s="1">
        <v>11.9373</v>
      </c>
      <c r="I295" s="6">
        <f t="shared" si="89"/>
        <v>-5.6310339944521948E-3</v>
      </c>
      <c r="J295" s="21">
        <v>45322</v>
      </c>
      <c r="K295" s="1">
        <v>46.59</v>
      </c>
      <c r="L295" s="1">
        <v>30.883500000000002</v>
      </c>
      <c r="M295" s="6">
        <f t="shared" si="84"/>
        <v>3.0138970533311049E-3</v>
      </c>
      <c r="N295" s="21">
        <v>45322</v>
      </c>
      <c r="O295" s="1">
        <v>13</v>
      </c>
      <c r="P295" s="1">
        <v>12.136900000000001</v>
      </c>
      <c r="Q295" s="6">
        <f t="shared" si="85"/>
        <v>0</v>
      </c>
      <c r="R295" s="21">
        <v>45322</v>
      </c>
      <c r="S295" s="1">
        <v>7.25</v>
      </c>
      <c r="T295" s="1">
        <v>6.7904</v>
      </c>
      <c r="U295" s="6">
        <f t="shared" si="90"/>
        <v>-1.367707398855833E-3</v>
      </c>
      <c r="V295" s="21">
        <v>45322</v>
      </c>
      <c r="W295" s="1">
        <v>5.6</v>
      </c>
      <c r="X295" s="1">
        <v>4.9669999999999996</v>
      </c>
      <c r="Y295" s="6">
        <f t="shared" si="92"/>
        <v>8.9376396506195555E-3</v>
      </c>
      <c r="Z295" s="21">
        <v>45322</v>
      </c>
      <c r="AA295" s="1">
        <v>1.91</v>
      </c>
      <c r="AB295" s="1">
        <v>1.91</v>
      </c>
      <c r="AC295" s="6">
        <f t="shared" si="86"/>
        <v>0</v>
      </c>
      <c r="AD295" s="21">
        <v>45322</v>
      </c>
      <c r="AE295" s="1">
        <v>7.44</v>
      </c>
      <c r="AF295" s="1">
        <v>6.9474</v>
      </c>
      <c r="AG295" s="6">
        <f t="shared" si="87"/>
        <v>-4.0283850620027595E-3</v>
      </c>
      <c r="AH295" s="21">
        <v>45322</v>
      </c>
      <c r="AI295" s="1">
        <v>7.85</v>
      </c>
      <c r="AJ295" s="1">
        <v>7.3032000000000004</v>
      </c>
      <c r="AK295" s="6">
        <f t="shared" si="88"/>
        <v>-6.326788848524445E-3</v>
      </c>
      <c r="AL295" s="21">
        <v>45322</v>
      </c>
      <c r="AM295" s="1">
        <v>1.41</v>
      </c>
      <c r="AN295" s="1">
        <v>1.41</v>
      </c>
      <c r="AO295" s="6">
        <v>0</v>
      </c>
      <c r="AP295" s="21" t="s">
        <v>298</v>
      </c>
      <c r="AQ295" s="1">
        <v>8416.4599999999991</v>
      </c>
      <c r="AR295" s="6">
        <v>-4.3959542963434295E-5</v>
      </c>
    </row>
    <row r="296" spans="2:44" x14ac:dyDescent="0.35">
      <c r="B296" s="21">
        <v>45323</v>
      </c>
      <c r="C296" s="1">
        <v>0.69</v>
      </c>
      <c r="D296" s="1">
        <v>0.69</v>
      </c>
      <c r="E296" s="6">
        <f t="shared" si="91"/>
        <v>0</v>
      </c>
      <c r="F296" s="21">
        <v>45323</v>
      </c>
      <c r="G296" s="1">
        <v>15.9</v>
      </c>
      <c r="H296" s="1">
        <v>11.9373</v>
      </c>
      <c r="I296" s="6">
        <f t="shared" si="89"/>
        <v>0</v>
      </c>
      <c r="J296" s="21">
        <v>45323</v>
      </c>
      <c r="K296" s="1">
        <v>45.99</v>
      </c>
      <c r="L296" s="1">
        <v>30.485800000000001</v>
      </c>
      <c r="M296" s="6">
        <f t="shared" si="84"/>
        <v>-1.2877426457493457E-2</v>
      </c>
      <c r="N296" s="21">
        <v>45323</v>
      </c>
      <c r="O296" s="1">
        <v>12.75</v>
      </c>
      <c r="P296" s="1">
        <v>11.903499999999999</v>
      </c>
      <c r="Q296" s="6">
        <f t="shared" si="85"/>
        <v>-1.9230610781995505E-2</v>
      </c>
      <c r="R296" s="21">
        <v>45323</v>
      </c>
      <c r="S296" s="1">
        <v>7.2</v>
      </c>
      <c r="T296" s="1">
        <v>6.7435</v>
      </c>
      <c r="U296" s="6">
        <f t="shared" si="90"/>
        <v>-6.9068096135720403E-3</v>
      </c>
      <c r="V296" s="21">
        <v>45323</v>
      </c>
      <c r="W296" s="1">
        <v>5.45</v>
      </c>
      <c r="X296" s="1">
        <v>4.8339999999999996</v>
      </c>
      <c r="Y296" s="6">
        <f t="shared" si="92"/>
        <v>-2.67767263942017E-2</v>
      </c>
      <c r="Z296" s="21">
        <v>45323</v>
      </c>
      <c r="AA296" s="1">
        <v>1.88</v>
      </c>
      <c r="AB296" s="1">
        <v>1.88</v>
      </c>
      <c r="AC296" s="6">
        <f t="shared" si="86"/>
        <v>-1.5706806282722474E-2</v>
      </c>
      <c r="AD296" s="21">
        <v>45323</v>
      </c>
      <c r="AE296" s="1">
        <v>7.25</v>
      </c>
      <c r="AF296" s="1">
        <v>6.77</v>
      </c>
      <c r="AG296" s="6">
        <f t="shared" si="87"/>
        <v>-2.5534732417883066E-2</v>
      </c>
      <c r="AH296" s="21">
        <v>45323</v>
      </c>
      <c r="AI296" s="1">
        <v>7.85</v>
      </c>
      <c r="AJ296" s="1">
        <v>7.3032000000000004</v>
      </c>
      <c r="AK296" s="6">
        <f t="shared" si="88"/>
        <v>0</v>
      </c>
      <c r="AL296" s="21">
        <v>45323</v>
      </c>
      <c r="AM296" s="1">
        <v>1.47</v>
      </c>
      <c r="AN296" s="1">
        <v>1.47</v>
      </c>
      <c r="AO296" s="6">
        <v>4.2553191489361764E-2</v>
      </c>
      <c r="AP296" s="21" t="s">
        <v>299</v>
      </c>
      <c r="AQ296" s="1">
        <v>8386.65</v>
      </c>
      <c r="AR296" s="6">
        <v>-3.5418691468859231E-3</v>
      </c>
    </row>
    <row r="297" spans="2:44" x14ac:dyDescent="0.35">
      <c r="B297" s="21">
        <v>45324</v>
      </c>
      <c r="C297" s="1">
        <v>0.7</v>
      </c>
      <c r="D297" s="1">
        <v>0.7</v>
      </c>
      <c r="E297" s="6">
        <f t="shared" si="91"/>
        <v>1.449275362318847E-2</v>
      </c>
      <c r="F297" s="21">
        <v>45324</v>
      </c>
      <c r="G297" s="1">
        <v>15.9</v>
      </c>
      <c r="H297" s="1">
        <v>11.9373</v>
      </c>
      <c r="I297" s="6">
        <f t="shared" si="89"/>
        <v>0</v>
      </c>
      <c r="J297" s="21">
        <v>45324</v>
      </c>
      <c r="K297" s="1">
        <v>46</v>
      </c>
      <c r="L297" s="1">
        <v>30.4924</v>
      </c>
      <c r="M297" s="6">
        <f t="shared" si="84"/>
        <v>2.164942366609246E-4</v>
      </c>
      <c r="N297" s="21">
        <v>45324</v>
      </c>
      <c r="O297" s="1">
        <v>12.99</v>
      </c>
      <c r="P297" s="1">
        <v>12.127599999999999</v>
      </c>
      <c r="Q297" s="6">
        <f t="shared" si="85"/>
        <v>1.882639559793331E-2</v>
      </c>
      <c r="R297" s="21">
        <v>45324</v>
      </c>
      <c r="S297" s="1">
        <v>7.16</v>
      </c>
      <c r="T297" s="1">
        <v>6.7061000000000002</v>
      </c>
      <c r="U297" s="6">
        <f t="shared" si="90"/>
        <v>-5.5460814117297419E-3</v>
      </c>
      <c r="V297" s="21">
        <v>45324</v>
      </c>
      <c r="W297" s="1">
        <v>5.5</v>
      </c>
      <c r="X297" s="1">
        <v>4.8789999999999996</v>
      </c>
      <c r="Y297" s="6">
        <f t="shared" si="92"/>
        <v>9.3090608191972457E-3</v>
      </c>
      <c r="Z297" s="21">
        <v>45324</v>
      </c>
      <c r="AA297" s="1">
        <v>1.87</v>
      </c>
      <c r="AB297" s="1">
        <v>1.87</v>
      </c>
      <c r="AC297" s="6">
        <f t="shared" si="86"/>
        <v>-5.3191489361701372E-3</v>
      </c>
      <c r="AD297" s="21">
        <v>45324</v>
      </c>
      <c r="AE297" s="1">
        <v>7.3</v>
      </c>
      <c r="AF297" s="1">
        <v>6.8167</v>
      </c>
      <c r="AG297" s="6">
        <f t="shared" si="87"/>
        <v>6.8980797636633007E-3</v>
      </c>
      <c r="AH297" s="21">
        <v>45324</v>
      </c>
      <c r="AI297" s="1">
        <v>7.8</v>
      </c>
      <c r="AJ297" s="1">
        <v>7.2567000000000004</v>
      </c>
      <c r="AK297" s="6">
        <f t="shared" si="88"/>
        <v>-6.3670719684522092E-3</v>
      </c>
      <c r="AL297" s="21">
        <v>45324</v>
      </c>
      <c r="AM297" s="1">
        <v>1.47</v>
      </c>
      <c r="AN297" s="1">
        <v>1.47</v>
      </c>
      <c r="AO297" s="6">
        <v>0</v>
      </c>
      <c r="AP297" s="21" t="s">
        <v>300</v>
      </c>
      <c r="AQ297" s="1">
        <v>8376.73</v>
      </c>
      <c r="AR297" s="6">
        <v>-1.1828322393327984E-3</v>
      </c>
    </row>
    <row r="298" spans="2:44" x14ac:dyDescent="0.35">
      <c r="B298" s="21">
        <v>45327</v>
      </c>
      <c r="C298" s="1">
        <v>0.7</v>
      </c>
      <c r="D298" s="1">
        <v>0.7</v>
      </c>
      <c r="E298" s="6">
        <f t="shared" si="91"/>
        <v>0</v>
      </c>
      <c r="F298" s="21">
        <v>45327</v>
      </c>
      <c r="G298" s="1">
        <v>15.89</v>
      </c>
      <c r="H298" s="1">
        <v>11.9298</v>
      </c>
      <c r="I298" s="6">
        <f t="shared" si="89"/>
        <v>-6.2828277751247885E-4</v>
      </c>
      <c r="J298" s="21">
        <v>45327</v>
      </c>
      <c r="K298" s="1">
        <v>46</v>
      </c>
      <c r="L298" s="1">
        <v>30.4924</v>
      </c>
      <c r="M298" s="6">
        <f t="shared" si="84"/>
        <v>0</v>
      </c>
      <c r="N298" s="21">
        <v>45327</v>
      </c>
      <c r="O298" s="1">
        <v>12.6</v>
      </c>
      <c r="P298" s="1">
        <v>11.763500000000001</v>
      </c>
      <c r="Q298" s="6">
        <f t="shared" si="85"/>
        <v>-3.0022428180348837E-2</v>
      </c>
      <c r="R298" s="21">
        <v>45327</v>
      </c>
      <c r="S298" s="1">
        <v>7.19</v>
      </c>
      <c r="T298" s="1">
        <v>6.7342000000000004</v>
      </c>
      <c r="U298" s="6">
        <f t="shared" si="90"/>
        <v>4.190214878990739E-3</v>
      </c>
      <c r="V298" s="21">
        <v>45327</v>
      </c>
      <c r="W298" s="1">
        <v>5.49</v>
      </c>
      <c r="X298" s="1">
        <v>4.87</v>
      </c>
      <c r="Y298" s="6">
        <f t="shared" si="92"/>
        <v>-1.844640295142308E-3</v>
      </c>
      <c r="Z298" s="21">
        <v>45327</v>
      </c>
      <c r="AA298" s="1">
        <v>1.87</v>
      </c>
      <c r="AB298" s="1">
        <v>1.87</v>
      </c>
      <c r="AC298" s="6">
        <f t="shared" si="86"/>
        <v>0</v>
      </c>
      <c r="AD298" s="21">
        <v>45327</v>
      </c>
      <c r="AE298" s="1">
        <v>7.25</v>
      </c>
      <c r="AF298" s="1">
        <v>6.77</v>
      </c>
      <c r="AG298" s="6">
        <f t="shared" si="87"/>
        <v>-6.8508222453680379E-3</v>
      </c>
      <c r="AH298" s="21">
        <v>45327</v>
      </c>
      <c r="AI298" s="1">
        <v>7.83</v>
      </c>
      <c r="AJ298" s="1">
        <v>7.2846000000000002</v>
      </c>
      <c r="AK298" s="6">
        <f t="shared" si="88"/>
        <v>3.8447228078879458E-3</v>
      </c>
      <c r="AL298" s="21">
        <v>45327</v>
      </c>
      <c r="AM298" s="1">
        <v>1.49</v>
      </c>
      <c r="AN298" s="1">
        <v>1.49</v>
      </c>
      <c r="AO298" s="6">
        <v>1.3605442176870763E-2</v>
      </c>
      <c r="AP298" s="21" t="s">
        <v>301</v>
      </c>
      <c r="AQ298" s="1">
        <v>8362.36</v>
      </c>
      <c r="AR298" s="6">
        <v>-1.7154665364645938E-3</v>
      </c>
    </row>
    <row r="299" spans="2:44" x14ac:dyDescent="0.35">
      <c r="B299" s="21">
        <v>45328</v>
      </c>
      <c r="C299" s="1">
        <v>0.7</v>
      </c>
      <c r="D299" s="1">
        <v>0.7</v>
      </c>
      <c r="E299" s="6">
        <f t="shared" si="91"/>
        <v>0</v>
      </c>
      <c r="F299" s="21">
        <v>45328</v>
      </c>
      <c r="G299" s="1">
        <v>15.9</v>
      </c>
      <c r="H299" s="1">
        <v>11.9373</v>
      </c>
      <c r="I299" s="6">
        <f t="shared" si="89"/>
        <v>6.2867776492492311E-4</v>
      </c>
      <c r="J299" s="21">
        <v>45328</v>
      </c>
      <c r="K299" s="1">
        <v>45.99</v>
      </c>
      <c r="L299" s="1">
        <v>30.485800000000001</v>
      </c>
      <c r="M299" s="6">
        <f t="shared" si="84"/>
        <v>-2.1644737705128758E-4</v>
      </c>
      <c r="N299" s="21">
        <v>45328</v>
      </c>
      <c r="O299" s="1">
        <v>12.75</v>
      </c>
      <c r="P299" s="1">
        <v>11.903499999999999</v>
      </c>
      <c r="Q299" s="6">
        <f t="shared" si="85"/>
        <v>1.1901219875037006E-2</v>
      </c>
      <c r="R299" s="21">
        <v>45328</v>
      </c>
      <c r="S299" s="1">
        <v>7.18</v>
      </c>
      <c r="T299" s="1">
        <v>6.7248000000000001</v>
      </c>
      <c r="U299" s="6">
        <f t="shared" si="90"/>
        <v>-1.3958599388198545E-3</v>
      </c>
      <c r="V299" s="21">
        <v>45328</v>
      </c>
      <c r="W299" s="1">
        <v>5.29</v>
      </c>
      <c r="X299" s="1">
        <v>4.6920000000000002</v>
      </c>
      <c r="Y299" s="6">
        <f t="shared" si="92"/>
        <v>-3.6550308008213572E-2</v>
      </c>
      <c r="Z299" s="21">
        <v>45328</v>
      </c>
      <c r="AA299" s="1">
        <v>1.86</v>
      </c>
      <c r="AB299" s="1">
        <v>1.86</v>
      </c>
      <c r="AC299" s="6">
        <f t="shared" si="86"/>
        <v>-5.3475935828877219E-3</v>
      </c>
      <c r="AD299" s="21">
        <v>45328</v>
      </c>
      <c r="AE299" s="1">
        <v>7.25</v>
      </c>
      <c r="AF299" s="1">
        <v>6.77</v>
      </c>
      <c r="AG299" s="6">
        <f t="shared" si="87"/>
        <v>0</v>
      </c>
      <c r="AH299" s="21">
        <v>45328</v>
      </c>
      <c r="AI299" s="1">
        <v>7.8</v>
      </c>
      <c r="AJ299" s="1">
        <v>7.2567000000000004</v>
      </c>
      <c r="AK299" s="6">
        <f t="shared" si="88"/>
        <v>-3.8299975290337906E-3</v>
      </c>
      <c r="AL299" s="21">
        <v>45328</v>
      </c>
      <c r="AM299" s="1">
        <v>1.49</v>
      </c>
      <c r="AN299" s="1">
        <v>1.49</v>
      </c>
      <c r="AO299" s="6">
        <v>0</v>
      </c>
      <c r="AP299" s="21" t="s">
        <v>302</v>
      </c>
      <c r="AQ299" s="1">
        <v>8353.39</v>
      </c>
      <c r="AR299" s="6">
        <v>-1.0726636978078963E-3</v>
      </c>
    </row>
    <row r="300" spans="2:44" x14ac:dyDescent="0.35">
      <c r="B300" s="21">
        <v>45329</v>
      </c>
      <c r="C300" s="1">
        <v>0.68</v>
      </c>
      <c r="D300" s="1">
        <v>0.68</v>
      </c>
      <c r="E300" s="6">
        <f t="shared" si="91"/>
        <v>-2.857142857142847E-2</v>
      </c>
      <c r="F300" s="21">
        <v>45329</v>
      </c>
      <c r="G300" s="1">
        <v>15.9</v>
      </c>
      <c r="H300" s="1">
        <v>11.9373</v>
      </c>
      <c r="I300" s="6">
        <f t="shared" si="89"/>
        <v>0</v>
      </c>
      <c r="J300" s="21">
        <v>45329</v>
      </c>
      <c r="K300" s="1">
        <v>45.9</v>
      </c>
      <c r="L300" s="1">
        <v>30.426100000000002</v>
      </c>
      <c r="M300" s="6">
        <f t="shared" si="84"/>
        <v>-1.9582887770699386E-3</v>
      </c>
      <c r="N300" s="21">
        <v>45329</v>
      </c>
      <c r="O300" s="1">
        <v>12.7</v>
      </c>
      <c r="P300" s="1">
        <v>11.8569</v>
      </c>
      <c r="Q300" s="6">
        <f t="shared" si="85"/>
        <v>-3.9148149703868151E-3</v>
      </c>
      <c r="R300" s="21">
        <v>45329</v>
      </c>
      <c r="S300" s="1">
        <v>7.19</v>
      </c>
      <c r="T300" s="1">
        <v>6.7342000000000004</v>
      </c>
      <c r="U300" s="6">
        <f t="shared" si="90"/>
        <v>1.3978110873187344E-3</v>
      </c>
      <c r="V300" s="21">
        <v>45329</v>
      </c>
      <c r="W300" s="1">
        <v>5.38</v>
      </c>
      <c r="X300" s="1">
        <v>4.7720000000000002</v>
      </c>
      <c r="Y300" s="6">
        <f t="shared" si="92"/>
        <v>1.7050298380221651E-2</v>
      </c>
      <c r="Z300" s="21">
        <v>45329</v>
      </c>
      <c r="AA300" s="1">
        <v>1.86</v>
      </c>
      <c r="AB300" s="1">
        <v>1.86</v>
      </c>
      <c r="AC300" s="6">
        <f t="shared" si="86"/>
        <v>0</v>
      </c>
      <c r="AD300" s="21">
        <v>45329</v>
      </c>
      <c r="AE300" s="1">
        <v>7.4</v>
      </c>
      <c r="AF300" s="1">
        <v>6.9100999999999999</v>
      </c>
      <c r="AG300" s="6">
        <f t="shared" si="87"/>
        <v>2.069423929098968E-2</v>
      </c>
      <c r="AH300" s="21">
        <v>45329</v>
      </c>
      <c r="AI300" s="1">
        <v>7.95</v>
      </c>
      <c r="AJ300" s="1">
        <v>7.3962000000000003</v>
      </c>
      <c r="AK300" s="6">
        <f t="shared" si="88"/>
        <v>1.9223614039439507E-2</v>
      </c>
      <c r="AL300" s="21">
        <v>45329</v>
      </c>
      <c r="AM300" s="1">
        <v>1.51</v>
      </c>
      <c r="AN300" s="1">
        <v>1.51</v>
      </c>
      <c r="AO300" s="6">
        <v>1.3422818791946289E-2</v>
      </c>
      <c r="AP300" s="21" t="s">
        <v>303</v>
      </c>
      <c r="AQ300" s="1">
        <v>8378.09</v>
      </c>
      <c r="AR300" s="6">
        <v>2.9568833730977406E-3</v>
      </c>
    </row>
    <row r="301" spans="2:44" x14ac:dyDescent="0.35">
      <c r="B301" s="21">
        <v>45330</v>
      </c>
      <c r="C301" s="1">
        <v>0.68</v>
      </c>
      <c r="D301" s="1">
        <v>0.68</v>
      </c>
      <c r="E301" s="6">
        <f t="shared" si="91"/>
        <v>0</v>
      </c>
      <c r="F301" s="21">
        <v>45330</v>
      </c>
      <c r="G301" s="1">
        <v>15.85</v>
      </c>
      <c r="H301" s="1">
        <v>11.899800000000001</v>
      </c>
      <c r="I301" s="6">
        <f t="shared" si="89"/>
        <v>-3.1414138875625053E-3</v>
      </c>
      <c r="J301" s="21">
        <v>45330</v>
      </c>
      <c r="K301" s="1">
        <v>45.95</v>
      </c>
      <c r="L301" s="1">
        <v>30.459299999999999</v>
      </c>
      <c r="M301" s="6">
        <f t="shared" si="84"/>
        <v>1.0911684376242459E-3</v>
      </c>
      <c r="N301" s="21">
        <v>45330</v>
      </c>
      <c r="O301" s="1">
        <v>12.99</v>
      </c>
      <c r="P301" s="1">
        <v>12.127599999999999</v>
      </c>
      <c r="Q301" s="6">
        <f t="shared" si="85"/>
        <v>2.2830588096382609E-2</v>
      </c>
      <c r="R301" s="21">
        <v>45330</v>
      </c>
      <c r="S301" s="1">
        <v>7</v>
      </c>
      <c r="T301" s="1">
        <v>6.5561999999999996</v>
      </c>
      <c r="U301" s="6">
        <f t="shared" si="90"/>
        <v>-2.643224139467204E-2</v>
      </c>
      <c r="V301" s="21">
        <v>45330</v>
      </c>
      <c r="W301" s="1">
        <v>5.3</v>
      </c>
      <c r="X301" s="1">
        <v>4.7009999999999996</v>
      </c>
      <c r="Y301" s="6">
        <f t="shared" si="92"/>
        <v>-1.4878457669740275E-2</v>
      </c>
      <c r="Z301" s="21">
        <v>45330</v>
      </c>
      <c r="AA301" s="1">
        <v>1.85</v>
      </c>
      <c r="AB301" s="1">
        <v>1.85</v>
      </c>
      <c r="AC301" s="6">
        <f t="shared" si="86"/>
        <v>-5.3763440860215006E-3</v>
      </c>
      <c r="AD301" s="21">
        <v>45330</v>
      </c>
      <c r="AE301" s="1">
        <v>7.14</v>
      </c>
      <c r="AF301" s="1">
        <v>6.6673</v>
      </c>
      <c r="AG301" s="6">
        <f t="shared" si="87"/>
        <v>-3.5136973415724748E-2</v>
      </c>
      <c r="AH301" s="21">
        <v>45330</v>
      </c>
      <c r="AI301" s="1">
        <v>8.11</v>
      </c>
      <c r="AJ301" s="1">
        <v>7.5450999999999997</v>
      </c>
      <c r="AK301" s="6">
        <f t="shared" si="88"/>
        <v>2.0131959654957843E-2</v>
      </c>
      <c r="AL301" s="21">
        <v>45330</v>
      </c>
      <c r="AM301" s="1">
        <v>1.52</v>
      </c>
      <c r="AN301" s="1">
        <v>1.52</v>
      </c>
      <c r="AO301" s="6">
        <v>6.6225165562914245E-3</v>
      </c>
      <c r="AP301" s="21" t="s">
        <v>304</v>
      </c>
      <c r="AQ301" s="1">
        <v>8362.91</v>
      </c>
      <c r="AR301" s="6">
        <v>-1.8118688149686424E-3</v>
      </c>
    </row>
    <row r="302" spans="2:44" x14ac:dyDescent="0.35">
      <c r="B302" s="21">
        <v>45331</v>
      </c>
      <c r="C302" s="1">
        <v>0.69</v>
      </c>
      <c r="D302" s="1">
        <v>0.69</v>
      </c>
      <c r="E302" s="6">
        <f t="shared" si="91"/>
        <v>1.4705882352941124E-2</v>
      </c>
      <c r="F302" s="21">
        <v>45331</v>
      </c>
      <c r="G302" s="1">
        <v>15.85</v>
      </c>
      <c r="H302" s="1">
        <v>11.899800000000001</v>
      </c>
      <c r="I302" s="6">
        <f t="shared" si="89"/>
        <v>0</v>
      </c>
      <c r="J302" s="21">
        <v>45331</v>
      </c>
      <c r="K302" s="1">
        <v>45.68</v>
      </c>
      <c r="L302" s="1">
        <v>30.2803</v>
      </c>
      <c r="M302" s="6">
        <f t="shared" si="84"/>
        <v>-5.8766944742656424E-3</v>
      </c>
      <c r="N302" s="21">
        <v>45331</v>
      </c>
      <c r="O302" s="1">
        <v>12.95</v>
      </c>
      <c r="P302" s="1">
        <v>12.090299999999999</v>
      </c>
      <c r="Q302" s="6">
        <f t="shared" si="85"/>
        <v>-3.075629143441394E-3</v>
      </c>
      <c r="R302" s="21">
        <v>45331</v>
      </c>
      <c r="S302" s="1">
        <v>7</v>
      </c>
      <c r="T302" s="1">
        <v>6.5561999999999996</v>
      </c>
      <c r="U302" s="6">
        <f t="shared" si="90"/>
        <v>0</v>
      </c>
      <c r="V302" s="21">
        <v>45331</v>
      </c>
      <c r="W302" s="1">
        <v>5.39</v>
      </c>
      <c r="X302" s="1">
        <v>4.7809999999999997</v>
      </c>
      <c r="Y302" s="6">
        <f t="shared" si="92"/>
        <v>1.7017655817911148E-2</v>
      </c>
      <c r="Z302" s="21">
        <v>45331</v>
      </c>
      <c r="AA302" s="1">
        <v>1.85</v>
      </c>
      <c r="AB302" s="1">
        <v>1.85</v>
      </c>
      <c r="AC302" s="6">
        <f t="shared" si="86"/>
        <v>0</v>
      </c>
      <c r="AD302" s="21">
        <v>45331</v>
      </c>
      <c r="AE302" s="1">
        <v>7</v>
      </c>
      <c r="AF302" s="1">
        <v>6.5366</v>
      </c>
      <c r="AG302" s="6">
        <f t="shared" si="87"/>
        <v>-1.9603137701918349E-2</v>
      </c>
      <c r="AH302" s="21">
        <v>45331</v>
      </c>
      <c r="AI302" s="1">
        <v>8</v>
      </c>
      <c r="AJ302" s="1">
        <v>7.4428000000000001</v>
      </c>
      <c r="AK302" s="6">
        <f t="shared" si="88"/>
        <v>-1.3558468409961333E-2</v>
      </c>
      <c r="AL302" s="21">
        <v>45331</v>
      </c>
      <c r="AM302" s="1">
        <v>1.52</v>
      </c>
      <c r="AN302" s="1">
        <v>1.52</v>
      </c>
      <c r="AO302" s="6">
        <v>0</v>
      </c>
      <c r="AP302" s="21" t="s">
        <v>305</v>
      </c>
      <c r="AQ302" s="1">
        <v>8346.83</v>
      </c>
      <c r="AR302" s="6">
        <v>-1.9227756845404675E-3</v>
      </c>
    </row>
    <row r="303" spans="2:44" x14ac:dyDescent="0.35">
      <c r="B303" s="21">
        <v>45334</v>
      </c>
      <c r="C303" s="1">
        <v>0.69</v>
      </c>
      <c r="D303" s="1">
        <v>0.69</v>
      </c>
      <c r="E303" s="6">
        <f t="shared" si="91"/>
        <v>0</v>
      </c>
      <c r="F303" s="21">
        <v>45334</v>
      </c>
      <c r="G303" s="1">
        <v>15.85</v>
      </c>
      <c r="H303" s="1">
        <v>11.899800000000001</v>
      </c>
      <c r="I303" s="6">
        <f t="shared" si="89"/>
        <v>0</v>
      </c>
      <c r="J303" s="21">
        <v>45334</v>
      </c>
      <c r="K303" s="1">
        <v>44.89</v>
      </c>
      <c r="L303" s="1">
        <v>29.756599999999999</v>
      </c>
      <c r="M303" s="6">
        <f t="shared" si="84"/>
        <v>-1.7295073034283015E-2</v>
      </c>
      <c r="N303" s="21">
        <v>45334</v>
      </c>
      <c r="O303" s="1">
        <v>12.75</v>
      </c>
      <c r="P303" s="1">
        <v>11.903499999999999</v>
      </c>
      <c r="Q303" s="6">
        <f t="shared" si="85"/>
        <v>-1.5450402388691775E-2</v>
      </c>
      <c r="R303" s="21">
        <v>45334</v>
      </c>
      <c r="S303" s="1">
        <v>7</v>
      </c>
      <c r="T303" s="1">
        <v>6.5561999999999996</v>
      </c>
      <c r="U303" s="6">
        <f t="shared" si="90"/>
        <v>0</v>
      </c>
      <c r="V303" s="21">
        <v>45334</v>
      </c>
      <c r="W303" s="1">
        <v>5.39</v>
      </c>
      <c r="X303" s="1">
        <v>4.7809999999999997</v>
      </c>
      <c r="Y303" s="6">
        <f t="shared" si="92"/>
        <v>0</v>
      </c>
      <c r="Z303" s="21">
        <v>45334</v>
      </c>
      <c r="AA303" s="1">
        <v>1.85</v>
      </c>
      <c r="AB303" s="1">
        <v>1.85</v>
      </c>
      <c r="AC303" s="6">
        <f t="shared" si="86"/>
        <v>0</v>
      </c>
      <c r="AD303" s="21">
        <v>45334</v>
      </c>
      <c r="AE303" s="1">
        <v>7.01</v>
      </c>
      <c r="AF303" s="1">
        <v>6.5458999999999996</v>
      </c>
      <c r="AG303" s="6">
        <f t="shared" si="87"/>
        <v>1.4227580087506908E-3</v>
      </c>
      <c r="AH303" s="21">
        <v>45334</v>
      </c>
      <c r="AI303" s="1">
        <v>8</v>
      </c>
      <c r="AJ303" s="1">
        <v>7.4428000000000001</v>
      </c>
      <c r="AK303" s="6">
        <f t="shared" si="88"/>
        <v>0</v>
      </c>
      <c r="AL303" s="21">
        <v>45334</v>
      </c>
      <c r="AM303" s="1">
        <v>1.52</v>
      </c>
      <c r="AN303" s="1">
        <v>1.52</v>
      </c>
      <c r="AO303" s="6">
        <v>0</v>
      </c>
      <c r="AP303" s="21" t="s">
        <v>306</v>
      </c>
      <c r="AQ303" s="1">
        <v>8310.7099999999991</v>
      </c>
      <c r="AR303" s="6">
        <v>-4.3273913569583655E-3</v>
      </c>
    </row>
    <row r="304" spans="2:44" x14ac:dyDescent="0.35">
      <c r="B304" s="21">
        <v>45335</v>
      </c>
      <c r="C304" s="1">
        <v>0.66</v>
      </c>
      <c r="D304" s="1">
        <v>0.66</v>
      </c>
      <c r="E304" s="6">
        <f t="shared" si="91"/>
        <v>-4.3478260869565077E-2</v>
      </c>
      <c r="F304" s="21">
        <v>45335</v>
      </c>
      <c r="G304" s="1">
        <v>15.85</v>
      </c>
      <c r="H304" s="1">
        <v>11.899800000000001</v>
      </c>
      <c r="I304" s="6">
        <f t="shared" si="89"/>
        <v>0</v>
      </c>
      <c r="J304" s="21">
        <v>45335</v>
      </c>
      <c r="K304" s="1">
        <v>45.25</v>
      </c>
      <c r="L304" s="1">
        <v>29.995200000000001</v>
      </c>
      <c r="M304" s="6">
        <f t="shared" si="84"/>
        <v>8.0183891976906008E-3</v>
      </c>
      <c r="N304" s="21">
        <v>45335</v>
      </c>
      <c r="O304" s="1">
        <v>12.9</v>
      </c>
      <c r="P304" s="1">
        <v>12.0436</v>
      </c>
      <c r="Q304" s="6">
        <f t="shared" si="85"/>
        <v>1.1769647582643872E-2</v>
      </c>
      <c r="R304" s="21">
        <v>45335</v>
      </c>
      <c r="S304" s="1">
        <v>7.08</v>
      </c>
      <c r="T304" s="1">
        <v>6.6311</v>
      </c>
      <c r="U304" s="6">
        <f t="shared" si="90"/>
        <v>1.1424300661968978E-2</v>
      </c>
      <c r="V304" s="21">
        <v>45335</v>
      </c>
      <c r="W304" s="1">
        <v>5.3</v>
      </c>
      <c r="X304" s="1">
        <v>4.7009999999999996</v>
      </c>
      <c r="Y304" s="6">
        <f t="shared" si="92"/>
        <v>-1.6732901066722428E-2</v>
      </c>
      <c r="Z304" s="21">
        <v>45335</v>
      </c>
      <c r="AA304" s="1">
        <v>1.86</v>
      </c>
      <c r="AB304" s="1">
        <v>1.86</v>
      </c>
      <c r="AC304" s="6">
        <f t="shared" si="86"/>
        <v>5.4054054054053502E-3</v>
      </c>
      <c r="AD304" s="21">
        <v>45335</v>
      </c>
      <c r="AE304" s="1">
        <v>7.19</v>
      </c>
      <c r="AF304" s="1">
        <v>6.7140000000000004</v>
      </c>
      <c r="AG304" s="6">
        <f t="shared" si="87"/>
        <v>2.5680196764386931E-2</v>
      </c>
      <c r="AH304" s="21">
        <v>45335</v>
      </c>
      <c r="AI304" s="1">
        <v>8.06</v>
      </c>
      <c r="AJ304" s="1">
        <v>7.4985999999999997</v>
      </c>
      <c r="AK304" s="6">
        <f t="shared" si="88"/>
        <v>7.4971784812167819E-3</v>
      </c>
      <c r="AL304" s="21">
        <v>45335</v>
      </c>
      <c r="AM304" s="1">
        <v>1.52</v>
      </c>
      <c r="AN304" s="1">
        <v>1.52</v>
      </c>
      <c r="AO304" s="6">
        <v>0</v>
      </c>
      <c r="AP304" s="21" t="s">
        <v>307</v>
      </c>
      <c r="AQ304" s="1">
        <v>8318.8799999999992</v>
      </c>
      <c r="AR304" s="6">
        <v>9.8306883527410349E-4</v>
      </c>
    </row>
    <row r="305" spans="2:44" x14ac:dyDescent="0.35">
      <c r="B305" s="21">
        <v>45336</v>
      </c>
      <c r="C305" s="1">
        <v>0.68</v>
      </c>
      <c r="D305" s="1">
        <v>0.68</v>
      </c>
      <c r="E305" s="6">
        <f t="shared" si="91"/>
        <v>3.0303030303030276E-2</v>
      </c>
      <c r="F305" s="21">
        <v>45336</v>
      </c>
      <c r="G305" s="1">
        <v>15.75</v>
      </c>
      <c r="H305" s="1">
        <v>11.8247</v>
      </c>
      <c r="I305" s="6">
        <f t="shared" si="89"/>
        <v>-6.3110304374863757E-3</v>
      </c>
      <c r="J305" s="21">
        <v>45336</v>
      </c>
      <c r="K305" s="1">
        <v>45.1</v>
      </c>
      <c r="L305" s="1">
        <v>29.895800000000001</v>
      </c>
      <c r="M305" s="6">
        <f t="shared" si="84"/>
        <v>-3.3138635515015391E-3</v>
      </c>
      <c r="N305" s="21">
        <v>45336</v>
      </c>
      <c r="O305" s="1">
        <v>12.7</v>
      </c>
      <c r="P305" s="1">
        <v>11.8569</v>
      </c>
      <c r="Q305" s="6">
        <f t="shared" si="85"/>
        <v>-1.5502009365970348E-2</v>
      </c>
      <c r="R305" s="21">
        <v>45336</v>
      </c>
      <c r="S305" s="1">
        <v>7.18</v>
      </c>
      <c r="T305" s="1">
        <v>6.7248000000000001</v>
      </c>
      <c r="U305" s="6">
        <f t="shared" si="90"/>
        <v>1.4130385607214579E-2</v>
      </c>
      <c r="V305" s="21">
        <v>45336</v>
      </c>
      <c r="W305" s="1">
        <v>5.3</v>
      </c>
      <c r="X305" s="1">
        <v>4.7009999999999996</v>
      </c>
      <c r="Y305" s="6">
        <f t="shared" si="92"/>
        <v>0</v>
      </c>
      <c r="Z305" s="21">
        <v>45336</v>
      </c>
      <c r="AA305" s="1">
        <v>1.87</v>
      </c>
      <c r="AB305" s="1">
        <v>1.87</v>
      </c>
      <c r="AC305" s="6">
        <f t="shared" si="86"/>
        <v>5.3763440860215006E-3</v>
      </c>
      <c r="AD305" s="21">
        <v>45336</v>
      </c>
      <c r="AE305" s="1">
        <v>7.19</v>
      </c>
      <c r="AF305" s="1">
        <v>6.7140000000000004</v>
      </c>
      <c r="AG305" s="6">
        <f t="shared" si="87"/>
        <v>0</v>
      </c>
      <c r="AH305" s="21">
        <v>45336</v>
      </c>
      <c r="AI305" s="1">
        <v>8</v>
      </c>
      <c r="AJ305" s="1">
        <v>7.4428000000000001</v>
      </c>
      <c r="AK305" s="6">
        <f t="shared" si="88"/>
        <v>-7.441389059291037E-3</v>
      </c>
      <c r="AL305" s="21">
        <v>45336</v>
      </c>
      <c r="AM305" s="1">
        <v>1.52</v>
      </c>
      <c r="AN305" s="1">
        <v>1.52</v>
      </c>
      <c r="AO305" s="6">
        <v>0</v>
      </c>
      <c r="AP305" s="21" t="s">
        <v>308</v>
      </c>
      <c r="AQ305" s="1">
        <v>8359.98</v>
      </c>
      <c r="AR305" s="6">
        <v>4.940568922739752E-3</v>
      </c>
    </row>
    <row r="306" spans="2:44" x14ac:dyDescent="0.35">
      <c r="B306" s="21">
        <v>45337</v>
      </c>
      <c r="C306" s="1">
        <v>0.68</v>
      </c>
      <c r="D306" s="1">
        <v>0.68</v>
      </c>
      <c r="E306" s="6">
        <f t="shared" si="91"/>
        <v>0</v>
      </c>
      <c r="F306" s="21">
        <v>45337</v>
      </c>
      <c r="G306" s="1">
        <v>15.75</v>
      </c>
      <c r="H306" s="1">
        <v>11.8247</v>
      </c>
      <c r="I306" s="6">
        <f t="shared" si="89"/>
        <v>0</v>
      </c>
      <c r="J306" s="21">
        <v>45337</v>
      </c>
      <c r="K306" s="1">
        <v>45.95</v>
      </c>
      <c r="L306" s="1">
        <v>30.459299999999999</v>
      </c>
      <c r="M306" s="6">
        <f t="shared" si="84"/>
        <v>1.8848801503890122E-2</v>
      </c>
      <c r="N306" s="21">
        <v>45337</v>
      </c>
      <c r="O306" s="1">
        <v>12.78</v>
      </c>
      <c r="P306" s="1">
        <v>11.9315</v>
      </c>
      <c r="Q306" s="6">
        <f t="shared" si="85"/>
        <v>6.2916951311051683E-3</v>
      </c>
      <c r="R306" s="21">
        <v>45337</v>
      </c>
      <c r="S306" s="1">
        <v>7.14</v>
      </c>
      <c r="T306" s="1">
        <v>6.6872999999999996</v>
      </c>
      <c r="U306" s="6">
        <f t="shared" si="90"/>
        <v>-5.5763740185582611E-3</v>
      </c>
      <c r="V306" s="21">
        <v>45337</v>
      </c>
      <c r="W306" s="1">
        <v>5.29</v>
      </c>
      <c r="X306" s="1">
        <v>4.6920000000000002</v>
      </c>
      <c r="Y306" s="6">
        <f t="shared" si="92"/>
        <v>-1.9144862795148487E-3</v>
      </c>
      <c r="Z306" s="21">
        <v>45337</v>
      </c>
      <c r="AA306" s="1">
        <v>1.89</v>
      </c>
      <c r="AB306" s="1">
        <v>1.89</v>
      </c>
      <c r="AC306" s="6">
        <f t="shared" si="86"/>
        <v>1.0695187165775222E-2</v>
      </c>
      <c r="AD306" s="21">
        <v>45337</v>
      </c>
      <c r="AE306" s="1">
        <v>7.19</v>
      </c>
      <c r="AF306" s="1">
        <v>6.7140000000000004</v>
      </c>
      <c r="AG306" s="6">
        <f t="shared" si="87"/>
        <v>0</v>
      </c>
      <c r="AH306" s="21">
        <v>45337</v>
      </c>
      <c r="AI306" s="1">
        <v>8</v>
      </c>
      <c r="AJ306" s="1">
        <v>7.4428000000000001</v>
      </c>
      <c r="AK306" s="6">
        <f t="shared" si="88"/>
        <v>0</v>
      </c>
      <c r="AL306" s="21">
        <v>45337</v>
      </c>
      <c r="AM306" s="1">
        <v>1.52</v>
      </c>
      <c r="AN306" s="1">
        <v>1.52</v>
      </c>
      <c r="AO306" s="6">
        <v>0</v>
      </c>
      <c r="AP306" s="21" t="s">
        <v>309</v>
      </c>
      <c r="AQ306" s="1">
        <v>8356.99</v>
      </c>
      <c r="AR306" s="6">
        <v>-3.5765635802953444E-4</v>
      </c>
    </row>
    <row r="307" spans="2:44" x14ac:dyDescent="0.35">
      <c r="B307" s="21">
        <v>45338</v>
      </c>
      <c r="C307" s="1">
        <v>0.68</v>
      </c>
      <c r="D307" s="1">
        <v>0.68</v>
      </c>
      <c r="E307" s="6">
        <f t="shared" si="91"/>
        <v>0</v>
      </c>
      <c r="F307" s="21">
        <v>45338</v>
      </c>
      <c r="G307" s="1">
        <v>15.6</v>
      </c>
      <c r="H307" s="1">
        <v>11.7121</v>
      </c>
      <c r="I307" s="6">
        <f t="shared" si="89"/>
        <v>-9.5224403156105586E-3</v>
      </c>
      <c r="J307" s="21">
        <v>45338</v>
      </c>
      <c r="K307" s="1">
        <v>46.35</v>
      </c>
      <c r="L307" s="1">
        <v>30.724399999999999</v>
      </c>
      <c r="M307" s="6">
        <f t="shared" si="84"/>
        <v>8.703417347082798E-3</v>
      </c>
      <c r="N307" s="21">
        <v>45338</v>
      </c>
      <c r="O307" s="1">
        <v>12.56</v>
      </c>
      <c r="P307" s="1">
        <v>11.726100000000001</v>
      </c>
      <c r="Q307" s="6">
        <f t="shared" si="85"/>
        <v>-1.7214935255416286E-2</v>
      </c>
      <c r="R307" s="21">
        <v>45338</v>
      </c>
      <c r="S307" s="1">
        <v>7.14</v>
      </c>
      <c r="T307" s="1">
        <v>6.6872999999999996</v>
      </c>
      <c r="U307" s="6">
        <f t="shared" si="90"/>
        <v>0</v>
      </c>
      <c r="V307" s="21">
        <v>45338</v>
      </c>
      <c r="W307" s="1">
        <v>5.29</v>
      </c>
      <c r="X307" s="1">
        <v>4.6920000000000002</v>
      </c>
      <c r="Y307" s="6">
        <f t="shared" si="92"/>
        <v>0</v>
      </c>
      <c r="Z307" s="21">
        <v>45338</v>
      </c>
      <c r="AA307" s="1">
        <v>1.9</v>
      </c>
      <c r="AB307" s="1">
        <v>1.9</v>
      </c>
      <c r="AC307" s="6">
        <f t="shared" si="86"/>
        <v>5.2910052910053462E-3</v>
      </c>
      <c r="AD307" s="21">
        <v>45338</v>
      </c>
      <c r="AE307" s="1">
        <v>7.05</v>
      </c>
      <c r="AF307" s="1">
        <v>6.5833000000000004</v>
      </c>
      <c r="AG307" s="6">
        <f t="shared" si="87"/>
        <v>-1.9466785820673183E-2</v>
      </c>
      <c r="AH307" s="21">
        <v>45338</v>
      </c>
      <c r="AI307" s="1">
        <v>8.06</v>
      </c>
      <c r="AJ307" s="1">
        <v>7.4985999999999997</v>
      </c>
      <c r="AK307" s="6">
        <f t="shared" si="88"/>
        <v>7.4971784812167819E-3</v>
      </c>
      <c r="AL307" s="21">
        <v>45338</v>
      </c>
      <c r="AM307" s="1">
        <v>1.52</v>
      </c>
      <c r="AN307" s="1">
        <v>1.52</v>
      </c>
      <c r="AO307" s="6">
        <v>0</v>
      </c>
      <c r="AP307" s="21" t="s">
        <v>310</v>
      </c>
      <c r="AQ307" s="1">
        <v>8358.85</v>
      </c>
      <c r="AR307" s="6">
        <v>2.2256817346932856E-4</v>
      </c>
    </row>
    <row r="308" spans="2:44" x14ac:dyDescent="0.35">
      <c r="B308" s="21">
        <v>45341</v>
      </c>
      <c r="C308" s="1">
        <v>0.67</v>
      </c>
      <c r="D308" s="1">
        <v>0.67</v>
      </c>
      <c r="E308" s="6">
        <f t="shared" si="91"/>
        <v>-1.4705882352941235E-2</v>
      </c>
      <c r="F308" s="21">
        <v>45341</v>
      </c>
      <c r="G308" s="1">
        <v>15.75</v>
      </c>
      <c r="H308" s="1">
        <v>11.8247</v>
      </c>
      <c r="I308" s="6">
        <f t="shared" si="89"/>
        <v>9.6139889515971522E-3</v>
      </c>
      <c r="J308" s="21">
        <v>45341</v>
      </c>
      <c r="K308" s="1">
        <v>46.8</v>
      </c>
      <c r="L308" s="1">
        <v>31.0227</v>
      </c>
      <c r="M308" s="6">
        <f t="shared" si="84"/>
        <v>9.7088958612698839E-3</v>
      </c>
      <c r="N308" s="21">
        <v>45341</v>
      </c>
      <c r="O308" s="1">
        <v>12.89</v>
      </c>
      <c r="P308" s="1">
        <v>12.0342</v>
      </c>
      <c r="Q308" s="6">
        <f t="shared" si="85"/>
        <v>2.6274720495305326E-2</v>
      </c>
      <c r="R308" s="21">
        <v>45341</v>
      </c>
      <c r="S308" s="1">
        <v>7.1</v>
      </c>
      <c r="T308" s="1">
        <v>6.6498999999999997</v>
      </c>
      <c r="U308" s="6">
        <f t="shared" si="90"/>
        <v>-5.5926906225233219E-3</v>
      </c>
      <c r="V308" s="21">
        <v>45341</v>
      </c>
      <c r="W308" s="1">
        <v>5.3</v>
      </c>
      <c r="X308" s="1">
        <v>4.7009999999999996</v>
      </c>
      <c r="Y308" s="6">
        <f t="shared" si="92"/>
        <v>1.9181585677747748E-3</v>
      </c>
      <c r="Z308" s="21">
        <v>45341</v>
      </c>
      <c r="AA308" s="1">
        <v>1.89</v>
      </c>
      <c r="AB308" s="1">
        <v>1.89</v>
      </c>
      <c r="AC308" s="6">
        <f t="shared" si="86"/>
        <v>-5.2631578947368585E-3</v>
      </c>
      <c r="AD308" s="21">
        <v>45341</v>
      </c>
      <c r="AE308" s="1">
        <v>7.05</v>
      </c>
      <c r="AF308" s="1">
        <v>6.5833000000000004</v>
      </c>
      <c r="AG308" s="6">
        <f t="shared" si="87"/>
        <v>0</v>
      </c>
      <c r="AH308" s="21">
        <v>45341</v>
      </c>
      <c r="AI308" s="1">
        <v>8</v>
      </c>
      <c r="AJ308" s="1">
        <v>7.4428000000000001</v>
      </c>
      <c r="AK308" s="6">
        <f t="shared" si="88"/>
        <v>-7.441389059291037E-3</v>
      </c>
      <c r="AL308" s="21">
        <v>45341</v>
      </c>
      <c r="AM308" s="1">
        <v>1.52</v>
      </c>
      <c r="AN308" s="1">
        <v>1.52</v>
      </c>
      <c r="AO308" s="6">
        <v>0</v>
      </c>
      <c r="AP308" s="21" t="s">
        <v>311</v>
      </c>
      <c r="AQ308" s="1">
        <v>8403.8799999999992</v>
      </c>
      <c r="AR308" s="6">
        <v>5.3871046854530036E-3</v>
      </c>
    </row>
    <row r="309" spans="2:44" x14ac:dyDescent="0.35">
      <c r="B309" s="21">
        <v>45342</v>
      </c>
      <c r="C309" s="1">
        <v>0.66</v>
      </c>
      <c r="D309" s="1">
        <v>0.66</v>
      </c>
      <c r="E309" s="6">
        <f t="shared" si="91"/>
        <v>-1.4925373134328401E-2</v>
      </c>
      <c r="F309" s="21">
        <v>45342</v>
      </c>
      <c r="G309" s="1">
        <v>15.75</v>
      </c>
      <c r="H309" s="1">
        <v>11.8247</v>
      </c>
      <c r="I309" s="6">
        <f t="shared" si="89"/>
        <v>0</v>
      </c>
      <c r="J309" s="21">
        <v>45342</v>
      </c>
      <c r="K309" s="1">
        <v>47.15</v>
      </c>
      <c r="L309" s="1">
        <v>31.2547</v>
      </c>
      <c r="M309" s="6">
        <f t="shared" si="84"/>
        <v>7.4783948528012179E-3</v>
      </c>
      <c r="N309" s="21">
        <v>45342</v>
      </c>
      <c r="O309" s="1">
        <v>12.99</v>
      </c>
      <c r="P309" s="1">
        <v>12.127599999999999</v>
      </c>
      <c r="Q309" s="6">
        <f t="shared" si="85"/>
        <v>7.761213873793027E-3</v>
      </c>
      <c r="R309" s="21">
        <v>45342</v>
      </c>
      <c r="S309" s="1">
        <v>7.14</v>
      </c>
      <c r="T309" s="1">
        <v>6.6872999999999996</v>
      </c>
      <c r="U309" s="6">
        <f t="shared" si="90"/>
        <v>5.6241447239808728E-3</v>
      </c>
      <c r="V309" s="21">
        <v>45342</v>
      </c>
      <c r="W309" s="1">
        <v>5.58</v>
      </c>
      <c r="X309" s="1">
        <v>4.95</v>
      </c>
      <c r="Y309" s="6">
        <f t="shared" si="92"/>
        <v>5.2967453733248293E-2</v>
      </c>
      <c r="Z309" s="21">
        <v>45342</v>
      </c>
      <c r="AA309" s="1">
        <v>1.87</v>
      </c>
      <c r="AB309" s="1">
        <v>1.87</v>
      </c>
      <c r="AC309" s="6">
        <f t="shared" si="86"/>
        <v>-1.058201058201047E-2</v>
      </c>
      <c r="AD309" s="21">
        <v>45342</v>
      </c>
      <c r="AE309" s="1">
        <v>7.28</v>
      </c>
      <c r="AF309" s="1">
        <v>6.798</v>
      </c>
      <c r="AG309" s="6">
        <f t="shared" si="87"/>
        <v>3.2612823356067633E-2</v>
      </c>
      <c r="AH309" s="21">
        <v>45342</v>
      </c>
      <c r="AI309" s="1">
        <v>8</v>
      </c>
      <c r="AJ309" s="1">
        <v>7.4428000000000001</v>
      </c>
      <c r="AK309" s="6">
        <f t="shared" si="88"/>
        <v>0</v>
      </c>
      <c r="AL309" s="21">
        <v>45342</v>
      </c>
      <c r="AM309" s="1">
        <v>1.48</v>
      </c>
      <c r="AN309" s="1">
        <v>1.48</v>
      </c>
      <c r="AO309" s="6">
        <v>-2.6315789473684181E-2</v>
      </c>
      <c r="AP309" s="21" t="s">
        <v>312</v>
      </c>
      <c r="AQ309" s="1">
        <v>8449.33</v>
      </c>
      <c r="AR309" s="6">
        <v>5.4082162048958438E-3</v>
      </c>
    </row>
    <row r="310" spans="2:44" x14ac:dyDescent="0.35">
      <c r="B310" s="21">
        <v>45343</v>
      </c>
      <c r="C310" s="1">
        <v>0.68</v>
      </c>
      <c r="D310" s="1">
        <v>0.68</v>
      </c>
      <c r="E310" s="6">
        <f t="shared" si="91"/>
        <v>3.0303030303030276E-2</v>
      </c>
      <c r="F310" s="21">
        <v>45343</v>
      </c>
      <c r="G310" s="1">
        <v>15.75</v>
      </c>
      <c r="H310" s="1">
        <v>11.8247</v>
      </c>
      <c r="I310" s="6">
        <f t="shared" si="89"/>
        <v>0</v>
      </c>
      <c r="J310" s="21">
        <v>45343</v>
      </c>
      <c r="K310" s="1">
        <v>47.4</v>
      </c>
      <c r="L310" s="1">
        <v>31.420400000000001</v>
      </c>
      <c r="M310" s="6">
        <f t="shared" si="84"/>
        <v>5.3016026389631765E-3</v>
      </c>
      <c r="N310" s="21">
        <v>45343</v>
      </c>
      <c r="O310" s="1">
        <v>12.87</v>
      </c>
      <c r="P310" s="1">
        <v>12.015599999999999</v>
      </c>
      <c r="Q310" s="6">
        <f t="shared" si="85"/>
        <v>-9.2351330848642332E-3</v>
      </c>
      <c r="R310" s="21">
        <v>45343</v>
      </c>
      <c r="S310" s="1">
        <v>7.2</v>
      </c>
      <c r="T310" s="1">
        <v>6.7435</v>
      </c>
      <c r="U310" s="6">
        <f t="shared" si="90"/>
        <v>8.4039896520271551E-3</v>
      </c>
      <c r="V310" s="21">
        <v>45343</v>
      </c>
      <c r="W310" s="1">
        <v>5.58</v>
      </c>
      <c r="X310" s="1">
        <v>4.95</v>
      </c>
      <c r="Y310" s="6">
        <f t="shared" si="92"/>
        <v>0</v>
      </c>
      <c r="Z310" s="21">
        <v>45343</v>
      </c>
      <c r="AA310" s="1">
        <v>1.92</v>
      </c>
      <c r="AB310" s="1">
        <v>1.92</v>
      </c>
      <c r="AC310" s="6">
        <f t="shared" si="86"/>
        <v>2.6737967914438387E-2</v>
      </c>
      <c r="AD310" s="21">
        <v>45343</v>
      </c>
      <c r="AE310" s="1">
        <v>7.27</v>
      </c>
      <c r="AF310" s="1">
        <v>6.7887000000000004</v>
      </c>
      <c r="AG310" s="6">
        <f t="shared" si="87"/>
        <v>-1.368049426301754E-3</v>
      </c>
      <c r="AH310" s="21">
        <v>45343</v>
      </c>
      <c r="AI310" s="1">
        <v>8.0399999999999991</v>
      </c>
      <c r="AJ310" s="1">
        <v>7.48</v>
      </c>
      <c r="AK310" s="6">
        <f t="shared" si="88"/>
        <v>4.9981189874779286E-3</v>
      </c>
      <c r="AL310" s="21">
        <v>45343</v>
      </c>
      <c r="AM310" s="1">
        <v>1.5</v>
      </c>
      <c r="AN310" s="1">
        <v>1.5</v>
      </c>
      <c r="AO310" s="6">
        <v>1.3513513513513598E-2</v>
      </c>
      <c r="AP310" s="21" t="s">
        <v>313</v>
      </c>
      <c r="AQ310" s="1">
        <v>8471.43</v>
      </c>
      <c r="AR310" s="6">
        <v>2.6155920055199733E-3</v>
      </c>
    </row>
    <row r="311" spans="2:44" x14ac:dyDescent="0.35">
      <c r="B311" s="21">
        <v>45344</v>
      </c>
      <c r="C311" s="1">
        <v>0.7</v>
      </c>
      <c r="D311" s="1">
        <v>0.7</v>
      </c>
      <c r="E311" s="6">
        <f t="shared" si="91"/>
        <v>2.9411764705882248E-2</v>
      </c>
      <c r="F311" s="21">
        <v>45344</v>
      </c>
      <c r="G311" s="1">
        <v>15.7</v>
      </c>
      <c r="H311" s="1">
        <v>11.787100000000001</v>
      </c>
      <c r="I311" s="6">
        <f t="shared" si="89"/>
        <v>-3.1797846879835223E-3</v>
      </c>
      <c r="J311" s="21">
        <v>45344</v>
      </c>
      <c r="K311" s="1">
        <v>47.69</v>
      </c>
      <c r="L311" s="1">
        <v>31.6127</v>
      </c>
      <c r="M311" s="6">
        <f t="shared" si="84"/>
        <v>6.120227622818275E-3</v>
      </c>
      <c r="N311" s="21">
        <v>45344</v>
      </c>
      <c r="O311" s="1">
        <v>12.88</v>
      </c>
      <c r="P311" s="1">
        <v>12.024900000000001</v>
      </c>
      <c r="Q311" s="6">
        <f t="shared" si="85"/>
        <v>7.7399380804954454E-4</v>
      </c>
      <c r="R311" s="21">
        <v>45344</v>
      </c>
      <c r="S311" s="1">
        <v>7.18</v>
      </c>
      <c r="T311" s="1">
        <v>6.7248000000000001</v>
      </c>
      <c r="U311" s="6">
        <f t="shared" si="90"/>
        <v>-2.7730407058649265E-3</v>
      </c>
      <c r="V311" s="21">
        <v>45344</v>
      </c>
      <c r="W311" s="1">
        <v>5.55</v>
      </c>
      <c r="X311" s="1">
        <v>4.923</v>
      </c>
      <c r="Y311" s="6">
        <f t="shared" si="92"/>
        <v>-5.4545454545454897E-3</v>
      </c>
      <c r="Z311" s="21">
        <v>45344</v>
      </c>
      <c r="AA311" s="1">
        <v>1.95</v>
      </c>
      <c r="AB311" s="1">
        <v>1.95</v>
      </c>
      <c r="AC311" s="6">
        <f t="shared" si="86"/>
        <v>1.5625E-2</v>
      </c>
      <c r="AD311" s="21">
        <v>45344</v>
      </c>
      <c r="AE311" s="1">
        <v>7.26</v>
      </c>
      <c r="AF311" s="1">
        <v>6.7793999999999999</v>
      </c>
      <c r="AG311" s="6">
        <f t="shared" si="87"/>
        <v>-1.3699235494277762E-3</v>
      </c>
      <c r="AH311" s="21">
        <v>45344</v>
      </c>
      <c r="AI311" s="1">
        <v>8.0500000000000007</v>
      </c>
      <c r="AJ311" s="1">
        <v>7.4893000000000001</v>
      </c>
      <c r="AK311" s="6">
        <f t="shared" si="88"/>
        <v>1.2433155080213698E-3</v>
      </c>
      <c r="AL311" s="21">
        <v>45344</v>
      </c>
      <c r="AM311" s="1">
        <v>1.56</v>
      </c>
      <c r="AN311" s="1">
        <v>1.56</v>
      </c>
      <c r="AO311" s="6">
        <v>4.0000000000000036E-2</v>
      </c>
      <c r="AP311" s="21" t="s">
        <v>314</v>
      </c>
      <c r="AQ311" s="1">
        <v>8496.2000000000007</v>
      </c>
      <c r="AR311" s="6">
        <v>2.9239455440226436E-3</v>
      </c>
    </row>
    <row r="312" spans="2:44" x14ac:dyDescent="0.35">
      <c r="B312" s="21">
        <v>45345</v>
      </c>
      <c r="C312" s="1">
        <v>0.7</v>
      </c>
      <c r="D312" s="1">
        <v>0.7</v>
      </c>
      <c r="E312" s="6">
        <f t="shared" si="91"/>
        <v>0</v>
      </c>
      <c r="F312" s="21">
        <v>45345</v>
      </c>
      <c r="G312" s="1">
        <v>15.7</v>
      </c>
      <c r="H312" s="1">
        <v>11.787100000000001</v>
      </c>
      <c r="I312" s="6">
        <f t="shared" si="89"/>
        <v>0</v>
      </c>
      <c r="J312" s="21">
        <v>45345</v>
      </c>
      <c r="K312" s="1">
        <v>49</v>
      </c>
      <c r="L312" s="1">
        <v>32.481000000000002</v>
      </c>
      <c r="M312" s="6">
        <f t="shared" si="84"/>
        <v>2.746680922540623E-2</v>
      </c>
      <c r="N312" s="21">
        <v>45345</v>
      </c>
      <c r="O312" s="1">
        <v>12.8</v>
      </c>
      <c r="P312" s="1">
        <v>11.950200000000001</v>
      </c>
      <c r="Q312" s="6">
        <f t="shared" si="85"/>
        <v>-6.2121098720155921E-3</v>
      </c>
      <c r="R312" s="21">
        <v>45345</v>
      </c>
      <c r="S312" s="1">
        <v>7.1</v>
      </c>
      <c r="T312" s="1">
        <v>6.6498999999999997</v>
      </c>
      <c r="U312" s="6">
        <f t="shared" si="90"/>
        <v>-1.113787770640029E-2</v>
      </c>
      <c r="V312" s="21">
        <v>45345</v>
      </c>
      <c r="W312" s="1">
        <v>5.58</v>
      </c>
      <c r="X312" s="1">
        <v>4.95</v>
      </c>
      <c r="Y312" s="6">
        <f t="shared" si="92"/>
        <v>5.4844606946984342E-3</v>
      </c>
      <c r="Z312" s="21">
        <v>45345</v>
      </c>
      <c r="AA312" s="1">
        <v>1.93</v>
      </c>
      <c r="AB312" s="1">
        <v>1.93</v>
      </c>
      <c r="AC312" s="6">
        <f t="shared" si="86"/>
        <v>-1.025641025641022E-2</v>
      </c>
      <c r="AD312" s="21">
        <v>45345</v>
      </c>
      <c r="AE312" s="1">
        <v>7.12</v>
      </c>
      <c r="AF312" s="1">
        <v>6.6486000000000001</v>
      </c>
      <c r="AG312" s="6">
        <f t="shared" si="87"/>
        <v>-1.9293742809098124E-2</v>
      </c>
      <c r="AH312" s="21">
        <v>45345</v>
      </c>
      <c r="AI312" s="1">
        <v>8.0500000000000007</v>
      </c>
      <c r="AJ312" s="1">
        <v>7.4893000000000001</v>
      </c>
      <c r="AK312" s="6">
        <f t="shared" si="88"/>
        <v>0</v>
      </c>
      <c r="AL312" s="21">
        <v>45345</v>
      </c>
      <c r="AM312" s="1">
        <v>1.59</v>
      </c>
      <c r="AN312" s="1">
        <v>1.59</v>
      </c>
      <c r="AO312" s="6">
        <v>1.9230769230769162E-2</v>
      </c>
      <c r="AP312" s="21" t="s">
        <v>315</v>
      </c>
      <c r="AQ312" s="1">
        <v>8524.6200000000008</v>
      </c>
      <c r="AR312" s="6">
        <v>3.3450248346320599E-3</v>
      </c>
    </row>
    <row r="313" spans="2:44" x14ac:dyDescent="0.35">
      <c r="B313" s="21">
        <v>45348</v>
      </c>
      <c r="C313" s="1">
        <v>0.7</v>
      </c>
      <c r="D313" s="1">
        <v>0.7</v>
      </c>
      <c r="E313" s="6">
        <f t="shared" si="91"/>
        <v>0</v>
      </c>
      <c r="F313" s="21">
        <v>45348</v>
      </c>
      <c r="G313" s="1">
        <v>15.7</v>
      </c>
      <c r="H313" s="1">
        <v>11.787100000000001</v>
      </c>
      <c r="I313" s="6">
        <f t="shared" si="89"/>
        <v>0</v>
      </c>
      <c r="J313" s="21">
        <v>45348</v>
      </c>
      <c r="K313" s="1">
        <v>49</v>
      </c>
      <c r="L313" s="1">
        <v>32.481000000000002</v>
      </c>
      <c r="M313" s="6">
        <f t="shared" si="84"/>
        <v>0</v>
      </c>
      <c r="N313" s="21">
        <v>45348</v>
      </c>
      <c r="O313" s="1">
        <v>12.7</v>
      </c>
      <c r="P313" s="1">
        <v>11.8569</v>
      </c>
      <c r="Q313" s="6">
        <f t="shared" si="85"/>
        <v>-7.807400712958823E-3</v>
      </c>
      <c r="R313" s="21">
        <v>45348</v>
      </c>
      <c r="S313" s="1">
        <v>7.05</v>
      </c>
      <c r="T313" s="1">
        <v>6.6029999999999998</v>
      </c>
      <c r="U313" s="6">
        <f t="shared" si="90"/>
        <v>-7.0527376351523507E-3</v>
      </c>
      <c r="V313" s="21">
        <v>45348</v>
      </c>
      <c r="W313" s="1">
        <v>5.58</v>
      </c>
      <c r="X313" s="1">
        <v>4.95</v>
      </c>
      <c r="Y313" s="6">
        <f t="shared" si="92"/>
        <v>0</v>
      </c>
      <c r="Z313" s="21">
        <v>45348</v>
      </c>
      <c r="AA313" s="1">
        <v>1.95</v>
      </c>
      <c r="AB313" s="1">
        <v>1.95</v>
      </c>
      <c r="AC313" s="6">
        <f t="shared" si="86"/>
        <v>1.0362694300518172E-2</v>
      </c>
      <c r="AD313" s="21">
        <v>45348</v>
      </c>
      <c r="AE313" s="1">
        <v>7.25</v>
      </c>
      <c r="AF313" s="1">
        <v>6.77</v>
      </c>
      <c r="AG313" s="6">
        <f t="shared" si="87"/>
        <v>1.8259483199470461E-2</v>
      </c>
      <c r="AH313" s="21">
        <v>45348</v>
      </c>
      <c r="AI313" s="1">
        <v>8.1999999999999993</v>
      </c>
      <c r="AJ313" s="1">
        <v>7.6288</v>
      </c>
      <c r="AK313" s="6">
        <f t="shared" si="88"/>
        <v>1.862657391211453E-2</v>
      </c>
      <c r="AL313" s="21">
        <v>45348</v>
      </c>
      <c r="AM313" s="1">
        <v>1.59</v>
      </c>
      <c r="AN313" s="1">
        <v>1.59</v>
      </c>
      <c r="AO313" s="6">
        <v>0</v>
      </c>
      <c r="AP313" s="21" t="s">
        <v>316</v>
      </c>
      <c r="AQ313" s="1">
        <v>8585.07</v>
      </c>
      <c r="AR313" s="6">
        <v>7.0912251807118132E-3</v>
      </c>
    </row>
    <row r="314" spans="2:44" x14ac:dyDescent="0.35">
      <c r="B314" s="21">
        <v>45349</v>
      </c>
      <c r="C314" s="1">
        <v>0.7</v>
      </c>
      <c r="D314" s="1">
        <v>0.7</v>
      </c>
      <c r="E314" s="6">
        <f t="shared" si="91"/>
        <v>0</v>
      </c>
      <c r="F314" s="21">
        <v>45349</v>
      </c>
      <c r="G314" s="1">
        <v>16</v>
      </c>
      <c r="H314" s="1">
        <v>12.0124</v>
      </c>
      <c r="I314" s="6">
        <f t="shared" si="89"/>
        <v>1.911411627966153E-2</v>
      </c>
      <c r="J314" s="21">
        <v>45349</v>
      </c>
      <c r="K314" s="1">
        <v>49.35</v>
      </c>
      <c r="L314" s="1">
        <v>32.713000000000001</v>
      </c>
      <c r="M314" s="6">
        <f t="shared" si="84"/>
        <v>7.1426372340752664E-3</v>
      </c>
      <c r="N314" s="21">
        <v>45349</v>
      </c>
      <c r="O314" s="1">
        <v>12.67</v>
      </c>
      <c r="P314" s="1">
        <v>11.828799999999999</v>
      </c>
      <c r="Q314" s="6">
        <f t="shared" si="85"/>
        <v>-2.3699280587674565E-3</v>
      </c>
      <c r="R314" s="21">
        <v>45349</v>
      </c>
      <c r="S314" s="1">
        <v>7.03</v>
      </c>
      <c r="T314" s="1">
        <v>6.5842999999999998</v>
      </c>
      <c r="U314" s="6">
        <f t="shared" si="90"/>
        <v>-2.8320460396789038E-3</v>
      </c>
      <c r="V314" s="21">
        <v>45349</v>
      </c>
      <c r="W314" s="1">
        <v>5.57</v>
      </c>
      <c r="X314" s="1">
        <v>4.9409999999999998</v>
      </c>
      <c r="Y314" s="6">
        <f t="shared" si="92"/>
        <v>-1.8181818181819409E-3</v>
      </c>
      <c r="Z314" s="21">
        <v>45349</v>
      </c>
      <c r="AA314" s="1">
        <v>1.93</v>
      </c>
      <c r="AB314" s="1">
        <v>1.93</v>
      </c>
      <c r="AC314" s="6">
        <f t="shared" si="86"/>
        <v>-1.025641025641022E-2</v>
      </c>
      <c r="AD314" s="21">
        <v>45349</v>
      </c>
      <c r="AE314" s="1">
        <v>7.23</v>
      </c>
      <c r="AF314" s="1">
        <v>6.7514000000000003</v>
      </c>
      <c r="AG314" s="6">
        <f t="shared" si="87"/>
        <v>-2.7474150664695829E-3</v>
      </c>
      <c r="AH314" s="21">
        <v>45349</v>
      </c>
      <c r="AI314" s="1">
        <v>8.19</v>
      </c>
      <c r="AJ314" s="1">
        <v>7.6195000000000004</v>
      </c>
      <c r="AK314" s="6">
        <f t="shared" si="88"/>
        <v>-1.2190645973153558E-3</v>
      </c>
      <c r="AL314" s="21">
        <v>45349</v>
      </c>
      <c r="AM314" s="1">
        <v>1.59</v>
      </c>
      <c r="AN314" s="1">
        <v>1.59</v>
      </c>
      <c r="AO314" s="6">
        <v>0</v>
      </c>
      <c r="AP314" s="21" t="s">
        <v>317</v>
      </c>
      <c r="AQ314" s="1">
        <v>8567.16</v>
      </c>
      <c r="AR314" s="6">
        <v>-2.0861798447769919E-3</v>
      </c>
    </row>
    <row r="315" spans="2:44" x14ac:dyDescent="0.35">
      <c r="B315" s="21">
        <v>45350</v>
      </c>
      <c r="C315" s="1">
        <v>0.71</v>
      </c>
      <c r="D315" s="1">
        <v>0.71</v>
      </c>
      <c r="E315" s="6">
        <f t="shared" si="91"/>
        <v>1.4285714285714235E-2</v>
      </c>
      <c r="F315" s="21">
        <v>45350</v>
      </c>
      <c r="G315" s="1">
        <v>16</v>
      </c>
      <c r="H315" s="1">
        <v>12.0124</v>
      </c>
      <c r="I315" s="6">
        <f t="shared" si="89"/>
        <v>0</v>
      </c>
      <c r="J315" s="21">
        <v>45350</v>
      </c>
      <c r="K315" s="1">
        <v>49</v>
      </c>
      <c r="L315" s="1">
        <v>32.481000000000002</v>
      </c>
      <c r="M315" s="6">
        <f t="shared" si="84"/>
        <v>-7.0919817809432795E-3</v>
      </c>
      <c r="N315" s="21">
        <v>45350</v>
      </c>
      <c r="O315" s="1">
        <v>12.41</v>
      </c>
      <c r="P315" s="1">
        <v>11.5861</v>
      </c>
      <c r="Q315" s="6">
        <f t="shared" si="85"/>
        <v>-2.0517719464358097E-2</v>
      </c>
      <c r="R315" s="21">
        <v>45350</v>
      </c>
      <c r="S315" s="1">
        <v>7</v>
      </c>
      <c r="T315" s="1">
        <v>6.5561999999999996</v>
      </c>
      <c r="U315" s="6">
        <f t="shared" si="90"/>
        <v>-4.2677277766809407E-3</v>
      </c>
      <c r="V315" s="21">
        <v>45350</v>
      </c>
      <c r="W315" s="1">
        <v>5.68</v>
      </c>
      <c r="X315" s="1">
        <v>5.0380000000000003</v>
      </c>
      <c r="Y315" s="6">
        <f t="shared" si="92"/>
        <v>1.9631653511434921E-2</v>
      </c>
      <c r="Z315" s="21">
        <v>45350</v>
      </c>
      <c r="AA315" s="1">
        <v>1.98</v>
      </c>
      <c r="AB315" s="1">
        <v>1.98</v>
      </c>
      <c r="AC315" s="6">
        <f t="shared" si="86"/>
        <v>2.5906735751295429E-2</v>
      </c>
      <c r="AD315" s="21">
        <v>45350</v>
      </c>
      <c r="AE315" s="1">
        <v>7.23</v>
      </c>
      <c r="AF315" s="1">
        <v>6.7514000000000003</v>
      </c>
      <c r="AG315" s="6">
        <f t="shared" si="87"/>
        <v>0</v>
      </c>
      <c r="AH315" s="21">
        <v>45350</v>
      </c>
      <c r="AI315" s="1">
        <v>8.2899999999999991</v>
      </c>
      <c r="AJ315" s="1">
        <v>7.7126000000000001</v>
      </c>
      <c r="AK315" s="6">
        <f t="shared" si="88"/>
        <v>1.221864951768481E-2</v>
      </c>
      <c r="AL315" s="21">
        <v>45350</v>
      </c>
      <c r="AM315" s="1">
        <v>1.59</v>
      </c>
      <c r="AN315" s="1">
        <v>1.59</v>
      </c>
      <c r="AO315" s="6">
        <v>0</v>
      </c>
      <c r="AP315" s="21" t="s">
        <v>318</v>
      </c>
      <c r="AQ315" s="1">
        <v>8615.19</v>
      </c>
      <c r="AR315" s="6">
        <v>5.606291933382801E-3</v>
      </c>
    </row>
    <row r="316" spans="2:44" x14ac:dyDescent="0.35">
      <c r="B316" s="21">
        <v>45351</v>
      </c>
      <c r="C316" s="1">
        <v>0.71</v>
      </c>
      <c r="D316" s="1">
        <v>0.71</v>
      </c>
      <c r="E316" s="6">
        <f t="shared" si="91"/>
        <v>0</v>
      </c>
      <c r="F316" s="21">
        <v>45351</v>
      </c>
      <c r="G316" s="1">
        <v>16</v>
      </c>
      <c r="H316" s="1">
        <v>12.0124</v>
      </c>
      <c r="I316" s="6">
        <f t="shared" si="89"/>
        <v>0</v>
      </c>
      <c r="J316" s="21">
        <v>45351</v>
      </c>
      <c r="K316" s="1">
        <v>48.95</v>
      </c>
      <c r="L316" s="1">
        <v>32.447899999999997</v>
      </c>
      <c r="M316" s="6">
        <f t="shared" si="84"/>
        <v>-1.0190572950341537E-3</v>
      </c>
      <c r="N316" s="21">
        <v>45351</v>
      </c>
      <c r="O316" s="1">
        <v>12.6</v>
      </c>
      <c r="P316" s="1">
        <v>11.763500000000001</v>
      </c>
      <c r="Q316" s="6">
        <f t="shared" si="85"/>
        <v>1.5311450790171044E-2</v>
      </c>
      <c r="R316" s="21">
        <v>45351</v>
      </c>
      <c r="S316" s="1">
        <v>7.05</v>
      </c>
      <c r="T316" s="1">
        <v>6.6029999999999998</v>
      </c>
      <c r="U316" s="6">
        <f t="shared" si="90"/>
        <v>7.1382813214972973E-3</v>
      </c>
      <c r="V316" s="21">
        <v>45351</v>
      </c>
      <c r="W316" s="1">
        <v>5.68</v>
      </c>
      <c r="X316" s="1">
        <v>5.0380000000000003</v>
      </c>
      <c r="Y316" s="6">
        <f t="shared" si="92"/>
        <v>0</v>
      </c>
      <c r="Z316" s="21">
        <v>45351</v>
      </c>
      <c r="AA316" s="1">
        <v>1.97</v>
      </c>
      <c r="AB316" s="1">
        <v>1.97</v>
      </c>
      <c r="AC316" s="6">
        <f t="shared" si="86"/>
        <v>-5.050505050505083E-3</v>
      </c>
      <c r="AD316" s="21">
        <v>45351</v>
      </c>
      <c r="AE316" s="1">
        <v>7.22</v>
      </c>
      <c r="AF316" s="1">
        <v>6.742</v>
      </c>
      <c r="AG316" s="6">
        <f t="shared" si="87"/>
        <v>-1.3923038184673331E-3</v>
      </c>
      <c r="AH316" s="21">
        <v>45351</v>
      </c>
      <c r="AI316" s="1">
        <v>8.35</v>
      </c>
      <c r="AJ316" s="1">
        <v>7.7683999999999997</v>
      </c>
      <c r="AK316" s="6">
        <f t="shared" si="88"/>
        <v>7.2349142960868029E-3</v>
      </c>
      <c r="AL316" s="21">
        <v>45351</v>
      </c>
      <c r="AM316" s="1">
        <v>1.59</v>
      </c>
      <c r="AN316" s="1">
        <v>1.59</v>
      </c>
      <c r="AO316" s="6">
        <v>0</v>
      </c>
      <c r="AP316" s="21" t="s">
        <v>319</v>
      </c>
      <c r="AQ316" s="1">
        <v>8630.23</v>
      </c>
      <c r="AR316" s="6">
        <v>1.7457537210436858E-3</v>
      </c>
    </row>
    <row r="317" spans="2:44" x14ac:dyDescent="0.35">
      <c r="B317" s="21">
        <v>45352</v>
      </c>
      <c r="C317" s="1">
        <v>0.71</v>
      </c>
      <c r="D317" s="1">
        <v>0.71</v>
      </c>
      <c r="E317" s="6">
        <f t="shared" si="91"/>
        <v>0</v>
      </c>
      <c r="F317" s="21">
        <v>45352</v>
      </c>
      <c r="G317" s="1">
        <v>16</v>
      </c>
      <c r="H317" s="1">
        <v>12.0124</v>
      </c>
      <c r="I317" s="6">
        <f t="shared" si="89"/>
        <v>0</v>
      </c>
      <c r="J317" s="21">
        <v>45352</v>
      </c>
      <c r="K317" s="1">
        <v>48.02</v>
      </c>
      <c r="L317" s="1">
        <v>31.831399999999999</v>
      </c>
      <c r="M317" s="6">
        <f t="shared" si="84"/>
        <v>-1.899968873178226E-2</v>
      </c>
      <c r="N317" s="21">
        <v>45352</v>
      </c>
      <c r="O317" s="1">
        <v>12.48</v>
      </c>
      <c r="P317" s="1">
        <v>11.6515</v>
      </c>
      <c r="Q317" s="6">
        <f t="shared" si="85"/>
        <v>-9.52097590002976E-3</v>
      </c>
      <c r="R317" s="21">
        <v>45352</v>
      </c>
      <c r="S317" s="1">
        <v>7.29</v>
      </c>
      <c r="T317" s="1">
        <v>6.8277999999999999</v>
      </c>
      <c r="U317" s="6">
        <f t="shared" si="90"/>
        <v>3.4045131001060103E-2</v>
      </c>
      <c r="V317" s="21">
        <v>45352</v>
      </c>
      <c r="W317" s="1">
        <v>5.75</v>
      </c>
      <c r="X317" s="1">
        <v>5.0999999999999996</v>
      </c>
      <c r="Y317" s="6">
        <f t="shared" si="92"/>
        <v>1.2306470821754623E-2</v>
      </c>
      <c r="Z317" s="21">
        <v>45352</v>
      </c>
      <c r="AA317" s="1">
        <v>1.97</v>
      </c>
      <c r="AB317" s="1">
        <v>1.97</v>
      </c>
      <c r="AC317" s="6">
        <f t="shared" si="86"/>
        <v>0</v>
      </c>
      <c r="AD317" s="21">
        <v>45352</v>
      </c>
      <c r="AE317" s="1">
        <v>7.23</v>
      </c>
      <c r="AF317" s="1">
        <v>6.7514000000000003</v>
      </c>
      <c r="AG317" s="6">
        <f t="shared" si="87"/>
        <v>1.3942450311481558E-3</v>
      </c>
      <c r="AH317" s="21">
        <v>45352</v>
      </c>
      <c r="AI317" s="1">
        <v>8.35</v>
      </c>
      <c r="AJ317" s="1">
        <v>7.7683999999999997</v>
      </c>
      <c r="AK317" s="6">
        <f t="shared" si="88"/>
        <v>0</v>
      </c>
      <c r="AL317" s="21">
        <v>45352</v>
      </c>
      <c r="AM317" s="1">
        <v>1.59</v>
      </c>
      <c r="AN317" s="1">
        <v>1.59</v>
      </c>
      <c r="AO317" s="6">
        <v>0</v>
      </c>
      <c r="AP317" s="21" t="s">
        <v>320</v>
      </c>
      <c r="AQ317" s="1">
        <v>8639.5499999999993</v>
      </c>
      <c r="AR317" s="6">
        <v>1.079924868746307E-3</v>
      </c>
    </row>
    <row r="318" spans="2:44" x14ac:dyDescent="0.35">
      <c r="B318" s="21">
        <v>45355</v>
      </c>
      <c r="C318" s="1">
        <v>0.71</v>
      </c>
      <c r="D318" s="1">
        <v>0.71</v>
      </c>
      <c r="E318" s="6">
        <f t="shared" si="91"/>
        <v>0</v>
      </c>
      <c r="F318" s="21">
        <v>45355</v>
      </c>
      <c r="G318" s="1">
        <v>16</v>
      </c>
      <c r="H318" s="1">
        <v>12.0124</v>
      </c>
      <c r="I318" s="6">
        <f t="shared" si="89"/>
        <v>0</v>
      </c>
      <c r="J318" s="21">
        <v>45355</v>
      </c>
      <c r="K318" s="1">
        <v>48.79</v>
      </c>
      <c r="L318" s="1">
        <v>32.341799999999999</v>
      </c>
      <c r="M318" s="6">
        <f t="shared" si="84"/>
        <v>1.6034481675326839E-2</v>
      </c>
      <c r="N318" s="21">
        <v>45355</v>
      </c>
      <c r="O318" s="1">
        <v>12.75</v>
      </c>
      <c r="P318" s="1">
        <v>11.903499999999999</v>
      </c>
      <c r="Q318" s="6">
        <f t="shared" si="85"/>
        <v>2.1628116551516863E-2</v>
      </c>
      <c r="R318" s="21">
        <v>45355</v>
      </c>
      <c r="S318" s="1">
        <v>7.32</v>
      </c>
      <c r="T318" s="1">
        <v>6.8559000000000001</v>
      </c>
      <c r="U318" s="6">
        <f t="shared" si="90"/>
        <v>4.1155276955975317E-3</v>
      </c>
      <c r="V318" s="21">
        <v>45355</v>
      </c>
      <c r="W318" s="1">
        <v>5.65</v>
      </c>
      <c r="X318" s="1">
        <v>5.0119999999999996</v>
      </c>
      <c r="Y318" s="6">
        <f t="shared" si="92"/>
        <v>-1.7254901960784386E-2</v>
      </c>
      <c r="Z318" s="21">
        <v>45355</v>
      </c>
      <c r="AA318" s="1">
        <v>1.96</v>
      </c>
      <c r="AB318" s="1">
        <v>1.96</v>
      </c>
      <c r="AC318" s="6">
        <f t="shared" si="86"/>
        <v>-5.0761421319797106E-3</v>
      </c>
      <c r="AD318" s="21">
        <v>45355</v>
      </c>
      <c r="AE318" s="1">
        <v>7.2</v>
      </c>
      <c r="AF318" s="1">
        <v>6.7233000000000001</v>
      </c>
      <c r="AG318" s="6">
        <f t="shared" si="87"/>
        <v>-4.1620997126522452E-3</v>
      </c>
      <c r="AH318" s="21">
        <v>45355</v>
      </c>
      <c r="AI318" s="1">
        <v>8.56</v>
      </c>
      <c r="AJ318" s="1">
        <v>7.9638</v>
      </c>
      <c r="AK318" s="6">
        <f t="shared" si="88"/>
        <v>2.5153184696977471E-2</v>
      </c>
      <c r="AL318" s="21">
        <v>45355</v>
      </c>
      <c r="AM318" s="1">
        <v>1.59</v>
      </c>
      <c r="AN318" s="1">
        <v>1.59</v>
      </c>
      <c r="AO318" s="6">
        <v>0</v>
      </c>
      <c r="AP318" s="21" t="s">
        <v>321</v>
      </c>
      <c r="AQ318" s="1">
        <v>8700.0499999999993</v>
      </c>
      <c r="AR318" s="6">
        <v>7.0026795377073903E-3</v>
      </c>
    </row>
    <row r="319" spans="2:44" x14ac:dyDescent="0.35">
      <c r="B319" s="21">
        <v>45356</v>
      </c>
      <c r="C319" s="1">
        <v>0.72</v>
      </c>
      <c r="D319" s="1">
        <v>0.72</v>
      </c>
      <c r="E319" s="6">
        <f t="shared" si="91"/>
        <v>1.4084507042253502E-2</v>
      </c>
      <c r="F319" s="21">
        <v>45356</v>
      </c>
      <c r="G319" s="1">
        <v>16</v>
      </c>
      <c r="H319" s="1">
        <v>12.0124</v>
      </c>
      <c r="I319" s="6">
        <f t="shared" si="89"/>
        <v>0</v>
      </c>
      <c r="J319" s="21">
        <v>45356</v>
      </c>
      <c r="K319" s="1">
        <v>48.55</v>
      </c>
      <c r="L319" s="1">
        <v>32.182699999999997</v>
      </c>
      <c r="M319" s="6">
        <f t="shared" si="84"/>
        <v>-4.919330402142208E-3</v>
      </c>
      <c r="N319" s="21">
        <v>45356</v>
      </c>
      <c r="O319" s="1">
        <v>12.75</v>
      </c>
      <c r="P319" s="1">
        <v>11.903499999999999</v>
      </c>
      <c r="Q319" s="6">
        <f t="shared" si="85"/>
        <v>0</v>
      </c>
      <c r="R319" s="21">
        <v>45356</v>
      </c>
      <c r="S319" s="1">
        <v>7.19</v>
      </c>
      <c r="T319" s="1">
        <v>6.7342000000000004</v>
      </c>
      <c r="U319" s="6">
        <f t="shared" si="90"/>
        <v>-1.7751134059714957E-2</v>
      </c>
      <c r="V319" s="21">
        <v>45356</v>
      </c>
      <c r="W319" s="1">
        <v>5.83</v>
      </c>
      <c r="X319" s="1">
        <v>5.1710000000000003</v>
      </c>
      <c r="Y319" s="6">
        <f t="shared" si="92"/>
        <v>3.1723862729449381E-2</v>
      </c>
      <c r="Z319" s="21">
        <v>45356</v>
      </c>
      <c r="AA319" s="1">
        <v>1.96</v>
      </c>
      <c r="AB319" s="1">
        <v>1.96</v>
      </c>
      <c r="AC319" s="6">
        <f t="shared" si="86"/>
        <v>0</v>
      </c>
      <c r="AD319" s="21">
        <v>45356</v>
      </c>
      <c r="AE319" s="1">
        <v>7.19</v>
      </c>
      <c r="AF319" s="1">
        <v>6.7140000000000004</v>
      </c>
      <c r="AG319" s="6">
        <f t="shared" si="87"/>
        <v>-1.3832492972201127E-3</v>
      </c>
      <c r="AH319" s="21">
        <v>45356</v>
      </c>
      <c r="AI319" s="1">
        <v>8.59</v>
      </c>
      <c r="AJ319" s="1">
        <v>7.9916999999999998</v>
      </c>
      <c r="AK319" s="6">
        <f t="shared" si="88"/>
        <v>3.5033526708354579E-3</v>
      </c>
      <c r="AL319" s="21">
        <v>45356</v>
      </c>
      <c r="AM319" s="1">
        <v>1.52</v>
      </c>
      <c r="AN319" s="1">
        <v>1.52</v>
      </c>
      <c r="AO319" s="6">
        <v>-4.4025157232704393E-2</v>
      </c>
      <c r="AP319" s="21" t="s">
        <v>322</v>
      </c>
      <c r="AQ319" s="1">
        <v>8656.7099999999991</v>
      </c>
      <c r="AR319" s="6">
        <v>-4.981580565628918E-3</v>
      </c>
    </row>
    <row r="320" spans="2:44" x14ac:dyDescent="0.35">
      <c r="B320" s="21">
        <v>45357</v>
      </c>
      <c r="C320" s="1">
        <v>0.75</v>
      </c>
      <c r="D320" s="1">
        <v>0.75</v>
      </c>
      <c r="E320" s="6">
        <f t="shared" si="91"/>
        <v>4.1666666666666741E-2</v>
      </c>
      <c r="F320" s="21">
        <v>45357</v>
      </c>
      <c r="G320" s="1">
        <v>16</v>
      </c>
      <c r="H320" s="1">
        <v>12.0124</v>
      </c>
      <c r="I320" s="6">
        <f t="shared" si="89"/>
        <v>0</v>
      </c>
      <c r="J320" s="21">
        <v>45357</v>
      </c>
      <c r="K320" s="1">
        <v>48.6</v>
      </c>
      <c r="L320" s="1">
        <v>32.215899999999998</v>
      </c>
      <c r="M320" s="6">
        <f t="shared" si="84"/>
        <v>1.0316101507952258E-3</v>
      </c>
      <c r="N320" s="21">
        <v>45357</v>
      </c>
      <c r="O320" s="1">
        <v>13.33</v>
      </c>
      <c r="P320" s="1">
        <v>12.445</v>
      </c>
      <c r="Q320" s="6">
        <f t="shared" si="85"/>
        <v>4.5490822027135058E-2</v>
      </c>
      <c r="R320" s="21">
        <v>45357</v>
      </c>
      <c r="S320" s="1">
        <v>7.32</v>
      </c>
      <c r="T320" s="1">
        <v>6.8559000000000001</v>
      </c>
      <c r="U320" s="6">
        <f t="shared" si="90"/>
        <v>1.8071931335570612E-2</v>
      </c>
      <c r="V320" s="21">
        <v>45357</v>
      </c>
      <c r="W320" s="1">
        <v>6</v>
      </c>
      <c r="X320" s="1">
        <v>5.3220000000000001</v>
      </c>
      <c r="Y320" s="6">
        <f t="shared" si="92"/>
        <v>2.9201315026107011E-2</v>
      </c>
      <c r="Z320" s="21">
        <v>45357</v>
      </c>
      <c r="AA320" s="1">
        <v>1.95</v>
      </c>
      <c r="AB320" s="1">
        <v>1.95</v>
      </c>
      <c r="AC320" s="6">
        <f t="shared" si="86"/>
        <v>-5.1020408163264808E-3</v>
      </c>
      <c r="AD320" s="21">
        <v>45357</v>
      </c>
      <c r="AE320" s="1">
        <v>7</v>
      </c>
      <c r="AF320" s="1">
        <v>6.5366</v>
      </c>
      <c r="AG320" s="6">
        <f t="shared" si="87"/>
        <v>-2.6422400953232117E-2</v>
      </c>
      <c r="AH320" s="21">
        <v>45357</v>
      </c>
      <c r="AI320" s="1">
        <v>8.64</v>
      </c>
      <c r="AJ320" s="1">
        <v>8.0381999999999998</v>
      </c>
      <c r="AK320" s="6">
        <f t="shared" si="88"/>
        <v>5.8185367318592807E-3</v>
      </c>
      <c r="AL320" s="21">
        <v>45357</v>
      </c>
      <c r="AM320" s="1">
        <v>1.52</v>
      </c>
      <c r="AN320" s="1">
        <v>1.52</v>
      </c>
      <c r="AO320" s="6">
        <v>0</v>
      </c>
      <c r="AP320" s="21" t="s">
        <v>323</v>
      </c>
      <c r="AQ320" s="1">
        <v>8664.9</v>
      </c>
      <c r="AR320" s="6">
        <v>9.4608690830577657E-4</v>
      </c>
    </row>
    <row r="321" spans="2:44" x14ac:dyDescent="0.35">
      <c r="B321" s="21">
        <v>45358</v>
      </c>
      <c r="C321" s="1">
        <v>0.77</v>
      </c>
      <c r="D321" s="1">
        <v>0.77</v>
      </c>
      <c r="E321" s="6">
        <f t="shared" si="91"/>
        <v>2.6666666666666616E-2</v>
      </c>
      <c r="F321" s="21">
        <v>45358</v>
      </c>
      <c r="G321" s="1">
        <v>16.7</v>
      </c>
      <c r="H321" s="1">
        <v>12.5379</v>
      </c>
      <c r="I321" s="6">
        <f t="shared" si="89"/>
        <v>4.3746461989277785E-2</v>
      </c>
      <c r="J321" s="21">
        <v>45358</v>
      </c>
      <c r="K321" s="1">
        <v>49</v>
      </c>
      <c r="L321" s="1">
        <v>32.481000000000002</v>
      </c>
      <c r="M321" s="6">
        <f t="shared" si="84"/>
        <v>8.2288559375962578E-3</v>
      </c>
      <c r="N321" s="21">
        <v>45358</v>
      </c>
      <c r="O321" s="1">
        <v>13.1</v>
      </c>
      <c r="P321" s="1">
        <v>12.2303</v>
      </c>
      <c r="Q321" s="6">
        <f t="shared" si="85"/>
        <v>-1.7251908396946569E-2</v>
      </c>
      <c r="R321" s="21">
        <v>45358</v>
      </c>
      <c r="S321" s="1">
        <v>7.22</v>
      </c>
      <c r="T321" s="1">
        <v>6.7622999999999998</v>
      </c>
      <c r="U321" s="6">
        <f t="shared" si="90"/>
        <v>-1.3652474511005153E-2</v>
      </c>
      <c r="V321" s="21">
        <v>45358</v>
      </c>
      <c r="W321" s="1">
        <v>6.05</v>
      </c>
      <c r="X321" s="1">
        <v>5.3659999999999997</v>
      </c>
      <c r="Y321" s="6">
        <f t="shared" si="92"/>
        <v>8.2675685832394041E-3</v>
      </c>
      <c r="Z321" s="21">
        <v>45358</v>
      </c>
      <c r="AA321" s="1">
        <v>1.96</v>
      </c>
      <c r="AB321" s="1">
        <v>1.96</v>
      </c>
      <c r="AC321" s="6">
        <f t="shared" si="86"/>
        <v>5.12820512820511E-3</v>
      </c>
      <c r="AD321" s="21">
        <v>45358</v>
      </c>
      <c r="AE321" s="1">
        <v>7.23</v>
      </c>
      <c r="AF321" s="1">
        <v>6.7514000000000003</v>
      </c>
      <c r="AG321" s="6">
        <f t="shared" si="87"/>
        <v>3.2861120460178084E-2</v>
      </c>
      <c r="AH321" s="21">
        <v>45358</v>
      </c>
      <c r="AI321" s="1">
        <v>8.56</v>
      </c>
      <c r="AJ321" s="1">
        <v>7.9638</v>
      </c>
      <c r="AK321" s="6">
        <f t="shared" si="88"/>
        <v>-9.2558035381055115E-3</v>
      </c>
      <c r="AL321" s="21">
        <v>45358</v>
      </c>
      <c r="AM321" s="1">
        <v>1.52</v>
      </c>
      <c r="AN321" s="1">
        <v>1.52</v>
      </c>
      <c r="AO321" s="6">
        <v>0</v>
      </c>
      <c r="AP321" s="21" t="s">
        <v>324</v>
      </c>
      <c r="AQ321" s="1">
        <v>8718.4699999999993</v>
      </c>
      <c r="AR321" s="6">
        <v>6.1824141074910965E-3</v>
      </c>
    </row>
    <row r="322" spans="2:44" x14ac:dyDescent="0.35">
      <c r="B322" s="21">
        <v>45359</v>
      </c>
      <c r="C322" s="1">
        <v>0.76</v>
      </c>
      <c r="D322" s="1">
        <v>0.76</v>
      </c>
      <c r="E322" s="6">
        <f t="shared" si="91"/>
        <v>-1.2987012987012991E-2</v>
      </c>
      <c r="F322" s="21">
        <v>45359</v>
      </c>
      <c r="G322" s="1">
        <v>17.600000000000001</v>
      </c>
      <c r="H322" s="1">
        <v>13.2136</v>
      </c>
      <c r="I322" s="6">
        <f t="shared" si="89"/>
        <v>5.3892597643943496E-2</v>
      </c>
      <c r="J322" s="21">
        <v>45359</v>
      </c>
      <c r="K322" s="1">
        <v>48</v>
      </c>
      <c r="L322" s="1">
        <v>31.818200000000001</v>
      </c>
      <c r="M322" s="6">
        <f t="shared" si="84"/>
        <v>-2.0405775684246175E-2</v>
      </c>
      <c r="N322" s="21">
        <v>45359</v>
      </c>
      <c r="O322" s="1">
        <v>12.45</v>
      </c>
      <c r="P322" s="1">
        <v>11.6234</v>
      </c>
      <c r="Q322" s="6">
        <f t="shared" si="85"/>
        <v>-4.9622658479350434E-2</v>
      </c>
      <c r="R322" s="21">
        <v>45359</v>
      </c>
      <c r="S322" s="1">
        <v>7.25</v>
      </c>
      <c r="T322" s="1">
        <v>6.7904</v>
      </c>
      <c r="U322" s="6">
        <f t="shared" si="90"/>
        <v>4.1553909172915571E-3</v>
      </c>
      <c r="V322" s="21">
        <v>45359</v>
      </c>
      <c r="W322" s="1">
        <v>6</v>
      </c>
      <c r="X322" s="1">
        <v>5.3220000000000001</v>
      </c>
      <c r="Y322" s="6">
        <f t="shared" si="92"/>
        <v>-8.1997763697353454E-3</v>
      </c>
      <c r="Z322" s="21">
        <v>45359</v>
      </c>
      <c r="AA322" s="1">
        <v>1.95</v>
      </c>
      <c r="AB322" s="1">
        <v>1.95</v>
      </c>
      <c r="AC322" s="6">
        <f t="shared" si="86"/>
        <v>-5.1020408163264808E-3</v>
      </c>
      <c r="AD322" s="21">
        <v>45359</v>
      </c>
      <c r="AE322" s="1">
        <v>7.18</v>
      </c>
      <c r="AF322" s="1">
        <v>6.7046999999999999</v>
      </c>
      <c r="AG322" s="6">
        <f t="shared" si="87"/>
        <v>-6.9170838640875143E-3</v>
      </c>
      <c r="AH322" s="21">
        <v>45359</v>
      </c>
      <c r="AI322" s="1">
        <v>8.44</v>
      </c>
      <c r="AJ322" s="1">
        <v>7.8521000000000001</v>
      </c>
      <c r="AK322" s="6">
        <f t="shared" si="88"/>
        <v>-1.402596750295082E-2</v>
      </c>
      <c r="AL322" s="21">
        <v>45359</v>
      </c>
      <c r="AM322" s="1">
        <v>1.52</v>
      </c>
      <c r="AN322" s="1">
        <v>1.52</v>
      </c>
      <c r="AO322" s="6">
        <v>0</v>
      </c>
      <c r="AP322" s="21" t="s">
        <v>325</v>
      </c>
      <c r="AQ322" s="1">
        <v>8708.26</v>
      </c>
      <c r="AR322" s="6">
        <v>-1.1710770353053901E-3</v>
      </c>
    </row>
    <row r="323" spans="2:44" x14ac:dyDescent="0.35">
      <c r="B323" s="21">
        <v>45362</v>
      </c>
      <c r="C323" s="1">
        <v>0.76</v>
      </c>
      <c r="D323" s="1">
        <v>0.76</v>
      </c>
      <c r="E323" s="6">
        <f t="shared" si="91"/>
        <v>0</v>
      </c>
      <c r="F323" s="21">
        <v>45362</v>
      </c>
      <c r="G323" s="1">
        <v>17.5</v>
      </c>
      <c r="H323" s="1">
        <v>13.138500000000001</v>
      </c>
      <c r="I323" s="6">
        <f t="shared" si="89"/>
        <v>-5.6835381727915468E-3</v>
      </c>
      <c r="J323" s="21">
        <v>45362</v>
      </c>
      <c r="K323" s="1">
        <v>49</v>
      </c>
      <c r="L323" s="1">
        <v>32.481000000000002</v>
      </c>
      <c r="M323" s="6">
        <f t="shared" ref="M323:M386" si="93">(L323/L322)-1</f>
        <v>2.0830845239516949E-2</v>
      </c>
      <c r="N323" s="21">
        <v>45362</v>
      </c>
      <c r="O323" s="1">
        <v>12.4</v>
      </c>
      <c r="P323" s="1">
        <v>11.5768</v>
      </c>
      <c r="Q323" s="6">
        <f t="shared" ref="Q323:Q386" si="94">(P323/P322)-1</f>
        <v>-4.009153948070221E-3</v>
      </c>
      <c r="R323" s="21">
        <v>45362</v>
      </c>
      <c r="S323" s="1">
        <v>7.28</v>
      </c>
      <c r="T323" s="1">
        <v>6.8183999999999996</v>
      </c>
      <c r="U323" s="6">
        <f t="shared" si="90"/>
        <v>4.1234684260131882E-3</v>
      </c>
      <c r="V323" s="21">
        <v>45362</v>
      </c>
      <c r="W323" s="1">
        <v>5.99</v>
      </c>
      <c r="X323" s="1">
        <v>5.3129999999999997</v>
      </c>
      <c r="Y323" s="6">
        <f t="shared" si="92"/>
        <v>-1.6910935738444488E-3</v>
      </c>
      <c r="Z323" s="21">
        <v>45362</v>
      </c>
      <c r="AA323" s="1">
        <v>1.98</v>
      </c>
      <c r="AB323" s="1">
        <v>1.98</v>
      </c>
      <c r="AC323" s="6">
        <f t="shared" ref="AC323:AC386" si="95">(AB323/AB322)-1</f>
        <v>1.538461538461533E-2</v>
      </c>
      <c r="AD323" s="21">
        <v>45362</v>
      </c>
      <c r="AE323" s="1">
        <v>7.18</v>
      </c>
      <c r="AF323" s="1">
        <v>6.7046999999999999</v>
      </c>
      <c r="AG323" s="6">
        <f t="shared" ref="AG323:AG386" si="96">(AF323/AF322)-1</f>
        <v>0</v>
      </c>
      <c r="AH323" s="21">
        <v>45362</v>
      </c>
      <c r="AI323" s="1">
        <v>8.36</v>
      </c>
      <c r="AJ323" s="1">
        <v>7.7777000000000003</v>
      </c>
      <c r="AK323" s="6">
        <f t="shared" ref="AK323:AK386" si="97">(AJ323/AJ322)-1</f>
        <v>-9.4751722469148536E-3</v>
      </c>
      <c r="AL323" s="21">
        <v>45362</v>
      </c>
      <c r="AM323" s="1">
        <v>1.52</v>
      </c>
      <c r="AN323" s="1">
        <v>1.52</v>
      </c>
      <c r="AO323" s="6">
        <v>0</v>
      </c>
      <c r="AP323" s="21" t="s">
        <v>326</v>
      </c>
      <c r="AQ323" s="1">
        <v>8704.76</v>
      </c>
      <c r="AR323" s="6">
        <v>-4.0191726016447493E-4</v>
      </c>
    </row>
    <row r="324" spans="2:44" x14ac:dyDescent="0.35">
      <c r="B324" s="21">
        <v>45363</v>
      </c>
      <c r="C324" s="1">
        <v>0.77</v>
      </c>
      <c r="D324" s="1">
        <v>0.77</v>
      </c>
      <c r="E324" s="6">
        <f t="shared" si="91"/>
        <v>1.3157894736842035E-2</v>
      </c>
      <c r="F324" s="21">
        <v>45363</v>
      </c>
      <c r="G324" s="1">
        <v>17.600000000000001</v>
      </c>
      <c r="H324" s="1">
        <v>13.2136</v>
      </c>
      <c r="I324" s="6">
        <f t="shared" si="89"/>
        <v>5.7160254214712047E-3</v>
      </c>
      <c r="J324" s="21">
        <v>45363</v>
      </c>
      <c r="K324" s="1">
        <v>48.5</v>
      </c>
      <c r="L324" s="1">
        <v>32.1496</v>
      </c>
      <c r="M324" s="6">
        <f t="shared" si="93"/>
        <v>-1.0202887842123198E-2</v>
      </c>
      <c r="N324" s="21">
        <v>45363</v>
      </c>
      <c r="O324" s="1">
        <v>11.66</v>
      </c>
      <c r="P324" s="1">
        <v>10.885899999999999</v>
      </c>
      <c r="Q324" s="6">
        <f t="shared" si="94"/>
        <v>-5.9679704236058395E-2</v>
      </c>
      <c r="R324" s="21">
        <v>45363</v>
      </c>
      <c r="S324" s="1">
        <v>7.2</v>
      </c>
      <c r="T324" s="1">
        <v>6.7435</v>
      </c>
      <c r="U324" s="6">
        <f t="shared" si="90"/>
        <v>-1.0984981813915273E-2</v>
      </c>
      <c r="V324" s="21">
        <v>45363</v>
      </c>
      <c r="W324" s="1">
        <v>5.97</v>
      </c>
      <c r="X324" s="1">
        <v>5.2960000000000003</v>
      </c>
      <c r="Y324" s="6">
        <f t="shared" si="92"/>
        <v>-3.1996988518726566E-3</v>
      </c>
      <c r="Z324" s="21">
        <v>45363</v>
      </c>
      <c r="AA324" s="1">
        <v>1.96</v>
      </c>
      <c r="AB324" s="1">
        <v>1.96</v>
      </c>
      <c r="AC324" s="6">
        <f t="shared" si="95"/>
        <v>-1.0101010101010055E-2</v>
      </c>
      <c r="AD324" s="21">
        <v>45363</v>
      </c>
      <c r="AE324" s="1">
        <v>7.18</v>
      </c>
      <c r="AF324" s="1">
        <v>6.7046999999999999</v>
      </c>
      <c r="AG324" s="6">
        <f t="shared" si="96"/>
        <v>0</v>
      </c>
      <c r="AH324" s="21">
        <v>45363</v>
      </c>
      <c r="AI324" s="1">
        <v>8.33</v>
      </c>
      <c r="AJ324" s="1">
        <v>7.7497999999999996</v>
      </c>
      <c r="AK324" s="6">
        <f t="shared" si="97"/>
        <v>-3.5871787289302182E-3</v>
      </c>
      <c r="AL324" s="21">
        <v>45363</v>
      </c>
      <c r="AM324" s="1">
        <v>1.52</v>
      </c>
      <c r="AN324" s="1">
        <v>1.52</v>
      </c>
      <c r="AO324" s="6">
        <v>0</v>
      </c>
      <c r="AP324" s="21" t="s">
        <v>327</v>
      </c>
      <c r="AQ324" s="1">
        <v>8662</v>
      </c>
      <c r="AR324" s="6">
        <v>-4.9122549042133201E-3</v>
      </c>
    </row>
    <row r="325" spans="2:44" x14ac:dyDescent="0.35">
      <c r="B325" s="21">
        <v>45364</v>
      </c>
      <c r="C325" s="1">
        <v>0.76</v>
      </c>
      <c r="D325" s="1">
        <v>0.76</v>
      </c>
      <c r="E325" s="6">
        <f t="shared" si="91"/>
        <v>-1.2987012987012991E-2</v>
      </c>
      <c r="F325" s="21">
        <v>45364</v>
      </c>
      <c r="G325" s="1">
        <v>17.489999999999998</v>
      </c>
      <c r="H325" s="1">
        <v>13.131</v>
      </c>
      <c r="I325" s="6">
        <f t="shared" si="89"/>
        <v>-6.251135194042412E-3</v>
      </c>
      <c r="J325" s="21">
        <v>45364</v>
      </c>
      <c r="K325" s="1">
        <v>49.39</v>
      </c>
      <c r="L325" s="1">
        <v>32.739600000000003</v>
      </c>
      <c r="M325" s="6">
        <f t="shared" si="93"/>
        <v>1.8351705775499605E-2</v>
      </c>
      <c r="N325" s="21">
        <v>45364</v>
      </c>
      <c r="O325" s="1">
        <v>11.44</v>
      </c>
      <c r="P325" s="1">
        <v>10.6805</v>
      </c>
      <c r="Q325" s="6">
        <f t="shared" si="94"/>
        <v>-1.8868444501602966E-2</v>
      </c>
      <c r="R325" s="21">
        <v>45364</v>
      </c>
      <c r="S325" s="1">
        <v>7.07</v>
      </c>
      <c r="T325" s="1">
        <v>6.6218000000000004</v>
      </c>
      <c r="U325" s="6">
        <f t="shared" si="90"/>
        <v>-1.8047008230147488E-2</v>
      </c>
      <c r="V325" s="21">
        <v>45364</v>
      </c>
      <c r="W325" s="1">
        <v>6.04</v>
      </c>
      <c r="X325" s="1">
        <v>5.3579999999999997</v>
      </c>
      <c r="Y325" s="6">
        <f t="shared" si="92"/>
        <v>1.1706948640483272E-2</v>
      </c>
      <c r="Z325" s="21">
        <v>45364</v>
      </c>
      <c r="AA325" s="1">
        <v>1.95</v>
      </c>
      <c r="AB325" s="1">
        <v>1.95</v>
      </c>
      <c r="AC325" s="6">
        <f t="shared" si="95"/>
        <v>-5.1020408163264808E-3</v>
      </c>
      <c r="AD325" s="21">
        <v>45364</v>
      </c>
      <c r="AE325" s="1">
        <v>7.18</v>
      </c>
      <c r="AF325" s="1">
        <v>6.7046999999999999</v>
      </c>
      <c r="AG325" s="6">
        <f t="shared" si="96"/>
        <v>0</v>
      </c>
      <c r="AH325" s="21">
        <v>45364</v>
      </c>
      <c r="AI325" s="1">
        <v>8.33</v>
      </c>
      <c r="AJ325" s="1">
        <v>7.7497999999999996</v>
      </c>
      <c r="AK325" s="6">
        <f t="shared" si="97"/>
        <v>0</v>
      </c>
      <c r="AL325" s="21">
        <v>45364</v>
      </c>
      <c r="AM325" s="1">
        <v>1.52</v>
      </c>
      <c r="AN325" s="1">
        <v>1.52</v>
      </c>
      <c r="AO325" s="6">
        <v>0</v>
      </c>
      <c r="AP325" s="21" t="s">
        <v>328</v>
      </c>
      <c r="AQ325" s="1">
        <v>8669.08</v>
      </c>
      <c r="AR325" s="6">
        <v>8.1736319556680037E-4</v>
      </c>
    </row>
    <row r="326" spans="2:44" x14ac:dyDescent="0.35">
      <c r="B326" s="21">
        <v>45365</v>
      </c>
      <c r="C326" s="1">
        <v>0.74</v>
      </c>
      <c r="D326" s="1">
        <v>0.74</v>
      </c>
      <c r="E326" s="6">
        <f t="shared" si="91"/>
        <v>-2.6315789473684181E-2</v>
      </c>
      <c r="F326" s="21">
        <v>45365</v>
      </c>
      <c r="G326" s="1">
        <v>17.39</v>
      </c>
      <c r="H326" s="1">
        <v>13.055899999999999</v>
      </c>
      <c r="I326" s="6">
        <f t="shared" si="89"/>
        <v>-5.7192902292285686E-3</v>
      </c>
      <c r="J326" s="21">
        <v>45365</v>
      </c>
      <c r="K326" s="1">
        <v>49</v>
      </c>
      <c r="L326" s="1">
        <v>32.481000000000002</v>
      </c>
      <c r="M326" s="6">
        <f t="shared" si="93"/>
        <v>-7.898691492871035E-3</v>
      </c>
      <c r="N326" s="21">
        <v>45365</v>
      </c>
      <c r="O326" s="1">
        <v>11.27</v>
      </c>
      <c r="P326" s="1">
        <v>10.521800000000001</v>
      </c>
      <c r="Q326" s="6">
        <f t="shared" si="94"/>
        <v>-1.4858854922522369E-2</v>
      </c>
      <c r="R326" s="21">
        <v>45365</v>
      </c>
      <c r="S326" s="1">
        <v>7.15</v>
      </c>
      <c r="T326" s="1">
        <v>6.6966999999999999</v>
      </c>
      <c r="U326" s="6">
        <f t="shared" si="90"/>
        <v>1.1311123863601891E-2</v>
      </c>
      <c r="V326" s="21">
        <v>45365</v>
      </c>
      <c r="W326" s="1">
        <v>6.04</v>
      </c>
      <c r="X326" s="1">
        <v>5.3579999999999997</v>
      </c>
      <c r="Y326" s="6">
        <f t="shared" si="92"/>
        <v>0</v>
      </c>
      <c r="Z326" s="21">
        <v>45365</v>
      </c>
      <c r="AA326" s="1">
        <v>1.95</v>
      </c>
      <c r="AB326" s="1">
        <v>1.95</v>
      </c>
      <c r="AC326" s="6">
        <f t="shared" si="95"/>
        <v>0</v>
      </c>
      <c r="AD326" s="21">
        <v>45365</v>
      </c>
      <c r="AE326" s="1">
        <v>7.16</v>
      </c>
      <c r="AF326" s="1">
        <v>6.6859999999999999</v>
      </c>
      <c r="AG326" s="6">
        <f t="shared" si="96"/>
        <v>-2.7890882515250182E-3</v>
      </c>
      <c r="AH326" s="21">
        <v>45365</v>
      </c>
      <c r="AI326" s="1">
        <v>8.25</v>
      </c>
      <c r="AJ326" s="1">
        <v>7.6753</v>
      </c>
      <c r="AK326" s="6">
        <f t="shared" si="97"/>
        <v>-9.6131513071304742E-3</v>
      </c>
      <c r="AL326" s="21">
        <v>45365</v>
      </c>
      <c r="AM326" s="1">
        <v>1.52</v>
      </c>
      <c r="AN326" s="1">
        <v>1.52</v>
      </c>
      <c r="AO326" s="6">
        <v>0</v>
      </c>
      <c r="AP326" s="21" t="s">
        <v>329</v>
      </c>
      <c r="AQ326" s="1">
        <v>8685.7199999999993</v>
      </c>
      <c r="AR326" s="6">
        <v>1.9194655026830709E-3</v>
      </c>
    </row>
    <row r="327" spans="2:44" x14ac:dyDescent="0.35">
      <c r="B327" s="21">
        <v>45366</v>
      </c>
      <c r="C327" s="1">
        <v>0.77</v>
      </c>
      <c r="D327" s="1">
        <v>0.77</v>
      </c>
      <c r="E327" s="6">
        <f t="shared" si="91"/>
        <v>4.0540540540540571E-2</v>
      </c>
      <c r="F327" s="21">
        <v>45366</v>
      </c>
      <c r="G327" s="1">
        <v>17.25</v>
      </c>
      <c r="H327" s="1">
        <v>12.950799999999999</v>
      </c>
      <c r="I327" s="6">
        <f t="shared" ref="I327:I390" si="98">(H327/H326)-1</f>
        <v>-8.0500003829686584E-3</v>
      </c>
      <c r="J327" s="21">
        <v>45366</v>
      </c>
      <c r="K327" s="1">
        <v>49</v>
      </c>
      <c r="L327" s="1">
        <v>32.481000000000002</v>
      </c>
      <c r="M327" s="6">
        <f t="shared" si="93"/>
        <v>0</v>
      </c>
      <c r="N327" s="21">
        <v>45366</v>
      </c>
      <c r="O327" s="1">
        <v>11.4</v>
      </c>
      <c r="P327" s="1">
        <v>10.6432</v>
      </c>
      <c r="Q327" s="6">
        <f t="shared" si="94"/>
        <v>1.1537949780455747E-2</v>
      </c>
      <c r="R327" s="21">
        <v>45366</v>
      </c>
      <c r="S327" s="1">
        <v>7.15</v>
      </c>
      <c r="T327" s="1">
        <v>6.6966999999999999</v>
      </c>
      <c r="U327" s="6">
        <f t="shared" si="90"/>
        <v>0</v>
      </c>
      <c r="V327" s="21">
        <v>45366</v>
      </c>
      <c r="W327" s="1">
        <v>6.04</v>
      </c>
      <c r="X327" s="1">
        <v>5.3579999999999997</v>
      </c>
      <c r="Y327" s="6">
        <f t="shared" si="92"/>
        <v>0</v>
      </c>
      <c r="Z327" s="21">
        <v>45366</v>
      </c>
      <c r="AA327" s="1">
        <v>1.93</v>
      </c>
      <c r="AB327" s="1">
        <v>1.93</v>
      </c>
      <c r="AC327" s="6">
        <f t="shared" si="95"/>
        <v>-1.025641025641022E-2</v>
      </c>
      <c r="AD327" s="21">
        <v>45366</v>
      </c>
      <c r="AE327" s="1">
        <v>7.17</v>
      </c>
      <c r="AF327" s="1">
        <v>6.6952999999999996</v>
      </c>
      <c r="AG327" s="6">
        <f t="shared" si="96"/>
        <v>1.3909661980255894E-3</v>
      </c>
      <c r="AH327" s="21">
        <v>45366</v>
      </c>
      <c r="AI327" s="1">
        <v>8.2899999999999991</v>
      </c>
      <c r="AJ327" s="1">
        <v>7.7126000000000001</v>
      </c>
      <c r="AK327" s="6">
        <f t="shared" si="97"/>
        <v>4.8597448959650791E-3</v>
      </c>
      <c r="AL327" s="21">
        <v>45366</v>
      </c>
      <c r="AM327" s="1">
        <v>1.52</v>
      </c>
      <c r="AN327" s="1">
        <v>1.52</v>
      </c>
      <c r="AO327" s="6">
        <v>0</v>
      </c>
      <c r="AP327" s="21" t="s">
        <v>330</v>
      </c>
      <c r="AQ327" s="1">
        <v>8705.93</v>
      </c>
      <c r="AR327" s="6">
        <v>2.3268076797318127E-3</v>
      </c>
    </row>
    <row r="328" spans="2:44" x14ac:dyDescent="0.35">
      <c r="B328" s="21">
        <v>45369</v>
      </c>
      <c r="C328" s="1">
        <v>0.76</v>
      </c>
      <c r="D328" s="1">
        <v>0.76</v>
      </c>
      <c r="E328" s="6">
        <f t="shared" si="91"/>
        <v>-1.2987012987012991E-2</v>
      </c>
      <c r="F328" s="21">
        <v>45369</v>
      </c>
      <c r="G328" s="1">
        <v>17.239999999999998</v>
      </c>
      <c r="H328" s="1">
        <v>12.943300000000001</v>
      </c>
      <c r="I328" s="6">
        <f t="shared" si="98"/>
        <v>-5.7911480371852786E-4</v>
      </c>
      <c r="J328" s="21">
        <v>45369</v>
      </c>
      <c r="K328" s="1">
        <v>49</v>
      </c>
      <c r="L328" s="1">
        <v>32.481000000000002</v>
      </c>
      <c r="M328" s="6">
        <f t="shared" si="93"/>
        <v>0</v>
      </c>
      <c r="N328" s="21">
        <v>45369</v>
      </c>
      <c r="O328" s="1">
        <v>11.4</v>
      </c>
      <c r="P328" s="1">
        <v>10.6432</v>
      </c>
      <c r="Q328" s="6">
        <f t="shared" si="94"/>
        <v>0</v>
      </c>
      <c r="R328" s="21">
        <v>45369</v>
      </c>
      <c r="S328" s="1">
        <v>7.15</v>
      </c>
      <c r="T328" s="1">
        <v>6.6966999999999999</v>
      </c>
      <c r="U328" s="6">
        <f t="shared" si="90"/>
        <v>0</v>
      </c>
      <c r="V328" s="21">
        <v>45369</v>
      </c>
      <c r="W328" s="1">
        <v>6.04</v>
      </c>
      <c r="X328" s="1">
        <v>5.3579999999999997</v>
      </c>
      <c r="Y328" s="6">
        <f t="shared" si="92"/>
        <v>0</v>
      </c>
      <c r="Z328" s="21">
        <v>45369</v>
      </c>
      <c r="AA328" s="1">
        <v>1.93</v>
      </c>
      <c r="AB328" s="1">
        <v>1.93</v>
      </c>
      <c r="AC328" s="6">
        <f t="shared" si="95"/>
        <v>0</v>
      </c>
      <c r="AD328" s="21">
        <v>45369</v>
      </c>
      <c r="AE328" s="1">
        <v>7.17</v>
      </c>
      <c r="AF328" s="1">
        <v>6.6952999999999996</v>
      </c>
      <c r="AG328" s="6">
        <f t="shared" si="96"/>
        <v>0</v>
      </c>
      <c r="AH328" s="21">
        <v>45369</v>
      </c>
      <c r="AI328" s="1">
        <v>8.2799999999999994</v>
      </c>
      <c r="AJ328" s="1">
        <v>7.7032999999999996</v>
      </c>
      <c r="AK328" s="6">
        <f t="shared" si="97"/>
        <v>-1.2058190493479115E-3</v>
      </c>
      <c r="AL328" s="21">
        <v>45369</v>
      </c>
      <c r="AM328" s="1">
        <v>1.52</v>
      </c>
      <c r="AN328" s="1">
        <v>1.52</v>
      </c>
      <c r="AO328" s="6">
        <v>0</v>
      </c>
      <c r="AP328" s="21" t="s">
        <v>331</v>
      </c>
      <c r="AQ328" s="1">
        <v>8735.91</v>
      </c>
      <c r="AR328" s="6">
        <v>3.443629801755721E-3</v>
      </c>
    </row>
    <row r="329" spans="2:44" x14ac:dyDescent="0.35">
      <c r="B329" s="21">
        <v>45370</v>
      </c>
      <c r="C329" s="1">
        <v>0.76</v>
      </c>
      <c r="D329" s="1">
        <v>0.76</v>
      </c>
      <c r="E329" s="6">
        <f t="shared" si="91"/>
        <v>0</v>
      </c>
      <c r="F329" s="21">
        <v>45370</v>
      </c>
      <c r="G329" s="1">
        <v>17</v>
      </c>
      <c r="H329" s="1">
        <v>12.7631</v>
      </c>
      <c r="I329" s="6">
        <f t="shared" si="98"/>
        <v>-1.3922260938091569E-2</v>
      </c>
      <c r="J329" s="21">
        <v>45370</v>
      </c>
      <c r="K329" s="1">
        <v>49.3</v>
      </c>
      <c r="L329" s="1">
        <v>32.679900000000004</v>
      </c>
      <c r="M329" s="6">
        <f t="shared" si="93"/>
        <v>6.1235799390413348E-3</v>
      </c>
      <c r="N329" s="21">
        <v>45370</v>
      </c>
      <c r="O329" s="1">
        <v>11.4</v>
      </c>
      <c r="P329" s="1">
        <v>10.6432</v>
      </c>
      <c r="Q329" s="6">
        <f t="shared" si="94"/>
        <v>0</v>
      </c>
      <c r="R329" s="21">
        <v>45370</v>
      </c>
      <c r="S329" s="1">
        <v>7.16</v>
      </c>
      <c r="T329" s="1">
        <v>6.7061000000000002</v>
      </c>
      <c r="U329" s="6">
        <f t="shared" ref="U329:U392" si="99">(T329/T328)-1</f>
        <v>1.4036764376483823E-3</v>
      </c>
      <c r="V329" s="21">
        <v>45370</v>
      </c>
      <c r="W329" s="1">
        <v>6.04</v>
      </c>
      <c r="X329" s="1">
        <v>5.3579999999999997</v>
      </c>
      <c r="Y329" s="6">
        <f t="shared" si="92"/>
        <v>0</v>
      </c>
      <c r="Z329" s="21">
        <v>45370</v>
      </c>
      <c r="AA329" s="1">
        <v>1.93</v>
      </c>
      <c r="AB329" s="1">
        <v>1.93</v>
      </c>
      <c r="AC329" s="6">
        <f t="shared" si="95"/>
        <v>0</v>
      </c>
      <c r="AD329" s="21">
        <v>45370</v>
      </c>
      <c r="AE329" s="1">
        <v>7.19</v>
      </c>
      <c r="AF329" s="1">
        <v>6.7140000000000004</v>
      </c>
      <c r="AG329" s="6">
        <f t="shared" si="96"/>
        <v>2.7930040476156215E-3</v>
      </c>
      <c r="AH329" s="21">
        <v>45370</v>
      </c>
      <c r="AI329" s="1">
        <v>8.1999999999999993</v>
      </c>
      <c r="AJ329" s="1">
        <v>7.6288</v>
      </c>
      <c r="AK329" s="6">
        <f t="shared" si="97"/>
        <v>-9.6711798839458352E-3</v>
      </c>
      <c r="AL329" s="21">
        <v>45370</v>
      </c>
      <c r="AM329" s="1">
        <v>1.52</v>
      </c>
      <c r="AN329" s="1">
        <v>1.52</v>
      </c>
      <c r="AO329" s="6">
        <v>0</v>
      </c>
      <c r="AP329" s="21" t="s">
        <v>332</v>
      </c>
      <c r="AQ329" s="1">
        <v>8781.43</v>
      </c>
      <c r="AR329" s="6">
        <v>5.2106763920416466E-3</v>
      </c>
    </row>
    <row r="330" spans="2:44" x14ac:dyDescent="0.35">
      <c r="B330" s="21">
        <v>45372</v>
      </c>
      <c r="C330" s="1">
        <v>0.73</v>
      </c>
      <c r="D330" s="1">
        <v>0.73</v>
      </c>
      <c r="E330" s="6">
        <f t="shared" si="91"/>
        <v>-3.9473684210526327E-2</v>
      </c>
      <c r="F330" s="21">
        <v>45372</v>
      </c>
      <c r="G330" s="1">
        <v>17.3</v>
      </c>
      <c r="H330" s="1">
        <v>12.9884</v>
      </c>
      <c r="I330" s="6">
        <f t="shared" si="98"/>
        <v>1.7652451206995323E-2</v>
      </c>
      <c r="J330" s="21">
        <v>45372</v>
      </c>
      <c r="K330" s="1">
        <v>49.3</v>
      </c>
      <c r="L330" s="1">
        <v>32.679900000000004</v>
      </c>
      <c r="M330" s="6">
        <f t="shared" si="93"/>
        <v>0</v>
      </c>
      <c r="N330" s="21">
        <v>45372</v>
      </c>
      <c r="O330" s="1">
        <v>11.55</v>
      </c>
      <c r="P330" s="1">
        <v>10.783200000000001</v>
      </c>
      <c r="Q330" s="6">
        <f t="shared" si="94"/>
        <v>1.3153938665063203E-2</v>
      </c>
      <c r="R330" s="21">
        <v>45372</v>
      </c>
      <c r="S330" s="1">
        <v>7.28</v>
      </c>
      <c r="T330" s="1">
        <v>6.8183999999999996</v>
      </c>
      <c r="U330" s="6">
        <f t="shared" si="99"/>
        <v>1.674594771924065E-2</v>
      </c>
      <c r="V330" s="21">
        <v>45372</v>
      </c>
      <c r="W330" s="1">
        <v>6.04</v>
      </c>
      <c r="X330" s="1">
        <v>5.3579999999999997</v>
      </c>
      <c r="Y330" s="6">
        <f t="shared" si="92"/>
        <v>0</v>
      </c>
      <c r="Z330" s="21">
        <v>45372</v>
      </c>
      <c r="AA330" s="1">
        <v>1.93</v>
      </c>
      <c r="AB330" s="1">
        <v>1.93</v>
      </c>
      <c r="AC330" s="6">
        <f t="shared" si="95"/>
        <v>0</v>
      </c>
      <c r="AD330" s="21">
        <v>45372</v>
      </c>
      <c r="AE330" s="1">
        <v>7.17</v>
      </c>
      <c r="AF330" s="1">
        <v>6.6952999999999996</v>
      </c>
      <c r="AG330" s="6">
        <f t="shared" si="96"/>
        <v>-2.7852249031874443E-3</v>
      </c>
      <c r="AH330" s="21">
        <v>45372</v>
      </c>
      <c r="AI330" s="1">
        <v>8.1999999999999993</v>
      </c>
      <c r="AJ330" s="1">
        <v>7.6288</v>
      </c>
      <c r="AK330" s="6">
        <f t="shared" si="97"/>
        <v>0</v>
      </c>
      <c r="AL330" s="21">
        <v>45372</v>
      </c>
      <c r="AM330" s="1">
        <v>1.52</v>
      </c>
      <c r="AN330" s="1">
        <v>1.52</v>
      </c>
      <c r="AO330" s="6">
        <v>0</v>
      </c>
      <c r="AP330" s="21" t="s">
        <v>333</v>
      </c>
      <c r="AQ330" s="1">
        <v>8827.2000000000007</v>
      </c>
      <c r="AR330" s="6">
        <v>5.2121351533862548E-3</v>
      </c>
    </row>
    <row r="331" spans="2:44" x14ac:dyDescent="0.35">
      <c r="B331" s="21">
        <v>45373</v>
      </c>
      <c r="C331" s="1">
        <v>0.74</v>
      </c>
      <c r="D331" s="1">
        <v>0.74</v>
      </c>
      <c r="E331" s="6">
        <f t="shared" si="91"/>
        <v>1.3698630136986356E-2</v>
      </c>
      <c r="F331" s="21">
        <v>45373</v>
      </c>
      <c r="G331" s="1">
        <v>17.239999999999998</v>
      </c>
      <c r="H331" s="1">
        <v>12.943300000000001</v>
      </c>
      <c r="I331" s="6">
        <f t="shared" si="98"/>
        <v>-3.472329155246201E-3</v>
      </c>
      <c r="J331" s="21">
        <v>45373</v>
      </c>
      <c r="K331" s="1">
        <v>49.39</v>
      </c>
      <c r="L331" s="1">
        <v>32.739600000000003</v>
      </c>
      <c r="M331" s="6">
        <f t="shared" si="93"/>
        <v>1.8268109755537054E-3</v>
      </c>
      <c r="N331" s="21">
        <v>45373</v>
      </c>
      <c r="O331" s="1">
        <v>11.7</v>
      </c>
      <c r="P331" s="1">
        <v>10.9232</v>
      </c>
      <c r="Q331" s="6">
        <f t="shared" si="94"/>
        <v>1.2983158988055354E-2</v>
      </c>
      <c r="R331" s="21">
        <v>45373</v>
      </c>
      <c r="S331" s="1">
        <v>7.24</v>
      </c>
      <c r="T331" s="1">
        <v>6.7809999999999997</v>
      </c>
      <c r="U331" s="6">
        <f t="shared" si="99"/>
        <v>-5.4851578082834029E-3</v>
      </c>
      <c r="V331" s="21">
        <v>45373</v>
      </c>
      <c r="W331" s="1">
        <v>5.99</v>
      </c>
      <c r="X331" s="1">
        <v>5.3129999999999997</v>
      </c>
      <c r="Y331" s="6">
        <f t="shared" si="92"/>
        <v>-8.3986562150055732E-3</v>
      </c>
      <c r="Z331" s="21">
        <v>45373</v>
      </c>
      <c r="AA331" s="1">
        <v>1.9</v>
      </c>
      <c r="AB331" s="1">
        <v>1.9</v>
      </c>
      <c r="AC331" s="6">
        <f t="shared" si="95"/>
        <v>-1.5544041450777257E-2</v>
      </c>
      <c r="AD331" s="21">
        <v>45373</v>
      </c>
      <c r="AE331" s="1">
        <v>7.16</v>
      </c>
      <c r="AF331" s="1">
        <v>6.6859999999999999</v>
      </c>
      <c r="AG331" s="6">
        <f t="shared" si="96"/>
        <v>-1.3890340985467375E-3</v>
      </c>
      <c r="AH331" s="21">
        <v>45373</v>
      </c>
      <c r="AI331" s="1">
        <v>8.1999999999999993</v>
      </c>
      <c r="AJ331" s="1">
        <v>7.6288</v>
      </c>
      <c r="AK331" s="6">
        <f t="shared" si="97"/>
        <v>0</v>
      </c>
      <c r="AL331" s="21">
        <v>45373</v>
      </c>
      <c r="AM331" s="1">
        <v>1.52</v>
      </c>
      <c r="AN331" s="1">
        <v>1.52</v>
      </c>
      <c r="AO331" s="6">
        <v>0</v>
      </c>
      <c r="AP331" s="21" t="s">
        <v>334</v>
      </c>
      <c r="AQ331" s="1">
        <v>8823.07</v>
      </c>
      <c r="AR331" s="6">
        <v>-4.6787203190146176E-4</v>
      </c>
    </row>
    <row r="332" spans="2:44" x14ac:dyDescent="0.35">
      <c r="B332" s="21">
        <v>45376</v>
      </c>
      <c r="C332" s="1">
        <v>0.71</v>
      </c>
      <c r="D332" s="1">
        <v>0.71</v>
      </c>
      <c r="E332" s="6">
        <f t="shared" si="91"/>
        <v>-4.0540540540540571E-2</v>
      </c>
      <c r="F332" s="21">
        <v>45376</v>
      </c>
      <c r="G332" s="1">
        <v>17.25</v>
      </c>
      <c r="H332" s="1">
        <v>12.950799999999999</v>
      </c>
      <c r="I332" s="6">
        <f t="shared" si="98"/>
        <v>5.7945037200712868E-4</v>
      </c>
      <c r="J332" s="21">
        <v>45376</v>
      </c>
      <c r="K332" s="1">
        <v>49.45</v>
      </c>
      <c r="L332" s="1">
        <v>32.779299999999999</v>
      </c>
      <c r="M332" s="6">
        <f t="shared" si="93"/>
        <v>1.2125988100035734E-3</v>
      </c>
      <c r="N332" s="21">
        <v>45376</v>
      </c>
      <c r="O332" s="1">
        <v>11.99</v>
      </c>
      <c r="P332" s="1">
        <v>11.194000000000001</v>
      </c>
      <c r="Q332" s="6">
        <f t="shared" si="94"/>
        <v>2.4791269957521678E-2</v>
      </c>
      <c r="R332" s="21">
        <v>45376</v>
      </c>
      <c r="S332" s="1">
        <v>7.27</v>
      </c>
      <c r="T332" s="1">
        <v>6.8090999999999999</v>
      </c>
      <c r="U332" s="6">
        <f t="shared" si="99"/>
        <v>4.1439315735143367E-3</v>
      </c>
      <c r="V332" s="21">
        <v>45376</v>
      </c>
      <c r="W332" s="1">
        <v>6.02</v>
      </c>
      <c r="X332" s="1">
        <v>5.34</v>
      </c>
      <c r="Y332" s="6">
        <f t="shared" si="92"/>
        <v>5.0818746470919773E-3</v>
      </c>
      <c r="Z332" s="21">
        <v>45376</v>
      </c>
      <c r="AA332" s="1">
        <v>1.92</v>
      </c>
      <c r="AB332" s="1">
        <v>1.92</v>
      </c>
      <c r="AC332" s="6">
        <f t="shared" si="95"/>
        <v>1.0526315789473717E-2</v>
      </c>
      <c r="AD332" s="21">
        <v>45376</v>
      </c>
      <c r="AE332" s="1">
        <v>7.16</v>
      </c>
      <c r="AF332" s="1">
        <v>6.6859999999999999</v>
      </c>
      <c r="AG332" s="6">
        <f t="shared" si="96"/>
        <v>0</v>
      </c>
      <c r="AH332" s="21">
        <v>45376</v>
      </c>
      <c r="AI332" s="1">
        <v>8.1999999999999993</v>
      </c>
      <c r="AJ332" s="1">
        <v>7.6288</v>
      </c>
      <c r="AK332" s="6">
        <f t="shared" si="97"/>
        <v>0</v>
      </c>
      <c r="AL332" s="21">
        <v>45376</v>
      </c>
      <c r="AM332" s="1">
        <v>1.5</v>
      </c>
      <c r="AN332" s="1">
        <v>1.5</v>
      </c>
      <c r="AO332" s="6">
        <v>-1.3157894736842146E-2</v>
      </c>
      <c r="AP332" s="21" t="s">
        <v>335</v>
      </c>
      <c r="AQ332" s="1">
        <v>8837.68</v>
      </c>
      <c r="AR332" s="6">
        <v>1.6558862164757215E-3</v>
      </c>
    </row>
    <row r="333" spans="2:44" x14ac:dyDescent="0.35">
      <c r="B333" s="21">
        <v>45377</v>
      </c>
      <c r="C333" s="1">
        <v>0.71</v>
      </c>
      <c r="D333" s="1">
        <v>0.71</v>
      </c>
      <c r="E333" s="6">
        <f t="shared" si="91"/>
        <v>0</v>
      </c>
      <c r="F333" s="21">
        <v>45377</v>
      </c>
      <c r="G333" s="1">
        <v>17.190000000000001</v>
      </c>
      <c r="H333" s="1">
        <v>12.905799999999999</v>
      </c>
      <c r="I333" s="6">
        <f t="shared" si="98"/>
        <v>-3.4746888223121664E-3</v>
      </c>
      <c r="J333" s="21">
        <v>45377</v>
      </c>
      <c r="K333" s="1">
        <v>49.92</v>
      </c>
      <c r="L333" s="1">
        <v>33.090899999999998</v>
      </c>
      <c r="M333" s="6">
        <f t="shared" si="93"/>
        <v>9.5059992129178372E-3</v>
      </c>
      <c r="N333" s="21">
        <v>45377</v>
      </c>
      <c r="O333" s="1">
        <v>11.87</v>
      </c>
      <c r="P333" s="1">
        <v>11.082000000000001</v>
      </c>
      <c r="Q333" s="6">
        <f t="shared" si="94"/>
        <v>-1.0005360014293418E-2</v>
      </c>
      <c r="R333" s="21">
        <v>45377</v>
      </c>
      <c r="S333" s="1">
        <v>7.23</v>
      </c>
      <c r="T333" s="1">
        <v>6.7716000000000003</v>
      </c>
      <c r="U333" s="6">
        <f t="shared" si="99"/>
        <v>-5.5073357712472903E-3</v>
      </c>
      <c r="V333" s="21">
        <v>45377</v>
      </c>
      <c r="W333" s="1">
        <v>6.02</v>
      </c>
      <c r="X333" s="1">
        <v>5.34</v>
      </c>
      <c r="Y333" s="6">
        <f t="shared" si="92"/>
        <v>0</v>
      </c>
      <c r="Z333" s="21">
        <v>45377</v>
      </c>
      <c r="AA333" s="1">
        <v>1.94</v>
      </c>
      <c r="AB333" s="1">
        <v>1.94</v>
      </c>
      <c r="AC333" s="6">
        <f t="shared" si="95"/>
        <v>1.0416666666666741E-2</v>
      </c>
      <c r="AD333" s="21">
        <v>45377</v>
      </c>
      <c r="AE333" s="1">
        <v>7.16</v>
      </c>
      <c r="AF333" s="1">
        <v>6.6859999999999999</v>
      </c>
      <c r="AG333" s="6">
        <f t="shared" si="96"/>
        <v>0</v>
      </c>
      <c r="AH333" s="21">
        <v>45377</v>
      </c>
      <c r="AI333" s="1">
        <v>8.27</v>
      </c>
      <c r="AJ333" s="1">
        <v>7.694</v>
      </c>
      <c r="AK333" s="6">
        <f t="shared" si="97"/>
        <v>8.5465604026846442E-3</v>
      </c>
      <c r="AL333" s="21">
        <v>45377</v>
      </c>
      <c r="AM333" s="1">
        <v>1.44</v>
      </c>
      <c r="AN333" s="1">
        <v>1.44</v>
      </c>
      <c r="AO333" s="6">
        <v>-4.0000000000000036E-2</v>
      </c>
      <c r="AP333" s="21" t="s">
        <v>336</v>
      </c>
      <c r="AQ333" s="1">
        <v>8864.9</v>
      </c>
      <c r="AR333" s="6">
        <v>3.0799938445382757E-3</v>
      </c>
    </row>
    <row r="334" spans="2:44" x14ac:dyDescent="0.35">
      <c r="B334" s="21">
        <v>45378</v>
      </c>
      <c r="C334" s="1">
        <v>0.72</v>
      </c>
      <c r="D334" s="1">
        <v>0.72</v>
      </c>
      <c r="E334" s="6">
        <f t="shared" si="91"/>
        <v>1.4084507042253502E-2</v>
      </c>
      <c r="F334" s="21">
        <v>45378</v>
      </c>
      <c r="G334" s="1">
        <v>17.190000000000001</v>
      </c>
      <c r="H334" s="1">
        <v>12.905799999999999</v>
      </c>
      <c r="I334" s="6">
        <f t="shared" si="98"/>
        <v>0</v>
      </c>
      <c r="J334" s="21">
        <v>45378</v>
      </c>
      <c r="K334" s="1">
        <v>50.5</v>
      </c>
      <c r="L334" s="1">
        <v>33.475299999999997</v>
      </c>
      <c r="M334" s="6">
        <f t="shared" si="93"/>
        <v>1.1616486707826112E-2</v>
      </c>
      <c r="N334" s="21">
        <v>45378</v>
      </c>
      <c r="O334" s="1">
        <v>11.87</v>
      </c>
      <c r="P334" s="1">
        <v>11.082000000000001</v>
      </c>
      <c r="Q334" s="6">
        <f t="shared" si="94"/>
        <v>0</v>
      </c>
      <c r="R334" s="21">
        <v>45378</v>
      </c>
      <c r="S334" s="1">
        <v>7.23</v>
      </c>
      <c r="T334" s="1">
        <v>6.7716000000000003</v>
      </c>
      <c r="U334" s="6">
        <f t="shared" si="99"/>
        <v>0</v>
      </c>
      <c r="V334" s="21">
        <v>45378</v>
      </c>
      <c r="W334" s="1">
        <v>6.02</v>
      </c>
      <c r="X334" s="1">
        <v>5.34</v>
      </c>
      <c r="Y334" s="6">
        <f t="shared" si="92"/>
        <v>0</v>
      </c>
      <c r="Z334" s="21">
        <v>45378</v>
      </c>
      <c r="AA334" s="1">
        <v>1.92</v>
      </c>
      <c r="AB334" s="1">
        <v>1.92</v>
      </c>
      <c r="AC334" s="6">
        <f t="shared" si="95"/>
        <v>-1.0309278350515427E-2</v>
      </c>
      <c r="AD334" s="21">
        <v>45378</v>
      </c>
      <c r="AE334" s="1">
        <v>7.16</v>
      </c>
      <c r="AF334" s="1">
        <v>6.6859999999999999</v>
      </c>
      <c r="AG334" s="6">
        <f t="shared" si="96"/>
        <v>0</v>
      </c>
      <c r="AH334" s="21">
        <v>45378</v>
      </c>
      <c r="AI334" s="1">
        <v>8.3000000000000007</v>
      </c>
      <c r="AJ334" s="1">
        <v>7.7218999999999998</v>
      </c>
      <c r="AK334" s="6">
        <f t="shared" si="97"/>
        <v>3.6262022355082468E-3</v>
      </c>
      <c r="AL334" s="21">
        <v>45378</v>
      </c>
      <c r="AM334" s="1">
        <v>1.48</v>
      </c>
      <c r="AN334" s="1">
        <v>1.48</v>
      </c>
      <c r="AO334" s="6">
        <v>2.7777777777777901E-2</v>
      </c>
      <c r="AP334" s="21" t="s">
        <v>337</v>
      </c>
      <c r="AQ334" s="1">
        <v>8866.98</v>
      </c>
      <c r="AR334" s="6">
        <v>2.3463321639272117E-4</v>
      </c>
    </row>
    <row r="335" spans="2:44" x14ac:dyDescent="0.35">
      <c r="B335" s="21">
        <v>45379</v>
      </c>
      <c r="C335" s="1">
        <v>0.71</v>
      </c>
      <c r="D335" s="1">
        <v>0.71</v>
      </c>
      <c r="E335" s="6">
        <f t="shared" si="91"/>
        <v>-1.3888888888888951E-2</v>
      </c>
      <c r="F335" s="21">
        <v>45379</v>
      </c>
      <c r="G335" s="1">
        <v>17</v>
      </c>
      <c r="H335" s="1">
        <v>12.7631</v>
      </c>
      <c r="I335" s="6">
        <f t="shared" si="98"/>
        <v>-1.1057044119698101E-2</v>
      </c>
      <c r="J335" s="21">
        <v>45379</v>
      </c>
      <c r="K335" s="1">
        <v>52</v>
      </c>
      <c r="L335" s="1">
        <v>34.469700000000003</v>
      </c>
      <c r="M335" s="6">
        <f t="shared" si="93"/>
        <v>2.9705484342186894E-2</v>
      </c>
      <c r="N335" s="21">
        <v>45379</v>
      </c>
      <c r="O335" s="1">
        <v>11.83</v>
      </c>
      <c r="P335" s="1">
        <v>11.044600000000001</v>
      </c>
      <c r="Q335" s="6">
        <f t="shared" si="94"/>
        <v>-3.3748420862660389E-3</v>
      </c>
      <c r="R335" s="21">
        <v>45379</v>
      </c>
      <c r="S335" s="1">
        <v>7.27</v>
      </c>
      <c r="T335" s="1">
        <v>6.8090999999999999</v>
      </c>
      <c r="U335" s="6">
        <f t="shared" si="99"/>
        <v>5.5378344852028416E-3</v>
      </c>
      <c r="V335" s="21">
        <v>45379</v>
      </c>
      <c r="W335" s="1">
        <v>6.02</v>
      </c>
      <c r="X335" s="1">
        <v>5.34</v>
      </c>
      <c r="Y335" s="6">
        <f t="shared" si="92"/>
        <v>0</v>
      </c>
      <c r="Z335" s="21">
        <v>45379</v>
      </c>
      <c r="AA335" s="1">
        <v>1.93</v>
      </c>
      <c r="AB335" s="1">
        <v>1.93</v>
      </c>
      <c r="AC335" s="6">
        <f t="shared" si="95"/>
        <v>5.2083333333332593E-3</v>
      </c>
      <c r="AD335" s="21">
        <v>45379</v>
      </c>
      <c r="AE335" s="1">
        <v>7.58</v>
      </c>
      <c r="AF335" s="1">
        <v>7.0781999999999998</v>
      </c>
      <c r="AG335" s="6">
        <f t="shared" si="96"/>
        <v>5.8659886329643918E-2</v>
      </c>
      <c r="AH335" s="21">
        <v>45379</v>
      </c>
      <c r="AI335" s="1">
        <v>8.3000000000000007</v>
      </c>
      <c r="AJ335" s="1">
        <v>7.7218999999999998</v>
      </c>
      <c r="AK335" s="6">
        <f t="shared" si="97"/>
        <v>0</v>
      </c>
      <c r="AL335" s="21">
        <v>45379</v>
      </c>
      <c r="AM335" s="1">
        <v>1.5</v>
      </c>
      <c r="AN335" s="1">
        <v>1.5</v>
      </c>
      <c r="AO335" s="6">
        <v>1.3513513513513598E-2</v>
      </c>
      <c r="AP335" s="21" t="s">
        <v>338</v>
      </c>
      <c r="AQ335" s="1">
        <v>8915.65</v>
      </c>
      <c r="AR335" s="6">
        <v>5.4889037755809778E-3</v>
      </c>
    </row>
    <row r="336" spans="2:44" x14ac:dyDescent="0.35">
      <c r="B336" s="21">
        <v>45380</v>
      </c>
      <c r="C336" s="1">
        <v>0.7</v>
      </c>
      <c r="D336" s="1">
        <v>0.7</v>
      </c>
      <c r="E336" s="6">
        <f t="shared" si="91"/>
        <v>-1.4084507042253502E-2</v>
      </c>
      <c r="F336" s="21">
        <v>45380</v>
      </c>
      <c r="G336" s="1">
        <v>16.989999999999998</v>
      </c>
      <c r="H336" s="1">
        <v>12.755599999999999</v>
      </c>
      <c r="I336" s="6">
        <f t="shared" si="98"/>
        <v>-5.8763153152452396E-4</v>
      </c>
      <c r="J336" s="21">
        <v>45380</v>
      </c>
      <c r="K336" s="1">
        <v>51.2</v>
      </c>
      <c r="L336" s="1">
        <v>33.939399999999999</v>
      </c>
      <c r="M336" s="6">
        <f t="shared" si="93"/>
        <v>-1.5384526120041819E-2</v>
      </c>
      <c r="N336" s="21">
        <v>45380</v>
      </c>
      <c r="O336" s="1">
        <v>11.8</v>
      </c>
      <c r="P336" s="1">
        <v>11.0166</v>
      </c>
      <c r="Q336" s="6">
        <f t="shared" si="94"/>
        <v>-2.5351755609076543E-3</v>
      </c>
      <c r="R336" s="21">
        <v>45380</v>
      </c>
      <c r="S336" s="1">
        <v>7.23</v>
      </c>
      <c r="T336" s="1">
        <v>6.7716000000000003</v>
      </c>
      <c r="U336" s="6">
        <f t="shared" si="99"/>
        <v>-5.5073357712472903E-3</v>
      </c>
      <c r="V336" s="21">
        <v>45380</v>
      </c>
      <c r="W336" s="1">
        <v>6.01</v>
      </c>
      <c r="X336" s="1">
        <v>5.3310000000000004</v>
      </c>
      <c r="Y336" s="6">
        <f t="shared" si="92"/>
        <v>-1.6853932584268705E-3</v>
      </c>
      <c r="Z336" s="21">
        <v>45380</v>
      </c>
      <c r="AA336" s="1">
        <v>1.92</v>
      </c>
      <c r="AB336" s="1">
        <v>1.92</v>
      </c>
      <c r="AC336" s="6">
        <f t="shared" si="95"/>
        <v>-5.1813471502590858E-3</v>
      </c>
      <c r="AD336" s="21">
        <v>45380</v>
      </c>
      <c r="AE336" s="1">
        <v>8.0299999999999994</v>
      </c>
      <c r="AF336" s="1">
        <v>7.4984000000000002</v>
      </c>
      <c r="AG336" s="6">
        <f t="shared" si="96"/>
        <v>5.9365375377921081E-2</v>
      </c>
      <c r="AH336" s="21">
        <v>45380</v>
      </c>
      <c r="AI336" s="1">
        <v>8.35</v>
      </c>
      <c r="AJ336" s="1">
        <v>7.7683999999999997</v>
      </c>
      <c r="AK336" s="6">
        <f t="shared" si="97"/>
        <v>6.0218340045843366E-3</v>
      </c>
      <c r="AL336" s="21">
        <v>45380</v>
      </c>
      <c r="AM336" s="1">
        <v>1.44</v>
      </c>
      <c r="AN336" s="1">
        <v>1.44</v>
      </c>
      <c r="AO336" s="6">
        <v>-4.0000000000000036E-2</v>
      </c>
      <c r="AP336" s="21" t="s">
        <v>339</v>
      </c>
      <c r="AQ336" s="1">
        <v>8921.2800000000007</v>
      </c>
      <c r="AR336" s="6">
        <v>6.3147386898321223E-4</v>
      </c>
    </row>
    <row r="337" spans="2:44" x14ac:dyDescent="0.35">
      <c r="B337" s="21">
        <v>45383</v>
      </c>
      <c r="C337" s="1">
        <v>0.67</v>
      </c>
      <c r="D337" s="1">
        <v>0.67</v>
      </c>
      <c r="E337" s="6">
        <f t="shared" ref="E337:E400" si="100">(D337/D336)-1</f>
        <v>-4.2857142857142705E-2</v>
      </c>
      <c r="F337" s="21">
        <v>45383</v>
      </c>
      <c r="G337" s="1">
        <v>16.989999999999998</v>
      </c>
      <c r="H337" s="1">
        <v>12.755599999999999</v>
      </c>
      <c r="I337" s="6">
        <f t="shared" si="98"/>
        <v>0</v>
      </c>
      <c r="J337" s="21">
        <v>45383</v>
      </c>
      <c r="K337" s="1">
        <v>50.9</v>
      </c>
      <c r="L337" s="1">
        <v>33.740499999999997</v>
      </c>
      <c r="M337" s="6">
        <f t="shared" si="93"/>
        <v>-5.8604453820634284E-3</v>
      </c>
      <c r="N337" s="21">
        <v>45383</v>
      </c>
      <c r="O337" s="1">
        <v>11.96</v>
      </c>
      <c r="P337" s="1">
        <v>11.166</v>
      </c>
      <c r="Q337" s="6">
        <f t="shared" si="94"/>
        <v>1.3561352867490939E-2</v>
      </c>
      <c r="R337" s="21">
        <v>45383</v>
      </c>
      <c r="S337" s="1">
        <v>7.34</v>
      </c>
      <c r="T337" s="1">
        <v>6.8746</v>
      </c>
      <c r="U337" s="6">
        <f t="shared" si="99"/>
        <v>1.5210585386024045E-2</v>
      </c>
      <c r="V337" s="21">
        <v>45383</v>
      </c>
      <c r="W337" s="1">
        <v>6</v>
      </c>
      <c r="X337" s="1">
        <v>5.3220000000000001</v>
      </c>
      <c r="Y337" s="6">
        <f t="shared" si="92"/>
        <v>-1.6882386043894915E-3</v>
      </c>
      <c r="Z337" s="21">
        <v>45383</v>
      </c>
      <c r="AA337" s="1">
        <v>1.9</v>
      </c>
      <c r="AB337" s="1">
        <v>1.9</v>
      </c>
      <c r="AC337" s="6">
        <f t="shared" si="95"/>
        <v>-1.041666666666663E-2</v>
      </c>
      <c r="AD337" s="21">
        <v>45383</v>
      </c>
      <c r="AE337" s="1">
        <v>8.36</v>
      </c>
      <c r="AF337" s="1">
        <v>7.8064999999999998</v>
      </c>
      <c r="AG337" s="6">
        <f t="shared" si="96"/>
        <v>4.1088765603328747E-2</v>
      </c>
      <c r="AH337" s="21">
        <v>45383</v>
      </c>
      <c r="AI337" s="1">
        <v>8.35</v>
      </c>
      <c r="AJ337" s="1">
        <v>7.7683999999999997</v>
      </c>
      <c r="AK337" s="6">
        <f t="shared" si="97"/>
        <v>0</v>
      </c>
      <c r="AL337" s="21">
        <v>45383</v>
      </c>
      <c r="AM337" s="1">
        <v>1.38</v>
      </c>
      <c r="AN337" s="1">
        <v>1.38</v>
      </c>
      <c r="AO337" s="6">
        <v>-4.1666666666666741E-2</v>
      </c>
      <c r="AP337" s="21" t="s">
        <v>340</v>
      </c>
      <c r="AQ337" s="1">
        <v>8946.44</v>
      </c>
      <c r="AR337" s="6">
        <v>2.8202231069980321E-3</v>
      </c>
    </row>
    <row r="338" spans="2:44" x14ac:dyDescent="0.35">
      <c r="B338" s="21">
        <v>45384</v>
      </c>
      <c r="C338" s="1">
        <v>0.64</v>
      </c>
      <c r="D338" s="1">
        <v>0.64</v>
      </c>
      <c r="E338" s="6">
        <f t="shared" si="100"/>
        <v>-4.4776119402985093E-2</v>
      </c>
      <c r="F338" s="21">
        <v>45384</v>
      </c>
      <c r="G338" s="1">
        <v>16.989999999999998</v>
      </c>
      <c r="H338" s="1">
        <v>12.755599999999999</v>
      </c>
      <c r="I338" s="6">
        <f t="shared" si="98"/>
        <v>0</v>
      </c>
      <c r="J338" s="21">
        <v>45384</v>
      </c>
      <c r="K338" s="1">
        <v>50.8</v>
      </c>
      <c r="L338" s="1">
        <v>33.674199999999999</v>
      </c>
      <c r="M338" s="6">
        <f t="shared" si="93"/>
        <v>-1.9649975548672316E-3</v>
      </c>
      <c r="N338" s="21">
        <v>45384</v>
      </c>
      <c r="O338" s="1">
        <v>11.89</v>
      </c>
      <c r="P338" s="1">
        <v>11.1006</v>
      </c>
      <c r="Q338" s="6">
        <f t="shared" si="94"/>
        <v>-5.85706609349812E-3</v>
      </c>
      <c r="R338" s="21">
        <v>45384</v>
      </c>
      <c r="S338" s="1">
        <v>7.39</v>
      </c>
      <c r="T338" s="1">
        <v>6.9215</v>
      </c>
      <c r="U338" s="6">
        <f t="shared" si="99"/>
        <v>6.8222151106973605E-3</v>
      </c>
      <c r="V338" s="21">
        <v>45384</v>
      </c>
      <c r="W338" s="1">
        <v>6.01</v>
      </c>
      <c r="X338" s="1">
        <v>5.3310000000000004</v>
      </c>
      <c r="Y338" s="6">
        <f t="shared" si="92"/>
        <v>1.6910935738445598E-3</v>
      </c>
      <c r="Z338" s="21">
        <v>45384</v>
      </c>
      <c r="AA338" s="1">
        <v>1.92</v>
      </c>
      <c r="AB338" s="1">
        <v>1.92</v>
      </c>
      <c r="AC338" s="6">
        <f t="shared" si="95"/>
        <v>1.0526315789473717E-2</v>
      </c>
      <c r="AD338" s="21">
        <v>45384</v>
      </c>
      <c r="AE338" s="1">
        <v>8.4700000000000006</v>
      </c>
      <c r="AF338" s="1">
        <v>7.9093</v>
      </c>
      <c r="AG338" s="6">
        <f t="shared" si="96"/>
        <v>1.3168513418305272E-2</v>
      </c>
      <c r="AH338" s="21">
        <v>45384</v>
      </c>
      <c r="AI338" s="1">
        <v>8.35</v>
      </c>
      <c r="AJ338" s="1">
        <v>7.7683999999999997</v>
      </c>
      <c r="AK338" s="6">
        <f t="shared" si="97"/>
        <v>0</v>
      </c>
      <c r="AL338" s="21">
        <v>45384</v>
      </c>
      <c r="AM338" s="1">
        <v>1.33</v>
      </c>
      <c r="AN338" s="1">
        <v>1.33</v>
      </c>
      <c r="AO338" s="6">
        <v>-3.6231884057970842E-2</v>
      </c>
      <c r="AP338" s="21" t="s">
        <v>341</v>
      </c>
      <c r="AQ338" s="1">
        <v>8921.61</v>
      </c>
      <c r="AR338" s="6">
        <v>-2.7754056362083723E-3</v>
      </c>
    </row>
    <row r="339" spans="2:44" x14ac:dyDescent="0.35">
      <c r="B339" s="21">
        <v>45385</v>
      </c>
      <c r="C339" s="1">
        <v>0.64</v>
      </c>
      <c r="D339" s="1">
        <v>0.64</v>
      </c>
      <c r="E339" s="6">
        <f t="shared" si="100"/>
        <v>0</v>
      </c>
      <c r="F339" s="21">
        <v>45385</v>
      </c>
      <c r="G339" s="1">
        <v>16.96</v>
      </c>
      <c r="H339" s="1">
        <v>12.7331</v>
      </c>
      <c r="I339" s="6">
        <f t="shared" si="98"/>
        <v>-1.7639311361283827E-3</v>
      </c>
      <c r="J339" s="21">
        <v>45385</v>
      </c>
      <c r="K339" s="1">
        <v>51.2</v>
      </c>
      <c r="L339" s="1">
        <v>33.939399999999999</v>
      </c>
      <c r="M339" s="6">
        <f t="shared" si="93"/>
        <v>7.8754654899002574E-3</v>
      </c>
      <c r="N339" s="21">
        <v>45385</v>
      </c>
      <c r="O339" s="1">
        <v>11.8</v>
      </c>
      <c r="P339" s="1">
        <v>11.0166</v>
      </c>
      <c r="Q339" s="6">
        <f t="shared" si="94"/>
        <v>-7.5671585319712076E-3</v>
      </c>
      <c r="R339" s="21">
        <v>45385</v>
      </c>
      <c r="S339" s="1">
        <v>7.35</v>
      </c>
      <c r="T339" s="1">
        <v>6.8840000000000003</v>
      </c>
      <c r="U339" s="6">
        <f t="shared" si="99"/>
        <v>-5.417900744058346E-3</v>
      </c>
      <c r="V339" s="21">
        <v>45385</v>
      </c>
      <c r="W339" s="1">
        <v>6.01</v>
      </c>
      <c r="X339" s="1">
        <v>5.3310000000000004</v>
      </c>
      <c r="Y339" s="6">
        <f t="shared" si="92"/>
        <v>0</v>
      </c>
      <c r="Z339" s="21">
        <v>45385</v>
      </c>
      <c r="AA339" s="1">
        <v>1.92</v>
      </c>
      <c r="AB339" s="1">
        <v>1.92</v>
      </c>
      <c r="AC339" s="6">
        <f t="shared" si="95"/>
        <v>0</v>
      </c>
      <c r="AD339" s="21">
        <v>45385</v>
      </c>
      <c r="AE339" s="1">
        <v>8.5</v>
      </c>
      <c r="AF339" s="1">
        <v>7.9372999999999996</v>
      </c>
      <c r="AG339" s="6">
        <f t="shared" si="96"/>
        <v>3.5401362952474091E-3</v>
      </c>
      <c r="AH339" s="21">
        <v>45385</v>
      </c>
      <c r="AI339" s="1">
        <v>8.4</v>
      </c>
      <c r="AJ339" s="1">
        <v>7.8148999999999997</v>
      </c>
      <c r="AK339" s="6">
        <f t="shared" si="97"/>
        <v>5.9857885793728194E-3</v>
      </c>
      <c r="AL339" s="21">
        <v>45385</v>
      </c>
      <c r="AM339" s="1">
        <v>1.38</v>
      </c>
      <c r="AN339" s="1">
        <v>1.38</v>
      </c>
      <c r="AO339" s="6">
        <v>3.7593984962405846E-2</v>
      </c>
      <c r="AP339" s="21" t="s">
        <v>342</v>
      </c>
      <c r="AQ339" s="1">
        <v>8904.8700000000008</v>
      </c>
      <c r="AR339" s="6">
        <v>-1.8763429470689541E-3</v>
      </c>
    </row>
    <row r="340" spans="2:44" x14ac:dyDescent="0.35">
      <c r="B340" s="21">
        <v>45386</v>
      </c>
      <c r="C340" s="1">
        <v>0.66</v>
      </c>
      <c r="D340" s="1">
        <v>0.66</v>
      </c>
      <c r="E340" s="6">
        <f t="shared" si="100"/>
        <v>3.125E-2</v>
      </c>
      <c r="F340" s="21">
        <v>45386</v>
      </c>
      <c r="G340" s="1">
        <v>16.600000000000001</v>
      </c>
      <c r="H340" s="1">
        <v>12.4628</v>
      </c>
      <c r="I340" s="6">
        <f t="shared" si="98"/>
        <v>-2.122813768838705E-2</v>
      </c>
      <c r="J340" s="21">
        <v>45386</v>
      </c>
      <c r="K340" s="1">
        <v>51.79</v>
      </c>
      <c r="L340" s="1">
        <v>34.330500000000001</v>
      </c>
      <c r="M340" s="6">
        <f t="shared" si="93"/>
        <v>1.1523480085092963E-2</v>
      </c>
      <c r="N340" s="21">
        <v>45386</v>
      </c>
      <c r="O340" s="1">
        <v>11.98</v>
      </c>
      <c r="P340" s="1">
        <v>11.184699999999999</v>
      </c>
      <c r="Q340" s="6">
        <f t="shared" si="94"/>
        <v>1.5258791278615735E-2</v>
      </c>
      <c r="R340" s="21">
        <v>45386</v>
      </c>
      <c r="S340" s="1">
        <v>7.34</v>
      </c>
      <c r="T340" s="1">
        <v>6.8746</v>
      </c>
      <c r="U340" s="6">
        <f t="shared" si="99"/>
        <v>-1.3654851830331438E-3</v>
      </c>
      <c r="V340" s="21">
        <v>45386</v>
      </c>
      <c r="W340" s="1">
        <v>6.04</v>
      </c>
      <c r="X340" s="1">
        <v>5.3579999999999997</v>
      </c>
      <c r="Y340" s="6">
        <f t="shared" si="92"/>
        <v>5.0647158131680303E-3</v>
      </c>
      <c r="Z340" s="21">
        <v>45386</v>
      </c>
      <c r="AA340" s="1">
        <v>1.9</v>
      </c>
      <c r="AB340" s="1">
        <v>1.9</v>
      </c>
      <c r="AC340" s="6">
        <f t="shared" si="95"/>
        <v>-1.041666666666663E-2</v>
      </c>
      <c r="AD340" s="21">
        <v>45386</v>
      </c>
      <c r="AE340" s="1">
        <v>8.5</v>
      </c>
      <c r="AF340" s="1">
        <v>7.9372999999999996</v>
      </c>
      <c r="AG340" s="6">
        <f t="shared" si="96"/>
        <v>0</v>
      </c>
      <c r="AH340" s="21">
        <v>45386</v>
      </c>
      <c r="AI340" s="1">
        <v>8.35</v>
      </c>
      <c r="AJ340" s="1">
        <v>7.7683999999999997</v>
      </c>
      <c r="AK340" s="6">
        <f t="shared" si="97"/>
        <v>-5.9501721071286706E-3</v>
      </c>
      <c r="AL340" s="21">
        <v>45386</v>
      </c>
      <c r="AM340" s="1">
        <v>1.42</v>
      </c>
      <c r="AN340" s="1">
        <v>1.42</v>
      </c>
      <c r="AO340" s="6">
        <v>2.898550724637694E-2</v>
      </c>
      <c r="AP340" s="21" t="s">
        <v>343</v>
      </c>
      <c r="AQ340" s="1">
        <v>8929.5300000000007</v>
      </c>
      <c r="AR340" s="6">
        <v>2.7692711965474626E-3</v>
      </c>
    </row>
    <row r="341" spans="2:44" x14ac:dyDescent="0.35">
      <c r="B341" s="21">
        <v>45387</v>
      </c>
      <c r="C341" s="1">
        <v>0.66</v>
      </c>
      <c r="D341" s="1">
        <v>0.66</v>
      </c>
      <c r="E341" s="6">
        <f t="shared" si="100"/>
        <v>0</v>
      </c>
      <c r="F341" s="21">
        <v>45387</v>
      </c>
      <c r="G341" s="1">
        <v>16.600000000000001</v>
      </c>
      <c r="H341" s="1">
        <v>12.4628</v>
      </c>
      <c r="I341" s="6">
        <f t="shared" si="98"/>
        <v>0</v>
      </c>
      <c r="J341" s="21">
        <v>45387</v>
      </c>
      <c r="K341" s="1">
        <v>51.8</v>
      </c>
      <c r="L341" s="1">
        <v>34.3371</v>
      </c>
      <c r="M341" s="6">
        <f t="shared" si="93"/>
        <v>1.9224887490709719E-4</v>
      </c>
      <c r="N341" s="21">
        <v>45387</v>
      </c>
      <c r="O341" s="1">
        <v>12.08</v>
      </c>
      <c r="P341" s="1">
        <v>11.278</v>
      </c>
      <c r="Q341" s="6">
        <f t="shared" si="94"/>
        <v>8.3417525727109698E-3</v>
      </c>
      <c r="R341" s="21">
        <v>45387</v>
      </c>
      <c r="S341" s="1">
        <v>7.34</v>
      </c>
      <c r="T341" s="1">
        <v>6.8746</v>
      </c>
      <c r="U341" s="6">
        <f t="shared" si="99"/>
        <v>0</v>
      </c>
      <c r="V341" s="21">
        <v>45387</v>
      </c>
      <c r="W341" s="1">
        <v>6.04</v>
      </c>
      <c r="X341" s="1">
        <v>5.3579999999999997</v>
      </c>
      <c r="Y341" s="6">
        <f t="shared" ref="Y341:Y404" si="101">(X341/X340)-1</f>
        <v>0</v>
      </c>
      <c r="Z341" s="21">
        <v>45387</v>
      </c>
      <c r="AA341" s="1">
        <v>1.9</v>
      </c>
      <c r="AB341" s="1">
        <v>1.9</v>
      </c>
      <c r="AC341" s="6">
        <f t="shared" si="95"/>
        <v>0</v>
      </c>
      <c r="AD341" s="21">
        <v>45387</v>
      </c>
      <c r="AE341" s="1">
        <v>8.5</v>
      </c>
      <c r="AF341" s="1">
        <v>7.9372999999999996</v>
      </c>
      <c r="AG341" s="6">
        <f t="shared" si="96"/>
        <v>0</v>
      </c>
      <c r="AH341" s="21">
        <v>45387</v>
      </c>
      <c r="AI341" s="1">
        <v>8.3699999999999992</v>
      </c>
      <c r="AJ341" s="1">
        <v>7.7869999999999999</v>
      </c>
      <c r="AK341" s="6">
        <f t="shared" si="97"/>
        <v>2.3943154317491722E-3</v>
      </c>
      <c r="AL341" s="21">
        <v>45387</v>
      </c>
      <c r="AM341" s="1">
        <v>1.36</v>
      </c>
      <c r="AN341" s="1">
        <v>1.36</v>
      </c>
      <c r="AO341" s="6">
        <v>-4.2253521126760396E-2</v>
      </c>
      <c r="AP341" s="21" t="s">
        <v>344</v>
      </c>
      <c r="AQ341" s="1">
        <v>8948.7999999999993</v>
      </c>
      <c r="AR341" s="6">
        <v>2.1580083162269226E-3</v>
      </c>
    </row>
    <row r="342" spans="2:44" x14ac:dyDescent="0.35">
      <c r="B342" s="21">
        <v>45390</v>
      </c>
      <c r="C342" s="1">
        <v>0.65</v>
      </c>
      <c r="D342" s="1">
        <v>0.65</v>
      </c>
      <c r="E342" s="6">
        <f t="shared" si="100"/>
        <v>-1.5151515151515138E-2</v>
      </c>
      <c r="F342" s="21">
        <v>45390</v>
      </c>
      <c r="G342" s="1">
        <v>16.57</v>
      </c>
      <c r="H342" s="1">
        <v>12.440300000000001</v>
      </c>
      <c r="I342" s="6">
        <f t="shared" si="98"/>
        <v>-1.8053727894212779E-3</v>
      </c>
      <c r="J342" s="21">
        <v>45390</v>
      </c>
      <c r="K342" s="1">
        <v>51.75</v>
      </c>
      <c r="L342" s="1">
        <v>34.303899999999999</v>
      </c>
      <c r="M342" s="6">
        <f t="shared" si="93"/>
        <v>-9.6688421561519355E-4</v>
      </c>
      <c r="N342" s="21">
        <v>45390</v>
      </c>
      <c r="O342" s="1">
        <v>12.07</v>
      </c>
      <c r="P342" s="1">
        <v>11.268700000000001</v>
      </c>
      <c r="Q342" s="6">
        <f t="shared" si="94"/>
        <v>-8.2461429331437408E-4</v>
      </c>
      <c r="R342" s="21">
        <v>45390</v>
      </c>
      <c r="S342" s="1">
        <v>7.38</v>
      </c>
      <c r="T342" s="1">
        <v>6.9120999999999997</v>
      </c>
      <c r="U342" s="6">
        <f t="shared" si="99"/>
        <v>5.4548628283825895E-3</v>
      </c>
      <c r="V342" s="21">
        <v>45390</v>
      </c>
      <c r="W342" s="1">
        <v>6</v>
      </c>
      <c r="X342" s="1">
        <v>5.3220000000000001</v>
      </c>
      <c r="Y342" s="6">
        <f t="shared" si="101"/>
        <v>-6.7189249720044364E-3</v>
      </c>
      <c r="Z342" s="21">
        <v>45390</v>
      </c>
      <c r="AA342" s="1">
        <v>1.9</v>
      </c>
      <c r="AB342" s="1">
        <v>1.9</v>
      </c>
      <c r="AC342" s="6">
        <f t="shared" si="95"/>
        <v>0</v>
      </c>
      <c r="AD342" s="21">
        <v>45390</v>
      </c>
      <c r="AE342" s="1">
        <v>8.58</v>
      </c>
      <c r="AF342" s="1">
        <v>8.0120000000000005</v>
      </c>
      <c r="AG342" s="6">
        <f t="shared" si="96"/>
        <v>9.4112607561767092E-3</v>
      </c>
      <c r="AH342" s="21">
        <v>45390</v>
      </c>
      <c r="AI342" s="1">
        <v>8.3699999999999992</v>
      </c>
      <c r="AJ342" s="1">
        <v>7.7869999999999999</v>
      </c>
      <c r="AK342" s="6">
        <f t="shared" si="97"/>
        <v>0</v>
      </c>
      <c r="AL342" s="21">
        <v>45390</v>
      </c>
      <c r="AM342" s="1">
        <v>1.36</v>
      </c>
      <c r="AN342" s="1">
        <v>1.36</v>
      </c>
      <c r="AO342" s="6">
        <v>0</v>
      </c>
      <c r="AP342" s="21" t="s">
        <v>345</v>
      </c>
      <c r="AQ342" s="1">
        <v>8985.9599999999991</v>
      </c>
      <c r="AR342" s="6">
        <v>4.1525120686571881E-3</v>
      </c>
    </row>
    <row r="343" spans="2:44" x14ac:dyDescent="0.35">
      <c r="B343" s="21">
        <v>45394</v>
      </c>
      <c r="C343" s="1">
        <v>0.65</v>
      </c>
      <c r="D343" s="1">
        <v>0.65</v>
      </c>
      <c r="E343" s="6">
        <f t="shared" si="100"/>
        <v>0</v>
      </c>
      <c r="F343" s="21">
        <v>45394</v>
      </c>
      <c r="G343" s="1">
        <v>15.85</v>
      </c>
      <c r="H343" s="1">
        <v>11.899800000000001</v>
      </c>
      <c r="I343" s="6">
        <f t="shared" si="98"/>
        <v>-4.3447505285242327E-2</v>
      </c>
      <c r="J343" s="21">
        <v>45394</v>
      </c>
      <c r="K343" s="1">
        <v>52</v>
      </c>
      <c r="L343" s="1">
        <v>34.469700000000003</v>
      </c>
      <c r="M343" s="6">
        <f t="shared" si="93"/>
        <v>4.8332696865371894E-3</v>
      </c>
      <c r="N343" s="21">
        <v>45394</v>
      </c>
      <c r="O343" s="1">
        <v>11.98</v>
      </c>
      <c r="P343" s="1">
        <v>11.184699999999999</v>
      </c>
      <c r="Q343" s="6">
        <f t="shared" si="94"/>
        <v>-7.4542760034432831E-3</v>
      </c>
      <c r="R343" s="21">
        <v>45394</v>
      </c>
      <c r="S343" s="1">
        <v>7.3</v>
      </c>
      <c r="T343" s="1">
        <v>6.8372000000000002</v>
      </c>
      <c r="U343" s="6">
        <f t="shared" si="99"/>
        <v>-1.0836070080004534E-2</v>
      </c>
      <c r="V343" s="21">
        <v>45394</v>
      </c>
      <c r="W343" s="1">
        <v>6</v>
      </c>
      <c r="X343" s="1">
        <v>5.3220000000000001</v>
      </c>
      <c r="Y343" s="6">
        <f t="shared" si="101"/>
        <v>0</v>
      </c>
      <c r="Z343" s="21">
        <v>45394</v>
      </c>
      <c r="AA343" s="1">
        <v>1.88</v>
      </c>
      <c r="AB343" s="1">
        <v>1.88</v>
      </c>
      <c r="AC343" s="6">
        <f t="shared" si="95"/>
        <v>-1.0526315789473717E-2</v>
      </c>
      <c r="AD343" s="21">
        <v>45394</v>
      </c>
      <c r="AE343" s="1">
        <v>9.08</v>
      </c>
      <c r="AF343" s="1">
        <v>8.4788999999999994</v>
      </c>
      <c r="AG343" s="6">
        <f t="shared" si="96"/>
        <v>5.8275087368946377E-2</v>
      </c>
      <c r="AH343" s="21">
        <v>45394</v>
      </c>
      <c r="AI343" s="1">
        <v>8.42</v>
      </c>
      <c r="AJ343" s="1">
        <v>7.8334999999999999</v>
      </c>
      <c r="AK343" s="6">
        <f t="shared" si="97"/>
        <v>5.9714909464492205E-3</v>
      </c>
      <c r="AL343" s="21">
        <v>45394</v>
      </c>
      <c r="AM343" s="1">
        <v>1.42</v>
      </c>
      <c r="AN343" s="1">
        <v>1.42</v>
      </c>
      <c r="AO343" s="6">
        <v>4.4117647058823373E-2</v>
      </c>
      <c r="AP343" s="21" t="s">
        <v>346</v>
      </c>
      <c r="AQ343" s="1">
        <v>9012.56</v>
      </c>
      <c r="AR343" s="6">
        <v>2.9601734261002211E-3</v>
      </c>
    </row>
    <row r="344" spans="2:44" x14ac:dyDescent="0.35">
      <c r="B344" s="21">
        <v>45397</v>
      </c>
      <c r="C344" s="1">
        <v>0.67</v>
      </c>
      <c r="D344" s="1">
        <v>0.67</v>
      </c>
      <c r="E344" s="6">
        <f t="shared" si="100"/>
        <v>3.0769230769230882E-2</v>
      </c>
      <c r="F344" s="21">
        <v>45397</v>
      </c>
      <c r="G344" s="1">
        <v>16.16</v>
      </c>
      <c r="H344" s="1">
        <v>12.1325</v>
      </c>
      <c r="I344" s="6">
        <f t="shared" si="98"/>
        <v>1.9554950503369861E-2</v>
      </c>
      <c r="J344" s="21">
        <v>45397</v>
      </c>
      <c r="K344" s="1">
        <v>51.97</v>
      </c>
      <c r="L344" s="1">
        <v>34.449800000000003</v>
      </c>
      <c r="M344" s="6">
        <f t="shared" si="93"/>
        <v>-5.7731863056542654E-4</v>
      </c>
      <c r="N344" s="21">
        <v>45397</v>
      </c>
      <c r="O344" s="1">
        <v>11.94</v>
      </c>
      <c r="P344" s="1">
        <v>11.1473</v>
      </c>
      <c r="Q344" s="6">
        <f t="shared" si="94"/>
        <v>-3.343853657228113E-3</v>
      </c>
      <c r="R344" s="21">
        <v>45397</v>
      </c>
      <c r="S344" s="1">
        <v>7.19</v>
      </c>
      <c r="T344" s="1">
        <v>6.7342000000000004</v>
      </c>
      <c r="U344" s="6">
        <f t="shared" si="99"/>
        <v>-1.5064646346457544E-2</v>
      </c>
      <c r="V344" s="21">
        <v>45397</v>
      </c>
      <c r="W344" s="1">
        <v>5.99</v>
      </c>
      <c r="X344" s="1">
        <v>5.3129999999999997</v>
      </c>
      <c r="Y344" s="6">
        <f t="shared" si="101"/>
        <v>-1.6910935738444488E-3</v>
      </c>
      <c r="Z344" s="21">
        <v>45397</v>
      </c>
      <c r="AA344" s="1">
        <v>1.87</v>
      </c>
      <c r="AB344" s="1">
        <v>1.87</v>
      </c>
      <c r="AC344" s="6">
        <f t="shared" si="95"/>
        <v>-5.3191489361701372E-3</v>
      </c>
      <c r="AD344" s="21">
        <v>45397</v>
      </c>
      <c r="AE344" s="1">
        <v>9.48</v>
      </c>
      <c r="AF344" s="1">
        <v>8.8523999999999994</v>
      </c>
      <c r="AG344" s="6">
        <f t="shared" si="96"/>
        <v>4.4050525421929665E-2</v>
      </c>
      <c r="AH344" s="21">
        <v>45397</v>
      </c>
      <c r="AI344" s="1">
        <v>8.4</v>
      </c>
      <c r="AJ344" s="1">
        <v>7.8148999999999997</v>
      </c>
      <c r="AK344" s="6">
        <f t="shared" si="97"/>
        <v>-2.374417565583764E-3</v>
      </c>
      <c r="AL344" s="21">
        <v>45397</v>
      </c>
      <c r="AM344" s="1">
        <v>1.47</v>
      </c>
      <c r="AN344" s="1">
        <v>1.47</v>
      </c>
      <c r="AO344" s="6">
        <v>3.5211267605633756E-2</v>
      </c>
      <c r="AP344" s="21" t="s">
        <v>347</v>
      </c>
      <c r="AQ344" s="1">
        <v>9025.18</v>
      </c>
      <c r="AR344" s="6">
        <v>1.4002680703375514E-3</v>
      </c>
    </row>
    <row r="345" spans="2:44" x14ac:dyDescent="0.35">
      <c r="B345" s="21">
        <v>45398</v>
      </c>
      <c r="C345" s="1">
        <v>0.68</v>
      </c>
      <c r="D345" s="1">
        <v>0.68</v>
      </c>
      <c r="E345" s="6">
        <f t="shared" si="100"/>
        <v>1.4925373134328401E-2</v>
      </c>
      <c r="F345" s="21">
        <v>45398</v>
      </c>
      <c r="G345" s="1">
        <v>16.399999999999999</v>
      </c>
      <c r="H345" s="1">
        <v>12.3127</v>
      </c>
      <c r="I345" s="6">
        <f t="shared" si="98"/>
        <v>1.4852668452503437E-2</v>
      </c>
      <c r="J345" s="21">
        <v>45398</v>
      </c>
      <c r="K345" s="1">
        <v>51.89</v>
      </c>
      <c r="L345" s="1">
        <v>34.396700000000003</v>
      </c>
      <c r="M345" s="6">
        <f t="shared" si="93"/>
        <v>-1.5413732445471728E-3</v>
      </c>
      <c r="N345" s="21">
        <v>45398</v>
      </c>
      <c r="O345" s="1">
        <v>11.91</v>
      </c>
      <c r="P345" s="1">
        <v>11.119300000000001</v>
      </c>
      <c r="Q345" s="6">
        <f t="shared" si="94"/>
        <v>-2.5118190054990164E-3</v>
      </c>
      <c r="R345" s="21">
        <v>45398</v>
      </c>
      <c r="S345" s="1">
        <v>7.19</v>
      </c>
      <c r="T345" s="1">
        <v>6.7342000000000004</v>
      </c>
      <c r="U345" s="6">
        <f t="shared" si="99"/>
        <v>0</v>
      </c>
      <c r="V345" s="21">
        <v>45398</v>
      </c>
      <c r="W345" s="1">
        <v>5.99</v>
      </c>
      <c r="X345" s="1">
        <v>5.3129999999999997</v>
      </c>
      <c r="Y345" s="6">
        <f t="shared" si="101"/>
        <v>0</v>
      </c>
      <c r="Z345" s="21">
        <v>45398</v>
      </c>
      <c r="AA345" s="1">
        <v>1.89</v>
      </c>
      <c r="AB345" s="1">
        <v>1.89</v>
      </c>
      <c r="AC345" s="6">
        <f t="shared" si="95"/>
        <v>1.0695187165775222E-2</v>
      </c>
      <c r="AD345" s="21">
        <v>45398</v>
      </c>
      <c r="AE345" s="1">
        <v>9.5</v>
      </c>
      <c r="AF345" s="1">
        <v>8.8711000000000002</v>
      </c>
      <c r="AG345" s="6">
        <f t="shared" si="96"/>
        <v>2.1124214902175087E-3</v>
      </c>
      <c r="AH345" s="21">
        <v>45398</v>
      </c>
      <c r="AI345" s="1">
        <v>8.3000000000000007</v>
      </c>
      <c r="AJ345" s="1">
        <v>7.7218999999999998</v>
      </c>
      <c r="AK345" s="6">
        <f t="shared" si="97"/>
        <v>-1.1900344214257341E-2</v>
      </c>
      <c r="AL345" s="21">
        <v>45398</v>
      </c>
      <c r="AM345" s="1">
        <v>1.46</v>
      </c>
      <c r="AN345" s="1">
        <v>1.46</v>
      </c>
      <c r="AO345" s="6">
        <v>-6.8027210884353817E-3</v>
      </c>
      <c r="AP345" s="21" t="s">
        <v>348</v>
      </c>
      <c r="AQ345" s="1">
        <v>8997.36</v>
      </c>
      <c r="AR345" s="6">
        <v>-3.0824869974892533E-3</v>
      </c>
    </row>
    <row r="346" spans="2:44" x14ac:dyDescent="0.35">
      <c r="B346" s="21">
        <v>45399</v>
      </c>
      <c r="C346" s="1">
        <v>0.69</v>
      </c>
      <c r="D346" s="1">
        <v>0.69</v>
      </c>
      <c r="E346" s="6">
        <f t="shared" si="100"/>
        <v>1.4705882352941124E-2</v>
      </c>
      <c r="F346" s="21">
        <v>45399</v>
      </c>
      <c r="G346" s="1">
        <v>16.600000000000001</v>
      </c>
      <c r="H346" s="1">
        <v>12.4628</v>
      </c>
      <c r="I346" s="6">
        <f t="shared" si="98"/>
        <v>1.2190664923209305E-2</v>
      </c>
      <c r="J346" s="21">
        <v>45399</v>
      </c>
      <c r="K346" s="1">
        <v>47.8</v>
      </c>
      <c r="L346" s="1">
        <v>34.689700000000002</v>
      </c>
      <c r="M346" s="6">
        <f t="shared" si="93"/>
        <v>8.5182590190338026E-3</v>
      </c>
      <c r="N346" s="21">
        <v>45399</v>
      </c>
      <c r="O346" s="1">
        <v>11.86</v>
      </c>
      <c r="P346" s="1">
        <v>11.0726</v>
      </c>
      <c r="Q346" s="6">
        <f t="shared" si="94"/>
        <v>-4.1999046702581033E-3</v>
      </c>
      <c r="R346" s="21">
        <v>45399</v>
      </c>
      <c r="S346" s="1">
        <v>7.18</v>
      </c>
      <c r="T346" s="1">
        <v>6.7248000000000001</v>
      </c>
      <c r="U346" s="6">
        <f t="shared" si="99"/>
        <v>-1.3958599388198545E-3</v>
      </c>
      <c r="V346" s="21">
        <v>45399</v>
      </c>
      <c r="W346" s="1">
        <v>5.99</v>
      </c>
      <c r="X346" s="1">
        <v>5.3129999999999997</v>
      </c>
      <c r="Y346" s="6">
        <f t="shared" si="101"/>
        <v>0</v>
      </c>
      <c r="Z346" s="21">
        <v>45399</v>
      </c>
      <c r="AA346" s="1">
        <v>1.88</v>
      </c>
      <c r="AB346" s="1">
        <v>1.88</v>
      </c>
      <c r="AC346" s="6">
        <f t="shared" si="95"/>
        <v>-5.2910052910053462E-3</v>
      </c>
      <c r="AD346" s="21">
        <v>45399</v>
      </c>
      <c r="AE346" s="1">
        <v>9.4</v>
      </c>
      <c r="AF346" s="1">
        <v>8.7776999999999994</v>
      </c>
      <c r="AG346" s="6">
        <f t="shared" si="96"/>
        <v>-1.0528570301315598E-2</v>
      </c>
      <c r="AH346" s="21">
        <v>45399</v>
      </c>
      <c r="AI346" s="1">
        <v>8.34</v>
      </c>
      <c r="AJ346" s="1">
        <v>7.7591000000000001</v>
      </c>
      <c r="AK346" s="6">
        <f t="shared" si="97"/>
        <v>4.8174672036676025E-3</v>
      </c>
      <c r="AL346" s="21">
        <v>45399</v>
      </c>
      <c r="AM346" s="1">
        <v>1.4</v>
      </c>
      <c r="AN346" s="1">
        <v>1.4</v>
      </c>
      <c r="AO346" s="6">
        <v>-4.1095890410958957E-2</v>
      </c>
      <c r="AP346" s="21" t="s">
        <v>349</v>
      </c>
      <c r="AQ346" s="1">
        <v>9011.64</v>
      </c>
      <c r="AR346" s="6">
        <v>1.5871322254525921E-3</v>
      </c>
    </row>
    <row r="347" spans="2:44" x14ac:dyDescent="0.35">
      <c r="B347" s="21">
        <v>45400</v>
      </c>
      <c r="C347" s="1">
        <v>0.66</v>
      </c>
      <c r="D347" s="1">
        <v>0.66</v>
      </c>
      <c r="E347" s="6">
        <f t="shared" si="100"/>
        <v>-4.3478260869565077E-2</v>
      </c>
      <c r="F347" s="21">
        <v>45400</v>
      </c>
      <c r="G347" s="1">
        <v>16.5</v>
      </c>
      <c r="H347" s="1">
        <v>12.3878</v>
      </c>
      <c r="I347" s="6">
        <f t="shared" si="98"/>
        <v>-6.0179092980710003E-3</v>
      </c>
      <c r="J347" s="21">
        <v>45400</v>
      </c>
      <c r="K347" s="1">
        <v>47.27</v>
      </c>
      <c r="L347" s="1">
        <v>34.305100000000003</v>
      </c>
      <c r="M347" s="6">
        <f t="shared" si="93"/>
        <v>-1.1086864400672192E-2</v>
      </c>
      <c r="N347" s="21">
        <v>45400</v>
      </c>
      <c r="O347" s="1">
        <v>11.7</v>
      </c>
      <c r="P347" s="1">
        <v>10.9232</v>
      </c>
      <c r="Q347" s="6">
        <f t="shared" si="94"/>
        <v>-1.34927659267019E-2</v>
      </c>
      <c r="R347" s="21">
        <v>45400</v>
      </c>
      <c r="S347" s="1">
        <v>7.18</v>
      </c>
      <c r="T347" s="1">
        <v>6.7248000000000001</v>
      </c>
      <c r="U347" s="6">
        <f t="shared" si="99"/>
        <v>0</v>
      </c>
      <c r="V347" s="21">
        <v>45400</v>
      </c>
      <c r="W347" s="1">
        <v>5.99</v>
      </c>
      <c r="X347" s="1">
        <v>5.3129999999999997</v>
      </c>
      <c r="Y347" s="6">
        <f t="shared" si="101"/>
        <v>0</v>
      </c>
      <c r="Z347" s="21">
        <v>45400</v>
      </c>
      <c r="AA347" s="1">
        <v>1.87</v>
      </c>
      <c r="AB347" s="1">
        <v>1.87</v>
      </c>
      <c r="AC347" s="6">
        <f t="shared" si="95"/>
        <v>-5.3191489361701372E-3</v>
      </c>
      <c r="AD347" s="21">
        <v>45400</v>
      </c>
      <c r="AE347" s="1">
        <v>9.18</v>
      </c>
      <c r="AF347" s="1">
        <v>8.5723000000000003</v>
      </c>
      <c r="AG347" s="6">
        <f t="shared" si="96"/>
        <v>-2.3400207343609258E-2</v>
      </c>
      <c r="AH347" s="21">
        <v>45400</v>
      </c>
      <c r="AI347" s="1">
        <v>8.3000000000000007</v>
      </c>
      <c r="AJ347" s="1">
        <v>7.7218999999999998</v>
      </c>
      <c r="AK347" s="6">
        <f t="shared" si="97"/>
        <v>-4.7943704811125309E-3</v>
      </c>
      <c r="AL347" s="21">
        <v>45400</v>
      </c>
      <c r="AM347" s="1">
        <v>1.46</v>
      </c>
      <c r="AN347" s="1">
        <v>1.46</v>
      </c>
      <c r="AO347" s="6">
        <v>4.2857142857142927E-2</v>
      </c>
      <c r="AP347" s="21" t="s">
        <v>350</v>
      </c>
      <c r="AQ347" s="1">
        <v>9011.2999999999993</v>
      </c>
      <c r="AR347" s="6">
        <v>-3.772898162823779E-5</v>
      </c>
    </row>
    <row r="348" spans="2:44" x14ac:dyDescent="0.35">
      <c r="B348" s="21">
        <v>45401</v>
      </c>
      <c r="C348" s="1">
        <v>0.68</v>
      </c>
      <c r="D348" s="1">
        <v>0.68</v>
      </c>
      <c r="E348" s="6">
        <f t="shared" si="100"/>
        <v>3.0303030303030276E-2</v>
      </c>
      <c r="F348" s="21">
        <v>45401</v>
      </c>
      <c r="G348" s="1">
        <v>16.5</v>
      </c>
      <c r="H348" s="1">
        <v>12.3878</v>
      </c>
      <c r="I348" s="6">
        <f t="shared" si="98"/>
        <v>0</v>
      </c>
      <c r="J348" s="21">
        <v>45401</v>
      </c>
      <c r="K348" s="1">
        <v>46.75</v>
      </c>
      <c r="L348" s="1">
        <v>33.927700000000002</v>
      </c>
      <c r="M348" s="6">
        <f t="shared" si="93"/>
        <v>-1.1001279693106936E-2</v>
      </c>
      <c r="N348" s="21">
        <v>45401</v>
      </c>
      <c r="O348" s="1">
        <v>11.65</v>
      </c>
      <c r="P348" s="1">
        <v>10.8766</v>
      </c>
      <c r="Q348" s="6">
        <f t="shared" si="94"/>
        <v>-4.2661491138127339E-3</v>
      </c>
      <c r="R348" s="21">
        <v>45401</v>
      </c>
      <c r="S348" s="1">
        <v>7.19</v>
      </c>
      <c r="T348" s="1">
        <v>6.7342000000000004</v>
      </c>
      <c r="U348" s="6">
        <f t="shared" si="99"/>
        <v>1.3978110873187344E-3</v>
      </c>
      <c r="V348" s="21">
        <v>45401</v>
      </c>
      <c r="W348" s="1">
        <v>5.9</v>
      </c>
      <c r="X348" s="1">
        <v>5.2329999999999997</v>
      </c>
      <c r="Y348" s="6">
        <f t="shared" si="101"/>
        <v>-1.5057406361754233E-2</v>
      </c>
      <c r="Z348" s="21">
        <v>45401</v>
      </c>
      <c r="AA348" s="1">
        <v>1.86</v>
      </c>
      <c r="AB348" s="1">
        <v>1.86</v>
      </c>
      <c r="AC348" s="6">
        <f t="shared" si="95"/>
        <v>-5.3475935828877219E-3</v>
      </c>
      <c r="AD348" s="21">
        <v>45401</v>
      </c>
      <c r="AE348" s="1">
        <v>9.1</v>
      </c>
      <c r="AF348" s="1">
        <v>8.4976000000000003</v>
      </c>
      <c r="AG348" s="6">
        <f t="shared" si="96"/>
        <v>-8.7141140650700555E-3</v>
      </c>
      <c r="AH348" s="21">
        <v>45401</v>
      </c>
      <c r="AI348" s="1">
        <v>8.27</v>
      </c>
      <c r="AJ348" s="1">
        <v>7.694</v>
      </c>
      <c r="AK348" s="6">
        <f t="shared" si="97"/>
        <v>-3.6131004027506464E-3</v>
      </c>
      <c r="AL348" s="21">
        <v>45401</v>
      </c>
      <c r="AM348" s="1">
        <v>1.46</v>
      </c>
      <c r="AN348" s="1">
        <v>1.46</v>
      </c>
      <c r="AO348" s="6">
        <v>0</v>
      </c>
      <c r="AP348" s="21" t="s">
        <v>351</v>
      </c>
      <c r="AQ348" s="1">
        <v>8978.1</v>
      </c>
      <c r="AR348" s="6">
        <v>-3.6842630918956232E-3</v>
      </c>
    </row>
    <row r="349" spans="2:44" x14ac:dyDescent="0.35">
      <c r="B349" s="21">
        <v>45404</v>
      </c>
      <c r="C349" s="1">
        <v>0.68</v>
      </c>
      <c r="D349" s="1">
        <v>0.68</v>
      </c>
      <c r="E349" s="6">
        <f t="shared" si="100"/>
        <v>0</v>
      </c>
      <c r="F349" s="21">
        <v>45404</v>
      </c>
      <c r="G349" s="1">
        <v>16.45</v>
      </c>
      <c r="H349" s="1">
        <v>12.350199999999999</v>
      </c>
      <c r="I349" s="6">
        <f t="shared" si="98"/>
        <v>-3.0352443533154805E-3</v>
      </c>
      <c r="J349" s="21">
        <v>45404</v>
      </c>
      <c r="K349" s="1">
        <v>47.79</v>
      </c>
      <c r="L349" s="1">
        <v>34.682400000000001</v>
      </c>
      <c r="M349" s="6">
        <f t="shared" si="93"/>
        <v>2.2244360802530005E-2</v>
      </c>
      <c r="N349" s="21">
        <v>45404</v>
      </c>
      <c r="O349" s="1">
        <v>11.56</v>
      </c>
      <c r="P349" s="1">
        <v>10.7925</v>
      </c>
      <c r="Q349" s="6">
        <f t="shared" si="94"/>
        <v>-7.732195722928048E-3</v>
      </c>
      <c r="R349" s="21">
        <v>45404</v>
      </c>
      <c r="S349" s="1">
        <v>7.16</v>
      </c>
      <c r="T349" s="1">
        <v>6.7061000000000002</v>
      </c>
      <c r="U349" s="6">
        <f t="shared" si="99"/>
        <v>-4.1727302426420865E-3</v>
      </c>
      <c r="V349" s="21">
        <v>45404</v>
      </c>
      <c r="W349" s="1">
        <v>5.9</v>
      </c>
      <c r="X349" s="1">
        <v>5.2329999999999997</v>
      </c>
      <c r="Y349" s="6">
        <f t="shared" si="101"/>
        <v>0</v>
      </c>
      <c r="Z349" s="21">
        <v>45404</v>
      </c>
      <c r="AA349" s="1">
        <v>1.88</v>
      </c>
      <c r="AB349" s="1">
        <v>1.88</v>
      </c>
      <c r="AC349" s="6">
        <f t="shared" si="95"/>
        <v>1.0752688172043001E-2</v>
      </c>
      <c r="AD349" s="21">
        <v>45404</v>
      </c>
      <c r="AE349" s="1">
        <v>9</v>
      </c>
      <c r="AF349" s="1">
        <v>8.4041999999999994</v>
      </c>
      <c r="AG349" s="6">
        <f t="shared" si="96"/>
        <v>-1.099133873093594E-2</v>
      </c>
      <c r="AH349" s="21">
        <v>45404</v>
      </c>
      <c r="AI349" s="1">
        <v>8.3000000000000007</v>
      </c>
      <c r="AJ349" s="1">
        <v>7.7218999999999998</v>
      </c>
      <c r="AK349" s="6">
        <f t="shared" si="97"/>
        <v>3.6262022355082468E-3</v>
      </c>
      <c r="AL349" s="21">
        <v>45404</v>
      </c>
      <c r="AM349" s="1">
        <v>1.4</v>
      </c>
      <c r="AN349" s="1">
        <v>1.4</v>
      </c>
      <c r="AO349" s="6">
        <v>-4.1095890410958957E-2</v>
      </c>
      <c r="AP349" s="21" t="s">
        <v>352</v>
      </c>
      <c r="AQ349" s="1">
        <v>9060.1200000000008</v>
      </c>
      <c r="AR349" s="6">
        <v>9.1355632037959378E-3</v>
      </c>
    </row>
    <row r="350" spans="2:44" x14ac:dyDescent="0.35">
      <c r="B350" s="21">
        <v>45405</v>
      </c>
      <c r="C350" s="1">
        <v>0.71</v>
      </c>
      <c r="D350" s="1">
        <v>0.71</v>
      </c>
      <c r="E350" s="6">
        <f t="shared" si="100"/>
        <v>4.4117647058823373E-2</v>
      </c>
      <c r="F350" s="21">
        <v>45405</v>
      </c>
      <c r="G350" s="1">
        <v>16.8</v>
      </c>
      <c r="H350" s="1">
        <v>12.613</v>
      </c>
      <c r="I350" s="6">
        <f t="shared" si="98"/>
        <v>2.1279007627406976E-2</v>
      </c>
      <c r="J350" s="21">
        <v>45405</v>
      </c>
      <c r="K350" s="1">
        <v>48.7</v>
      </c>
      <c r="L350" s="1">
        <v>35.3429</v>
      </c>
      <c r="M350" s="6">
        <f t="shared" si="93"/>
        <v>1.9044241459645228E-2</v>
      </c>
      <c r="N350" s="21">
        <v>45405</v>
      </c>
      <c r="O350" s="1">
        <v>11.56</v>
      </c>
      <c r="P350" s="1">
        <v>10.7925</v>
      </c>
      <c r="Q350" s="6">
        <f t="shared" si="94"/>
        <v>0</v>
      </c>
      <c r="R350" s="21">
        <v>45405</v>
      </c>
      <c r="S350" s="1">
        <v>7.3</v>
      </c>
      <c r="T350" s="1">
        <v>6.8372000000000002</v>
      </c>
      <c r="U350" s="6">
        <f t="shared" si="99"/>
        <v>1.9549365503049421E-2</v>
      </c>
      <c r="V350" s="21">
        <v>45405</v>
      </c>
      <c r="W350" s="1">
        <v>5.9</v>
      </c>
      <c r="X350" s="1">
        <v>5.2329999999999997</v>
      </c>
      <c r="Y350" s="6">
        <f t="shared" si="101"/>
        <v>0</v>
      </c>
      <c r="Z350" s="21">
        <v>45405</v>
      </c>
      <c r="AA350" s="1">
        <v>1.86</v>
      </c>
      <c r="AB350" s="1">
        <v>1.86</v>
      </c>
      <c r="AC350" s="6">
        <f t="shared" si="95"/>
        <v>-1.0638297872340274E-2</v>
      </c>
      <c r="AD350" s="21">
        <v>45405</v>
      </c>
      <c r="AE350" s="1">
        <v>9.1999999999999993</v>
      </c>
      <c r="AF350" s="1">
        <v>8.5908999999999995</v>
      </c>
      <c r="AG350" s="6">
        <f t="shared" si="96"/>
        <v>2.2215082934723185E-2</v>
      </c>
      <c r="AH350" s="21">
        <v>45405</v>
      </c>
      <c r="AI350" s="1">
        <v>8.4</v>
      </c>
      <c r="AJ350" s="1">
        <v>7.8148999999999997</v>
      </c>
      <c r="AK350" s="6">
        <f t="shared" si="97"/>
        <v>1.2043668009168673E-2</v>
      </c>
      <c r="AL350" s="21">
        <v>45405</v>
      </c>
      <c r="AM350" s="1">
        <v>1.4</v>
      </c>
      <c r="AN350" s="1">
        <v>1.4</v>
      </c>
      <c r="AO350" s="6">
        <v>0</v>
      </c>
      <c r="AP350" s="21" t="s">
        <v>353</v>
      </c>
      <c r="AQ350" s="1">
        <v>9063.26</v>
      </c>
      <c r="AR350" s="6">
        <v>3.4657377606461814E-4</v>
      </c>
    </row>
    <row r="351" spans="2:44" x14ac:dyDescent="0.35">
      <c r="B351" s="21">
        <v>45406</v>
      </c>
      <c r="C351" s="1">
        <v>0.72</v>
      </c>
      <c r="D351" s="1">
        <v>0.72</v>
      </c>
      <c r="E351" s="6">
        <f t="shared" si="100"/>
        <v>1.4084507042253502E-2</v>
      </c>
      <c r="F351" s="21">
        <v>45406</v>
      </c>
      <c r="G351" s="1">
        <v>16.95</v>
      </c>
      <c r="H351" s="1">
        <v>12.7256</v>
      </c>
      <c r="I351" s="6">
        <f t="shared" si="98"/>
        <v>8.9272972330136646E-3</v>
      </c>
      <c r="J351" s="21">
        <v>45406</v>
      </c>
      <c r="K351" s="1">
        <v>49.35</v>
      </c>
      <c r="L351" s="1">
        <v>35.814599999999999</v>
      </c>
      <c r="M351" s="6">
        <f t="shared" si="93"/>
        <v>1.3346386402926624E-2</v>
      </c>
      <c r="N351" s="21">
        <v>45406</v>
      </c>
      <c r="O351" s="1">
        <v>11.69</v>
      </c>
      <c r="P351" s="1">
        <v>10.9139</v>
      </c>
      <c r="Q351" s="6">
        <f t="shared" si="94"/>
        <v>1.1248552235348486E-2</v>
      </c>
      <c r="R351" s="21">
        <v>45406</v>
      </c>
      <c r="S351" s="1">
        <v>7.29</v>
      </c>
      <c r="T351" s="1">
        <v>6.8277999999999999</v>
      </c>
      <c r="U351" s="6">
        <f t="shared" si="99"/>
        <v>-1.3748318024923156E-3</v>
      </c>
      <c r="V351" s="21">
        <v>45406</v>
      </c>
      <c r="W351" s="1">
        <v>5.9</v>
      </c>
      <c r="X351" s="1">
        <v>5.2329999999999997</v>
      </c>
      <c r="Y351" s="6">
        <f t="shared" si="101"/>
        <v>0</v>
      </c>
      <c r="Z351" s="21">
        <v>45406</v>
      </c>
      <c r="AA351" s="1">
        <v>1.88</v>
      </c>
      <c r="AB351" s="1">
        <v>1.88</v>
      </c>
      <c r="AC351" s="6">
        <f t="shared" si="95"/>
        <v>1.0752688172043001E-2</v>
      </c>
      <c r="AD351" s="21">
        <v>45406</v>
      </c>
      <c r="AE351" s="1">
        <v>9.1</v>
      </c>
      <c r="AF351" s="1">
        <v>8.4976000000000003</v>
      </c>
      <c r="AG351" s="6">
        <f t="shared" si="96"/>
        <v>-1.0860328952728926E-2</v>
      </c>
      <c r="AH351" s="21">
        <v>45406</v>
      </c>
      <c r="AI351" s="1">
        <v>8.5</v>
      </c>
      <c r="AJ351" s="1">
        <v>7.9078999999999997</v>
      </c>
      <c r="AK351" s="6">
        <f t="shared" si="97"/>
        <v>1.1900344214257341E-2</v>
      </c>
      <c r="AL351" s="21">
        <v>45406</v>
      </c>
      <c r="AM351" s="1">
        <v>1.46</v>
      </c>
      <c r="AN351" s="1">
        <v>1.46</v>
      </c>
      <c r="AO351" s="6">
        <v>4.2857142857142927E-2</v>
      </c>
      <c r="AP351" s="21" t="s">
        <v>354</v>
      </c>
      <c r="AQ351" s="1">
        <v>9104.7800000000007</v>
      </c>
      <c r="AR351" s="6">
        <v>4.5811330580829424E-3</v>
      </c>
    </row>
    <row r="352" spans="2:44" x14ac:dyDescent="0.35">
      <c r="B352" s="21">
        <v>45407</v>
      </c>
      <c r="C352" s="1">
        <v>0.72</v>
      </c>
      <c r="D352" s="1">
        <v>0.72</v>
      </c>
      <c r="E352" s="6">
        <f t="shared" si="100"/>
        <v>0</v>
      </c>
      <c r="F352" s="21">
        <v>45407</v>
      </c>
      <c r="G352" s="1">
        <v>17.149999999999999</v>
      </c>
      <c r="H352" s="1">
        <v>12.8758</v>
      </c>
      <c r="I352" s="6">
        <f t="shared" si="98"/>
        <v>1.180297982020484E-2</v>
      </c>
      <c r="J352" s="21">
        <v>45407</v>
      </c>
      <c r="K352" s="1">
        <v>49.95</v>
      </c>
      <c r="L352" s="1">
        <v>36.25</v>
      </c>
      <c r="M352" s="6">
        <f t="shared" si="93"/>
        <v>1.2157053268778695E-2</v>
      </c>
      <c r="N352" s="21">
        <v>45407</v>
      </c>
      <c r="O352" s="1">
        <v>11.7</v>
      </c>
      <c r="P352" s="1">
        <v>10.9232</v>
      </c>
      <c r="Q352" s="6">
        <f t="shared" si="94"/>
        <v>8.5212435518000618E-4</v>
      </c>
      <c r="R352" s="21">
        <v>45407</v>
      </c>
      <c r="S352" s="1">
        <v>7.24</v>
      </c>
      <c r="T352" s="1">
        <v>6.7809999999999997</v>
      </c>
      <c r="U352" s="6">
        <f t="shared" si="99"/>
        <v>-6.8543308239843448E-3</v>
      </c>
      <c r="V352" s="21">
        <v>45407</v>
      </c>
      <c r="W352" s="1">
        <v>5.9</v>
      </c>
      <c r="X352" s="1">
        <v>5.2329999999999997</v>
      </c>
      <c r="Y352" s="6">
        <f t="shared" si="101"/>
        <v>0</v>
      </c>
      <c r="Z352" s="21">
        <v>45407</v>
      </c>
      <c r="AA352" s="1">
        <v>1.85</v>
      </c>
      <c r="AB352" s="1">
        <v>1.85</v>
      </c>
      <c r="AC352" s="6">
        <f t="shared" si="95"/>
        <v>-1.5957446808510523E-2</v>
      </c>
      <c r="AD352" s="21">
        <v>45407</v>
      </c>
      <c r="AE352" s="1">
        <v>9.02</v>
      </c>
      <c r="AF352" s="1">
        <v>8.4228000000000005</v>
      </c>
      <c r="AG352" s="6">
        <f t="shared" si="96"/>
        <v>-8.8024854076445003E-3</v>
      </c>
      <c r="AH352" s="21">
        <v>45407</v>
      </c>
      <c r="AI352" s="1">
        <v>8.5399999999999991</v>
      </c>
      <c r="AJ352" s="1">
        <v>7.9451000000000001</v>
      </c>
      <c r="AK352" s="6">
        <f t="shared" si="97"/>
        <v>4.7041566028909187E-3</v>
      </c>
      <c r="AL352" s="21">
        <v>45407</v>
      </c>
      <c r="AM352" s="1">
        <v>1.4</v>
      </c>
      <c r="AN352" s="1">
        <v>1.4</v>
      </c>
      <c r="AO352" s="6">
        <v>-4.1095890410958957E-2</v>
      </c>
      <c r="AP352" s="21" t="s">
        <v>355</v>
      </c>
      <c r="AQ352" s="1">
        <v>9108.19</v>
      </c>
      <c r="AR352" s="6">
        <v>3.7452854434705252E-4</v>
      </c>
    </row>
    <row r="353" spans="2:44" x14ac:dyDescent="0.35">
      <c r="B353" s="21">
        <v>45408</v>
      </c>
      <c r="C353" s="1">
        <v>0.69</v>
      </c>
      <c r="D353" s="1">
        <v>0.69</v>
      </c>
      <c r="E353" s="6">
        <f t="shared" si="100"/>
        <v>-4.1666666666666741E-2</v>
      </c>
      <c r="F353" s="21">
        <v>45408</v>
      </c>
      <c r="G353" s="1">
        <v>17.14</v>
      </c>
      <c r="H353" s="1">
        <v>12.8682</v>
      </c>
      <c r="I353" s="6">
        <f t="shared" si="98"/>
        <v>-5.9025458612282922E-4</v>
      </c>
      <c r="J353" s="21">
        <v>45408</v>
      </c>
      <c r="K353" s="1">
        <v>49.85</v>
      </c>
      <c r="L353" s="1">
        <v>36.177399999999999</v>
      </c>
      <c r="M353" s="6">
        <f t="shared" si="93"/>
        <v>-2.0027586206896597E-3</v>
      </c>
      <c r="N353" s="21">
        <v>45408</v>
      </c>
      <c r="O353" s="1">
        <v>11.7</v>
      </c>
      <c r="P353" s="1">
        <v>10.9232</v>
      </c>
      <c r="Q353" s="6">
        <f t="shared" si="94"/>
        <v>0</v>
      </c>
      <c r="R353" s="21">
        <v>45408</v>
      </c>
      <c r="S353" s="1">
        <v>7.22</v>
      </c>
      <c r="T353" s="1">
        <v>6.7622999999999998</v>
      </c>
      <c r="U353" s="6">
        <f t="shared" si="99"/>
        <v>-2.757705353192752E-3</v>
      </c>
      <c r="V353" s="21">
        <v>45408</v>
      </c>
      <c r="W353" s="1">
        <v>5.85</v>
      </c>
      <c r="X353" s="1">
        <v>5.1890000000000001</v>
      </c>
      <c r="Y353" s="6">
        <f t="shared" si="101"/>
        <v>-8.4081788648957545E-3</v>
      </c>
      <c r="Z353" s="21">
        <v>45408</v>
      </c>
      <c r="AA353" s="1">
        <v>1.85</v>
      </c>
      <c r="AB353" s="1">
        <v>1.85</v>
      </c>
      <c r="AC353" s="6">
        <f t="shared" si="95"/>
        <v>0</v>
      </c>
      <c r="AD353" s="21">
        <v>45408</v>
      </c>
      <c r="AE353" s="1">
        <v>9.15</v>
      </c>
      <c r="AF353" s="1">
        <v>8.5442</v>
      </c>
      <c r="AG353" s="6">
        <f t="shared" si="96"/>
        <v>1.4413259248705845E-2</v>
      </c>
      <c r="AH353" s="21">
        <v>45408</v>
      </c>
      <c r="AI353" s="1">
        <v>8.52</v>
      </c>
      <c r="AJ353" s="1">
        <v>7.9264999999999999</v>
      </c>
      <c r="AK353" s="6">
        <f t="shared" si="97"/>
        <v>-2.3410655624221954E-3</v>
      </c>
      <c r="AL353" s="21">
        <v>45408</v>
      </c>
      <c r="AM353" s="1">
        <v>1.46</v>
      </c>
      <c r="AN353" s="1">
        <v>1.46</v>
      </c>
      <c r="AO353" s="6">
        <v>4.2857142857142927E-2</v>
      </c>
      <c r="AP353" s="21" t="s">
        <v>356</v>
      </c>
      <c r="AQ353" s="1">
        <v>9117.33</v>
      </c>
      <c r="AR353" s="6">
        <v>1.0034924611805884E-3</v>
      </c>
    </row>
    <row r="354" spans="2:44" x14ac:dyDescent="0.35">
      <c r="B354" s="21">
        <v>45411</v>
      </c>
      <c r="C354" s="1">
        <v>0.7</v>
      </c>
      <c r="D354" s="1">
        <v>0.7</v>
      </c>
      <c r="E354" s="6">
        <f t="shared" si="100"/>
        <v>1.449275362318847E-2</v>
      </c>
      <c r="F354" s="21">
        <v>45411</v>
      </c>
      <c r="G354" s="1">
        <v>17</v>
      </c>
      <c r="H354" s="1">
        <v>12.7631</v>
      </c>
      <c r="I354" s="6">
        <f t="shared" si="98"/>
        <v>-8.1674204628464642E-3</v>
      </c>
      <c r="J354" s="21">
        <v>45411</v>
      </c>
      <c r="K354" s="1">
        <v>49.5</v>
      </c>
      <c r="L354" s="1">
        <v>35.923400000000001</v>
      </c>
      <c r="M354" s="6">
        <f t="shared" si="93"/>
        <v>-7.0209578355547864E-3</v>
      </c>
      <c r="N354" s="21">
        <v>45411</v>
      </c>
      <c r="O354" s="1">
        <v>11.7</v>
      </c>
      <c r="P354" s="1">
        <v>10.9232</v>
      </c>
      <c r="Q354" s="6">
        <f t="shared" si="94"/>
        <v>0</v>
      </c>
      <c r="R354" s="21">
        <v>45411</v>
      </c>
      <c r="S354" s="1">
        <v>7.25</v>
      </c>
      <c r="T354" s="1">
        <v>6.7904</v>
      </c>
      <c r="U354" s="6">
        <f t="shared" si="99"/>
        <v>4.1553909172915571E-3</v>
      </c>
      <c r="V354" s="21">
        <v>45411</v>
      </c>
      <c r="W354" s="1">
        <v>6</v>
      </c>
      <c r="X354" s="1">
        <v>5.3220000000000001</v>
      </c>
      <c r="Y354" s="6">
        <f t="shared" si="101"/>
        <v>2.563114280208123E-2</v>
      </c>
      <c r="Z354" s="21">
        <v>45411</v>
      </c>
      <c r="AA354" s="1">
        <v>1.84</v>
      </c>
      <c r="AB354" s="1">
        <v>1.84</v>
      </c>
      <c r="AC354" s="6">
        <f t="shared" si="95"/>
        <v>-5.4054054054054612E-3</v>
      </c>
      <c r="AD354" s="21">
        <v>45411</v>
      </c>
      <c r="AE354" s="1">
        <v>9.1</v>
      </c>
      <c r="AF354" s="1">
        <v>8.4976000000000003</v>
      </c>
      <c r="AG354" s="6">
        <f t="shared" si="96"/>
        <v>-5.4539921818309578E-3</v>
      </c>
      <c r="AH354" s="21">
        <v>45411</v>
      </c>
      <c r="AI354" s="1">
        <v>8.5</v>
      </c>
      <c r="AJ354" s="1">
        <v>7.9078999999999997</v>
      </c>
      <c r="AK354" s="6">
        <f t="shared" si="97"/>
        <v>-2.346559010912741E-3</v>
      </c>
      <c r="AL354" s="21">
        <v>45411</v>
      </c>
      <c r="AM354" s="1">
        <v>1.46</v>
      </c>
      <c r="AN354" s="1">
        <v>1.46</v>
      </c>
      <c r="AO354" s="6">
        <v>0</v>
      </c>
      <c r="AP354" s="21" t="s">
        <v>357</v>
      </c>
      <c r="AQ354" s="1">
        <v>9120.44</v>
      </c>
      <c r="AR354" s="6">
        <v>3.4110863597125451E-4</v>
      </c>
    </row>
    <row r="355" spans="2:44" x14ac:dyDescent="0.35">
      <c r="B355" s="21">
        <v>45412</v>
      </c>
      <c r="C355" s="1">
        <v>0.71</v>
      </c>
      <c r="D355" s="1">
        <v>0.71</v>
      </c>
      <c r="E355" s="6">
        <f t="shared" si="100"/>
        <v>1.4285714285714235E-2</v>
      </c>
      <c r="F355" s="21">
        <v>45412</v>
      </c>
      <c r="G355" s="1">
        <v>17</v>
      </c>
      <c r="H355" s="1">
        <v>12.7631</v>
      </c>
      <c r="I355" s="6">
        <f t="shared" si="98"/>
        <v>0</v>
      </c>
      <c r="J355" s="21">
        <v>45412</v>
      </c>
      <c r="K355" s="1">
        <v>49.29</v>
      </c>
      <c r="L355" s="1">
        <v>35.771000000000001</v>
      </c>
      <c r="M355" s="6">
        <f t="shared" si="93"/>
        <v>-4.2423601329495408E-3</v>
      </c>
      <c r="N355" s="21">
        <v>45412</v>
      </c>
      <c r="O355" s="1">
        <v>11.7</v>
      </c>
      <c r="P355" s="1">
        <v>10.9232</v>
      </c>
      <c r="Q355" s="6">
        <f t="shared" si="94"/>
        <v>0</v>
      </c>
      <c r="R355" s="21">
        <v>45412</v>
      </c>
      <c r="S355" s="1">
        <v>7.2</v>
      </c>
      <c r="T355" s="1">
        <v>6.7435</v>
      </c>
      <c r="U355" s="6">
        <f t="shared" si="99"/>
        <v>-6.9068096135720403E-3</v>
      </c>
      <c r="V355" s="21">
        <v>45412</v>
      </c>
      <c r="W355" s="1">
        <v>6</v>
      </c>
      <c r="X355" s="1">
        <v>5.3220000000000001</v>
      </c>
      <c r="Y355" s="6">
        <f t="shared" si="101"/>
        <v>0</v>
      </c>
      <c r="Z355" s="21">
        <v>45412</v>
      </c>
      <c r="AA355" s="1">
        <v>1.86</v>
      </c>
      <c r="AB355" s="1">
        <v>1.86</v>
      </c>
      <c r="AC355" s="6">
        <f t="shared" si="95"/>
        <v>1.0869565217391353E-2</v>
      </c>
      <c r="AD355" s="21">
        <v>45412</v>
      </c>
      <c r="AE355" s="1">
        <v>9.15</v>
      </c>
      <c r="AF355" s="1">
        <v>8.5442</v>
      </c>
      <c r="AG355" s="6">
        <f t="shared" si="96"/>
        <v>5.4839013368479517E-3</v>
      </c>
      <c r="AH355" s="21">
        <v>45412</v>
      </c>
      <c r="AI355" s="1">
        <v>8.4499999999999993</v>
      </c>
      <c r="AJ355" s="1">
        <v>7.8613999999999997</v>
      </c>
      <c r="AK355" s="6">
        <f t="shared" si="97"/>
        <v>-5.8801957536134264E-3</v>
      </c>
      <c r="AL355" s="21">
        <v>45412</v>
      </c>
      <c r="AM355" s="1">
        <v>1.46</v>
      </c>
      <c r="AN355" s="1">
        <v>1.46</v>
      </c>
      <c r="AO355" s="6">
        <v>0</v>
      </c>
      <c r="AP355" s="21" t="s">
        <v>358</v>
      </c>
      <c r="AQ355" s="1">
        <v>9103.85</v>
      </c>
      <c r="AR355" s="6">
        <v>-1.8189911890216237E-3</v>
      </c>
    </row>
    <row r="356" spans="2:44" x14ac:dyDescent="0.35">
      <c r="B356" s="21">
        <v>45414</v>
      </c>
      <c r="C356" s="1">
        <v>0.68</v>
      </c>
      <c r="D356" s="1">
        <v>0.68</v>
      </c>
      <c r="E356" s="6">
        <f t="shared" si="100"/>
        <v>-4.2253521126760396E-2</v>
      </c>
      <c r="F356" s="21">
        <v>45414</v>
      </c>
      <c r="G356" s="1">
        <v>16.899999999999999</v>
      </c>
      <c r="H356" s="1">
        <v>12.6881</v>
      </c>
      <c r="I356" s="6">
        <f t="shared" si="98"/>
        <v>-5.8763153152446845E-3</v>
      </c>
      <c r="J356" s="21">
        <v>45414</v>
      </c>
      <c r="K356" s="1">
        <v>48.5</v>
      </c>
      <c r="L356" s="1">
        <v>35.197699999999998</v>
      </c>
      <c r="M356" s="6">
        <f t="shared" si="93"/>
        <v>-1.6026949204663077E-2</v>
      </c>
      <c r="N356" s="21">
        <v>45414</v>
      </c>
      <c r="O356" s="1">
        <v>11.7</v>
      </c>
      <c r="P356" s="1">
        <v>10.9232</v>
      </c>
      <c r="Q356" s="6">
        <f t="shared" si="94"/>
        <v>0</v>
      </c>
      <c r="R356" s="21">
        <v>45414</v>
      </c>
      <c r="S356" s="1">
        <v>7.18</v>
      </c>
      <c r="T356" s="1">
        <v>6.7248000000000001</v>
      </c>
      <c r="U356" s="6">
        <f t="shared" si="99"/>
        <v>-2.7730407058649265E-3</v>
      </c>
      <c r="V356" s="21">
        <v>45414</v>
      </c>
      <c r="W356" s="1">
        <v>6</v>
      </c>
      <c r="X356" s="1">
        <v>5.3220000000000001</v>
      </c>
      <c r="Y356" s="6">
        <f t="shared" si="101"/>
        <v>0</v>
      </c>
      <c r="Z356" s="21">
        <v>45414</v>
      </c>
      <c r="AA356" s="1">
        <v>1.85</v>
      </c>
      <c r="AB356" s="1">
        <v>1.85</v>
      </c>
      <c r="AC356" s="6">
        <f t="shared" si="95"/>
        <v>-5.3763440860215006E-3</v>
      </c>
      <c r="AD356" s="21">
        <v>45414</v>
      </c>
      <c r="AE356" s="1">
        <v>9.1</v>
      </c>
      <c r="AF356" s="1">
        <v>8.4976000000000003</v>
      </c>
      <c r="AG356" s="6">
        <f t="shared" si="96"/>
        <v>-5.4539921818309578E-3</v>
      </c>
      <c r="AH356" s="21">
        <v>45414</v>
      </c>
      <c r="AI356" s="1">
        <v>8.4</v>
      </c>
      <c r="AJ356" s="1">
        <v>7.8148999999999997</v>
      </c>
      <c r="AK356" s="6">
        <f t="shared" si="97"/>
        <v>-5.9149769761110971E-3</v>
      </c>
      <c r="AL356" s="21">
        <v>45414</v>
      </c>
      <c r="AM356" s="1">
        <v>1.4</v>
      </c>
      <c r="AN356" s="1">
        <v>1.4</v>
      </c>
      <c r="AO356" s="6">
        <v>-4.1095890410958957E-2</v>
      </c>
      <c r="AP356" s="21" t="s">
        <v>359</v>
      </c>
      <c r="AQ356" s="1">
        <v>9101.93</v>
      </c>
      <c r="AR356" s="6">
        <v>-2.1089978415722577E-4</v>
      </c>
    </row>
    <row r="357" spans="2:44" x14ac:dyDescent="0.35">
      <c r="B357" s="21">
        <v>45415</v>
      </c>
      <c r="C357" s="1">
        <v>0.68</v>
      </c>
      <c r="D357" s="1">
        <v>0.68</v>
      </c>
      <c r="E357" s="6">
        <f t="shared" si="100"/>
        <v>0</v>
      </c>
      <c r="F357" s="21">
        <v>45415</v>
      </c>
      <c r="G357" s="1">
        <v>16.899999999999999</v>
      </c>
      <c r="H357" s="1">
        <v>12.6881</v>
      </c>
      <c r="I357" s="6">
        <f t="shared" si="98"/>
        <v>0</v>
      </c>
      <c r="J357" s="21">
        <v>45415</v>
      </c>
      <c r="K357" s="1">
        <v>48.7</v>
      </c>
      <c r="L357" s="1">
        <v>35.3429</v>
      </c>
      <c r="M357" s="6">
        <f t="shared" si="93"/>
        <v>4.12526954886272E-3</v>
      </c>
      <c r="N357" s="21">
        <v>45415</v>
      </c>
      <c r="O357" s="1">
        <v>11.68</v>
      </c>
      <c r="P357" s="1">
        <v>10.9046</v>
      </c>
      <c r="Q357" s="6">
        <f t="shared" si="94"/>
        <v>-1.7027977149552953E-3</v>
      </c>
      <c r="R357" s="21">
        <v>45415</v>
      </c>
      <c r="S357" s="1">
        <v>7.17</v>
      </c>
      <c r="T357" s="1">
        <v>6.7153999999999998</v>
      </c>
      <c r="U357" s="6">
        <f t="shared" si="99"/>
        <v>-1.3978110873186234E-3</v>
      </c>
      <c r="V357" s="21">
        <v>45415</v>
      </c>
      <c r="W357" s="1">
        <v>6</v>
      </c>
      <c r="X357" s="1">
        <v>5.3220000000000001</v>
      </c>
      <c r="Y357" s="6">
        <f t="shared" si="101"/>
        <v>0</v>
      </c>
      <c r="Z357" s="21">
        <v>45415</v>
      </c>
      <c r="AA357" s="1">
        <v>1.92</v>
      </c>
      <c r="AB357" s="1">
        <v>1.92</v>
      </c>
      <c r="AC357" s="6">
        <f t="shared" si="95"/>
        <v>3.7837837837837673E-2</v>
      </c>
      <c r="AD357" s="21">
        <v>45415</v>
      </c>
      <c r="AE357" s="1">
        <v>9.0500000000000007</v>
      </c>
      <c r="AF357" s="1">
        <v>8.4509000000000007</v>
      </c>
      <c r="AG357" s="6">
        <f t="shared" si="96"/>
        <v>-5.495669365467859E-3</v>
      </c>
      <c r="AH357" s="21">
        <v>45415</v>
      </c>
      <c r="AI357" s="1">
        <v>8.4</v>
      </c>
      <c r="AJ357" s="1">
        <v>7.8148999999999997</v>
      </c>
      <c r="AK357" s="6">
        <f t="shared" si="97"/>
        <v>0</v>
      </c>
      <c r="AL357" s="21">
        <v>45415</v>
      </c>
      <c r="AM357" s="1">
        <v>1.41</v>
      </c>
      <c r="AN357" s="1">
        <v>1.41</v>
      </c>
      <c r="AO357" s="6">
        <v>7.1428571428571175E-3</v>
      </c>
      <c r="AP357" s="21" t="s">
        <v>360</v>
      </c>
      <c r="AQ357" s="1">
        <v>9120.74</v>
      </c>
      <c r="AR357" s="6">
        <v>2.0665946672848712E-3</v>
      </c>
    </row>
    <row r="358" spans="2:44" x14ac:dyDescent="0.35">
      <c r="B358" s="21">
        <v>45418</v>
      </c>
      <c r="C358" s="1">
        <v>0.7</v>
      </c>
      <c r="D358" s="1">
        <v>0.7</v>
      </c>
      <c r="E358" s="6">
        <f t="shared" si="100"/>
        <v>2.9411764705882248E-2</v>
      </c>
      <c r="F358" s="21">
        <v>45418</v>
      </c>
      <c r="G358" s="1">
        <v>16.8</v>
      </c>
      <c r="H358" s="1">
        <v>12.613</v>
      </c>
      <c r="I358" s="6">
        <f t="shared" si="98"/>
        <v>-5.9189319125795281E-3</v>
      </c>
      <c r="J358" s="21">
        <v>45418</v>
      </c>
      <c r="K358" s="1">
        <v>48.8</v>
      </c>
      <c r="L358" s="1">
        <v>35.415399999999998</v>
      </c>
      <c r="M358" s="6">
        <f t="shared" si="93"/>
        <v>2.0513313848042891E-3</v>
      </c>
      <c r="N358" s="21">
        <v>45418</v>
      </c>
      <c r="O358" s="1">
        <v>11.41</v>
      </c>
      <c r="P358" s="1">
        <v>10.6525</v>
      </c>
      <c r="Q358" s="6">
        <f t="shared" si="94"/>
        <v>-2.3118683858188271E-2</v>
      </c>
      <c r="R358" s="21">
        <v>45418</v>
      </c>
      <c r="S358" s="1">
        <v>7.3</v>
      </c>
      <c r="T358" s="1">
        <v>6.8372000000000002</v>
      </c>
      <c r="U358" s="6">
        <f t="shared" si="99"/>
        <v>1.8137415492748055E-2</v>
      </c>
      <c r="V358" s="21">
        <v>45418</v>
      </c>
      <c r="W358" s="1">
        <v>6.03</v>
      </c>
      <c r="X358" s="1">
        <v>5.3490000000000002</v>
      </c>
      <c r="Y358" s="6">
        <f t="shared" si="101"/>
        <v>5.0732807215332354E-3</v>
      </c>
      <c r="Z358" s="21">
        <v>45418</v>
      </c>
      <c r="AA358" s="1">
        <v>1.88</v>
      </c>
      <c r="AB358" s="1">
        <v>1.88</v>
      </c>
      <c r="AC358" s="6">
        <f t="shared" si="95"/>
        <v>-2.083333333333337E-2</v>
      </c>
      <c r="AD358" s="21">
        <v>45418</v>
      </c>
      <c r="AE358" s="1">
        <v>9</v>
      </c>
      <c r="AF358" s="1">
        <v>8.4041999999999994</v>
      </c>
      <c r="AG358" s="6">
        <f t="shared" si="96"/>
        <v>-5.5260386467714806E-3</v>
      </c>
      <c r="AH358" s="21">
        <v>45418</v>
      </c>
      <c r="AI358" s="1">
        <v>8.4</v>
      </c>
      <c r="AJ358" s="1">
        <v>7.8148999999999997</v>
      </c>
      <c r="AK358" s="6">
        <f t="shared" si="97"/>
        <v>0</v>
      </c>
      <c r="AL358" s="21">
        <v>45418</v>
      </c>
      <c r="AM358" s="1">
        <v>1.41</v>
      </c>
      <c r="AN358" s="1">
        <v>1.41</v>
      </c>
      <c r="AO358" s="6">
        <v>0</v>
      </c>
      <c r="AP358" s="21" t="s">
        <v>361</v>
      </c>
      <c r="AQ358" s="1">
        <v>9142.8799999999992</v>
      </c>
      <c r="AR358" s="6">
        <v>2.4274346160508831E-3</v>
      </c>
    </row>
    <row r="359" spans="2:44" x14ac:dyDescent="0.35">
      <c r="B359" s="21">
        <v>45419</v>
      </c>
      <c r="C359" s="1">
        <v>0.7</v>
      </c>
      <c r="D359" s="1">
        <v>0.7</v>
      </c>
      <c r="E359" s="6">
        <f t="shared" si="100"/>
        <v>0</v>
      </c>
      <c r="F359" s="21">
        <v>45419</v>
      </c>
      <c r="G359" s="1">
        <v>16.100000000000001</v>
      </c>
      <c r="H359" s="1">
        <v>12.087400000000001</v>
      </c>
      <c r="I359" s="6">
        <f t="shared" si="98"/>
        <v>-4.1671291524617349E-2</v>
      </c>
      <c r="J359" s="21">
        <v>45419</v>
      </c>
      <c r="K359" s="1">
        <v>48.69</v>
      </c>
      <c r="L359" s="1">
        <v>35.335599999999999</v>
      </c>
      <c r="M359" s="6">
        <f t="shared" si="93"/>
        <v>-2.2532570576641042E-3</v>
      </c>
      <c r="N359" s="21">
        <v>45419</v>
      </c>
      <c r="O359" s="1">
        <v>11.35</v>
      </c>
      <c r="P359" s="1">
        <v>10.596500000000001</v>
      </c>
      <c r="Q359" s="6">
        <f t="shared" si="94"/>
        <v>-5.2569819291244935E-3</v>
      </c>
      <c r="R359" s="21">
        <v>45419</v>
      </c>
      <c r="S359" s="1">
        <v>7.3</v>
      </c>
      <c r="T359" s="1">
        <v>6.8372000000000002</v>
      </c>
      <c r="U359" s="6">
        <f t="shared" si="99"/>
        <v>0</v>
      </c>
      <c r="V359" s="21">
        <v>45419</v>
      </c>
      <c r="W359" s="1">
        <v>6.03</v>
      </c>
      <c r="X359" s="1">
        <v>5.3490000000000002</v>
      </c>
      <c r="Y359" s="6">
        <f t="shared" si="101"/>
        <v>0</v>
      </c>
      <c r="Z359" s="21">
        <v>45419</v>
      </c>
      <c r="AA359" s="1">
        <v>1.85</v>
      </c>
      <c r="AB359" s="1">
        <v>1.85</v>
      </c>
      <c r="AC359" s="6">
        <f t="shared" si="95"/>
        <v>-1.5957446808510523E-2</v>
      </c>
      <c r="AD359" s="21">
        <v>45419</v>
      </c>
      <c r="AE359" s="1">
        <v>9.19</v>
      </c>
      <c r="AF359" s="1">
        <v>8.5815999999999999</v>
      </c>
      <c r="AG359" s="6">
        <f t="shared" si="96"/>
        <v>2.1108493372361536E-2</v>
      </c>
      <c r="AH359" s="21">
        <v>45419</v>
      </c>
      <c r="AI359" s="1">
        <v>8.34</v>
      </c>
      <c r="AJ359" s="1">
        <v>7.7591000000000001</v>
      </c>
      <c r="AK359" s="6">
        <f t="shared" si="97"/>
        <v>-7.1402065285544047E-3</v>
      </c>
      <c r="AL359" s="21">
        <v>45419</v>
      </c>
      <c r="AM359" s="1">
        <v>1.41</v>
      </c>
      <c r="AN359" s="1">
        <v>1.41</v>
      </c>
      <c r="AO359" s="6">
        <v>0</v>
      </c>
      <c r="AP359" s="21" t="s">
        <v>362</v>
      </c>
      <c r="AQ359" s="1">
        <v>9129.2199999999993</v>
      </c>
      <c r="AR359" s="6">
        <v>-1.4940587648530901E-3</v>
      </c>
    </row>
    <row r="360" spans="2:44" x14ac:dyDescent="0.35">
      <c r="B360" s="21">
        <v>45420</v>
      </c>
      <c r="C360" s="1">
        <v>0.69</v>
      </c>
      <c r="D360" s="1">
        <v>0.69</v>
      </c>
      <c r="E360" s="6">
        <f t="shared" si="100"/>
        <v>-1.4285714285714346E-2</v>
      </c>
      <c r="F360" s="21">
        <v>45420</v>
      </c>
      <c r="G360" s="1">
        <v>16.690000000000001</v>
      </c>
      <c r="H360" s="1">
        <v>12.5304</v>
      </c>
      <c r="I360" s="6">
        <f t="shared" si="98"/>
        <v>3.6649734434204273E-2</v>
      </c>
      <c r="J360" s="21">
        <v>45420</v>
      </c>
      <c r="K360" s="1">
        <v>48.5</v>
      </c>
      <c r="L360" s="1">
        <v>35.197699999999998</v>
      </c>
      <c r="M360" s="6">
        <f t="shared" si="93"/>
        <v>-3.902579834501263E-3</v>
      </c>
      <c r="N360" s="21">
        <v>45420</v>
      </c>
      <c r="O360" s="1">
        <v>11.47</v>
      </c>
      <c r="P360" s="1">
        <v>10.708500000000001</v>
      </c>
      <c r="Q360" s="6">
        <f t="shared" si="94"/>
        <v>1.0569527674232138E-2</v>
      </c>
      <c r="R360" s="21">
        <v>45420</v>
      </c>
      <c r="S360" s="1">
        <v>7.29</v>
      </c>
      <c r="T360" s="1">
        <v>6.8277999999999999</v>
      </c>
      <c r="U360" s="6">
        <f t="shared" si="99"/>
        <v>-1.3748318024923156E-3</v>
      </c>
      <c r="V360" s="21">
        <v>45420</v>
      </c>
      <c r="W360" s="1">
        <v>5.99</v>
      </c>
      <c r="X360" s="1">
        <v>5.3129999999999997</v>
      </c>
      <c r="Y360" s="6">
        <f t="shared" si="101"/>
        <v>-6.7302299495233253E-3</v>
      </c>
      <c r="Z360" s="21">
        <v>45420</v>
      </c>
      <c r="AA360" s="1">
        <v>1.83</v>
      </c>
      <c r="AB360" s="1">
        <v>1.83</v>
      </c>
      <c r="AC360" s="6">
        <f t="shared" si="95"/>
        <v>-1.0810810810810811E-2</v>
      </c>
      <c r="AD360" s="21">
        <v>45420</v>
      </c>
      <c r="AE360" s="1">
        <v>9.14</v>
      </c>
      <c r="AF360" s="1">
        <v>8.5349000000000004</v>
      </c>
      <c r="AG360" s="6">
        <f t="shared" si="96"/>
        <v>-5.4418756409060354E-3</v>
      </c>
      <c r="AH360" s="21">
        <v>45420</v>
      </c>
      <c r="AI360" s="1">
        <v>8.3000000000000007</v>
      </c>
      <c r="AJ360" s="1">
        <v>7.7218999999999998</v>
      </c>
      <c r="AK360" s="6">
        <f t="shared" si="97"/>
        <v>-4.7943704811125309E-3</v>
      </c>
      <c r="AL360" s="21">
        <v>45420</v>
      </c>
      <c r="AM360" s="1">
        <v>1.41</v>
      </c>
      <c r="AN360" s="1">
        <v>1.41</v>
      </c>
      <c r="AO360" s="6">
        <v>0</v>
      </c>
      <c r="AP360" s="21" t="s">
        <v>363</v>
      </c>
      <c r="AQ360" s="1">
        <v>9128.6200000000008</v>
      </c>
      <c r="AR360" s="6">
        <v>-6.5723030006736849E-5</v>
      </c>
    </row>
    <row r="361" spans="2:44" x14ac:dyDescent="0.35">
      <c r="B361" s="21">
        <v>45421</v>
      </c>
      <c r="C361" s="1">
        <v>0.69</v>
      </c>
      <c r="D361" s="1">
        <v>0.69</v>
      </c>
      <c r="E361" s="6">
        <f t="shared" si="100"/>
        <v>0</v>
      </c>
      <c r="F361" s="21">
        <v>45421</v>
      </c>
      <c r="G361" s="1">
        <v>16.41</v>
      </c>
      <c r="H361" s="1">
        <v>12.3202</v>
      </c>
      <c r="I361" s="6">
        <f t="shared" si="98"/>
        <v>-1.6775202707016601E-2</v>
      </c>
      <c r="J361" s="21">
        <v>45421</v>
      </c>
      <c r="K361" s="1">
        <v>48.44</v>
      </c>
      <c r="L361" s="1">
        <v>35.154200000000003</v>
      </c>
      <c r="M361" s="6">
        <f t="shared" si="93"/>
        <v>-1.2358762078202856E-3</v>
      </c>
      <c r="N361" s="21">
        <v>45421</v>
      </c>
      <c r="O361" s="1">
        <v>11.47</v>
      </c>
      <c r="P361" s="1">
        <v>10.708500000000001</v>
      </c>
      <c r="Q361" s="6">
        <f t="shared" si="94"/>
        <v>0</v>
      </c>
      <c r="R361" s="21">
        <v>45421</v>
      </c>
      <c r="S361" s="1">
        <v>7.27</v>
      </c>
      <c r="T361" s="1">
        <v>6.8090999999999999</v>
      </c>
      <c r="U361" s="6">
        <f t="shared" si="99"/>
        <v>-2.7388031283869241E-3</v>
      </c>
      <c r="V361" s="21">
        <v>45421</v>
      </c>
      <c r="W361" s="1">
        <v>5.99</v>
      </c>
      <c r="X361" s="1">
        <v>5.3129999999999997</v>
      </c>
      <c r="Y361" s="6">
        <f t="shared" si="101"/>
        <v>0</v>
      </c>
      <c r="Z361" s="21">
        <v>45421</v>
      </c>
      <c r="AA361" s="1">
        <v>1.85</v>
      </c>
      <c r="AB361" s="1">
        <v>1.85</v>
      </c>
      <c r="AC361" s="6">
        <f t="shared" si="95"/>
        <v>1.0928961748633892E-2</v>
      </c>
      <c r="AD361" s="21">
        <v>45421</v>
      </c>
      <c r="AE361" s="1">
        <v>9.0500000000000007</v>
      </c>
      <c r="AF361" s="1">
        <v>8.4509000000000007</v>
      </c>
      <c r="AG361" s="6">
        <f t="shared" si="96"/>
        <v>-9.8419430807624719E-3</v>
      </c>
      <c r="AH361" s="21">
        <v>45421</v>
      </c>
      <c r="AI361" s="1">
        <v>8.3000000000000007</v>
      </c>
      <c r="AJ361" s="1">
        <v>7.7218999999999998</v>
      </c>
      <c r="AK361" s="6">
        <f t="shared" si="97"/>
        <v>0</v>
      </c>
      <c r="AL361" s="21">
        <v>45421</v>
      </c>
      <c r="AM361" s="1">
        <v>1.35</v>
      </c>
      <c r="AN361" s="1">
        <v>1.35</v>
      </c>
      <c r="AO361" s="6">
        <v>-4.2553191489361541E-2</v>
      </c>
      <c r="AP361" s="21" t="s">
        <v>364</v>
      </c>
      <c r="AQ361" s="1">
        <v>9125.77</v>
      </c>
      <c r="AR361" s="6">
        <v>-3.1220491158578945E-4</v>
      </c>
    </row>
    <row r="362" spans="2:44" x14ac:dyDescent="0.35">
      <c r="B362" s="21">
        <v>45422</v>
      </c>
      <c r="C362" s="1">
        <v>0.66</v>
      </c>
      <c r="D362" s="1">
        <v>0.66</v>
      </c>
      <c r="E362" s="6">
        <f t="shared" si="100"/>
        <v>-4.3478260869565077E-2</v>
      </c>
      <c r="F362" s="21">
        <v>45422</v>
      </c>
      <c r="G362" s="1">
        <v>16.41</v>
      </c>
      <c r="H362" s="1">
        <v>12.3202</v>
      </c>
      <c r="I362" s="6">
        <f t="shared" si="98"/>
        <v>0</v>
      </c>
      <c r="J362" s="21">
        <v>45422</v>
      </c>
      <c r="K362" s="1">
        <v>48.44</v>
      </c>
      <c r="L362" s="1">
        <v>35.154200000000003</v>
      </c>
      <c r="M362" s="6">
        <f t="shared" si="93"/>
        <v>0</v>
      </c>
      <c r="N362" s="21">
        <v>45422</v>
      </c>
      <c r="O362" s="1">
        <v>11.4</v>
      </c>
      <c r="P362" s="1">
        <v>10.6432</v>
      </c>
      <c r="Q362" s="6">
        <f t="shared" si="94"/>
        <v>-6.0979595648317231E-3</v>
      </c>
      <c r="R362" s="21">
        <v>45422</v>
      </c>
      <c r="S362" s="1">
        <v>7.24</v>
      </c>
      <c r="T362" s="1">
        <v>6.7809999999999997</v>
      </c>
      <c r="U362" s="6">
        <f t="shared" si="99"/>
        <v>-4.1268302712547111E-3</v>
      </c>
      <c r="V362" s="21">
        <v>45422</v>
      </c>
      <c r="W362" s="1">
        <v>5.99</v>
      </c>
      <c r="X362" s="1">
        <v>5.3129999999999997</v>
      </c>
      <c r="Y362" s="6">
        <f t="shared" si="101"/>
        <v>0</v>
      </c>
      <c r="Z362" s="21">
        <v>45422</v>
      </c>
      <c r="AA362" s="1">
        <v>1.85</v>
      </c>
      <c r="AB362" s="1">
        <v>1.85</v>
      </c>
      <c r="AC362" s="6">
        <f t="shared" si="95"/>
        <v>0</v>
      </c>
      <c r="AD362" s="21">
        <v>45422</v>
      </c>
      <c r="AE362" s="1">
        <v>9.1199999999999992</v>
      </c>
      <c r="AF362" s="1">
        <v>8.5161999999999995</v>
      </c>
      <c r="AG362" s="6">
        <f t="shared" si="96"/>
        <v>7.7269876581191888E-3</v>
      </c>
      <c r="AH362" s="21">
        <v>45422</v>
      </c>
      <c r="AI362" s="1">
        <v>8.16</v>
      </c>
      <c r="AJ362" s="1">
        <v>7.5915999999999997</v>
      </c>
      <c r="AK362" s="6">
        <f t="shared" si="97"/>
        <v>-1.6874085393491223E-2</v>
      </c>
      <c r="AL362" s="21">
        <v>45422</v>
      </c>
      <c r="AM362" s="1">
        <v>1.31</v>
      </c>
      <c r="AN362" s="1">
        <v>1.31</v>
      </c>
      <c r="AO362" s="6">
        <v>-2.9629629629629672E-2</v>
      </c>
      <c r="AP362" s="21" t="s">
        <v>365</v>
      </c>
      <c r="AQ362" s="1">
        <v>9112.56</v>
      </c>
      <c r="AR362" s="6">
        <v>-1.4475490835295091E-3</v>
      </c>
    </row>
    <row r="363" spans="2:44" x14ac:dyDescent="0.35">
      <c r="B363" s="21">
        <v>45425</v>
      </c>
      <c r="C363" s="1">
        <v>0.66</v>
      </c>
      <c r="D363" s="1">
        <v>0.66</v>
      </c>
      <c r="E363" s="6">
        <f t="shared" si="100"/>
        <v>0</v>
      </c>
      <c r="F363" s="21">
        <v>45425</v>
      </c>
      <c r="G363" s="1">
        <v>16.41</v>
      </c>
      <c r="H363" s="1">
        <v>12.3202</v>
      </c>
      <c r="I363" s="6">
        <f t="shared" si="98"/>
        <v>0</v>
      </c>
      <c r="J363" s="21">
        <v>45425</v>
      </c>
      <c r="K363" s="1">
        <v>48.5</v>
      </c>
      <c r="L363" s="1">
        <v>35.197699999999998</v>
      </c>
      <c r="M363" s="6">
        <f t="shared" si="93"/>
        <v>1.2374054878221408E-3</v>
      </c>
      <c r="N363" s="21">
        <v>45425</v>
      </c>
      <c r="O363" s="1">
        <v>11.38</v>
      </c>
      <c r="P363" s="1">
        <v>10.624499999999999</v>
      </c>
      <c r="Q363" s="6">
        <f t="shared" si="94"/>
        <v>-1.7569903788334784E-3</v>
      </c>
      <c r="R363" s="21">
        <v>45425</v>
      </c>
      <c r="S363" s="1">
        <v>7.1</v>
      </c>
      <c r="T363" s="1">
        <v>6.6498999999999997</v>
      </c>
      <c r="U363" s="6">
        <f t="shared" si="99"/>
        <v>-1.9333431647249655E-2</v>
      </c>
      <c r="V363" s="21">
        <v>45425</v>
      </c>
      <c r="W363" s="1">
        <v>5.99</v>
      </c>
      <c r="X363" s="1">
        <v>5.3129999999999997</v>
      </c>
      <c r="Y363" s="6">
        <f t="shared" si="101"/>
        <v>0</v>
      </c>
      <c r="Z363" s="21">
        <v>45425</v>
      </c>
      <c r="AA363" s="1">
        <v>1.83</v>
      </c>
      <c r="AB363" s="1">
        <v>1.83</v>
      </c>
      <c r="AC363" s="6">
        <f t="shared" si="95"/>
        <v>-1.0810810810810811E-2</v>
      </c>
      <c r="AD363" s="21">
        <v>45425</v>
      </c>
      <c r="AE363" s="1">
        <v>9.1</v>
      </c>
      <c r="AF363" s="1">
        <v>8.4976000000000003</v>
      </c>
      <c r="AG363" s="6">
        <f t="shared" si="96"/>
        <v>-2.1840727084849743E-3</v>
      </c>
      <c r="AH363" s="21">
        <v>45425</v>
      </c>
      <c r="AI363" s="1">
        <v>8.1999999999999993</v>
      </c>
      <c r="AJ363" s="1">
        <v>7.6288</v>
      </c>
      <c r="AK363" s="6">
        <f t="shared" si="97"/>
        <v>4.9001528004637418E-3</v>
      </c>
      <c r="AL363" s="21">
        <v>45425</v>
      </c>
      <c r="AM363" s="1">
        <v>1.36</v>
      </c>
      <c r="AN363" s="1">
        <v>1.36</v>
      </c>
      <c r="AO363" s="6">
        <v>3.8167938931297662E-2</v>
      </c>
      <c r="AP363" s="21" t="s">
        <v>366</v>
      </c>
      <c r="AQ363" s="1">
        <v>9110.27</v>
      </c>
      <c r="AR363" s="6">
        <v>-2.5130150034669008E-4</v>
      </c>
    </row>
    <row r="364" spans="2:44" x14ac:dyDescent="0.35">
      <c r="B364" s="21">
        <v>45426</v>
      </c>
      <c r="C364" s="1">
        <v>0.66</v>
      </c>
      <c r="D364" s="1">
        <v>0.66</v>
      </c>
      <c r="E364" s="6">
        <f t="shared" si="100"/>
        <v>0</v>
      </c>
      <c r="F364" s="21">
        <v>45426</v>
      </c>
      <c r="G364" s="1">
        <v>16.39</v>
      </c>
      <c r="H364" s="1">
        <v>12.305199999999999</v>
      </c>
      <c r="I364" s="6">
        <f t="shared" si="98"/>
        <v>-1.2175127027158616E-3</v>
      </c>
      <c r="J364" s="21">
        <v>45426</v>
      </c>
      <c r="K364" s="1">
        <v>48.9</v>
      </c>
      <c r="L364" s="1">
        <v>35.488</v>
      </c>
      <c r="M364" s="6">
        <f t="shared" si="93"/>
        <v>8.2476980029946301E-3</v>
      </c>
      <c r="N364" s="21">
        <v>45426</v>
      </c>
      <c r="O364" s="1">
        <v>11.24</v>
      </c>
      <c r="P364" s="1">
        <v>10.4938</v>
      </c>
      <c r="Q364" s="6">
        <f t="shared" si="94"/>
        <v>-1.2301755376723511E-2</v>
      </c>
      <c r="R364" s="21">
        <v>45426</v>
      </c>
      <c r="S364" s="1">
        <v>7.09</v>
      </c>
      <c r="T364" s="1">
        <v>6.6405000000000003</v>
      </c>
      <c r="U364" s="6">
        <f t="shared" si="99"/>
        <v>-1.4135550910538974E-3</v>
      </c>
      <c r="V364" s="21">
        <v>45426</v>
      </c>
      <c r="W364" s="1">
        <v>5.99</v>
      </c>
      <c r="X364" s="1">
        <v>5.3129999999999997</v>
      </c>
      <c r="Y364" s="6">
        <f t="shared" si="101"/>
        <v>0</v>
      </c>
      <c r="Z364" s="21">
        <v>45426</v>
      </c>
      <c r="AA364" s="1">
        <v>1.84</v>
      </c>
      <c r="AB364" s="1">
        <v>1.84</v>
      </c>
      <c r="AC364" s="6">
        <f t="shared" si="95"/>
        <v>5.464480874316946E-3</v>
      </c>
      <c r="AD364" s="21">
        <v>45426</v>
      </c>
      <c r="AE364" s="1">
        <v>9.06</v>
      </c>
      <c r="AF364" s="1">
        <v>8.4602000000000004</v>
      </c>
      <c r="AG364" s="6">
        <f t="shared" si="96"/>
        <v>-4.4012427038222501E-3</v>
      </c>
      <c r="AH364" s="21">
        <v>45426</v>
      </c>
      <c r="AI364" s="1">
        <v>8.1999999999999993</v>
      </c>
      <c r="AJ364" s="1">
        <v>7.6288</v>
      </c>
      <c r="AK364" s="6">
        <f t="shared" si="97"/>
        <v>0</v>
      </c>
      <c r="AL364" s="21">
        <v>45426</v>
      </c>
      <c r="AM364" s="1">
        <v>1.3</v>
      </c>
      <c r="AN364" s="1">
        <v>1.3</v>
      </c>
      <c r="AO364" s="6">
        <v>-4.4117647058823595E-2</v>
      </c>
      <c r="AP364" s="21" t="s">
        <v>367</v>
      </c>
      <c r="AQ364" s="1">
        <v>9136.43</v>
      </c>
      <c r="AR364" s="6">
        <v>2.871484599249019E-3</v>
      </c>
    </row>
    <row r="365" spans="2:44" x14ac:dyDescent="0.35">
      <c r="B365" s="21">
        <v>45427</v>
      </c>
      <c r="C365" s="1">
        <v>0.66</v>
      </c>
      <c r="D365" s="1">
        <v>0.66</v>
      </c>
      <c r="E365" s="6">
        <f t="shared" si="100"/>
        <v>0</v>
      </c>
      <c r="F365" s="21">
        <v>45427</v>
      </c>
      <c r="G365" s="1">
        <v>16.600000000000001</v>
      </c>
      <c r="H365" s="1">
        <v>12.4628</v>
      </c>
      <c r="I365" s="6">
        <f t="shared" si="98"/>
        <v>1.2807593537691453E-2</v>
      </c>
      <c r="J365" s="21">
        <v>45427</v>
      </c>
      <c r="K365" s="1">
        <v>49</v>
      </c>
      <c r="L365" s="1">
        <v>35.560600000000001</v>
      </c>
      <c r="M365" s="6">
        <f t="shared" si="93"/>
        <v>2.045761947700564E-3</v>
      </c>
      <c r="N365" s="21">
        <v>45427</v>
      </c>
      <c r="O365" s="1">
        <v>11.35</v>
      </c>
      <c r="P365" s="1">
        <v>10.596500000000001</v>
      </c>
      <c r="Q365" s="6">
        <f t="shared" si="94"/>
        <v>9.7867312127162265E-3</v>
      </c>
      <c r="R365" s="21">
        <v>45427</v>
      </c>
      <c r="S365" s="1">
        <v>7.09</v>
      </c>
      <c r="T365" s="1">
        <v>6.6405000000000003</v>
      </c>
      <c r="U365" s="6">
        <f t="shared" si="99"/>
        <v>0</v>
      </c>
      <c r="V365" s="21">
        <v>45427</v>
      </c>
      <c r="W365" s="1">
        <v>5.86</v>
      </c>
      <c r="X365" s="1">
        <v>5.1980000000000004</v>
      </c>
      <c r="Y365" s="6">
        <f t="shared" si="101"/>
        <v>-2.1645021645021467E-2</v>
      </c>
      <c r="Z365" s="21">
        <v>45427</v>
      </c>
      <c r="AA365" s="1">
        <v>1.83</v>
      </c>
      <c r="AB365" s="1">
        <v>1.83</v>
      </c>
      <c r="AC365" s="6">
        <f t="shared" si="95"/>
        <v>-5.4347826086956763E-3</v>
      </c>
      <c r="AD365" s="21">
        <v>45427</v>
      </c>
      <c r="AE365" s="1">
        <v>9.0500000000000007</v>
      </c>
      <c r="AF365" s="1">
        <v>8.4509000000000007</v>
      </c>
      <c r="AG365" s="6">
        <f t="shared" si="96"/>
        <v>-1.0992647927944299E-3</v>
      </c>
      <c r="AH365" s="21">
        <v>45427</v>
      </c>
      <c r="AI365" s="1">
        <v>8.16</v>
      </c>
      <c r="AJ365" s="1">
        <v>7.5915999999999997</v>
      </c>
      <c r="AK365" s="6">
        <f t="shared" si="97"/>
        <v>-4.8762583892617561E-3</v>
      </c>
      <c r="AL365" s="21">
        <v>45427</v>
      </c>
      <c r="AM365" s="1">
        <v>1.27</v>
      </c>
      <c r="AN365" s="1">
        <v>1.27</v>
      </c>
      <c r="AO365" s="6">
        <v>-2.3076923076923106E-2</v>
      </c>
      <c r="AP365" s="21" t="s">
        <v>368</v>
      </c>
      <c r="AQ365" s="1">
        <v>9122.89</v>
      </c>
      <c r="AR365" s="6">
        <v>-1.481979285125723E-3</v>
      </c>
    </row>
    <row r="366" spans="2:44" x14ac:dyDescent="0.35">
      <c r="B366" s="21">
        <v>45428</v>
      </c>
      <c r="C366" s="1">
        <v>0.64</v>
      </c>
      <c r="D366" s="1">
        <v>0.64</v>
      </c>
      <c r="E366" s="6">
        <f t="shared" si="100"/>
        <v>-3.0303030303030276E-2</v>
      </c>
      <c r="F366" s="21">
        <v>45428</v>
      </c>
      <c r="G366" s="1">
        <v>16.55</v>
      </c>
      <c r="H366" s="1">
        <v>12.4253</v>
      </c>
      <c r="I366" s="6">
        <f t="shared" si="98"/>
        <v>-3.0089546490355001E-3</v>
      </c>
      <c r="J366" s="21">
        <v>45428</v>
      </c>
      <c r="K366" s="1">
        <v>49</v>
      </c>
      <c r="L366" s="1">
        <v>35.560600000000001</v>
      </c>
      <c r="M366" s="6">
        <f t="shared" si="93"/>
        <v>0</v>
      </c>
      <c r="N366" s="21">
        <v>45428</v>
      </c>
      <c r="O366" s="1">
        <v>11.23</v>
      </c>
      <c r="P366" s="1">
        <v>10.484400000000001</v>
      </c>
      <c r="Q366" s="6">
        <f t="shared" si="94"/>
        <v>-1.0578964752512632E-2</v>
      </c>
      <c r="R366" s="21">
        <v>45428</v>
      </c>
      <c r="S366" s="1">
        <v>7.25</v>
      </c>
      <c r="T366" s="1">
        <v>6.7904</v>
      </c>
      <c r="U366" s="6">
        <f t="shared" si="99"/>
        <v>2.2573601385437847E-2</v>
      </c>
      <c r="V366" s="21">
        <v>45428</v>
      </c>
      <c r="W366" s="1">
        <v>5.75</v>
      </c>
      <c r="X366" s="1">
        <v>5.0999999999999996</v>
      </c>
      <c r="Y366" s="6">
        <f t="shared" si="101"/>
        <v>-1.8853405155829339E-2</v>
      </c>
      <c r="Z366" s="21">
        <v>45428</v>
      </c>
      <c r="AA366" s="1">
        <v>1.83</v>
      </c>
      <c r="AB366" s="1">
        <v>1.83</v>
      </c>
      <c r="AC366" s="6">
        <f t="shared" si="95"/>
        <v>0</v>
      </c>
      <c r="AD366" s="21">
        <v>45428</v>
      </c>
      <c r="AE366" s="1">
        <v>9.0500000000000007</v>
      </c>
      <c r="AF366" s="1">
        <v>8.4509000000000007</v>
      </c>
      <c r="AG366" s="6">
        <f t="shared" si="96"/>
        <v>0</v>
      </c>
      <c r="AH366" s="21">
        <v>45428</v>
      </c>
      <c r="AI366" s="1">
        <v>8.15</v>
      </c>
      <c r="AJ366" s="1">
        <v>7.5823</v>
      </c>
      <c r="AK366" s="6">
        <f t="shared" si="97"/>
        <v>-1.2250382001158799E-3</v>
      </c>
      <c r="AL366" s="21">
        <v>45428</v>
      </c>
      <c r="AM366" s="1">
        <v>1.32</v>
      </c>
      <c r="AN366" s="1">
        <v>1.32</v>
      </c>
      <c r="AO366" s="6">
        <v>3.937007874015741E-2</v>
      </c>
      <c r="AP366" s="21" t="s">
        <v>369</v>
      </c>
      <c r="AQ366" s="1">
        <v>9123.06</v>
      </c>
      <c r="AR366" s="6">
        <v>1.8634445882792505E-5</v>
      </c>
    </row>
    <row r="367" spans="2:44" x14ac:dyDescent="0.35">
      <c r="B367" s="21">
        <v>45429</v>
      </c>
      <c r="C367" s="1">
        <v>0.66</v>
      </c>
      <c r="D367" s="1">
        <v>0.66</v>
      </c>
      <c r="E367" s="6">
        <f t="shared" si="100"/>
        <v>3.125E-2</v>
      </c>
      <c r="F367" s="21">
        <v>45429</v>
      </c>
      <c r="G367" s="1">
        <v>16.55</v>
      </c>
      <c r="H367" s="1">
        <v>12.4253</v>
      </c>
      <c r="I367" s="6">
        <f t="shared" si="98"/>
        <v>0</v>
      </c>
      <c r="J367" s="21">
        <v>45429</v>
      </c>
      <c r="K367" s="1">
        <v>49.5</v>
      </c>
      <c r="L367" s="1">
        <v>35.923400000000001</v>
      </c>
      <c r="M367" s="6">
        <f t="shared" si="93"/>
        <v>1.0202302548325992E-2</v>
      </c>
      <c r="N367" s="21">
        <v>45429</v>
      </c>
      <c r="O367" s="1">
        <v>11.26</v>
      </c>
      <c r="P367" s="1">
        <v>10.512499999999999</v>
      </c>
      <c r="Q367" s="6">
        <f t="shared" si="94"/>
        <v>2.680172446682505E-3</v>
      </c>
      <c r="R367" s="21">
        <v>45429</v>
      </c>
      <c r="S367" s="1">
        <v>7.22</v>
      </c>
      <c r="T367" s="1">
        <v>6.7622999999999998</v>
      </c>
      <c r="U367" s="6">
        <f t="shared" si="99"/>
        <v>-4.1381950989632932E-3</v>
      </c>
      <c r="V367" s="21">
        <v>45429</v>
      </c>
      <c r="W367" s="1">
        <v>6</v>
      </c>
      <c r="X367" s="1">
        <v>5.3220000000000001</v>
      </c>
      <c r="Y367" s="6">
        <f t="shared" si="101"/>
        <v>4.3529411764706039E-2</v>
      </c>
      <c r="Z367" s="21">
        <v>45429</v>
      </c>
      <c r="AA367" s="1">
        <v>1.88</v>
      </c>
      <c r="AB367" s="1">
        <v>1.88</v>
      </c>
      <c r="AC367" s="6">
        <f t="shared" si="95"/>
        <v>2.7322404371584508E-2</v>
      </c>
      <c r="AD367" s="21">
        <v>45429</v>
      </c>
      <c r="AE367" s="1">
        <v>9.0500000000000007</v>
      </c>
      <c r="AF367" s="1">
        <v>8.4509000000000007</v>
      </c>
      <c r="AG367" s="6">
        <f t="shared" si="96"/>
        <v>0</v>
      </c>
      <c r="AH367" s="21">
        <v>45429</v>
      </c>
      <c r="AI367" s="1">
        <v>8.1999999999999993</v>
      </c>
      <c r="AJ367" s="1">
        <v>7.6288</v>
      </c>
      <c r="AK367" s="6">
        <f t="shared" si="97"/>
        <v>6.1327037970009268E-3</v>
      </c>
      <c r="AL367" s="21">
        <v>45429</v>
      </c>
      <c r="AM367" s="1">
        <v>1.36</v>
      </c>
      <c r="AN367" s="1">
        <v>1.36</v>
      </c>
      <c r="AO367" s="6">
        <v>3.0303030303030276E-2</v>
      </c>
      <c r="AP367" s="21" t="s">
        <v>370</v>
      </c>
      <c r="AQ367" s="1">
        <v>9177.7900000000009</v>
      </c>
      <c r="AR367" s="6">
        <v>5.9990836407961545E-3</v>
      </c>
    </row>
    <row r="368" spans="2:44" x14ac:dyDescent="0.35">
      <c r="B368" s="21">
        <v>45432</v>
      </c>
      <c r="C368" s="1">
        <v>0.68</v>
      </c>
      <c r="D368" s="1">
        <v>0.68</v>
      </c>
      <c r="E368" s="6">
        <f t="shared" si="100"/>
        <v>3.0303030303030276E-2</v>
      </c>
      <c r="F368" s="21">
        <v>45432</v>
      </c>
      <c r="G368" s="1">
        <v>16.48</v>
      </c>
      <c r="H368" s="1">
        <v>12.3727</v>
      </c>
      <c r="I368" s="6">
        <f t="shared" si="98"/>
        <v>-4.2332981899833033E-3</v>
      </c>
      <c r="J368" s="21">
        <v>45432</v>
      </c>
      <c r="K368" s="1">
        <v>50.5</v>
      </c>
      <c r="L368" s="1">
        <v>36.6492</v>
      </c>
      <c r="M368" s="6">
        <f t="shared" si="93"/>
        <v>2.0204100948128412E-2</v>
      </c>
      <c r="N368" s="21">
        <v>45432</v>
      </c>
      <c r="O368" s="1">
        <v>11.2</v>
      </c>
      <c r="P368" s="1">
        <v>10.4564</v>
      </c>
      <c r="Q368" s="6">
        <f t="shared" si="94"/>
        <v>-5.3365041617121634E-3</v>
      </c>
      <c r="R368" s="21">
        <v>45432</v>
      </c>
      <c r="S368" s="1">
        <v>7.17</v>
      </c>
      <c r="T368" s="1">
        <v>6.7153999999999998</v>
      </c>
      <c r="U368" s="6">
        <f t="shared" si="99"/>
        <v>-6.935510107507814E-3</v>
      </c>
      <c r="V368" s="21">
        <v>45432</v>
      </c>
      <c r="W368" s="1">
        <v>6.03</v>
      </c>
      <c r="X368" s="1">
        <v>5.3490000000000002</v>
      </c>
      <c r="Y368" s="6">
        <f t="shared" si="101"/>
        <v>5.0732807215332354E-3</v>
      </c>
      <c r="Z368" s="21">
        <v>45432</v>
      </c>
      <c r="AA368" s="1">
        <v>1.88</v>
      </c>
      <c r="AB368" s="1">
        <v>1.88</v>
      </c>
      <c r="AC368" s="6">
        <f t="shared" si="95"/>
        <v>0</v>
      </c>
      <c r="AD368" s="21">
        <v>45432</v>
      </c>
      <c r="AE368" s="1">
        <v>9.02</v>
      </c>
      <c r="AF368" s="1">
        <v>8.4228000000000005</v>
      </c>
      <c r="AG368" s="6">
        <f t="shared" si="96"/>
        <v>-3.3250896354234394E-3</v>
      </c>
      <c r="AH368" s="21">
        <v>45432</v>
      </c>
      <c r="AI368" s="1">
        <v>8.1999999999999993</v>
      </c>
      <c r="AJ368" s="1">
        <v>7.6288</v>
      </c>
      <c r="AK368" s="6">
        <f t="shared" si="97"/>
        <v>0</v>
      </c>
      <c r="AL368" s="21">
        <v>45432</v>
      </c>
      <c r="AM368" s="1">
        <v>1.41</v>
      </c>
      <c r="AN368" s="1">
        <v>1.41</v>
      </c>
      <c r="AO368" s="6">
        <v>3.6764705882352811E-2</v>
      </c>
      <c r="AP368" s="21" t="s">
        <v>371</v>
      </c>
      <c r="AQ368" s="1">
        <v>9237.02</v>
      </c>
      <c r="AR368" s="6">
        <v>6.4536233668452958E-3</v>
      </c>
    </row>
    <row r="369" spans="2:44" x14ac:dyDescent="0.35">
      <c r="B369" s="21">
        <v>45433</v>
      </c>
      <c r="C369" s="1">
        <v>0.68</v>
      </c>
      <c r="D369" s="1">
        <v>0.68</v>
      </c>
      <c r="E369" s="6">
        <f t="shared" si="100"/>
        <v>0</v>
      </c>
      <c r="F369" s="21">
        <v>45433</v>
      </c>
      <c r="G369" s="1">
        <v>16.45</v>
      </c>
      <c r="H369" s="1">
        <v>12.350199999999999</v>
      </c>
      <c r="I369" s="6">
        <f t="shared" si="98"/>
        <v>-1.8185198057013574E-3</v>
      </c>
      <c r="J369" s="21">
        <v>45433</v>
      </c>
      <c r="K369" s="1">
        <v>51.5</v>
      </c>
      <c r="L369" s="1">
        <v>37.374899999999997</v>
      </c>
      <c r="M369" s="6">
        <f t="shared" si="93"/>
        <v>1.9801250777643054E-2</v>
      </c>
      <c r="N369" s="21">
        <v>45433</v>
      </c>
      <c r="O369" s="1">
        <v>11.2</v>
      </c>
      <c r="P369" s="1">
        <v>10.4564</v>
      </c>
      <c r="Q369" s="6">
        <f t="shared" si="94"/>
        <v>0</v>
      </c>
      <c r="R369" s="21">
        <v>45433</v>
      </c>
      <c r="S369" s="1">
        <v>7.15</v>
      </c>
      <c r="T369" s="1">
        <v>6.6966999999999999</v>
      </c>
      <c r="U369" s="6">
        <f t="shared" si="99"/>
        <v>-2.7846442505286007E-3</v>
      </c>
      <c r="V369" s="21">
        <v>45433</v>
      </c>
      <c r="W369" s="1">
        <v>6.02</v>
      </c>
      <c r="X369" s="1">
        <v>5.34</v>
      </c>
      <c r="Y369" s="6">
        <f t="shared" si="101"/>
        <v>-1.6825574873808868E-3</v>
      </c>
      <c r="Z369" s="21">
        <v>45433</v>
      </c>
      <c r="AA369" s="1">
        <v>1.86</v>
      </c>
      <c r="AB369" s="1">
        <v>1.86</v>
      </c>
      <c r="AC369" s="6">
        <f t="shared" si="95"/>
        <v>-1.0638297872340274E-2</v>
      </c>
      <c r="AD369" s="21">
        <v>45433</v>
      </c>
      <c r="AE369" s="1">
        <v>9.0500000000000007</v>
      </c>
      <c r="AF369" s="1">
        <v>8.4509000000000007</v>
      </c>
      <c r="AG369" s="6">
        <f t="shared" si="96"/>
        <v>3.3361827420810286E-3</v>
      </c>
      <c r="AH369" s="21">
        <v>45433</v>
      </c>
      <c r="AI369" s="1">
        <v>8.1999999999999993</v>
      </c>
      <c r="AJ369" s="1">
        <v>7.6288</v>
      </c>
      <c r="AK369" s="6">
        <f t="shared" si="97"/>
        <v>0</v>
      </c>
      <c r="AL369" s="21">
        <v>45433</v>
      </c>
      <c r="AM369" s="1">
        <v>1.4</v>
      </c>
      <c r="AN369" s="1">
        <v>1.4</v>
      </c>
      <c r="AO369" s="6">
        <v>-7.0921985815602939E-3</v>
      </c>
      <c r="AP369" s="21" t="s">
        <v>372</v>
      </c>
      <c r="AQ369" s="1">
        <v>9296.2800000000007</v>
      </c>
      <c r="AR369" s="6">
        <v>6.4154889780470015E-3</v>
      </c>
    </row>
    <row r="370" spans="2:44" x14ac:dyDescent="0.35">
      <c r="B370" s="21">
        <v>45434</v>
      </c>
      <c r="C370" s="1">
        <v>0.69</v>
      </c>
      <c r="D370" s="1">
        <v>0.69</v>
      </c>
      <c r="E370" s="6">
        <f t="shared" si="100"/>
        <v>1.4705882352941124E-2</v>
      </c>
      <c r="F370" s="21">
        <v>45434</v>
      </c>
      <c r="G370" s="1">
        <v>16.45</v>
      </c>
      <c r="H370" s="1">
        <v>12.350199999999999</v>
      </c>
      <c r="I370" s="6">
        <f t="shared" si="98"/>
        <v>0</v>
      </c>
      <c r="J370" s="21">
        <v>45434</v>
      </c>
      <c r="K370" s="1">
        <v>51.5</v>
      </c>
      <c r="L370" s="1">
        <v>37.374899999999997</v>
      </c>
      <c r="M370" s="6">
        <f t="shared" si="93"/>
        <v>0</v>
      </c>
      <c r="N370" s="21">
        <v>45434</v>
      </c>
      <c r="O370" s="1">
        <v>11.27</v>
      </c>
      <c r="P370" s="1">
        <v>10.521800000000001</v>
      </c>
      <c r="Q370" s="6">
        <f t="shared" si="94"/>
        <v>6.2545426724303077E-3</v>
      </c>
      <c r="R370" s="21">
        <v>45434</v>
      </c>
      <c r="S370" s="1">
        <v>7.15</v>
      </c>
      <c r="T370" s="1">
        <v>6.6966999999999999</v>
      </c>
      <c r="U370" s="6">
        <f t="shared" si="99"/>
        <v>0</v>
      </c>
      <c r="V370" s="21">
        <v>45434</v>
      </c>
      <c r="W370" s="1">
        <v>6.02</v>
      </c>
      <c r="X370" s="1">
        <v>5.34</v>
      </c>
      <c r="Y370" s="6">
        <f t="shared" si="101"/>
        <v>0</v>
      </c>
      <c r="Z370" s="21">
        <v>45434</v>
      </c>
      <c r="AA370" s="1">
        <v>1.87</v>
      </c>
      <c r="AB370" s="1">
        <v>1.87</v>
      </c>
      <c r="AC370" s="6">
        <f t="shared" si="95"/>
        <v>5.3763440860215006E-3</v>
      </c>
      <c r="AD370" s="21">
        <v>45434</v>
      </c>
      <c r="AE370" s="1">
        <v>9.0299999999999994</v>
      </c>
      <c r="AF370" s="1">
        <v>8.4321999999999999</v>
      </c>
      <c r="AG370" s="6">
        <f t="shared" si="96"/>
        <v>-2.2127820705487578E-3</v>
      </c>
      <c r="AH370" s="21">
        <v>45434</v>
      </c>
      <c r="AI370" s="1">
        <v>8.25</v>
      </c>
      <c r="AJ370" s="1">
        <v>7.6753</v>
      </c>
      <c r="AK370" s="6">
        <f t="shared" si="97"/>
        <v>6.0953229865772229E-3</v>
      </c>
      <c r="AL370" s="21">
        <v>45434</v>
      </c>
      <c r="AM370" s="1">
        <v>1.4</v>
      </c>
      <c r="AN370" s="1">
        <v>1.4</v>
      </c>
      <c r="AO370" s="6">
        <v>0</v>
      </c>
      <c r="AP370" s="21" t="s">
        <v>373</v>
      </c>
      <c r="AQ370" s="1">
        <v>9338.52</v>
      </c>
      <c r="AR370" s="6">
        <v>4.5437529850649305E-3</v>
      </c>
    </row>
    <row r="371" spans="2:44" x14ac:dyDescent="0.35">
      <c r="B371" s="21">
        <v>45435</v>
      </c>
      <c r="C371" s="1">
        <v>0.69</v>
      </c>
      <c r="D371" s="1">
        <v>0.69</v>
      </c>
      <c r="E371" s="6">
        <f t="shared" si="100"/>
        <v>0</v>
      </c>
      <c r="F371" s="21">
        <v>45435</v>
      </c>
      <c r="G371" s="1">
        <v>16.3</v>
      </c>
      <c r="H371" s="1">
        <v>12.2376</v>
      </c>
      <c r="I371" s="6">
        <f t="shared" si="98"/>
        <v>-9.1172612589268676E-3</v>
      </c>
      <c r="J371" s="21">
        <v>45435</v>
      </c>
      <c r="K371" s="1">
        <v>51.9</v>
      </c>
      <c r="L371" s="1">
        <v>37.665199999999999</v>
      </c>
      <c r="M371" s="6">
        <f t="shared" si="93"/>
        <v>7.7672448621937118E-3</v>
      </c>
      <c r="N371" s="21">
        <v>45435</v>
      </c>
      <c r="O371" s="1">
        <v>11.38</v>
      </c>
      <c r="P371" s="1">
        <v>10.624499999999999</v>
      </c>
      <c r="Q371" s="6">
        <f t="shared" si="94"/>
        <v>9.760687334866569E-3</v>
      </c>
      <c r="R371" s="21">
        <v>45435</v>
      </c>
      <c r="S371" s="1">
        <v>7.06</v>
      </c>
      <c r="T371" s="1">
        <v>6.6124000000000001</v>
      </c>
      <c r="U371" s="6">
        <f t="shared" si="99"/>
        <v>-1.2588289754655202E-2</v>
      </c>
      <c r="V371" s="21">
        <v>45435</v>
      </c>
      <c r="W371" s="1">
        <v>6</v>
      </c>
      <c r="X371" s="1">
        <v>5.3220000000000001</v>
      </c>
      <c r="Y371" s="6">
        <f t="shared" si="101"/>
        <v>-3.370786516853852E-3</v>
      </c>
      <c r="Z371" s="21">
        <v>45435</v>
      </c>
      <c r="AA371" s="1">
        <v>1.87</v>
      </c>
      <c r="AB371" s="1">
        <v>1.87</v>
      </c>
      <c r="AC371" s="6">
        <f t="shared" si="95"/>
        <v>0</v>
      </c>
      <c r="AD371" s="21">
        <v>45435</v>
      </c>
      <c r="AE371" s="1">
        <v>9.07</v>
      </c>
      <c r="AF371" s="1">
        <v>8.4695</v>
      </c>
      <c r="AG371" s="6">
        <f t="shared" si="96"/>
        <v>4.4235193662389705E-3</v>
      </c>
      <c r="AH371" s="21">
        <v>45435</v>
      </c>
      <c r="AI371" s="1">
        <v>8.25</v>
      </c>
      <c r="AJ371" s="1">
        <v>7.6753</v>
      </c>
      <c r="AK371" s="6">
        <f t="shared" si="97"/>
        <v>0</v>
      </c>
      <c r="AL371" s="21">
        <v>45435</v>
      </c>
      <c r="AM371" s="1">
        <v>1.4</v>
      </c>
      <c r="AN371" s="1">
        <v>1.4</v>
      </c>
      <c r="AO371" s="6">
        <v>0</v>
      </c>
      <c r="AP371" s="21" t="s">
        <v>374</v>
      </c>
      <c r="AQ371" s="1">
        <v>9352.0300000000007</v>
      </c>
      <c r="AR371" s="6">
        <v>1.4466960503378701E-3</v>
      </c>
    </row>
    <row r="372" spans="2:44" x14ac:dyDescent="0.35">
      <c r="B372" s="21">
        <v>45436</v>
      </c>
      <c r="C372" s="1">
        <v>0.69</v>
      </c>
      <c r="D372" s="1">
        <v>0.69</v>
      </c>
      <c r="E372" s="6">
        <f t="shared" si="100"/>
        <v>0</v>
      </c>
      <c r="F372" s="21">
        <v>45436</v>
      </c>
      <c r="G372" s="1">
        <v>16.45</v>
      </c>
      <c r="H372" s="1">
        <v>12.350199999999999</v>
      </c>
      <c r="I372" s="6">
        <f t="shared" si="98"/>
        <v>9.2011505523958981E-3</v>
      </c>
      <c r="J372" s="21">
        <v>45436</v>
      </c>
      <c r="K372" s="1">
        <v>52.98</v>
      </c>
      <c r="L372" s="1">
        <v>38.448999999999998</v>
      </c>
      <c r="M372" s="6">
        <f t="shared" si="93"/>
        <v>2.0809659845162143E-2</v>
      </c>
      <c r="N372" s="21">
        <v>45436</v>
      </c>
      <c r="O372" s="1">
        <v>11.3</v>
      </c>
      <c r="P372" s="1">
        <v>10.549799999999999</v>
      </c>
      <c r="Q372" s="6">
        <f t="shared" si="94"/>
        <v>-7.030919102075428E-3</v>
      </c>
      <c r="R372" s="21">
        <v>45436</v>
      </c>
      <c r="S372" s="1">
        <v>7.12</v>
      </c>
      <c r="T372" s="1">
        <v>6.6685999999999996</v>
      </c>
      <c r="U372" s="6">
        <f t="shared" si="99"/>
        <v>8.4991833524892257E-3</v>
      </c>
      <c r="V372" s="21">
        <v>45436</v>
      </c>
      <c r="W372" s="1">
        <v>6</v>
      </c>
      <c r="X372" s="1">
        <v>5.3220000000000001</v>
      </c>
      <c r="Y372" s="6">
        <f t="shared" si="101"/>
        <v>0</v>
      </c>
      <c r="Z372" s="21">
        <v>45436</v>
      </c>
      <c r="AA372" s="1">
        <v>1.95</v>
      </c>
      <c r="AB372" s="1">
        <v>1.95</v>
      </c>
      <c r="AC372" s="6">
        <f t="shared" si="95"/>
        <v>4.2780748663101553E-2</v>
      </c>
      <c r="AD372" s="21">
        <v>45436</v>
      </c>
      <c r="AE372" s="1">
        <v>9.0500000000000007</v>
      </c>
      <c r="AF372" s="1">
        <v>8.4509000000000007</v>
      </c>
      <c r="AG372" s="6">
        <f t="shared" si="96"/>
        <v>-2.1961154731683363E-3</v>
      </c>
      <c r="AH372" s="21">
        <v>45436</v>
      </c>
      <c r="AI372" s="1">
        <v>8.35</v>
      </c>
      <c r="AJ372" s="1">
        <v>7.7683999999999997</v>
      </c>
      <c r="AK372" s="6">
        <f t="shared" si="97"/>
        <v>1.2129819029875089E-2</v>
      </c>
      <c r="AL372" s="21">
        <v>45436</v>
      </c>
      <c r="AM372" s="1">
        <v>1.35</v>
      </c>
      <c r="AN372" s="1">
        <v>1.35</v>
      </c>
      <c r="AO372" s="6">
        <v>-3.5714285714285587E-2</v>
      </c>
      <c r="AP372" s="21" t="s">
        <v>375</v>
      </c>
      <c r="AQ372" s="1">
        <v>9373.2900000000009</v>
      </c>
      <c r="AR372" s="6">
        <v>2.2733032293522637E-3</v>
      </c>
    </row>
    <row r="373" spans="2:44" x14ac:dyDescent="0.35">
      <c r="B373" s="21">
        <v>45439</v>
      </c>
      <c r="C373" s="1">
        <v>0.66</v>
      </c>
      <c r="D373" s="1">
        <v>0.66</v>
      </c>
      <c r="E373" s="6">
        <f t="shared" si="100"/>
        <v>-4.3478260869565077E-2</v>
      </c>
      <c r="F373" s="21">
        <v>45439</v>
      </c>
      <c r="G373" s="1">
        <v>16.45</v>
      </c>
      <c r="H373" s="1">
        <v>12.350199999999999</v>
      </c>
      <c r="I373" s="6">
        <f t="shared" si="98"/>
        <v>0</v>
      </c>
      <c r="J373" s="21">
        <v>45439</v>
      </c>
      <c r="K373" s="1">
        <v>54.19</v>
      </c>
      <c r="L373" s="1">
        <v>39.327100000000002</v>
      </c>
      <c r="M373" s="6">
        <f t="shared" si="93"/>
        <v>2.2838045202736135E-2</v>
      </c>
      <c r="N373" s="21">
        <v>45439</v>
      </c>
      <c r="O373" s="1">
        <v>11.25</v>
      </c>
      <c r="P373" s="1">
        <v>10.5031</v>
      </c>
      <c r="Q373" s="6">
        <f t="shared" si="94"/>
        <v>-4.4266242014066037E-3</v>
      </c>
      <c r="R373" s="21">
        <v>45439</v>
      </c>
      <c r="S373" s="1">
        <v>7.1</v>
      </c>
      <c r="T373" s="1">
        <v>6.6498999999999997</v>
      </c>
      <c r="U373" s="6">
        <f t="shared" si="99"/>
        <v>-2.8041867858320524E-3</v>
      </c>
      <c r="V373" s="21">
        <v>45439</v>
      </c>
      <c r="W373" s="1">
        <v>5.9</v>
      </c>
      <c r="X373" s="1">
        <v>5.2329999999999997</v>
      </c>
      <c r="Y373" s="6">
        <f t="shared" si="101"/>
        <v>-1.6723036452461537E-2</v>
      </c>
      <c r="Z373" s="21">
        <v>45439</v>
      </c>
      <c r="AA373" s="1">
        <v>1.96</v>
      </c>
      <c r="AB373" s="1">
        <v>1.96</v>
      </c>
      <c r="AC373" s="6">
        <f t="shared" si="95"/>
        <v>5.12820512820511E-3</v>
      </c>
      <c r="AD373" s="21">
        <v>45439</v>
      </c>
      <c r="AE373" s="1">
        <v>9</v>
      </c>
      <c r="AF373" s="1">
        <v>8.4041999999999994</v>
      </c>
      <c r="AG373" s="6">
        <f t="shared" si="96"/>
        <v>-5.5260386467714806E-3</v>
      </c>
      <c r="AH373" s="21">
        <v>45439</v>
      </c>
      <c r="AI373" s="1">
        <v>8.35</v>
      </c>
      <c r="AJ373" s="1">
        <v>7.7683999999999997</v>
      </c>
      <c r="AK373" s="6">
        <f t="shared" si="97"/>
        <v>0</v>
      </c>
      <c r="AL373" s="21">
        <v>45439</v>
      </c>
      <c r="AM373" s="1">
        <v>1.35</v>
      </c>
      <c r="AN373" s="1">
        <v>1.35</v>
      </c>
      <c r="AO373" s="6">
        <v>0</v>
      </c>
      <c r="AP373" s="21" t="s">
        <v>376</v>
      </c>
      <c r="AQ373" s="1">
        <v>9486.33</v>
      </c>
      <c r="AR373" s="6">
        <v>1.2059799707466512E-2</v>
      </c>
    </row>
    <row r="374" spans="2:44" x14ac:dyDescent="0.35">
      <c r="B374" s="21">
        <v>45440</v>
      </c>
      <c r="C374" s="1">
        <v>0.65</v>
      </c>
      <c r="D374" s="1">
        <v>0.65</v>
      </c>
      <c r="E374" s="6">
        <f t="shared" si="100"/>
        <v>-1.5151515151515138E-2</v>
      </c>
      <c r="F374" s="21">
        <v>45440</v>
      </c>
      <c r="G374" s="1">
        <v>16.399999999999999</v>
      </c>
      <c r="H374" s="1">
        <v>12.3127</v>
      </c>
      <c r="I374" s="6">
        <f t="shared" si="98"/>
        <v>-3.0363880746869798E-3</v>
      </c>
      <c r="J374" s="21">
        <v>45440</v>
      </c>
      <c r="K374" s="1">
        <v>54</v>
      </c>
      <c r="L374" s="1">
        <v>39.1892</v>
      </c>
      <c r="M374" s="6">
        <f t="shared" si="93"/>
        <v>-3.5064878925729071E-3</v>
      </c>
      <c r="N374" s="21">
        <v>45440</v>
      </c>
      <c r="O374" s="1">
        <v>11.43</v>
      </c>
      <c r="P374" s="1">
        <v>10.671200000000001</v>
      </c>
      <c r="Q374" s="6">
        <f t="shared" si="94"/>
        <v>1.6004798583275415E-2</v>
      </c>
      <c r="R374" s="21">
        <v>45440</v>
      </c>
      <c r="S374" s="1">
        <v>6.8</v>
      </c>
      <c r="T374" s="1">
        <v>6.3689</v>
      </c>
      <c r="U374" s="6">
        <f t="shared" si="99"/>
        <v>-4.2256274530444005E-2</v>
      </c>
      <c r="V374" s="21">
        <v>45440</v>
      </c>
      <c r="W374" s="1">
        <v>5.9</v>
      </c>
      <c r="X374" s="1">
        <v>5.2329999999999997</v>
      </c>
      <c r="Y374" s="6">
        <f t="shared" si="101"/>
        <v>0</v>
      </c>
      <c r="Z374" s="21">
        <v>45440</v>
      </c>
      <c r="AA374" s="1">
        <v>1.95</v>
      </c>
      <c r="AB374" s="1">
        <v>1.95</v>
      </c>
      <c r="AC374" s="6">
        <f t="shared" si="95"/>
        <v>-5.1020408163264808E-3</v>
      </c>
      <c r="AD374" s="21">
        <v>45440</v>
      </c>
      <c r="AE374" s="1">
        <v>9.0399999999999991</v>
      </c>
      <c r="AF374" s="1">
        <v>8.4414999999999996</v>
      </c>
      <c r="AG374" s="6">
        <f t="shared" si="96"/>
        <v>4.4382570619452277E-3</v>
      </c>
      <c r="AH374" s="21">
        <v>45440</v>
      </c>
      <c r="AI374" s="1">
        <v>8.35</v>
      </c>
      <c r="AJ374" s="1">
        <v>7.7683999999999997</v>
      </c>
      <c r="AK374" s="6">
        <f t="shared" si="97"/>
        <v>0</v>
      </c>
      <c r="AL374" s="21">
        <v>45440</v>
      </c>
      <c r="AM374" s="1">
        <v>1.35</v>
      </c>
      <c r="AN374" s="1">
        <v>1.35</v>
      </c>
      <c r="AO374" s="6">
        <v>0</v>
      </c>
      <c r="AP374" s="21" t="s">
        <v>377</v>
      </c>
      <c r="AQ374" s="1">
        <v>9493.06</v>
      </c>
      <c r="AR374" s="6">
        <v>7.0944190218980019E-4</v>
      </c>
    </row>
    <row r="375" spans="2:44" x14ac:dyDescent="0.35">
      <c r="B375" s="21">
        <v>45441</v>
      </c>
      <c r="C375" s="1">
        <v>0.67</v>
      </c>
      <c r="D375" s="1">
        <v>0.67</v>
      </c>
      <c r="E375" s="6">
        <f t="shared" si="100"/>
        <v>3.0769230769230882E-2</v>
      </c>
      <c r="F375" s="21">
        <v>45441</v>
      </c>
      <c r="G375" s="1">
        <v>17</v>
      </c>
      <c r="H375" s="1">
        <v>12.7631</v>
      </c>
      <c r="I375" s="6">
        <f t="shared" si="98"/>
        <v>3.6580116465113166E-2</v>
      </c>
      <c r="J375" s="21">
        <v>45441</v>
      </c>
      <c r="K375" s="1">
        <v>53.9</v>
      </c>
      <c r="L375" s="1">
        <v>39.116599999999998</v>
      </c>
      <c r="M375" s="6">
        <f t="shared" si="93"/>
        <v>-1.8525512130893595E-3</v>
      </c>
      <c r="N375" s="21">
        <v>45441</v>
      </c>
      <c r="O375" s="1">
        <v>11.42</v>
      </c>
      <c r="P375" s="1">
        <v>10.661799999999999</v>
      </c>
      <c r="Q375" s="6">
        <f t="shared" si="94"/>
        <v>-8.8087562785832407E-4</v>
      </c>
      <c r="R375" s="21">
        <v>45441</v>
      </c>
      <c r="S375" s="1">
        <v>6.75</v>
      </c>
      <c r="T375" s="1">
        <v>6.3220999999999998</v>
      </c>
      <c r="U375" s="6">
        <f t="shared" si="99"/>
        <v>-7.3482076967765764E-3</v>
      </c>
      <c r="V375" s="21">
        <v>45441</v>
      </c>
      <c r="W375" s="1">
        <v>5.9</v>
      </c>
      <c r="X375" s="1">
        <v>5.2329999999999997</v>
      </c>
      <c r="Y375" s="6">
        <f t="shared" si="101"/>
        <v>0</v>
      </c>
      <c r="Z375" s="21">
        <v>45441</v>
      </c>
      <c r="AA375" s="1">
        <v>1.93</v>
      </c>
      <c r="AB375" s="1">
        <v>1.93</v>
      </c>
      <c r="AC375" s="6">
        <f t="shared" si="95"/>
        <v>-1.025641025641022E-2</v>
      </c>
      <c r="AD375" s="21">
        <v>45441</v>
      </c>
      <c r="AE375" s="1">
        <v>9</v>
      </c>
      <c r="AF375" s="1">
        <v>8.4041999999999994</v>
      </c>
      <c r="AG375" s="6">
        <f t="shared" si="96"/>
        <v>-4.418645975241331E-3</v>
      </c>
      <c r="AH375" s="21">
        <v>45441</v>
      </c>
      <c r="AI375" s="1">
        <v>8.35</v>
      </c>
      <c r="AJ375" s="1">
        <v>7.7683999999999997</v>
      </c>
      <c r="AK375" s="6">
        <f t="shared" si="97"/>
        <v>0</v>
      </c>
      <c r="AL375" s="21">
        <v>45441</v>
      </c>
      <c r="AM375" s="1">
        <v>1.35</v>
      </c>
      <c r="AN375" s="1">
        <v>1.35</v>
      </c>
      <c r="AO375" s="6">
        <v>0</v>
      </c>
      <c r="AP375" s="21" t="s">
        <v>378</v>
      </c>
      <c r="AQ375" s="1">
        <v>9492.36</v>
      </c>
      <c r="AR375" s="6">
        <v>-7.3738078132712381E-5</v>
      </c>
    </row>
    <row r="376" spans="2:44" x14ac:dyDescent="0.35">
      <c r="B376" s="21">
        <v>45442</v>
      </c>
      <c r="C376" s="1">
        <v>0.67</v>
      </c>
      <c r="D376" s="1">
        <v>0.67</v>
      </c>
      <c r="E376" s="6">
        <f t="shared" si="100"/>
        <v>0</v>
      </c>
      <c r="F376" s="21">
        <v>45442</v>
      </c>
      <c r="G376" s="1">
        <v>16.989999999999998</v>
      </c>
      <c r="H376" s="1">
        <v>12.755599999999999</v>
      </c>
      <c r="I376" s="6">
        <f t="shared" si="98"/>
        <v>-5.8763153152452396E-4</v>
      </c>
      <c r="J376" s="21">
        <v>45442</v>
      </c>
      <c r="K376" s="1">
        <v>53.9</v>
      </c>
      <c r="L376" s="1">
        <v>39.116599999999998</v>
      </c>
      <c r="M376" s="6">
        <f t="shared" si="93"/>
        <v>0</v>
      </c>
      <c r="N376" s="21">
        <v>45442</v>
      </c>
      <c r="O376" s="1">
        <v>11.48</v>
      </c>
      <c r="P376" s="1">
        <v>10.7178</v>
      </c>
      <c r="Q376" s="6">
        <f t="shared" si="94"/>
        <v>5.2523964058601713E-3</v>
      </c>
      <c r="R376" s="21">
        <v>45442</v>
      </c>
      <c r="S376" s="1">
        <v>6.75</v>
      </c>
      <c r="T376" s="1">
        <v>6.3220999999999998</v>
      </c>
      <c r="U376" s="6">
        <f t="shared" si="99"/>
        <v>0</v>
      </c>
      <c r="V376" s="21">
        <v>45442</v>
      </c>
      <c r="W376" s="1">
        <v>5.7</v>
      </c>
      <c r="X376" s="1">
        <v>5.056</v>
      </c>
      <c r="Y376" s="6">
        <f t="shared" si="101"/>
        <v>-3.3823810433785573E-2</v>
      </c>
      <c r="Z376" s="21">
        <v>45442</v>
      </c>
      <c r="AA376" s="1">
        <v>1.9</v>
      </c>
      <c r="AB376" s="1">
        <v>1.9</v>
      </c>
      <c r="AC376" s="6">
        <f t="shared" si="95"/>
        <v>-1.5544041450777257E-2</v>
      </c>
      <c r="AD376" s="21">
        <v>45442</v>
      </c>
      <c r="AE376" s="1">
        <v>8.91</v>
      </c>
      <c r="AF376" s="1">
        <v>8.3201000000000001</v>
      </c>
      <c r="AG376" s="6">
        <f t="shared" si="96"/>
        <v>-1.0006901311249039E-2</v>
      </c>
      <c r="AH376" s="21">
        <v>45442</v>
      </c>
      <c r="AI376" s="1">
        <v>8.31</v>
      </c>
      <c r="AJ376" s="1">
        <v>7.7312000000000003</v>
      </c>
      <c r="AK376" s="6">
        <f t="shared" si="97"/>
        <v>-4.7886308634982333E-3</v>
      </c>
      <c r="AL376" s="21">
        <v>45442</v>
      </c>
      <c r="AM376" s="1">
        <v>1.35</v>
      </c>
      <c r="AN376" s="1">
        <v>1.35</v>
      </c>
      <c r="AO376" s="6">
        <v>0</v>
      </c>
      <c r="AP376" s="21" t="s">
        <v>379</v>
      </c>
      <c r="AQ376" s="1">
        <v>9482.07</v>
      </c>
      <c r="AR376" s="6">
        <v>-1.0840296828187324E-3</v>
      </c>
    </row>
    <row r="377" spans="2:44" x14ac:dyDescent="0.35">
      <c r="B377" s="21">
        <v>45443</v>
      </c>
      <c r="C377" s="1">
        <v>0.68</v>
      </c>
      <c r="D377" s="1">
        <v>0.68</v>
      </c>
      <c r="E377" s="6">
        <f t="shared" si="100"/>
        <v>1.4925373134328401E-2</v>
      </c>
      <c r="F377" s="21">
        <v>45443</v>
      </c>
      <c r="G377" s="1">
        <v>17</v>
      </c>
      <c r="H377" s="1">
        <v>12.7631</v>
      </c>
      <c r="I377" s="6">
        <f t="shared" si="98"/>
        <v>5.879770453762756E-4</v>
      </c>
      <c r="J377" s="21">
        <v>45443</v>
      </c>
      <c r="K377" s="1">
        <v>53.49</v>
      </c>
      <c r="L377" s="1">
        <v>38.819099999999999</v>
      </c>
      <c r="M377" s="6">
        <f t="shared" si="93"/>
        <v>-7.6054667327937198E-3</v>
      </c>
      <c r="N377" s="21">
        <v>45443</v>
      </c>
      <c r="O377" s="1">
        <v>11.65</v>
      </c>
      <c r="P377" s="1">
        <v>10.8766</v>
      </c>
      <c r="Q377" s="6">
        <f t="shared" si="94"/>
        <v>1.4816473530015362E-2</v>
      </c>
      <c r="R377" s="21">
        <v>45443</v>
      </c>
      <c r="S377" s="1">
        <v>6.7</v>
      </c>
      <c r="T377" s="1">
        <v>6.2751999999999999</v>
      </c>
      <c r="U377" s="6">
        <f t="shared" si="99"/>
        <v>-7.4184210942566109E-3</v>
      </c>
      <c r="V377" s="21">
        <v>45443</v>
      </c>
      <c r="W377" s="1">
        <v>5.8</v>
      </c>
      <c r="X377" s="1">
        <v>5.1449999999999996</v>
      </c>
      <c r="Y377" s="6">
        <f t="shared" si="101"/>
        <v>1.7602848101265778E-2</v>
      </c>
      <c r="Z377" s="21">
        <v>45443</v>
      </c>
      <c r="AA377" s="1">
        <v>1.89</v>
      </c>
      <c r="AB377" s="1">
        <v>1.89</v>
      </c>
      <c r="AC377" s="6">
        <f t="shared" si="95"/>
        <v>-5.2631578947368585E-3</v>
      </c>
      <c r="AD377" s="21">
        <v>45443</v>
      </c>
      <c r="AE377" s="1">
        <v>9</v>
      </c>
      <c r="AF377" s="1">
        <v>8.4041999999999994</v>
      </c>
      <c r="AG377" s="6">
        <f t="shared" si="96"/>
        <v>1.0108051585918432E-2</v>
      </c>
      <c r="AH377" s="21">
        <v>45443</v>
      </c>
      <c r="AI377" s="1">
        <v>8.2899999999999991</v>
      </c>
      <c r="AJ377" s="1">
        <v>7.7126000000000001</v>
      </c>
      <c r="AK377" s="6">
        <f t="shared" si="97"/>
        <v>-2.4058360927152744E-3</v>
      </c>
      <c r="AL377" s="21">
        <v>45443</v>
      </c>
      <c r="AM377" s="1">
        <v>1.3</v>
      </c>
      <c r="AN377" s="1">
        <v>1.3</v>
      </c>
      <c r="AO377" s="6">
        <v>-3.703703703703709E-2</v>
      </c>
      <c r="AP377" s="21" t="s">
        <v>380</v>
      </c>
      <c r="AQ377" s="1">
        <v>9487.7900000000009</v>
      </c>
      <c r="AR377" s="6">
        <v>6.0324380646847864E-4</v>
      </c>
    </row>
    <row r="378" spans="2:44" x14ac:dyDescent="0.35">
      <c r="B378" s="21">
        <v>45446</v>
      </c>
      <c r="C378" s="1">
        <v>0.69</v>
      </c>
      <c r="D378" s="1">
        <v>0.69</v>
      </c>
      <c r="E378" s="6">
        <f t="shared" si="100"/>
        <v>1.4705882352941124E-2</v>
      </c>
      <c r="F378" s="21">
        <v>45446</v>
      </c>
      <c r="G378" s="1">
        <v>17.100000000000001</v>
      </c>
      <c r="H378" s="1">
        <v>12.838200000000001</v>
      </c>
      <c r="I378" s="6">
        <f t="shared" si="98"/>
        <v>5.8841504023317004E-3</v>
      </c>
      <c r="J378" s="21">
        <v>45446</v>
      </c>
      <c r="K378" s="1">
        <v>53.59</v>
      </c>
      <c r="L378" s="1">
        <v>38.8917</v>
      </c>
      <c r="M378" s="6">
        <f t="shared" si="93"/>
        <v>1.8702133743440097E-3</v>
      </c>
      <c r="N378" s="21">
        <v>45446</v>
      </c>
      <c r="O378" s="1">
        <v>11.6</v>
      </c>
      <c r="P378" s="1">
        <v>10.8299</v>
      </c>
      <c r="Q378" s="6">
        <f t="shared" si="94"/>
        <v>-4.2936211683798353E-3</v>
      </c>
      <c r="R378" s="21">
        <v>45446</v>
      </c>
      <c r="S378" s="1">
        <v>6.7</v>
      </c>
      <c r="T378" s="1">
        <v>6.2751999999999999</v>
      </c>
      <c r="U378" s="6">
        <f t="shared" si="99"/>
        <v>0</v>
      </c>
      <c r="V378" s="21">
        <v>45446</v>
      </c>
      <c r="W378" s="1">
        <v>5.7</v>
      </c>
      <c r="X378" s="1">
        <v>5.056</v>
      </c>
      <c r="Y378" s="6">
        <f t="shared" si="101"/>
        <v>-1.7298347910592704E-2</v>
      </c>
      <c r="Z378" s="21">
        <v>45446</v>
      </c>
      <c r="AA378" s="1">
        <v>1.89</v>
      </c>
      <c r="AB378" s="1">
        <v>1.89</v>
      </c>
      <c r="AC378" s="6">
        <f t="shared" si="95"/>
        <v>0</v>
      </c>
      <c r="AD378" s="21">
        <v>45446</v>
      </c>
      <c r="AE378" s="1">
        <v>9.0399999999999991</v>
      </c>
      <c r="AF378" s="1">
        <v>8.4414999999999996</v>
      </c>
      <c r="AG378" s="6">
        <f t="shared" si="96"/>
        <v>4.4382570619452277E-3</v>
      </c>
      <c r="AH378" s="21">
        <v>45446</v>
      </c>
      <c r="AI378" s="1">
        <v>8.2899999999999991</v>
      </c>
      <c r="AJ378" s="1">
        <v>7.7126000000000001</v>
      </c>
      <c r="AK378" s="6">
        <f t="shared" si="97"/>
        <v>0</v>
      </c>
      <c r="AL378" s="21">
        <v>45446</v>
      </c>
      <c r="AM378" s="1">
        <v>1.35</v>
      </c>
      <c r="AN378" s="1">
        <v>1.35</v>
      </c>
      <c r="AO378" s="6">
        <v>3.8461538461538547E-2</v>
      </c>
      <c r="AP378" s="21" t="s">
        <v>381</v>
      </c>
      <c r="AQ378" s="1">
        <v>9461.64</v>
      </c>
      <c r="AR378" s="6">
        <v>-2.75617398783079E-3</v>
      </c>
    </row>
    <row r="379" spans="2:44" x14ac:dyDescent="0.35">
      <c r="B379" s="21">
        <v>45447</v>
      </c>
      <c r="C379" s="1">
        <v>0.69</v>
      </c>
      <c r="D379" s="1">
        <v>0.69</v>
      </c>
      <c r="E379" s="6">
        <f t="shared" si="100"/>
        <v>0</v>
      </c>
      <c r="F379" s="21">
        <v>45447</v>
      </c>
      <c r="G379" s="1">
        <v>16.649999999999999</v>
      </c>
      <c r="H379" s="1">
        <v>12.500400000000001</v>
      </c>
      <c r="I379" s="6">
        <f t="shared" si="98"/>
        <v>-2.6312099827078494E-2</v>
      </c>
      <c r="J379" s="21">
        <v>45447</v>
      </c>
      <c r="K379" s="1">
        <v>53.59</v>
      </c>
      <c r="L379" s="1">
        <v>38.8917</v>
      </c>
      <c r="M379" s="6">
        <f t="shared" si="93"/>
        <v>0</v>
      </c>
      <c r="N379" s="21">
        <v>45447</v>
      </c>
      <c r="O379" s="1">
        <v>11.7</v>
      </c>
      <c r="P379" s="1">
        <v>10.9232</v>
      </c>
      <c r="Q379" s="6">
        <f t="shared" si="94"/>
        <v>8.6150379966574153E-3</v>
      </c>
      <c r="R379" s="21">
        <v>45447</v>
      </c>
      <c r="S379" s="1">
        <v>6.65</v>
      </c>
      <c r="T379" s="1">
        <v>6.2283999999999997</v>
      </c>
      <c r="U379" s="6">
        <f t="shared" si="99"/>
        <v>-7.4579296277409446E-3</v>
      </c>
      <c r="V379" s="21">
        <v>45447</v>
      </c>
      <c r="W379" s="1">
        <v>5.7</v>
      </c>
      <c r="X379" s="1">
        <v>5.056</v>
      </c>
      <c r="Y379" s="6">
        <f t="shared" si="101"/>
        <v>0</v>
      </c>
      <c r="Z379" s="21">
        <v>45447</v>
      </c>
      <c r="AA379" s="1">
        <v>1.84</v>
      </c>
      <c r="AB379" s="1">
        <v>1.84</v>
      </c>
      <c r="AC379" s="6">
        <f t="shared" si="95"/>
        <v>-2.6455026455026398E-2</v>
      </c>
      <c r="AD379" s="21">
        <v>45447</v>
      </c>
      <c r="AE379" s="1">
        <v>9</v>
      </c>
      <c r="AF379" s="1">
        <v>8.4041999999999994</v>
      </c>
      <c r="AG379" s="6">
        <f t="shared" si="96"/>
        <v>-4.418645975241331E-3</v>
      </c>
      <c r="AH379" s="21">
        <v>45447</v>
      </c>
      <c r="AI379" s="1">
        <v>8.1999999999999993</v>
      </c>
      <c r="AJ379" s="1">
        <v>7.6288</v>
      </c>
      <c r="AK379" s="6">
        <f t="shared" si="97"/>
        <v>-1.0865337240359985E-2</v>
      </c>
      <c r="AL379" s="21">
        <v>45447</v>
      </c>
      <c r="AM379" s="1">
        <v>1.35</v>
      </c>
      <c r="AN379" s="1">
        <v>1.35</v>
      </c>
      <c r="AO379" s="6">
        <v>0</v>
      </c>
      <c r="AP379" s="21" t="s">
        <v>382</v>
      </c>
      <c r="AQ379" s="1">
        <v>9450.5</v>
      </c>
      <c r="AR379" s="6">
        <v>-1.1773857386245812E-3</v>
      </c>
    </row>
    <row r="380" spans="2:44" x14ac:dyDescent="0.35">
      <c r="B380" s="21">
        <v>45448</v>
      </c>
      <c r="C380" s="1">
        <v>0.66</v>
      </c>
      <c r="D380" s="1">
        <v>0.66</v>
      </c>
      <c r="E380" s="6">
        <f t="shared" si="100"/>
        <v>-4.3478260869565077E-2</v>
      </c>
      <c r="F380" s="21">
        <v>45448</v>
      </c>
      <c r="G380" s="1">
        <v>17</v>
      </c>
      <c r="H380" s="1">
        <v>12.7631</v>
      </c>
      <c r="I380" s="6">
        <f t="shared" si="98"/>
        <v>2.101532750951951E-2</v>
      </c>
      <c r="J380" s="21">
        <v>45448</v>
      </c>
      <c r="K380" s="1">
        <v>54.19</v>
      </c>
      <c r="L380" s="1">
        <v>39.327100000000002</v>
      </c>
      <c r="M380" s="6">
        <f t="shared" si="93"/>
        <v>1.1195190747640194E-2</v>
      </c>
      <c r="N380" s="21">
        <v>45448</v>
      </c>
      <c r="O380" s="1">
        <v>11.65</v>
      </c>
      <c r="P380" s="1">
        <v>10.8766</v>
      </c>
      <c r="Q380" s="6">
        <f t="shared" si="94"/>
        <v>-4.2661491138127339E-3</v>
      </c>
      <c r="R380" s="21">
        <v>45448</v>
      </c>
      <c r="S380" s="1">
        <v>6.65</v>
      </c>
      <c r="T380" s="1">
        <v>6.2283999999999997</v>
      </c>
      <c r="U380" s="6">
        <f t="shared" si="99"/>
        <v>0</v>
      </c>
      <c r="V380" s="21">
        <v>45448</v>
      </c>
      <c r="W380" s="1">
        <v>5.6</v>
      </c>
      <c r="X380" s="1">
        <v>4.9669999999999996</v>
      </c>
      <c r="Y380" s="6">
        <f t="shared" si="101"/>
        <v>-1.7602848101265889E-2</v>
      </c>
      <c r="Z380" s="21">
        <v>45448</v>
      </c>
      <c r="AA380" s="1">
        <v>1.86</v>
      </c>
      <c r="AB380" s="1">
        <v>1.86</v>
      </c>
      <c r="AC380" s="6">
        <f t="shared" si="95"/>
        <v>1.0869565217391353E-2</v>
      </c>
      <c r="AD380" s="21">
        <v>45448</v>
      </c>
      <c r="AE380" s="1">
        <v>8.98</v>
      </c>
      <c r="AF380" s="1">
        <v>8.3855000000000004</v>
      </c>
      <c r="AG380" s="6">
        <f t="shared" si="96"/>
        <v>-2.2250779372217089E-3</v>
      </c>
      <c r="AH380" s="21">
        <v>45448</v>
      </c>
      <c r="AI380" s="1">
        <v>8.25</v>
      </c>
      <c r="AJ380" s="1">
        <v>7.6753</v>
      </c>
      <c r="AK380" s="6">
        <f t="shared" si="97"/>
        <v>6.0953229865772229E-3</v>
      </c>
      <c r="AL380" s="21">
        <v>45448</v>
      </c>
      <c r="AM380" s="1">
        <v>1.41</v>
      </c>
      <c r="AN380" s="1">
        <v>1.41</v>
      </c>
      <c r="AO380" s="6">
        <v>4.4444444444444287E-2</v>
      </c>
      <c r="AP380" s="21" t="s">
        <v>383</v>
      </c>
      <c r="AQ380" s="1">
        <v>9509.26</v>
      </c>
      <c r="AR380" s="6">
        <v>6.2176604412464975E-3</v>
      </c>
    </row>
    <row r="381" spans="2:44" x14ac:dyDescent="0.35">
      <c r="B381" s="21">
        <v>45449</v>
      </c>
      <c r="C381" s="1">
        <v>0.64</v>
      </c>
      <c r="D381" s="1">
        <v>0.64</v>
      </c>
      <c r="E381" s="6">
        <f t="shared" si="100"/>
        <v>-3.0303030303030276E-2</v>
      </c>
      <c r="F381" s="21">
        <v>45449</v>
      </c>
      <c r="G381" s="1">
        <v>17.100000000000001</v>
      </c>
      <c r="H381" s="1">
        <v>12.838200000000001</v>
      </c>
      <c r="I381" s="6">
        <f t="shared" si="98"/>
        <v>5.8841504023317004E-3</v>
      </c>
      <c r="J381" s="21">
        <v>45449</v>
      </c>
      <c r="K381" s="1">
        <v>54</v>
      </c>
      <c r="L381" s="1">
        <v>39.1892</v>
      </c>
      <c r="M381" s="6">
        <f t="shared" si="93"/>
        <v>-3.5064878925729071E-3</v>
      </c>
      <c r="N381" s="21">
        <v>45449</v>
      </c>
      <c r="O381" s="1">
        <v>11.68</v>
      </c>
      <c r="P381" s="1">
        <v>10.9046</v>
      </c>
      <c r="Q381" s="6">
        <f t="shared" si="94"/>
        <v>2.574333891105729E-3</v>
      </c>
      <c r="R381" s="21">
        <v>45449</v>
      </c>
      <c r="S381" s="1">
        <v>6.7</v>
      </c>
      <c r="T381" s="1">
        <v>6.2751999999999999</v>
      </c>
      <c r="U381" s="6">
        <f t="shared" si="99"/>
        <v>7.5139682743561309E-3</v>
      </c>
      <c r="V381" s="21">
        <v>45449</v>
      </c>
      <c r="W381" s="1">
        <v>5.57</v>
      </c>
      <c r="X381" s="1">
        <v>4.9409999999999998</v>
      </c>
      <c r="Y381" s="6">
        <f t="shared" si="101"/>
        <v>-5.2345480169115888E-3</v>
      </c>
      <c r="Z381" s="21">
        <v>45449</v>
      </c>
      <c r="AA381" s="1">
        <v>1.91</v>
      </c>
      <c r="AB381" s="1">
        <v>1.91</v>
      </c>
      <c r="AC381" s="6">
        <f t="shared" si="95"/>
        <v>2.6881720430107503E-2</v>
      </c>
      <c r="AD381" s="21">
        <v>45449</v>
      </c>
      <c r="AE381" s="1">
        <v>8.98</v>
      </c>
      <c r="AF381" s="1">
        <v>8.3855000000000004</v>
      </c>
      <c r="AG381" s="6">
        <f t="shared" si="96"/>
        <v>0</v>
      </c>
      <c r="AH381" s="21">
        <v>45449</v>
      </c>
      <c r="AI381" s="1">
        <v>8.31</v>
      </c>
      <c r="AJ381" s="1">
        <v>7.7312000000000003</v>
      </c>
      <c r="AK381" s="6">
        <f t="shared" si="97"/>
        <v>7.2831029406017489E-3</v>
      </c>
      <c r="AL381" s="21">
        <v>45449</v>
      </c>
      <c r="AM381" s="1">
        <v>1.45</v>
      </c>
      <c r="AN381" s="1">
        <v>1.45</v>
      </c>
      <c r="AO381" s="6">
        <v>2.8368794326241176E-2</v>
      </c>
      <c r="AP381" s="21" t="s">
        <v>384</v>
      </c>
      <c r="AQ381" s="1">
        <v>9596.42</v>
      </c>
      <c r="AR381" s="6">
        <v>9.1658025966268042E-3</v>
      </c>
    </row>
    <row r="382" spans="2:44" x14ac:dyDescent="0.35">
      <c r="B382" s="21">
        <v>45450</v>
      </c>
      <c r="C382" s="1">
        <v>0.66</v>
      </c>
      <c r="D382" s="1">
        <v>0.66</v>
      </c>
      <c r="E382" s="6">
        <f t="shared" si="100"/>
        <v>3.125E-2</v>
      </c>
      <c r="F382" s="21">
        <v>45450</v>
      </c>
      <c r="G382" s="1">
        <v>17.05</v>
      </c>
      <c r="H382" s="1">
        <v>12.800700000000001</v>
      </c>
      <c r="I382" s="6">
        <f t="shared" si="98"/>
        <v>-2.9209702294713535E-3</v>
      </c>
      <c r="J382" s="21">
        <v>45450</v>
      </c>
      <c r="K382" s="1">
        <v>53.52</v>
      </c>
      <c r="L382" s="1">
        <v>38.840899999999998</v>
      </c>
      <c r="M382" s="6">
        <f t="shared" si="93"/>
        <v>-8.8876527206476208E-3</v>
      </c>
      <c r="N382" s="21">
        <v>45450</v>
      </c>
      <c r="O382" s="1">
        <v>11.59</v>
      </c>
      <c r="P382" s="1">
        <v>10.820499999999999</v>
      </c>
      <c r="Q382" s="6">
        <f t="shared" si="94"/>
        <v>-7.71234158061751E-3</v>
      </c>
      <c r="R382" s="21">
        <v>45450</v>
      </c>
      <c r="S382" s="1">
        <v>6.7</v>
      </c>
      <c r="T382" s="1">
        <v>6.2751999999999999</v>
      </c>
      <c r="U382" s="6">
        <f t="shared" si="99"/>
        <v>0</v>
      </c>
      <c r="V382" s="21">
        <v>45450</v>
      </c>
      <c r="W382" s="1">
        <v>5.5</v>
      </c>
      <c r="X382" s="1">
        <v>4.8789999999999996</v>
      </c>
      <c r="Y382" s="6">
        <f t="shared" si="101"/>
        <v>-1.2548067192876045E-2</v>
      </c>
      <c r="Z382" s="21">
        <v>45450</v>
      </c>
      <c r="AA382" s="1">
        <v>1.86</v>
      </c>
      <c r="AB382" s="1">
        <v>1.86</v>
      </c>
      <c r="AC382" s="6">
        <f t="shared" si="95"/>
        <v>-2.617801047120405E-2</v>
      </c>
      <c r="AD382" s="21">
        <v>45450</v>
      </c>
      <c r="AE382" s="1">
        <v>8.94</v>
      </c>
      <c r="AF382" s="1">
        <v>8.3481000000000005</v>
      </c>
      <c r="AG382" s="6">
        <f t="shared" si="96"/>
        <v>-4.4600798998271074E-3</v>
      </c>
      <c r="AH382" s="21">
        <v>45450</v>
      </c>
      <c r="AI382" s="1">
        <v>8.3699999999999992</v>
      </c>
      <c r="AJ382" s="1">
        <v>7.7869999999999999</v>
      </c>
      <c r="AK382" s="6">
        <f t="shared" si="97"/>
        <v>7.2175082781456013E-3</v>
      </c>
      <c r="AL382" s="21">
        <v>45450</v>
      </c>
      <c r="AM382" s="1">
        <v>1.45</v>
      </c>
      <c r="AN382" s="1">
        <v>1.45</v>
      </c>
      <c r="AO382" s="6">
        <v>0</v>
      </c>
      <c r="AP382" s="21" t="s">
        <v>385</v>
      </c>
      <c r="AQ382" s="1">
        <v>9592.9699999999993</v>
      </c>
      <c r="AR382" s="6">
        <v>-3.5950906692294726E-4</v>
      </c>
    </row>
    <row r="383" spans="2:44" x14ac:dyDescent="0.35">
      <c r="B383" s="21">
        <v>45453</v>
      </c>
      <c r="C383" s="1">
        <v>0.68</v>
      </c>
      <c r="D383" s="1">
        <v>0.68</v>
      </c>
      <c r="E383" s="6">
        <f t="shared" si="100"/>
        <v>3.0303030303030276E-2</v>
      </c>
      <c r="F383" s="21">
        <v>45453</v>
      </c>
      <c r="G383" s="1">
        <v>16.989999999999998</v>
      </c>
      <c r="H383" s="1">
        <v>12.755599999999999</v>
      </c>
      <c r="I383" s="6">
        <f t="shared" si="98"/>
        <v>-3.5232448225488433E-3</v>
      </c>
      <c r="J383" s="21">
        <v>45453</v>
      </c>
      <c r="K383" s="1">
        <v>54.5</v>
      </c>
      <c r="L383" s="1">
        <v>39.552100000000003</v>
      </c>
      <c r="M383" s="6">
        <f t="shared" si="93"/>
        <v>1.8310595274569019E-2</v>
      </c>
      <c r="N383" s="21">
        <v>45453</v>
      </c>
      <c r="O383" s="1">
        <v>11.5</v>
      </c>
      <c r="P383" s="1">
        <v>10.736499999999999</v>
      </c>
      <c r="Q383" s="6">
        <f t="shared" si="94"/>
        <v>-7.7630423732729659E-3</v>
      </c>
      <c r="R383" s="21">
        <v>45453</v>
      </c>
      <c r="S383" s="1">
        <v>6.58</v>
      </c>
      <c r="T383" s="1">
        <v>6.1627999999999998</v>
      </c>
      <c r="U383" s="6">
        <f t="shared" si="99"/>
        <v>-1.7911779704232522E-2</v>
      </c>
      <c r="V383" s="21">
        <v>45453</v>
      </c>
      <c r="W383" s="1">
        <v>5.7</v>
      </c>
      <c r="X383" s="1">
        <v>5.056</v>
      </c>
      <c r="Y383" s="6">
        <f t="shared" si="101"/>
        <v>3.6277925804468314E-2</v>
      </c>
      <c r="Z383" s="21">
        <v>45453</v>
      </c>
      <c r="AA383" s="1">
        <v>1.87</v>
      </c>
      <c r="AB383" s="1">
        <v>1.87</v>
      </c>
      <c r="AC383" s="6">
        <f t="shared" si="95"/>
        <v>5.3763440860215006E-3</v>
      </c>
      <c r="AD383" s="21">
        <v>45453</v>
      </c>
      <c r="AE383" s="1">
        <v>8.9</v>
      </c>
      <c r="AF383" s="1">
        <v>8.3108000000000004</v>
      </c>
      <c r="AG383" s="6">
        <f t="shared" si="96"/>
        <v>-4.4680825577078087E-3</v>
      </c>
      <c r="AH383" s="21">
        <v>45453</v>
      </c>
      <c r="AI383" s="1">
        <v>8.3699999999999992</v>
      </c>
      <c r="AJ383" s="1">
        <v>7.7869999999999999</v>
      </c>
      <c r="AK383" s="6">
        <f t="shared" si="97"/>
        <v>0</v>
      </c>
      <c r="AL383" s="21">
        <v>45453</v>
      </c>
      <c r="AM383" s="1">
        <v>1.46</v>
      </c>
      <c r="AN383" s="1">
        <v>1.46</v>
      </c>
      <c r="AO383" s="6">
        <v>6.8965517241379448E-3</v>
      </c>
      <c r="AP383" s="21" t="s">
        <v>386</v>
      </c>
      <c r="AQ383" s="1">
        <v>9652.65</v>
      </c>
      <c r="AR383" s="6">
        <v>6.2212224159983176E-3</v>
      </c>
    </row>
    <row r="384" spans="2:44" x14ac:dyDescent="0.35">
      <c r="B384" s="21">
        <v>45454</v>
      </c>
      <c r="C384" s="1">
        <v>0.65</v>
      </c>
      <c r="D384" s="1">
        <v>0.65</v>
      </c>
      <c r="E384" s="6">
        <f t="shared" si="100"/>
        <v>-4.4117647058823595E-2</v>
      </c>
      <c r="F384" s="21">
        <v>45454</v>
      </c>
      <c r="G384" s="1">
        <v>16.71</v>
      </c>
      <c r="H384" s="1">
        <v>12.545400000000001</v>
      </c>
      <c r="I384" s="6">
        <f t="shared" si="98"/>
        <v>-1.6479036658408774E-2</v>
      </c>
      <c r="J384" s="21">
        <v>45454</v>
      </c>
      <c r="K384" s="1">
        <v>55.2</v>
      </c>
      <c r="L384" s="1">
        <v>40.060099999999998</v>
      </c>
      <c r="M384" s="6">
        <f t="shared" si="93"/>
        <v>1.2843818659439066E-2</v>
      </c>
      <c r="N384" s="21">
        <v>45454</v>
      </c>
      <c r="O384" s="1">
        <v>11.54</v>
      </c>
      <c r="P384" s="1">
        <v>10.773899999999999</v>
      </c>
      <c r="Q384" s="6">
        <f t="shared" si="94"/>
        <v>3.4834443254319059E-3</v>
      </c>
      <c r="R384" s="21">
        <v>45454</v>
      </c>
      <c r="S384" s="1">
        <v>6.5</v>
      </c>
      <c r="T384" s="1">
        <v>6.0879000000000003</v>
      </c>
      <c r="U384" s="6">
        <f t="shared" si="99"/>
        <v>-1.2153566560654139E-2</v>
      </c>
      <c r="V384" s="21">
        <v>45454</v>
      </c>
      <c r="W384" s="1">
        <v>5.8</v>
      </c>
      <c r="X384" s="1">
        <v>5.1449999999999996</v>
      </c>
      <c r="Y384" s="6">
        <f t="shared" si="101"/>
        <v>1.7602848101265778E-2</v>
      </c>
      <c r="Z384" s="21">
        <v>45454</v>
      </c>
      <c r="AA384" s="1">
        <v>1.86</v>
      </c>
      <c r="AB384" s="1">
        <v>1.86</v>
      </c>
      <c r="AC384" s="6">
        <f t="shared" si="95"/>
        <v>-5.3475935828877219E-3</v>
      </c>
      <c r="AD384" s="21">
        <v>45454</v>
      </c>
      <c r="AE384" s="1">
        <v>8.81</v>
      </c>
      <c r="AF384" s="1">
        <v>8.2268000000000008</v>
      </c>
      <c r="AG384" s="6">
        <f t="shared" si="96"/>
        <v>-1.0107330220917365E-2</v>
      </c>
      <c r="AH384" s="21">
        <v>45454</v>
      </c>
      <c r="AI384" s="1">
        <v>8.35</v>
      </c>
      <c r="AJ384" s="1">
        <v>7.7683999999999997</v>
      </c>
      <c r="AK384" s="6">
        <f t="shared" si="97"/>
        <v>-2.3885963785796882E-3</v>
      </c>
      <c r="AL384" s="21">
        <v>45454</v>
      </c>
      <c r="AM384" s="1">
        <v>1.46</v>
      </c>
      <c r="AN384" s="1">
        <v>1.46</v>
      </c>
      <c r="AO384" s="6">
        <v>0</v>
      </c>
      <c r="AP384" s="21" t="s">
        <v>387</v>
      </c>
      <c r="AQ384" s="1">
        <v>9666.51</v>
      </c>
      <c r="AR384" s="6">
        <v>1.4358751223757515E-3</v>
      </c>
    </row>
    <row r="385" spans="2:44" x14ac:dyDescent="0.35">
      <c r="B385" s="21">
        <v>45455</v>
      </c>
      <c r="C385" s="1">
        <v>0.64</v>
      </c>
      <c r="D385" s="1">
        <v>0.64</v>
      </c>
      <c r="E385" s="6">
        <f t="shared" si="100"/>
        <v>-1.5384615384615441E-2</v>
      </c>
      <c r="F385" s="21">
        <v>45455</v>
      </c>
      <c r="G385" s="1">
        <v>15.9</v>
      </c>
      <c r="H385" s="1">
        <v>12.725</v>
      </c>
      <c r="I385" s="6">
        <f t="shared" si="98"/>
        <v>1.4316004272482363E-2</v>
      </c>
      <c r="J385" s="21">
        <v>45455</v>
      </c>
      <c r="K385" s="1">
        <v>54.9</v>
      </c>
      <c r="L385" s="1">
        <v>39.842399999999998</v>
      </c>
      <c r="M385" s="6">
        <f t="shared" si="93"/>
        <v>-5.4343349117950135E-3</v>
      </c>
      <c r="N385" s="21">
        <v>45455</v>
      </c>
      <c r="O385" s="1">
        <v>11.57</v>
      </c>
      <c r="P385" s="1">
        <v>10.8019</v>
      </c>
      <c r="Q385" s="6">
        <f t="shared" si="94"/>
        <v>2.5988732028328076E-3</v>
      </c>
      <c r="R385" s="21">
        <v>45455</v>
      </c>
      <c r="S385" s="1">
        <v>6.5</v>
      </c>
      <c r="T385" s="1">
        <v>6.0879000000000003</v>
      </c>
      <c r="U385" s="6">
        <f t="shared" si="99"/>
        <v>0</v>
      </c>
      <c r="V385" s="21">
        <v>45455</v>
      </c>
      <c r="W385" s="1">
        <v>5.8</v>
      </c>
      <c r="X385" s="1">
        <v>5.1449999999999996</v>
      </c>
      <c r="Y385" s="6">
        <f t="shared" si="101"/>
        <v>0</v>
      </c>
      <c r="Z385" s="21">
        <v>45455</v>
      </c>
      <c r="AA385" s="1">
        <v>1.84</v>
      </c>
      <c r="AB385" s="1">
        <v>1.84</v>
      </c>
      <c r="AC385" s="6">
        <f t="shared" si="95"/>
        <v>-1.0752688172043001E-2</v>
      </c>
      <c r="AD385" s="21">
        <v>45455</v>
      </c>
      <c r="AE385" s="1">
        <v>8.76</v>
      </c>
      <c r="AF385" s="1">
        <v>8.1800999999999995</v>
      </c>
      <c r="AG385" s="6">
        <f t="shared" si="96"/>
        <v>-5.6765692614383356E-3</v>
      </c>
      <c r="AH385" s="21">
        <v>45455</v>
      </c>
      <c r="AI385" s="1">
        <v>8.2899999999999991</v>
      </c>
      <c r="AJ385" s="1">
        <v>7.7126000000000001</v>
      </c>
      <c r="AK385" s="6">
        <f t="shared" si="97"/>
        <v>-7.1829462952474055E-3</v>
      </c>
      <c r="AL385" s="21">
        <v>45455</v>
      </c>
      <c r="AM385" s="1">
        <v>1.46</v>
      </c>
      <c r="AN385" s="1">
        <v>1.46</v>
      </c>
      <c r="AO385" s="6">
        <v>0</v>
      </c>
      <c r="AP385" s="21" t="s">
        <v>388</v>
      </c>
      <c r="AQ385" s="1">
        <v>9638.02</v>
      </c>
      <c r="AR385" s="6">
        <v>-2.9472891457206218E-3</v>
      </c>
    </row>
    <row r="386" spans="2:44" x14ac:dyDescent="0.35">
      <c r="B386" s="21">
        <v>45456</v>
      </c>
      <c r="C386" s="1">
        <v>0.64</v>
      </c>
      <c r="D386" s="1">
        <v>0.64</v>
      </c>
      <c r="E386" s="6">
        <f t="shared" si="100"/>
        <v>0</v>
      </c>
      <c r="F386" s="21">
        <v>45456</v>
      </c>
      <c r="G386" s="1">
        <v>15.9</v>
      </c>
      <c r="H386" s="1">
        <v>12.725</v>
      </c>
      <c r="I386" s="6">
        <f t="shared" si="98"/>
        <v>0</v>
      </c>
      <c r="J386" s="21">
        <v>45456</v>
      </c>
      <c r="K386" s="1">
        <v>53.99</v>
      </c>
      <c r="L386" s="1">
        <v>39.182000000000002</v>
      </c>
      <c r="M386" s="6">
        <f t="shared" si="93"/>
        <v>-1.6575306708431103E-2</v>
      </c>
      <c r="N386" s="21">
        <v>45456</v>
      </c>
      <c r="O386" s="1">
        <v>11.6</v>
      </c>
      <c r="P386" s="1">
        <v>10.8299</v>
      </c>
      <c r="Q386" s="6">
        <f t="shared" si="94"/>
        <v>2.5921365685666053E-3</v>
      </c>
      <c r="R386" s="21">
        <v>45456</v>
      </c>
      <c r="S386" s="1">
        <v>6.45</v>
      </c>
      <c r="T386" s="1">
        <v>6.0411000000000001</v>
      </c>
      <c r="U386" s="6">
        <f t="shared" si="99"/>
        <v>-7.6873798846893715E-3</v>
      </c>
      <c r="V386" s="21">
        <v>45456</v>
      </c>
      <c r="W386" s="1">
        <v>5.8</v>
      </c>
      <c r="X386" s="1">
        <v>5.1449999999999996</v>
      </c>
      <c r="Y386" s="6">
        <f t="shared" si="101"/>
        <v>0</v>
      </c>
      <c r="Z386" s="21">
        <v>45456</v>
      </c>
      <c r="AA386" s="1">
        <v>1.83</v>
      </c>
      <c r="AB386" s="1">
        <v>1.83</v>
      </c>
      <c r="AC386" s="6">
        <f t="shared" si="95"/>
        <v>-5.4347826086956763E-3</v>
      </c>
      <c r="AD386" s="21">
        <v>45456</v>
      </c>
      <c r="AE386" s="1">
        <v>8.85</v>
      </c>
      <c r="AF386" s="1">
        <v>8.2640999999999991</v>
      </c>
      <c r="AG386" s="6">
        <f t="shared" si="96"/>
        <v>1.0268823119521819E-2</v>
      </c>
      <c r="AH386" s="21">
        <v>45456</v>
      </c>
      <c r="AI386" s="1">
        <v>8.2899999999999991</v>
      </c>
      <c r="AJ386" s="1">
        <v>7.7126000000000001</v>
      </c>
      <c r="AK386" s="6">
        <f t="shared" si="97"/>
        <v>0</v>
      </c>
      <c r="AL386" s="21">
        <v>45456</v>
      </c>
      <c r="AM386" s="1">
        <v>1.47</v>
      </c>
      <c r="AN386" s="1">
        <v>1.47</v>
      </c>
      <c r="AO386" s="6">
        <v>6.8493150684931781E-3</v>
      </c>
      <c r="AP386" s="21" t="s">
        <v>389</v>
      </c>
      <c r="AQ386" s="1">
        <v>9663.86</v>
      </c>
      <c r="AR386" s="6">
        <v>2.681048597118485E-3</v>
      </c>
    </row>
    <row r="387" spans="2:44" x14ac:dyDescent="0.35">
      <c r="B387" s="21">
        <v>45457</v>
      </c>
      <c r="C387" s="1">
        <v>0.65</v>
      </c>
      <c r="D387" s="1">
        <v>0.65</v>
      </c>
      <c r="E387" s="6">
        <f t="shared" si="100"/>
        <v>1.5625E-2</v>
      </c>
      <c r="F387" s="21">
        <v>45457</v>
      </c>
      <c r="G387" s="1">
        <v>15.89</v>
      </c>
      <c r="H387" s="1">
        <v>12.717000000000001</v>
      </c>
      <c r="I387" s="6">
        <f t="shared" si="98"/>
        <v>-6.2868369351665176E-4</v>
      </c>
      <c r="J387" s="21">
        <v>45457</v>
      </c>
      <c r="K387" s="1">
        <v>54.4</v>
      </c>
      <c r="L387" s="1">
        <v>39.479500000000002</v>
      </c>
      <c r="M387" s="6">
        <f t="shared" ref="M387:M450" si="102">(L387/L386)-1</f>
        <v>7.5927721913122692E-3</v>
      </c>
      <c r="N387" s="21">
        <v>45457</v>
      </c>
      <c r="O387" s="1">
        <v>11.55</v>
      </c>
      <c r="P387" s="1">
        <v>10.783200000000001</v>
      </c>
      <c r="Q387" s="6">
        <f t="shared" ref="Q387:Q450" si="103">(P387/P386)-1</f>
        <v>-4.3121358461296611E-3</v>
      </c>
      <c r="R387" s="21">
        <v>45457</v>
      </c>
      <c r="S387" s="1">
        <v>6.45</v>
      </c>
      <c r="T387" s="1">
        <v>6.0411000000000001</v>
      </c>
      <c r="U387" s="6">
        <f t="shared" si="99"/>
        <v>0</v>
      </c>
      <c r="V387" s="21">
        <v>45457</v>
      </c>
      <c r="W387" s="1">
        <v>5.8</v>
      </c>
      <c r="X387" s="1">
        <v>5.1449999999999996</v>
      </c>
      <c r="Y387" s="6">
        <f t="shared" si="101"/>
        <v>0</v>
      </c>
      <c r="Z387" s="21">
        <v>45457</v>
      </c>
      <c r="AA387" s="1">
        <v>1.84</v>
      </c>
      <c r="AB387" s="1">
        <v>1.84</v>
      </c>
      <c r="AC387" s="6">
        <f t="shared" ref="AC387:AC450" si="104">(AB387/AB386)-1</f>
        <v>5.464480874316946E-3</v>
      </c>
      <c r="AD387" s="21">
        <v>45457</v>
      </c>
      <c r="AE387" s="1">
        <v>8.9499999999999993</v>
      </c>
      <c r="AF387" s="1">
        <v>8.3574999999999999</v>
      </c>
      <c r="AG387" s="6">
        <f t="shared" ref="AG387:AG450" si="105">(AF387/AF386)-1</f>
        <v>1.1301896153241175E-2</v>
      </c>
      <c r="AH387" s="21">
        <v>45457</v>
      </c>
      <c r="AI387" s="1">
        <v>8.2899999999999991</v>
      </c>
      <c r="AJ387" s="1">
        <v>7.7126000000000001</v>
      </c>
      <c r="AK387" s="6">
        <f t="shared" ref="AK387:AK450" si="106">(AJ387/AJ386)-1</f>
        <v>0</v>
      </c>
      <c r="AL387" s="21">
        <v>45457</v>
      </c>
      <c r="AM387" s="1">
        <v>1.47</v>
      </c>
      <c r="AN387" s="1">
        <v>1.47</v>
      </c>
      <c r="AO387" s="6">
        <v>0</v>
      </c>
      <c r="AP387" s="21" t="s">
        <v>390</v>
      </c>
      <c r="AQ387" s="1">
        <v>9683.3700000000008</v>
      </c>
      <c r="AR387" s="6">
        <v>2.0188620282164393E-3</v>
      </c>
    </row>
    <row r="388" spans="2:44" x14ac:dyDescent="0.35">
      <c r="B388" s="21">
        <v>45461</v>
      </c>
      <c r="C388" s="1">
        <v>0.63</v>
      </c>
      <c r="D388" s="1">
        <v>0.63</v>
      </c>
      <c r="E388" s="6">
        <f t="shared" si="100"/>
        <v>-3.0769230769230771E-2</v>
      </c>
      <c r="F388" s="21">
        <v>45461</v>
      </c>
      <c r="G388" s="1">
        <v>15.74</v>
      </c>
      <c r="H388" s="1">
        <v>12.5969</v>
      </c>
      <c r="I388" s="6">
        <f t="shared" si="98"/>
        <v>-9.4440512699536239E-3</v>
      </c>
      <c r="J388" s="21">
        <v>45461</v>
      </c>
      <c r="K388" s="1">
        <v>54.75</v>
      </c>
      <c r="L388" s="1">
        <v>39.733499999999999</v>
      </c>
      <c r="M388" s="6">
        <f t="shared" si="102"/>
        <v>6.4337187654350814E-3</v>
      </c>
      <c r="N388" s="21">
        <v>45461</v>
      </c>
      <c r="O388" s="1">
        <v>11.49</v>
      </c>
      <c r="P388" s="1">
        <v>10.7272</v>
      </c>
      <c r="Q388" s="6">
        <f t="shared" si="103"/>
        <v>-5.1932635952223194E-3</v>
      </c>
      <c r="R388" s="21">
        <v>45461</v>
      </c>
      <c r="S388" s="1">
        <v>6.3</v>
      </c>
      <c r="T388" s="1">
        <v>5.9005999999999998</v>
      </c>
      <c r="U388" s="6">
        <f t="shared" si="99"/>
        <v>-2.3257353793183388E-2</v>
      </c>
      <c r="V388" s="21">
        <v>45461</v>
      </c>
      <c r="W388" s="1">
        <v>5.65</v>
      </c>
      <c r="X388" s="1">
        <v>5.0119999999999996</v>
      </c>
      <c r="Y388" s="6">
        <f t="shared" si="101"/>
        <v>-2.5850340136054473E-2</v>
      </c>
      <c r="Z388" s="21">
        <v>45461</v>
      </c>
      <c r="AA388" s="1">
        <v>1.88</v>
      </c>
      <c r="AB388" s="1">
        <v>1.88</v>
      </c>
      <c r="AC388" s="6">
        <f t="shared" si="104"/>
        <v>2.1739130434782483E-2</v>
      </c>
      <c r="AD388" s="21">
        <v>45461</v>
      </c>
      <c r="AE388" s="1">
        <v>8.9499999999999993</v>
      </c>
      <c r="AF388" s="1">
        <v>8.3574999999999999</v>
      </c>
      <c r="AG388" s="6">
        <f t="shared" si="105"/>
        <v>0</v>
      </c>
      <c r="AH388" s="21">
        <v>45461</v>
      </c>
      <c r="AI388" s="1">
        <v>8.35</v>
      </c>
      <c r="AJ388" s="1">
        <v>7.7683999999999997</v>
      </c>
      <c r="AK388" s="6">
        <f t="shared" si="106"/>
        <v>7.2349142960868029E-3</v>
      </c>
      <c r="AL388" s="21">
        <v>45461</v>
      </c>
      <c r="AM388" s="1">
        <v>1.47</v>
      </c>
      <c r="AN388" s="1">
        <v>1.47</v>
      </c>
      <c r="AO388" s="6">
        <v>0</v>
      </c>
      <c r="AP388" s="21" t="s">
        <v>391</v>
      </c>
      <c r="AQ388" s="1">
        <v>9758.6200000000008</v>
      </c>
      <c r="AR388" s="6">
        <v>7.7710549116680738E-3</v>
      </c>
    </row>
    <row r="389" spans="2:44" x14ac:dyDescent="0.35">
      <c r="B389" s="21">
        <v>45462</v>
      </c>
      <c r="C389" s="1">
        <v>0.63</v>
      </c>
      <c r="D389" s="1">
        <v>0.63</v>
      </c>
      <c r="E389" s="6">
        <f t="shared" si="100"/>
        <v>0</v>
      </c>
      <c r="F389" s="21">
        <v>45462</v>
      </c>
      <c r="G389" s="1">
        <v>15.25</v>
      </c>
      <c r="H389" s="1">
        <v>12.204800000000001</v>
      </c>
      <c r="I389" s="6">
        <f t="shared" si="98"/>
        <v>-3.1126705776818087E-2</v>
      </c>
      <c r="J389" s="21">
        <v>45462</v>
      </c>
      <c r="K389" s="1">
        <v>54.7</v>
      </c>
      <c r="L389" s="1">
        <v>39.697200000000002</v>
      </c>
      <c r="M389" s="6">
        <f t="shared" si="102"/>
        <v>-9.1358677186748061E-4</v>
      </c>
      <c r="N389" s="21">
        <v>45462</v>
      </c>
      <c r="O389" s="1">
        <v>11.44</v>
      </c>
      <c r="P389" s="1">
        <v>10.6805</v>
      </c>
      <c r="Q389" s="6">
        <f t="shared" si="103"/>
        <v>-4.3534193452158254E-3</v>
      </c>
      <c r="R389" s="21">
        <v>45462</v>
      </c>
      <c r="S389" s="1">
        <v>6.3</v>
      </c>
      <c r="T389" s="1">
        <v>5.9005999999999998</v>
      </c>
      <c r="U389" s="6">
        <f t="shared" si="99"/>
        <v>0</v>
      </c>
      <c r="V389" s="21">
        <v>45462</v>
      </c>
      <c r="W389" s="1">
        <v>5.5</v>
      </c>
      <c r="X389" s="1">
        <v>4.8789999999999996</v>
      </c>
      <c r="Y389" s="6">
        <f t="shared" si="101"/>
        <v>-2.6536312849162025E-2</v>
      </c>
      <c r="Z389" s="21">
        <v>45462</v>
      </c>
      <c r="AA389" s="1">
        <v>1.88</v>
      </c>
      <c r="AB389" s="1">
        <v>1.88</v>
      </c>
      <c r="AC389" s="6">
        <f t="shared" si="104"/>
        <v>0</v>
      </c>
      <c r="AD389" s="21">
        <v>45462</v>
      </c>
      <c r="AE389" s="1">
        <v>8.94</v>
      </c>
      <c r="AF389" s="1">
        <v>8.3481000000000005</v>
      </c>
      <c r="AG389" s="6">
        <f t="shared" si="105"/>
        <v>-1.1247382590486854E-3</v>
      </c>
      <c r="AH389" s="21">
        <v>45462</v>
      </c>
      <c r="AI389" s="1">
        <v>8.5299999999999994</v>
      </c>
      <c r="AJ389" s="1">
        <v>7.9358000000000004</v>
      </c>
      <c r="AK389" s="6">
        <f t="shared" si="106"/>
        <v>2.1548838885742327E-2</v>
      </c>
      <c r="AL389" s="21">
        <v>45462</v>
      </c>
      <c r="AM389" s="1">
        <v>1.47</v>
      </c>
      <c r="AN389" s="1">
        <v>1.47</v>
      </c>
      <c r="AO389" s="6">
        <v>0</v>
      </c>
      <c r="AP389" s="21" t="s">
        <v>392</v>
      </c>
      <c r="AQ389" s="1">
        <v>9801.84</v>
      </c>
      <c r="AR389" s="6">
        <v>4.4289049066363884E-3</v>
      </c>
    </row>
    <row r="390" spans="2:44" x14ac:dyDescent="0.35">
      <c r="B390" s="21">
        <v>45463</v>
      </c>
      <c r="C390" s="1">
        <v>0.63</v>
      </c>
      <c r="D390" s="1">
        <v>0.63</v>
      </c>
      <c r="E390" s="6">
        <f t="shared" si="100"/>
        <v>0</v>
      </c>
      <c r="F390" s="21">
        <v>45463</v>
      </c>
      <c r="G390" s="1">
        <v>15.1</v>
      </c>
      <c r="H390" s="1">
        <v>12.0847</v>
      </c>
      <c r="I390" s="6">
        <f t="shared" si="98"/>
        <v>-9.8403906659675355E-3</v>
      </c>
      <c r="J390" s="21">
        <v>45463</v>
      </c>
      <c r="K390" s="1">
        <v>54.1</v>
      </c>
      <c r="L390" s="1">
        <v>39.261800000000001</v>
      </c>
      <c r="M390" s="6">
        <f t="shared" si="102"/>
        <v>-1.0968027971746119E-2</v>
      </c>
      <c r="N390" s="21">
        <v>45463</v>
      </c>
      <c r="O390" s="1">
        <v>11.6</v>
      </c>
      <c r="P390" s="1">
        <v>10.8299</v>
      </c>
      <c r="Q390" s="6">
        <f t="shared" si="103"/>
        <v>1.3988109170918861E-2</v>
      </c>
      <c r="R390" s="21">
        <v>45463</v>
      </c>
      <c r="S390" s="1">
        <v>6.18</v>
      </c>
      <c r="T390" s="1">
        <v>5.7881999999999998</v>
      </c>
      <c r="U390" s="6">
        <f t="shared" si="99"/>
        <v>-1.9048910280310527E-2</v>
      </c>
      <c r="V390" s="21">
        <v>45463</v>
      </c>
      <c r="W390" s="1">
        <v>5.45</v>
      </c>
      <c r="X390" s="1">
        <v>4.8339999999999996</v>
      </c>
      <c r="Y390" s="6">
        <f t="shared" si="101"/>
        <v>-9.2232014757122061E-3</v>
      </c>
      <c r="Z390" s="21">
        <v>45463</v>
      </c>
      <c r="AA390" s="1">
        <v>1.87</v>
      </c>
      <c r="AB390" s="1">
        <v>1.87</v>
      </c>
      <c r="AC390" s="6">
        <f t="shared" si="104"/>
        <v>-5.3191489361701372E-3</v>
      </c>
      <c r="AD390" s="21">
        <v>45463</v>
      </c>
      <c r="AE390" s="1">
        <v>8.85</v>
      </c>
      <c r="AF390" s="1">
        <v>8.2640999999999991</v>
      </c>
      <c r="AG390" s="6">
        <f t="shared" si="105"/>
        <v>-1.0062169835052481E-2</v>
      </c>
      <c r="AH390" s="21">
        <v>45463</v>
      </c>
      <c r="AI390" s="1">
        <v>8.5399999999999991</v>
      </c>
      <c r="AJ390" s="1">
        <v>7.9451000000000001</v>
      </c>
      <c r="AK390" s="6">
        <f t="shared" si="106"/>
        <v>1.1719045338842715E-3</v>
      </c>
      <c r="AL390" s="21">
        <v>45463</v>
      </c>
      <c r="AM390" s="1">
        <v>1.41</v>
      </c>
      <c r="AN390" s="1">
        <v>1.41</v>
      </c>
      <c r="AO390" s="6">
        <v>-4.081632653061229E-2</v>
      </c>
      <c r="AP390" s="21" t="s">
        <v>393</v>
      </c>
      <c r="AQ390" s="1">
        <v>9724.09</v>
      </c>
      <c r="AR390" s="6">
        <v>-7.9321841613411159E-3</v>
      </c>
    </row>
    <row r="391" spans="2:44" x14ac:dyDescent="0.35">
      <c r="B391" s="21">
        <v>45464</v>
      </c>
      <c r="C391" s="1">
        <v>0.62</v>
      </c>
      <c r="D391" s="1">
        <v>0.62</v>
      </c>
      <c r="E391" s="6">
        <f t="shared" si="100"/>
        <v>-1.5873015873015928E-2</v>
      </c>
      <c r="F391" s="21">
        <v>45464</v>
      </c>
      <c r="G391" s="1">
        <v>15.05</v>
      </c>
      <c r="H391" s="1">
        <v>12.044700000000001</v>
      </c>
      <c r="I391" s="6">
        <f t="shared" ref="I391:I454" si="107">(H391/H390)-1</f>
        <v>-3.3099704585135559E-3</v>
      </c>
      <c r="J391" s="21">
        <v>45464</v>
      </c>
      <c r="K391" s="1">
        <v>54.2</v>
      </c>
      <c r="L391" s="1">
        <v>39.334400000000002</v>
      </c>
      <c r="M391" s="6">
        <f t="shared" si="102"/>
        <v>1.8491256131913936E-3</v>
      </c>
      <c r="N391" s="21">
        <v>45464</v>
      </c>
      <c r="O391" s="1">
        <v>11.43</v>
      </c>
      <c r="P391" s="1">
        <v>10.671200000000001</v>
      </c>
      <c r="Q391" s="6">
        <f t="shared" si="103"/>
        <v>-1.46538749203593E-2</v>
      </c>
      <c r="R391" s="21">
        <v>45464</v>
      </c>
      <c r="S391" s="1">
        <v>6.54</v>
      </c>
      <c r="T391" s="1">
        <v>6.1254</v>
      </c>
      <c r="U391" s="6">
        <f t="shared" si="99"/>
        <v>5.8256452783248758E-2</v>
      </c>
      <c r="V391" s="21">
        <v>45464</v>
      </c>
      <c r="W391" s="1">
        <v>5.43</v>
      </c>
      <c r="X391" s="1">
        <v>4.8170000000000002</v>
      </c>
      <c r="Y391" s="6">
        <f t="shared" si="101"/>
        <v>-3.5167563094744558E-3</v>
      </c>
      <c r="Z391" s="21">
        <v>45464</v>
      </c>
      <c r="AA391" s="1">
        <v>1.86</v>
      </c>
      <c r="AB391" s="1">
        <v>1.86</v>
      </c>
      <c r="AC391" s="6">
        <f t="shared" si="104"/>
        <v>-5.3475935828877219E-3</v>
      </c>
      <c r="AD391" s="21">
        <v>45464</v>
      </c>
      <c r="AE391" s="1">
        <v>8.91</v>
      </c>
      <c r="AF391" s="1">
        <v>8.3201000000000001</v>
      </c>
      <c r="AG391" s="6">
        <f t="shared" si="105"/>
        <v>6.7762974794594033E-3</v>
      </c>
      <c r="AH391" s="21">
        <v>45464</v>
      </c>
      <c r="AI391" s="1">
        <v>8.75</v>
      </c>
      <c r="AJ391" s="1">
        <v>8.1404999999999994</v>
      </c>
      <c r="AK391" s="6">
        <f t="shared" si="106"/>
        <v>2.4593774779423816E-2</v>
      </c>
      <c r="AL391" s="21">
        <v>45464</v>
      </c>
      <c r="AM391" s="1">
        <v>1.41</v>
      </c>
      <c r="AN391" s="1">
        <v>1.41</v>
      </c>
      <c r="AO391" s="6">
        <v>0</v>
      </c>
      <c r="AP391" s="21" t="s">
        <v>394</v>
      </c>
      <c r="AQ391" s="1">
        <v>9774.58</v>
      </c>
      <c r="AR391" s="6">
        <v>5.1922596356059891E-3</v>
      </c>
    </row>
    <row r="392" spans="2:44" x14ac:dyDescent="0.35">
      <c r="B392" s="21">
        <v>45467</v>
      </c>
      <c r="C392" s="1">
        <v>0.61</v>
      </c>
      <c r="D392" s="1">
        <v>0.61</v>
      </c>
      <c r="E392" s="6">
        <f t="shared" si="100"/>
        <v>-1.6129032258064502E-2</v>
      </c>
      <c r="F392" s="21">
        <v>45467</v>
      </c>
      <c r="G392" s="1">
        <v>15</v>
      </c>
      <c r="H392" s="1">
        <v>12.0047</v>
      </c>
      <c r="I392" s="6">
        <f t="shared" si="107"/>
        <v>-3.3209627471004755E-3</v>
      </c>
      <c r="J392" s="21">
        <v>45467</v>
      </c>
      <c r="K392" s="1">
        <v>54.9</v>
      </c>
      <c r="L392" s="1">
        <v>39.842399999999998</v>
      </c>
      <c r="M392" s="6">
        <f t="shared" si="102"/>
        <v>1.2914904002603311E-2</v>
      </c>
      <c r="N392" s="21">
        <v>45467</v>
      </c>
      <c r="O392" s="1">
        <v>11.43</v>
      </c>
      <c r="P392" s="1">
        <v>10.671200000000001</v>
      </c>
      <c r="Q392" s="6">
        <f t="shared" si="103"/>
        <v>0</v>
      </c>
      <c r="R392" s="21">
        <v>45467</v>
      </c>
      <c r="S392" s="1">
        <v>6.5</v>
      </c>
      <c r="T392" s="1">
        <v>6.0879000000000003</v>
      </c>
      <c r="U392" s="6">
        <f t="shared" si="99"/>
        <v>-6.1220491722988601E-3</v>
      </c>
      <c r="V392" s="21">
        <v>45467</v>
      </c>
      <c r="W392" s="1">
        <v>5.75</v>
      </c>
      <c r="X392" s="1">
        <v>5.0999999999999996</v>
      </c>
      <c r="Y392" s="6">
        <f t="shared" si="101"/>
        <v>5.8750259497612589E-2</v>
      </c>
      <c r="Z392" s="21">
        <v>45467</v>
      </c>
      <c r="AA392" s="1">
        <v>1.84</v>
      </c>
      <c r="AB392" s="1">
        <v>1.84</v>
      </c>
      <c r="AC392" s="6">
        <f t="shared" si="104"/>
        <v>-1.0752688172043001E-2</v>
      </c>
      <c r="AD392" s="21">
        <v>45467</v>
      </c>
      <c r="AE392" s="1">
        <v>8.99</v>
      </c>
      <c r="AF392" s="1">
        <v>8.3948</v>
      </c>
      <c r="AG392" s="6">
        <f t="shared" si="105"/>
        <v>8.9782574728669573E-3</v>
      </c>
      <c r="AH392" s="21">
        <v>45467</v>
      </c>
      <c r="AI392" s="1">
        <v>8.6999999999999993</v>
      </c>
      <c r="AJ392" s="1">
        <v>8.0939999999999994</v>
      </c>
      <c r="AK392" s="6">
        <f t="shared" si="106"/>
        <v>-5.7121798415330494E-3</v>
      </c>
      <c r="AL392" s="21">
        <v>45467</v>
      </c>
      <c r="AM392" s="1">
        <v>1.41</v>
      </c>
      <c r="AN392" s="1">
        <v>1.41</v>
      </c>
      <c r="AO392" s="6">
        <v>0</v>
      </c>
      <c r="AP392" s="21" t="s">
        <v>395</v>
      </c>
      <c r="AQ392" s="1">
        <v>9741.7000000000007</v>
      </c>
      <c r="AR392" s="6">
        <v>-3.3638273971873245E-3</v>
      </c>
    </row>
    <row r="393" spans="2:44" x14ac:dyDescent="0.35">
      <c r="B393" s="21">
        <v>45468</v>
      </c>
      <c r="C393" s="1">
        <v>0.59</v>
      </c>
      <c r="D393" s="1">
        <v>0.59</v>
      </c>
      <c r="E393" s="6">
        <f t="shared" si="100"/>
        <v>-3.2786885245901676E-2</v>
      </c>
      <c r="F393" s="21">
        <v>45468</v>
      </c>
      <c r="G393" s="1">
        <v>14.89</v>
      </c>
      <c r="H393" s="1">
        <v>11.916700000000001</v>
      </c>
      <c r="I393" s="6">
        <f t="shared" si="107"/>
        <v>-7.3304622356242799E-3</v>
      </c>
      <c r="J393" s="21">
        <v>45468</v>
      </c>
      <c r="K393" s="1">
        <v>54.2</v>
      </c>
      <c r="L393" s="1">
        <v>39.334400000000002</v>
      </c>
      <c r="M393" s="6">
        <f t="shared" si="102"/>
        <v>-1.275023592956237E-2</v>
      </c>
      <c r="N393" s="21">
        <v>45468</v>
      </c>
      <c r="O393" s="1">
        <v>11.38</v>
      </c>
      <c r="P393" s="1">
        <v>10.624499999999999</v>
      </c>
      <c r="Q393" s="6">
        <f t="shared" si="103"/>
        <v>-4.376265087338016E-3</v>
      </c>
      <c r="R393" s="21">
        <v>45468</v>
      </c>
      <c r="S393" s="1">
        <v>6.4</v>
      </c>
      <c r="T393" s="1">
        <v>5.9942000000000002</v>
      </c>
      <c r="U393" s="6">
        <f t="shared" ref="U393:U456" si="108">(T393/T392)-1</f>
        <v>-1.5391185794773277E-2</v>
      </c>
      <c r="V393" s="21">
        <v>45468</v>
      </c>
      <c r="W393" s="1">
        <v>5.75</v>
      </c>
      <c r="X393" s="1">
        <v>5.0999999999999996</v>
      </c>
      <c r="Y393" s="6">
        <f t="shared" si="101"/>
        <v>0</v>
      </c>
      <c r="Z393" s="21">
        <v>45468</v>
      </c>
      <c r="AA393" s="1">
        <v>1.9</v>
      </c>
      <c r="AB393" s="1">
        <v>1.9</v>
      </c>
      <c r="AC393" s="6">
        <f t="shared" si="104"/>
        <v>3.2608695652173836E-2</v>
      </c>
      <c r="AD393" s="21">
        <v>45468</v>
      </c>
      <c r="AE393" s="1">
        <v>8.98</v>
      </c>
      <c r="AF393" s="1">
        <v>8.3855000000000004</v>
      </c>
      <c r="AG393" s="6">
        <f t="shared" si="105"/>
        <v>-1.1078286558344752E-3</v>
      </c>
      <c r="AH393" s="21">
        <v>45468</v>
      </c>
      <c r="AI393" s="1">
        <v>8.6999999999999993</v>
      </c>
      <c r="AJ393" s="1">
        <v>8.0939999999999994</v>
      </c>
      <c r="AK393" s="6">
        <f t="shared" si="106"/>
        <v>0</v>
      </c>
      <c r="AL393" s="21">
        <v>45468</v>
      </c>
      <c r="AM393" s="1">
        <v>1.46</v>
      </c>
      <c r="AN393" s="1">
        <v>1.46</v>
      </c>
      <c r="AO393" s="6">
        <v>3.5460992907801359E-2</v>
      </c>
      <c r="AP393" s="21" t="s">
        <v>396</v>
      </c>
      <c r="AQ393" s="1">
        <v>9761.76</v>
      </c>
      <c r="AR393" s="6">
        <v>2.059188847942206E-3</v>
      </c>
    </row>
    <row r="394" spans="2:44" x14ac:dyDescent="0.35">
      <c r="B394" s="21">
        <v>45469</v>
      </c>
      <c r="C394" s="1">
        <v>0.6</v>
      </c>
      <c r="D394" s="1">
        <v>0.6</v>
      </c>
      <c r="E394" s="6">
        <f t="shared" si="100"/>
        <v>1.6949152542372836E-2</v>
      </c>
      <c r="F394" s="21">
        <v>45469</v>
      </c>
      <c r="G394" s="1">
        <v>14.25</v>
      </c>
      <c r="H394" s="1">
        <v>11.404500000000001</v>
      </c>
      <c r="I394" s="6">
        <f t="shared" si="107"/>
        <v>-4.298169795329243E-2</v>
      </c>
      <c r="J394" s="21">
        <v>45469</v>
      </c>
      <c r="K394" s="1">
        <v>54.19</v>
      </c>
      <c r="L394" s="1">
        <v>39.327100000000002</v>
      </c>
      <c r="M394" s="6">
        <f t="shared" si="102"/>
        <v>-1.8558818743896754E-4</v>
      </c>
      <c r="N394" s="21">
        <v>45469</v>
      </c>
      <c r="O394" s="1">
        <v>11.38</v>
      </c>
      <c r="P394" s="1">
        <v>10.624499999999999</v>
      </c>
      <c r="Q394" s="6">
        <f t="shared" si="103"/>
        <v>0</v>
      </c>
      <c r="R394" s="21">
        <v>45469</v>
      </c>
      <c r="S394" s="1">
        <v>6.49</v>
      </c>
      <c r="T394" s="1">
        <v>6.0785</v>
      </c>
      <c r="U394" s="6">
        <f t="shared" si="108"/>
        <v>1.4063594808314761E-2</v>
      </c>
      <c r="V394" s="21">
        <v>45469</v>
      </c>
      <c r="W394" s="1">
        <v>5.68</v>
      </c>
      <c r="X394" s="1">
        <v>5.0380000000000003</v>
      </c>
      <c r="Y394" s="6">
        <f t="shared" si="101"/>
        <v>-1.2156862745097974E-2</v>
      </c>
      <c r="Z394" s="21">
        <v>45469</v>
      </c>
      <c r="AA394" s="1">
        <v>1.87</v>
      </c>
      <c r="AB394" s="1">
        <v>1.87</v>
      </c>
      <c r="AC394" s="6">
        <f t="shared" si="104"/>
        <v>-1.5789473684210464E-2</v>
      </c>
      <c r="AD394" s="21">
        <v>45469</v>
      </c>
      <c r="AE394" s="1">
        <v>9.11</v>
      </c>
      <c r="AF394" s="1">
        <v>8.5068999999999999</v>
      </c>
      <c r="AG394" s="6">
        <f t="shared" si="105"/>
        <v>1.4477371653449422E-2</v>
      </c>
      <c r="AH394" s="21">
        <v>45469</v>
      </c>
      <c r="AI394" s="1">
        <v>8.6</v>
      </c>
      <c r="AJ394" s="1">
        <v>8.0009999999999994</v>
      </c>
      <c r="AK394" s="6">
        <f t="shared" si="106"/>
        <v>-1.1489992587101594E-2</v>
      </c>
      <c r="AL394" s="21">
        <v>45469</v>
      </c>
      <c r="AM394" s="1">
        <v>1.46</v>
      </c>
      <c r="AN394" s="1">
        <v>1.46</v>
      </c>
      <c r="AO394" s="6">
        <v>0</v>
      </c>
      <c r="AP394" s="21" t="s">
        <v>397</v>
      </c>
      <c r="AQ394" s="1">
        <v>9754.66</v>
      </c>
      <c r="AR394" s="6">
        <v>-7.2732785891072016E-4</v>
      </c>
    </row>
    <row r="395" spans="2:44" x14ac:dyDescent="0.35">
      <c r="B395" s="21">
        <v>45470</v>
      </c>
      <c r="C395" s="1">
        <v>0.59</v>
      </c>
      <c r="D395" s="1">
        <v>0.59</v>
      </c>
      <c r="E395" s="6">
        <f t="shared" si="100"/>
        <v>-1.6666666666666718E-2</v>
      </c>
      <c r="F395" s="21">
        <v>45470</v>
      </c>
      <c r="G395" s="1">
        <v>14.7</v>
      </c>
      <c r="H395" s="1">
        <v>11.7646</v>
      </c>
      <c r="I395" s="6">
        <f t="shared" si="107"/>
        <v>3.1575255381647516E-2</v>
      </c>
      <c r="J395" s="21">
        <v>45470</v>
      </c>
      <c r="K395" s="1">
        <v>54.59</v>
      </c>
      <c r="L395" s="1">
        <v>39.617400000000004</v>
      </c>
      <c r="M395" s="6">
        <f t="shared" si="102"/>
        <v>7.3816782829143612E-3</v>
      </c>
      <c r="N395" s="21">
        <v>45470</v>
      </c>
      <c r="O395" s="1">
        <v>11.38</v>
      </c>
      <c r="P395" s="1">
        <v>10.624499999999999</v>
      </c>
      <c r="Q395" s="6">
        <f t="shared" si="103"/>
        <v>0</v>
      </c>
      <c r="R395" s="21">
        <v>45470</v>
      </c>
      <c r="S395" s="1">
        <v>6.4</v>
      </c>
      <c r="T395" s="1">
        <v>5.9942000000000002</v>
      </c>
      <c r="U395" s="6">
        <f t="shared" si="108"/>
        <v>-1.3868553096981096E-2</v>
      </c>
      <c r="V395" s="21">
        <v>45470</v>
      </c>
      <c r="W395" s="1">
        <v>5.51</v>
      </c>
      <c r="X395" s="1">
        <v>4.8869999999999996</v>
      </c>
      <c r="Y395" s="6">
        <f t="shared" si="101"/>
        <v>-2.9972211194918774E-2</v>
      </c>
      <c r="Z395" s="21">
        <v>45470</v>
      </c>
      <c r="AA395" s="1">
        <v>1.89</v>
      </c>
      <c r="AB395" s="1">
        <v>1.89</v>
      </c>
      <c r="AC395" s="6">
        <f t="shared" si="104"/>
        <v>1.0695187165775222E-2</v>
      </c>
      <c r="AD395" s="21">
        <v>45470</v>
      </c>
      <c r="AE395" s="1">
        <v>9.1300000000000008</v>
      </c>
      <c r="AF395" s="1">
        <v>8.5256000000000007</v>
      </c>
      <c r="AG395" s="6">
        <f t="shared" si="105"/>
        <v>2.1982155661874891E-3</v>
      </c>
      <c r="AH395" s="21">
        <v>45470</v>
      </c>
      <c r="AI395" s="1">
        <v>8.67</v>
      </c>
      <c r="AJ395" s="1">
        <v>8.0661000000000005</v>
      </c>
      <c r="AK395" s="6">
        <f t="shared" si="106"/>
        <v>8.1364829396326499E-3</v>
      </c>
      <c r="AL395" s="21">
        <v>45470</v>
      </c>
      <c r="AM395" s="1">
        <v>1.46</v>
      </c>
      <c r="AN395" s="1">
        <v>1.46</v>
      </c>
      <c r="AO395" s="6">
        <v>0</v>
      </c>
      <c r="AP395" s="21" t="s">
        <v>398</v>
      </c>
      <c r="AQ395" s="1">
        <v>9740.5400000000009</v>
      </c>
      <c r="AR395" s="6">
        <v>-1.447513291083391E-3</v>
      </c>
    </row>
    <row r="396" spans="2:44" x14ac:dyDescent="0.35">
      <c r="B396" s="21">
        <v>45471</v>
      </c>
      <c r="C396" s="1">
        <v>0.61</v>
      </c>
      <c r="D396" s="1">
        <v>0.61</v>
      </c>
      <c r="E396" s="6">
        <f t="shared" si="100"/>
        <v>3.3898305084745894E-2</v>
      </c>
      <c r="F396" s="21">
        <v>45471</v>
      </c>
      <c r="G396" s="1">
        <v>15.16</v>
      </c>
      <c r="H396" s="1">
        <v>12.1327</v>
      </c>
      <c r="I396" s="6">
        <f t="shared" si="107"/>
        <v>3.1288781599034365E-2</v>
      </c>
      <c r="J396" s="21">
        <v>45471</v>
      </c>
      <c r="K396" s="1">
        <v>54.5</v>
      </c>
      <c r="L396" s="1">
        <v>39.552100000000003</v>
      </c>
      <c r="M396" s="6">
        <f t="shared" si="102"/>
        <v>-1.6482656610479207E-3</v>
      </c>
      <c r="N396" s="21">
        <v>45471</v>
      </c>
      <c r="O396" s="1">
        <v>11.3</v>
      </c>
      <c r="P396" s="1">
        <v>10.549799999999999</v>
      </c>
      <c r="Q396" s="6">
        <f t="shared" si="103"/>
        <v>-7.030919102075428E-3</v>
      </c>
      <c r="R396" s="21">
        <v>45471</v>
      </c>
      <c r="S396" s="1">
        <v>6.75</v>
      </c>
      <c r="T396" s="1">
        <v>6.3220999999999998</v>
      </c>
      <c r="U396" s="6">
        <f t="shared" si="108"/>
        <v>5.4702879450134967E-2</v>
      </c>
      <c r="V396" s="21">
        <v>45471</v>
      </c>
      <c r="W396" s="1">
        <v>5.4</v>
      </c>
      <c r="X396" s="1">
        <v>4.79</v>
      </c>
      <c r="Y396" s="6">
        <f t="shared" si="101"/>
        <v>-1.9848577859627459E-2</v>
      </c>
      <c r="Z396" s="21">
        <v>45471</v>
      </c>
      <c r="AA396" s="1">
        <v>1.92</v>
      </c>
      <c r="AB396" s="1">
        <v>1.92</v>
      </c>
      <c r="AC396" s="6">
        <f t="shared" si="104"/>
        <v>1.5873015873015817E-2</v>
      </c>
      <c r="AD396" s="21">
        <v>45471</v>
      </c>
      <c r="AE396" s="1">
        <v>9.09</v>
      </c>
      <c r="AF396" s="1">
        <v>8.8382000000000005</v>
      </c>
      <c r="AG396" s="6">
        <f t="shared" si="105"/>
        <v>3.6666041099746582E-2</v>
      </c>
      <c r="AH396" s="21">
        <v>45471</v>
      </c>
      <c r="AI396" s="1">
        <v>8.83</v>
      </c>
      <c r="AJ396" s="1">
        <v>8.2149000000000001</v>
      </c>
      <c r="AK396" s="6">
        <f t="shared" si="106"/>
        <v>1.8447576895897599E-2</v>
      </c>
      <c r="AL396" s="21">
        <v>45471</v>
      </c>
      <c r="AM396" s="1">
        <v>1.47</v>
      </c>
      <c r="AN396" s="1">
        <v>1.47</v>
      </c>
      <c r="AO396" s="6">
        <v>6.8493150684931781E-3</v>
      </c>
      <c r="AP396" s="21" t="s">
        <v>399</v>
      </c>
      <c r="AQ396" s="1">
        <v>9726.08</v>
      </c>
      <c r="AR396" s="6">
        <v>-1.4845172854893729E-3</v>
      </c>
    </row>
    <row r="397" spans="2:44" x14ac:dyDescent="0.35">
      <c r="B397" s="21">
        <v>45474</v>
      </c>
      <c r="C397" s="1">
        <v>0.61</v>
      </c>
      <c r="D397" s="1">
        <v>0.61</v>
      </c>
      <c r="E397" s="6">
        <f t="shared" si="100"/>
        <v>0</v>
      </c>
      <c r="F397" s="21">
        <v>45474</v>
      </c>
      <c r="G397" s="1">
        <v>15.16</v>
      </c>
      <c r="H397" s="1">
        <v>12.1327</v>
      </c>
      <c r="I397" s="6">
        <f t="shared" si="107"/>
        <v>0</v>
      </c>
      <c r="J397" s="21">
        <v>45474</v>
      </c>
      <c r="K397" s="1">
        <v>53.8</v>
      </c>
      <c r="L397" s="1">
        <v>39.0441</v>
      </c>
      <c r="M397" s="6">
        <f t="shared" si="102"/>
        <v>-1.2843818659439177E-2</v>
      </c>
      <c r="N397" s="21">
        <v>45474</v>
      </c>
      <c r="O397" s="1">
        <v>11.4</v>
      </c>
      <c r="P397" s="1">
        <v>10.6432</v>
      </c>
      <c r="Q397" s="6">
        <f t="shared" si="103"/>
        <v>8.8532484028134295E-3</v>
      </c>
      <c r="R397" s="21">
        <v>45474</v>
      </c>
      <c r="S397" s="1">
        <v>6.7</v>
      </c>
      <c r="T397" s="1">
        <v>6.2751999999999999</v>
      </c>
      <c r="U397" s="6">
        <f t="shared" si="108"/>
        <v>-7.4184210942566109E-3</v>
      </c>
      <c r="V397" s="21">
        <v>45474</v>
      </c>
      <c r="W397" s="1">
        <v>5.4</v>
      </c>
      <c r="X397" s="1">
        <v>4.79</v>
      </c>
      <c r="Y397" s="6">
        <f t="shared" si="101"/>
        <v>0</v>
      </c>
      <c r="Z397" s="21">
        <v>45474</v>
      </c>
      <c r="AA397" s="1">
        <v>1.92</v>
      </c>
      <c r="AB397" s="1">
        <v>1.92</v>
      </c>
      <c r="AC397" s="6">
        <f t="shared" si="104"/>
        <v>0</v>
      </c>
      <c r="AD397" s="21">
        <v>45474</v>
      </c>
      <c r="AE397" s="1">
        <v>9.09</v>
      </c>
      <c r="AF397" s="1">
        <v>8.8382000000000005</v>
      </c>
      <c r="AG397" s="6">
        <f t="shared" si="105"/>
        <v>0</v>
      </c>
      <c r="AH397" s="21">
        <v>45474</v>
      </c>
      <c r="AI397" s="1">
        <v>8.86</v>
      </c>
      <c r="AJ397" s="1">
        <v>8.2429000000000006</v>
      </c>
      <c r="AK397" s="6">
        <f t="shared" si="106"/>
        <v>3.4084407600822875E-3</v>
      </c>
      <c r="AL397" s="21">
        <v>45474</v>
      </c>
      <c r="AM397" s="1">
        <v>1.47</v>
      </c>
      <c r="AN397" s="1">
        <v>1.47</v>
      </c>
      <c r="AO397" s="6">
        <v>0</v>
      </c>
      <c r="AP397" s="21" t="s">
        <v>400</v>
      </c>
      <c r="AQ397" s="1">
        <v>9655.59</v>
      </c>
      <c r="AR397" s="6">
        <v>-7.2475241824043746E-3</v>
      </c>
    </row>
    <row r="398" spans="2:44" x14ac:dyDescent="0.35">
      <c r="B398" s="21">
        <v>45475</v>
      </c>
      <c r="C398" s="1">
        <v>0.61</v>
      </c>
      <c r="D398" s="1">
        <v>0.61</v>
      </c>
      <c r="E398" s="6">
        <f t="shared" si="100"/>
        <v>0</v>
      </c>
      <c r="F398" s="21">
        <v>45475</v>
      </c>
      <c r="G398" s="1">
        <v>15.1</v>
      </c>
      <c r="H398" s="1">
        <v>12.0847</v>
      </c>
      <c r="I398" s="6">
        <f t="shared" si="107"/>
        <v>-3.9562504636231344E-3</v>
      </c>
      <c r="J398" s="21">
        <v>45475</v>
      </c>
      <c r="K398" s="1">
        <v>54</v>
      </c>
      <c r="L398" s="1">
        <v>39.1892</v>
      </c>
      <c r="M398" s="6">
        <f t="shared" si="102"/>
        <v>3.7163105309123701E-3</v>
      </c>
      <c r="N398" s="21">
        <v>45475</v>
      </c>
      <c r="O398" s="1">
        <v>11.39</v>
      </c>
      <c r="P398" s="1">
        <v>10.633800000000001</v>
      </c>
      <c r="Q398" s="6">
        <f t="shared" si="103"/>
        <v>-8.8319302465422744E-4</v>
      </c>
      <c r="R398" s="21">
        <v>45475</v>
      </c>
      <c r="S398" s="1">
        <v>6.7</v>
      </c>
      <c r="T398" s="1">
        <v>6.2751999999999999</v>
      </c>
      <c r="U398" s="6">
        <f t="shared" si="108"/>
        <v>0</v>
      </c>
      <c r="V398" s="21">
        <v>45475</v>
      </c>
      <c r="W398" s="1">
        <v>5.4</v>
      </c>
      <c r="X398" s="1">
        <v>4.79</v>
      </c>
      <c r="Y398" s="6">
        <f t="shared" si="101"/>
        <v>0</v>
      </c>
      <c r="Z398" s="21">
        <v>45475</v>
      </c>
      <c r="AA398" s="1">
        <v>1.91</v>
      </c>
      <c r="AB398" s="1">
        <v>1.91</v>
      </c>
      <c r="AC398" s="6">
        <f t="shared" si="104"/>
        <v>-5.2083333333333703E-3</v>
      </c>
      <c r="AD398" s="21">
        <v>45475</v>
      </c>
      <c r="AE398" s="1">
        <v>9.0299999999999994</v>
      </c>
      <c r="AF398" s="1">
        <v>8.7798999999999996</v>
      </c>
      <c r="AG398" s="6">
        <f t="shared" si="105"/>
        <v>-6.5963657758367766E-3</v>
      </c>
      <c r="AH398" s="21">
        <v>45475</v>
      </c>
      <c r="AI398" s="1">
        <v>9</v>
      </c>
      <c r="AJ398" s="1">
        <v>8.3731000000000009</v>
      </c>
      <c r="AK398" s="6">
        <f t="shared" si="106"/>
        <v>1.5795411808950721E-2</v>
      </c>
      <c r="AL398" s="21">
        <v>45475</v>
      </c>
      <c r="AM398" s="1">
        <v>1.51</v>
      </c>
      <c r="AN398" s="1">
        <v>1.51</v>
      </c>
      <c r="AO398" s="6">
        <v>2.7210884353741527E-2</v>
      </c>
      <c r="AP398" s="21" t="s">
        <v>401</v>
      </c>
      <c r="AQ398" s="1">
        <v>9643.58</v>
      </c>
      <c r="AR398" s="6">
        <v>-1.24383906110348E-3</v>
      </c>
    </row>
    <row r="399" spans="2:44" x14ac:dyDescent="0.35">
      <c r="B399" s="21">
        <v>45476</v>
      </c>
      <c r="C399" s="1">
        <v>0.61</v>
      </c>
      <c r="D399" s="1">
        <v>0.61</v>
      </c>
      <c r="E399" s="6">
        <f t="shared" si="100"/>
        <v>0</v>
      </c>
      <c r="F399" s="21">
        <v>45476</v>
      </c>
      <c r="G399" s="1">
        <v>15.69</v>
      </c>
      <c r="H399" s="1">
        <v>12.556900000000001</v>
      </c>
      <c r="I399" s="6">
        <f t="shared" si="107"/>
        <v>3.9074201262753849E-2</v>
      </c>
      <c r="J399" s="21">
        <v>45476</v>
      </c>
      <c r="K399" s="1">
        <v>53.99</v>
      </c>
      <c r="L399" s="1">
        <v>39.182000000000002</v>
      </c>
      <c r="M399" s="6">
        <f t="shared" si="102"/>
        <v>-1.8372408724842693E-4</v>
      </c>
      <c r="N399" s="21">
        <v>45476</v>
      </c>
      <c r="O399" s="1">
        <v>11.39</v>
      </c>
      <c r="P399" s="1">
        <v>10.633800000000001</v>
      </c>
      <c r="Q399" s="6">
        <f t="shared" si="103"/>
        <v>0</v>
      </c>
      <c r="R399" s="21">
        <v>45476</v>
      </c>
      <c r="S399" s="1">
        <v>6.8</v>
      </c>
      <c r="T399" s="1">
        <v>6.3689</v>
      </c>
      <c r="U399" s="6">
        <f t="shared" si="108"/>
        <v>1.4931795002549819E-2</v>
      </c>
      <c r="V399" s="21">
        <v>45476</v>
      </c>
      <c r="W399" s="1">
        <v>5.69</v>
      </c>
      <c r="X399" s="1">
        <v>5.0469999999999997</v>
      </c>
      <c r="Y399" s="6">
        <f t="shared" si="101"/>
        <v>5.3653444676409201E-2</v>
      </c>
      <c r="Z399" s="21">
        <v>45476</v>
      </c>
      <c r="AA399" s="1">
        <v>1.91</v>
      </c>
      <c r="AB399" s="1">
        <v>1.91</v>
      </c>
      <c r="AC399" s="6">
        <f t="shared" si="104"/>
        <v>0</v>
      </c>
      <c r="AD399" s="21">
        <v>45476</v>
      </c>
      <c r="AE399" s="1">
        <v>9</v>
      </c>
      <c r="AF399" s="1">
        <v>8.7507000000000001</v>
      </c>
      <c r="AG399" s="6">
        <f t="shared" si="105"/>
        <v>-3.325778197929341E-3</v>
      </c>
      <c r="AH399" s="21">
        <v>45476</v>
      </c>
      <c r="AI399" s="1">
        <v>9.19</v>
      </c>
      <c r="AJ399" s="1">
        <v>8.5498999999999992</v>
      </c>
      <c r="AK399" s="6">
        <f t="shared" si="106"/>
        <v>2.1115238083863508E-2</v>
      </c>
      <c r="AL399" s="21">
        <v>45476</v>
      </c>
      <c r="AM399" s="1">
        <v>1.57</v>
      </c>
      <c r="AN399" s="1">
        <v>1.57</v>
      </c>
      <c r="AO399" s="6">
        <v>3.9735099337748325E-2</v>
      </c>
      <c r="AP399" s="21" t="s">
        <v>402</v>
      </c>
      <c r="AQ399" s="1">
        <v>9661.77</v>
      </c>
      <c r="AR399" s="6">
        <v>1.8862289730576798E-3</v>
      </c>
    </row>
    <row r="400" spans="2:44" x14ac:dyDescent="0.35">
      <c r="B400" s="21">
        <v>45477</v>
      </c>
      <c r="C400" s="1">
        <v>0.61</v>
      </c>
      <c r="D400" s="1">
        <v>0.61</v>
      </c>
      <c r="E400" s="6">
        <f t="shared" si="100"/>
        <v>0</v>
      </c>
      <c r="F400" s="21">
        <v>45477</v>
      </c>
      <c r="G400" s="1">
        <v>15.64</v>
      </c>
      <c r="H400" s="1">
        <v>12.5169</v>
      </c>
      <c r="I400" s="6">
        <f t="shared" si="107"/>
        <v>-3.1854996057945062E-3</v>
      </c>
      <c r="J400" s="21">
        <v>45477</v>
      </c>
      <c r="K400" s="1">
        <v>53.5</v>
      </c>
      <c r="L400" s="1">
        <v>38.826300000000003</v>
      </c>
      <c r="M400" s="6">
        <f t="shared" si="102"/>
        <v>-9.0781481292430133E-3</v>
      </c>
      <c r="N400" s="21">
        <v>45477</v>
      </c>
      <c r="O400" s="1">
        <v>11.4</v>
      </c>
      <c r="P400" s="1">
        <v>10.6432</v>
      </c>
      <c r="Q400" s="6">
        <f t="shared" si="103"/>
        <v>8.8397374409887597E-4</v>
      </c>
      <c r="R400" s="21">
        <v>45477</v>
      </c>
      <c r="S400" s="1">
        <v>6.9</v>
      </c>
      <c r="T400" s="1">
        <v>6.4625000000000004</v>
      </c>
      <c r="U400" s="6">
        <f t="shared" si="108"/>
        <v>1.4696415393553153E-2</v>
      </c>
      <c r="V400" s="21">
        <v>45477</v>
      </c>
      <c r="W400" s="1">
        <v>5.8</v>
      </c>
      <c r="X400" s="1">
        <v>5.1449999999999996</v>
      </c>
      <c r="Y400" s="6">
        <f t="shared" si="101"/>
        <v>1.9417475728155331E-2</v>
      </c>
      <c r="Z400" s="21">
        <v>45477</v>
      </c>
      <c r="AA400" s="1">
        <v>1.92</v>
      </c>
      <c r="AB400" s="1">
        <v>1.92</v>
      </c>
      <c r="AC400" s="6">
        <f t="shared" si="104"/>
        <v>5.2356020942407877E-3</v>
      </c>
      <c r="AD400" s="21">
        <v>45477</v>
      </c>
      <c r="AE400" s="1">
        <v>8.9</v>
      </c>
      <c r="AF400" s="1">
        <v>8.6534999999999993</v>
      </c>
      <c r="AG400" s="6">
        <f t="shared" si="105"/>
        <v>-1.1107682813946362E-2</v>
      </c>
      <c r="AH400" s="21">
        <v>45477</v>
      </c>
      <c r="AI400" s="1">
        <v>9.02</v>
      </c>
      <c r="AJ400" s="1">
        <v>8.3917000000000002</v>
      </c>
      <c r="AK400" s="6">
        <f t="shared" si="106"/>
        <v>-1.8503140387606809E-2</v>
      </c>
      <c r="AL400" s="21">
        <v>45477</v>
      </c>
      <c r="AM400" s="1">
        <v>1.6</v>
      </c>
      <c r="AN400" s="1">
        <v>1.6</v>
      </c>
      <c r="AO400" s="6">
        <v>1.9108280254777066E-2</v>
      </c>
      <c r="AP400" s="21" t="s">
        <v>403</v>
      </c>
      <c r="AQ400" s="1">
        <v>9664.7199999999993</v>
      </c>
      <c r="AR400" s="6">
        <v>3.0532707775066115E-4</v>
      </c>
    </row>
    <row r="401" spans="2:44" x14ac:dyDescent="0.35">
      <c r="B401" s="21">
        <v>45478</v>
      </c>
      <c r="C401" s="1">
        <v>0.59</v>
      </c>
      <c r="D401" s="1">
        <v>0.59</v>
      </c>
      <c r="E401" s="6">
        <f t="shared" ref="E401:E464" si="109">(D401/D400)-1</f>
        <v>-3.2786885245901676E-2</v>
      </c>
      <c r="F401" s="21">
        <v>45478</v>
      </c>
      <c r="G401" s="1">
        <v>15.6</v>
      </c>
      <c r="H401" s="1">
        <v>12.4849</v>
      </c>
      <c r="I401" s="6">
        <f t="shared" si="107"/>
        <v>-2.5565435531161862E-3</v>
      </c>
      <c r="J401" s="21">
        <v>45478</v>
      </c>
      <c r="K401" s="1">
        <v>53.5</v>
      </c>
      <c r="L401" s="1">
        <v>38.826300000000003</v>
      </c>
      <c r="M401" s="6">
        <f t="shared" si="102"/>
        <v>0</v>
      </c>
      <c r="N401" s="21">
        <v>45478</v>
      </c>
      <c r="O401" s="1">
        <v>11.4</v>
      </c>
      <c r="P401" s="1">
        <v>10.6432</v>
      </c>
      <c r="Q401" s="6">
        <f t="shared" si="103"/>
        <v>0</v>
      </c>
      <c r="R401" s="21">
        <v>45478</v>
      </c>
      <c r="S401" s="1">
        <v>6.8</v>
      </c>
      <c r="T401" s="1">
        <v>6.3689</v>
      </c>
      <c r="U401" s="6">
        <f t="shared" si="108"/>
        <v>-1.4483558994197399E-2</v>
      </c>
      <c r="V401" s="21">
        <v>45478</v>
      </c>
      <c r="W401" s="1">
        <v>5.6</v>
      </c>
      <c r="X401" s="1">
        <v>5.258</v>
      </c>
      <c r="Y401" s="6">
        <f t="shared" si="101"/>
        <v>2.196307094266281E-2</v>
      </c>
      <c r="Z401" s="21">
        <v>45478</v>
      </c>
      <c r="AA401" s="1">
        <v>1.94</v>
      </c>
      <c r="AB401" s="1">
        <v>1.94</v>
      </c>
      <c r="AC401" s="6">
        <f t="shared" si="104"/>
        <v>1.0416666666666741E-2</v>
      </c>
      <c r="AD401" s="21">
        <v>45478</v>
      </c>
      <c r="AE401" s="1">
        <v>9</v>
      </c>
      <c r="AF401" s="1">
        <v>8.7507000000000001</v>
      </c>
      <c r="AG401" s="6">
        <f t="shared" si="105"/>
        <v>1.1232449297972069E-2</v>
      </c>
      <c r="AH401" s="21">
        <v>45478</v>
      </c>
      <c r="AI401" s="1">
        <v>9.1</v>
      </c>
      <c r="AJ401" s="1">
        <v>8.4661000000000008</v>
      </c>
      <c r="AK401" s="6">
        <f t="shared" si="106"/>
        <v>8.8659032138900251E-3</v>
      </c>
      <c r="AL401" s="21">
        <v>45478</v>
      </c>
      <c r="AM401" s="1">
        <v>1.6</v>
      </c>
      <c r="AN401" s="1">
        <v>1.6</v>
      </c>
      <c r="AO401" s="6">
        <v>0</v>
      </c>
      <c r="AP401" s="21" t="s">
        <v>404</v>
      </c>
      <c r="AQ401" s="1">
        <v>9735.86</v>
      </c>
      <c r="AR401" s="6">
        <v>7.3607926561765069E-3</v>
      </c>
    </row>
    <row r="402" spans="2:44" x14ac:dyDescent="0.35">
      <c r="B402" s="21">
        <v>45481</v>
      </c>
      <c r="C402" s="1">
        <v>0.56999999999999995</v>
      </c>
      <c r="D402" s="1">
        <v>0.56999999999999995</v>
      </c>
      <c r="E402" s="6">
        <f t="shared" si="109"/>
        <v>-3.3898305084745783E-2</v>
      </c>
      <c r="F402" s="21">
        <v>45481</v>
      </c>
      <c r="G402" s="1">
        <v>15.55</v>
      </c>
      <c r="H402" s="1">
        <v>12.444900000000001</v>
      </c>
      <c r="I402" s="6">
        <f t="shared" si="107"/>
        <v>-3.2038702752924531E-3</v>
      </c>
      <c r="J402" s="21">
        <v>45481</v>
      </c>
      <c r="K402" s="1">
        <v>53.5</v>
      </c>
      <c r="L402" s="1">
        <v>38.826300000000003</v>
      </c>
      <c r="M402" s="6">
        <f t="shared" si="102"/>
        <v>0</v>
      </c>
      <c r="N402" s="21">
        <v>45481</v>
      </c>
      <c r="O402" s="1">
        <v>11.37</v>
      </c>
      <c r="P402" s="1">
        <v>10.6151</v>
      </c>
      <c r="Q402" s="6">
        <f t="shared" si="103"/>
        <v>-2.6401834034877059E-3</v>
      </c>
      <c r="R402" s="21">
        <v>45481</v>
      </c>
      <c r="S402" s="1">
        <v>6.8</v>
      </c>
      <c r="T402" s="1">
        <v>6.3689</v>
      </c>
      <c r="U402" s="6">
        <f t="shared" si="108"/>
        <v>0</v>
      </c>
      <c r="V402" s="21">
        <v>45481</v>
      </c>
      <c r="W402" s="1">
        <v>5.75</v>
      </c>
      <c r="X402" s="1">
        <v>5.399</v>
      </c>
      <c r="Y402" s="6">
        <f t="shared" si="101"/>
        <v>2.6816279954355204E-2</v>
      </c>
      <c r="Z402" s="21">
        <v>45481</v>
      </c>
      <c r="AA402" s="1">
        <v>1.99</v>
      </c>
      <c r="AB402" s="1">
        <v>1.99</v>
      </c>
      <c r="AC402" s="6">
        <f t="shared" si="104"/>
        <v>2.577319587628879E-2</v>
      </c>
      <c r="AD402" s="21">
        <v>45481</v>
      </c>
      <c r="AE402" s="1">
        <v>9</v>
      </c>
      <c r="AF402" s="1">
        <v>8.7507000000000001</v>
      </c>
      <c r="AG402" s="6">
        <f t="shared" si="105"/>
        <v>0</v>
      </c>
      <c r="AH402" s="21">
        <v>45481</v>
      </c>
      <c r="AI402" s="1">
        <v>8.8000000000000007</v>
      </c>
      <c r="AJ402" s="1">
        <v>8.5183999999999997</v>
      </c>
      <c r="AK402" s="6">
        <f t="shared" si="106"/>
        <v>6.1775788143298982E-3</v>
      </c>
      <c r="AL402" s="21">
        <v>45481</v>
      </c>
      <c r="AM402" s="1">
        <v>1.6</v>
      </c>
      <c r="AN402" s="1">
        <v>1.6</v>
      </c>
      <c r="AO402" s="6">
        <v>0</v>
      </c>
      <c r="AP402" s="21" t="s">
        <v>405</v>
      </c>
      <c r="AQ402" s="1">
        <v>9729.64</v>
      </c>
      <c r="AR402" s="6">
        <v>-6.3887525087680253E-4</v>
      </c>
    </row>
    <row r="403" spans="2:44" x14ac:dyDescent="0.35">
      <c r="B403" s="21">
        <v>45482</v>
      </c>
      <c r="C403" s="1">
        <v>0.55000000000000004</v>
      </c>
      <c r="D403" s="1">
        <v>0.55000000000000004</v>
      </c>
      <c r="E403" s="6">
        <f t="shared" si="109"/>
        <v>-3.5087719298245501E-2</v>
      </c>
      <c r="F403" s="21">
        <v>45482</v>
      </c>
      <c r="G403" s="1">
        <v>15.55</v>
      </c>
      <c r="H403" s="1">
        <v>12.444900000000001</v>
      </c>
      <c r="I403" s="6">
        <f t="shared" si="107"/>
        <v>0</v>
      </c>
      <c r="J403" s="21">
        <v>45482</v>
      </c>
      <c r="K403" s="1">
        <v>54</v>
      </c>
      <c r="L403" s="1">
        <v>39.1892</v>
      </c>
      <c r="M403" s="6">
        <f t="shared" si="102"/>
        <v>9.346757223840374E-3</v>
      </c>
      <c r="N403" s="21">
        <v>45482</v>
      </c>
      <c r="O403" s="1">
        <v>11.39</v>
      </c>
      <c r="P403" s="1">
        <v>10.633800000000001</v>
      </c>
      <c r="Q403" s="6">
        <f t="shared" si="103"/>
        <v>1.7616414353138765E-3</v>
      </c>
      <c r="R403" s="21">
        <v>45482</v>
      </c>
      <c r="S403" s="1">
        <v>6.88</v>
      </c>
      <c r="T403" s="1">
        <v>6.4438000000000004</v>
      </c>
      <c r="U403" s="6">
        <f t="shared" si="108"/>
        <v>1.1760272574542041E-2</v>
      </c>
      <c r="V403" s="21">
        <v>45482</v>
      </c>
      <c r="W403" s="1">
        <v>5.8</v>
      </c>
      <c r="X403" s="1">
        <v>5.4459999999999997</v>
      </c>
      <c r="Y403" s="6">
        <f t="shared" si="101"/>
        <v>8.7053157992220687E-3</v>
      </c>
      <c r="Z403" s="21">
        <v>45482</v>
      </c>
      <c r="AA403" s="1">
        <v>1.99</v>
      </c>
      <c r="AB403" s="1">
        <v>1.99</v>
      </c>
      <c r="AC403" s="6">
        <f t="shared" si="104"/>
        <v>0</v>
      </c>
      <c r="AD403" s="21">
        <v>45482</v>
      </c>
      <c r="AE403" s="1">
        <v>9</v>
      </c>
      <c r="AF403" s="1">
        <v>8.7507000000000001</v>
      </c>
      <c r="AG403" s="6">
        <f t="shared" si="105"/>
        <v>0</v>
      </c>
      <c r="AH403" s="21">
        <v>45482</v>
      </c>
      <c r="AI403" s="1">
        <v>8.8800000000000008</v>
      </c>
      <c r="AJ403" s="1">
        <v>8.5958000000000006</v>
      </c>
      <c r="AK403" s="6">
        <f t="shared" si="106"/>
        <v>9.08621337340354E-3</v>
      </c>
      <c r="AL403" s="21">
        <v>45482</v>
      </c>
      <c r="AM403" s="1">
        <v>1.6</v>
      </c>
      <c r="AN403" s="1">
        <v>1.6</v>
      </c>
      <c r="AO403" s="6">
        <v>0</v>
      </c>
      <c r="AP403" s="21" t="s">
        <v>406</v>
      </c>
      <c r="AQ403" s="1">
        <v>9723.08</v>
      </c>
      <c r="AR403" s="6">
        <v>-6.7422844010667227E-4</v>
      </c>
    </row>
    <row r="404" spans="2:44" x14ac:dyDescent="0.35">
      <c r="B404" s="21">
        <v>45483</v>
      </c>
      <c r="C404" s="1">
        <v>0.55000000000000004</v>
      </c>
      <c r="D404" s="1">
        <v>0.55000000000000004</v>
      </c>
      <c r="E404" s="6">
        <f t="shared" si="109"/>
        <v>0</v>
      </c>
      <c r="F404" s="21">
        <v>45483</v>
      </c>
      <c r="G404" s="1">
        <v>15.75</v>
      </c>
      <c r="H404" s="1">
        <v>12.604900000000001</v>
      </c>
      <c r="I404" s="6">
        <f t="shared" si="107"/>
        <v>1.2856672211106535E-2</v>
      </c>
      <c r="J404" s="21">
        <v>45483</v>
      </c>
      <c r="K404" s="1">
        <v>54.2</v>
      </c>
      <c r="L404" s="1">
        <v>39.334400000000002</v>
      </c>
      <c r="M404" s="6">
        <f t="shared" si="102"/>
        <v>3.7051024261787191E-3</v>
      </c>
      <c r="N404" s="21">
        <v>45483</v>
      </c>
      <c r="O404" s="1">
        <v>11.6</v>
      </c>
      <c r="P404" s="1">
        <v>10.8299</v>
      </c>
      <c r="Q404" s="6">
        <f t="shared" si="103"/>
        <v>1.8441196938065341E-2</v>
      </c>
      <c r="R404" s="21">
        <v>45483</v>
      </c>
      <c r="S404" s="1">
        <v>6.9</v>
      </c>
      <c r="T404" s="1">
        <v>6.4625000000000004</v>
      </c>
      <c r="U404" s="6">
        <f t="shared" si="108"/>
        <v>2.9020143393649889E-3</v>
      </c>
      <c r="V404" s="21">
        <v>45483</v>
      </c>
      <c r="W404" s="1">
        <v>5.8</v>
      </c>
      <c r="X404" s="1">
        <v>5.4459999999999997</v>
      </c>
      <c r="Y404" s="6">
        <f t="shared" si="101"/>
        <v>0</v>
      </c>
      <c r="Z404" s="21">
        <v>45483</v>
      </c>
      <c r="AA404" s="1">
        <v>2.04</v>
      </c>
      <c r="AB404" s="1">
        <v>2.04</v>
      </c>
      <c r="AC404" s="6">
        <f t="shared" si="104"/>
        <v>2.5125628140703515E-2</v>
      </c>
      <c r="AD404" s="21">
        <v>45483</v>
      </c>
      <c r="AE404" s="1">
        <v>8.99</v>
      </c>
      <c r="AF404" s="1">
        <v>8.7409999999999997</v>
      </c>
      <c r="AG404" s="6">
        <f t="shared" si="105"/>
        <v>-1.108482749951456E-3</v>
      </c>
      <c r="AH404" s="21">
        <v>45483</v>
      </c>
      <c r="AI404" s="1">
        <v>9.01</v>
      </c>
      <c r="AJ404" s="1">
        <v>8.7217000000000002</v>
      </c>
      <c r="AK404" s="6">
        <f t="shared" si="106"/>
        <v>1.4646687917355017E-2</v>
      </c>
      <c r="AL404" s="21">
        <v>45483</v>
      </c>
      <c r="AM404" s="1">
        <v>1.59</v>
      </c>
      <c r="AN404" s="1">
        <v>1.59</v>
      </c>
      <c r="AO404" s="6">
        <v>-6.2499999999999778E-3</v>
      </c>
      <c r="AP404" s="21" t="s">
        <v>407</v>
      </c>
      <c r="AQ404" s="1">
        <v>9723.25</v>
      </c>
      <c r="AR404" s="6">
        <v>1.7484171682236038E-5</v>
      </c>
    </row>
    <row r="405" spans="2:44" x14ac:dyDescent="0.35">
      <c r="B405" s="21">
        <v>45484</v>
      </c>
      <c r="C405" s="1">
        <v>0.55000000000000004</v>
      </c>
      <c r="D405" s="1">
        <v>0.55000000000000004</v>
      </c>
      <c r="E405" s="6">
        <f t="shared" si="109"/>
        <v>0</v>
      </c>
      <c r="F405" s="21">
        <v>45484</v>
      </c>
      <c r="G405" s="1">
        <v>15.75</v>
      </c>
      <c r="H405" s="1">
        <v>12.604900000000001</v>
      </c>
      <c r="I405" s="6">
        <f t="shared" si="107"/>
        <v>0</v>
      </c>
      <c r="J405" s="21">
        <v>45484</v>
      </c>
      <c r="K405" s="1">
        <v>54.2</v>
      </c>
      <c r="L405" s="1">
        <v>39.334400000000002</v>
      </c>
      <c r="M405" s="6">
        <f t="shared" si="102"/>
        <v>0</v>
      </c>
      <c r="N405" s="21">
        <v>45484</v>
      </c>
      <c r="O405" s="1">
        <v>11.5</v>
      </c>
      <c r="P405" s="1">
        <v>10.736499999999999</v>
      </c>
      <c r="Q405" s="6">
        <f t="shared" si="103"/>
        <v>-8.6242716922594331E-3</v>
      </c>
      <c r="R405" s="21">
        <v>45484</v>
      </c>
      <c r="S405" s="1">
        <v>6.91</v>
      </c>
      <c r="T405" s="1">
        <v>6.4718999999999998</v>
      </c>
      <c r="U405" s="6">
        <f t="shared" si="108"/>
        <v>1.4545454545453751E-3</v>
      </c>
      <c r="V405" s="21">
        <v>45484</v>
      </c>
      <c r="W405" s="1">
        <v>6</v>
      </c>
      <c r="X405" s="1">
        <v>5.6340000000000003</v>
      </c>
      <c r="Y405" s="6">
        <f t="shared" ref="Y405:Y468" si="110">(X405/X404)-1</f>
        <v>3.4520749173705623E-2</v>
      </c>
      <c r="Z405" s="21">
        <v>45484</v>
      </c>
      <c r="AA405" s="1">
        <v>2.08</v>
      </c>
      <c r="AB405" s="1">
        <v>2.08</v>
      </c>
      <c r="AC405" s="6">
        <f t="shared" si="104"/>
        <v>1.9607843137254832E-2</v>
      </c>
      <c r="AD405" s="21">
        <v>45484</v>
      </c>
      <c r="AE405" s="1">
        <v>9</v>
      </c>
      <c r="AF405" s="1">
        <v>8.7507000000000001</v>
      </c>
      <c r="AG405" s="6">
        <f t="shared" si="105"/>
        <v>1.1097128475003881E-3</v>
      </c>
      <c r="AH405" s="21">
        <v>45484</v>
      </c>
      <c r="AI405" s="1">
        <v>9.25</v>
      </c>
      <c r="AJ405" s="1">
        <v>8.9540000000000006</v>
      </c>
      <c r="AK405" s="6">
        <f t="shared" si="106"/>
        <v>2.6634715709093371E-2</v>
      </c>
      <c r="AL405" s="21">
        <v>45484</v>
      </c>
      <c r="AM405" s="1">
        <v>1.59</v>
      </c>
      <c r="AN405" s="1">
        <v>1.59</v>
      </c>
      <c r="AO405" s="6">
        <v>0</v>
      </c>
      <c r="AP405" s="21" t="s">
        <v>408</v>
      </c>
      <c r="AQ405" s="1">
        <v>9814.36</v>
      </c>
      <c r="AR405" s="6">
        <v>9.3703237086366631E-3</v>
      </c>
    </row>
    <row r="406" spans="2:44" x14ac:dyDescent="0.35">
      <c r="B406" s="21">
        <v>45485</v>
      </c>
      <c r="C406" s="1">
        <v>0.56999999999999995</v>
      </c>
      <c r="D406" s="1">
        <v>0.56999999999999995</v>
      </c>
      <c r="E406" s="6">
        <f t="shared" si="109"/>
        <v>3.6363636363636154E-2</v>
      </c>
      <c r="F406" s="21">
        <v>45485</v>
      </c>
      <c r="G406" s="1">
        <v>15.9</v>
      </c>
      <c r="H406" s="1">
        <v>12.725</v>
      </c>
      <c r="I406" s="6">
        <f t="shared" si="107"/>
        <v>9.5280406825914987E-3</v>
      </c>
      <c r="J406" s="21">
        <v>45485</v>
      </c>
      <c r="K406" s="1">
        <v>54.9</v>
      </c>
      <c r="L406" s="1">
        <v>39.842399999999998</v>
      </c>
      <c r="M406" s="6">
        <f t="shared" si="102"/>
        <v>1.2914904002603311E-2</v>
      </c>
      <c r="N406" s="21">
        <v>45485</v>
      </c>
      <c r="O406" s="1">
        <v>11.5</v>
      </c>
      <c r="P406" s="1">
        <v>10.736499999999999</v>
      </c>
      <c r="Q406" s="6">
        <f t="shared" si="103"/>
        <v>0</v>
      </c>
      <c r="R406" s="21">
        <v>45485</v>
      </c>
      <c r="S406" s="1">
        <v>6.95</v>
      </c>
      <c r="T406" s="1">
        <v>6.5094000000000003</v>
      </c>
      <c r="U406" s="6">
        <f t="shared" si="108"/>
        <v>5.7942798868957368E-3</v>
      </c>
      <c r="V406" s="21">
        <v>45485</v>
      </c>
      <c r="W406" s="1">
        <v>6.19</v>
      </c>
      <c r="X406" s="1">
        <v>5.8120000000000003</v>
      </c>
      <c r="Y406" s="6">
        <f t="shared" si="110"/>
        <v>3.15938942137024E-2</v>
      </c>
      <c r="Z406" s="21">
        <v>45485</v>
      </c>
      <c r="AA406" s="1">
        <v>2.02</v>
      </c>
      <c r="AB406" s="1">
        <v>2.02</v>
      </c>
      <c r="AC406" s="6">
        <f t="shared" si="104"/>
        <v>-2.8846153846153855E-2</v>
      </c>
      <c r="AD406" s="21">
        <v>45485</v>
      </c>
      <c r="AE406" s="1">
        <v>9</v>
      </c>
      <c r="AF406" s="1">
        <v>8.7507000000000001</v>
      </c>
      <c r="AG406" s="6">
        <f t="shared" si="105"/>
        <v>0</v>
      </c>
      <c r="AH406" s="21">
        <v>45485</v>
      </c>
      <c r="AI406" s="1">
        <v>9.5500000000000007</v>
      </c>
      <c r="AJ406" s="1">
        <v>9.2444000000000006</v>
      </c>
      <c r="AK406" s="6">
        <f t="shared" si="106"/>
        <v>3.2432432432432323E-2</v>
      </c>
      <c r="AL406" s="21">
        <v>45485</v>
      </c>
      <c r="AM406" s="1">
        <v>1.66</v>
      </c>
      <c r="AN406" s="1">
        <v>1.66</v>
      </c>
      <c r="AO406" s="6">
        <v>4.4025157232704393E-2</v>
      </c>
      <c r="AP406" s="21" t="s">
        <v>409</v>
      </c>
      <c r="AQ406" s="1">
        <v>9831.07</v>
      </c>
      <c r="AR406" s="6">
        <v>1.7026072000618786E-3</v>
      </c>
    </row>
    <row r="407" spans="2:44" x14ac:dyDescent="0.35">
      <c r="B407" s="21">
        <v>45488</v>
      </c>
      <c r="C407" s="1">
        <v>0.56999999999999995</v>
      </c>
      <c r="D407" s="1">
        <v>0.56999999999999995</v>
      </c>
      <c r="E407" s="6">
        <f t="shared" si="109"/>
        <v>0</v>
      </c>
      <c r="F407" s="21">
        <v>45488</v>
      </c>
      <c r="G407" s="1">
        <v>16.399999999999999</v>
      </c>
      <c r="H407" s="1">
        <v>13.1251</v>
      </c>
      <c r="I407" s="6">
        <f t="shared" si="107"/>
        <v>3.1442043222003946E-2</v>
      </c>
      <c r="J407" s="21">
        <v>45488</v>
      </c>
      <c r="K407" s="1">
        <v>54.7</v>
      </c>
      <c r="L407" s="1">
        <v>39.697200000000002</v>
      </c>
      <c r="M407" s="6">
        <f t="shared" si="102"/>
        <v>-3.6443587735677241E-3</v>
      </c>
      <c r="N407" s="21">
        <v>45488</v>
      </c>
      <c r="O407" s="1">
        <v>11.4</v>
      </c>
      <c r="P407" s="1">
        <v>10.6432</v>
      </c>
      <c r="Q407" s="6">
        <f t="shared" si="103"/>
        <v>-8.6899827690587461E-3</v>
      </c>
      <c r="R407" s="21">
        <v>45488</v>
      </c>
      <c r="S407" s="1">
        <v>6.97</v>
      </c>
      <c r="T407" s="1">
        <v>6.5281000000000002</v>
      </c>
      <c r="U407" s="6">
        <f t="shared" si="108"/>
        <v>2.8727686115463946E-3</v>
      </c>
      <c r="V407" s="21">
        <v>45488</v>
      </c>
      <c r="W407" s="1">
        <v>6.26</v>
      </c>
      <c r="X407" s="1">
        <v>5.8780000000000001</v>
      </c>
      <c r="Y407" s="6">
        <f t="shared" si="110"/>
        <v>1.1355815554026094E-2</v>
      </c>
      <c r="Z407" s="21">
        <v>45488</v>
      </c>
      <c r="AA407" s="1">
        <v>2.0299999999999998</v>
      </c>
      <c r="AB407" s="1">
        <v>2.0299999999999998</v>
      </c>
      <c r="AC407" s="6">
        <f t="shared" si="104"/>
        <v>4.9504950495049549E-3</v>
      </c>
      <c r="AD407" s="21">
        <v>45488</v>
      </c>
      <c r="AE407" s="1">
        <v>9</v>
      </c>
      <c r="AF407" s="1">
        <v>8.7507000000000001</v>
      </c>
      <c r="AG407" s="6">
        <f t="shared" si="105"/>
        <v>0</v>
      </c>
      <c r="AH407" s="21">
        <v>45488</v>
      </c>
      <c r="AI407" s="1">
        <v>9.6</v>
      </c>
      <c r="AJ407" s="1">
        <v>9.2927999999999997</v>
      </c>
      <c r="AK407" s="6">
        <f t="shared" si="106"/>
        <v>5.2356020942407877E-3</v>
      </c>
      <c r="AL407" s="21">
        <v>45488</v>
      </c>
      <c r="AM407" s="1">
        <v>1.73</v>
      </c>
      <c r="AN407" s="1">
        <v>1.73</v>
      </c>
      <c r="AO407" s="6">
        <v>4.2168674698795261E-2</v>
      </c>
      <c r="AP407" s="21" t="s">
        <v>410</v>
      </c>
      <c r="AQ407" s="1">
        <v>9841.4699999999993</v>
      </c>
      <c r="AR407" s="6">
        <v>1.057870608184075E-3</v>
      </c>
    </row>
    <row r="408" spans="2:44" x14ac:dyDescent="0.35">
      <c r="B408" s="21">
        <v>45489</v>
      </c>
      <c r="C408" s="1">
        <v>0.56999999999999995</v>
      </c>
      <c r="D408" s="1">
        <v>0.56999999999999995</v>
      </c>
      <c r="E408" s="6">
        <f t="shared" si="109"/>
        <v>0</v>
      </c>
      <c r="F408" s="21">
        <v>45489</v>
      </c>
      <c r="G408" s="1">
        <v>16.27</v>
      </c>
      <c r="H408" s="1">
        <v>13.021100000000001</v>
      </c>
      <c r="I408" s="6">
        <f t="shared" si="107"/>
        <v>-7.9237491523873604E-3</v>
      </c>
      <c r="J408" s="21">
        <v>45489</v>
      </c>
      <c r="K408" s="1">
        <v>54.3</v>
      </c>
      <c r="L408" s="1">
        <v>39.4069</v>
      </c>
      <c r="M408" s="6">
        <f t="shared" si="102"/>
        <v>-7.3128583376157463E-3</v>
      </c>
      <c r="N408" s="21">
        <v>45489</v>
      </c>
      <c r="O408" s="1">
        <v>11.4</v>
      </c>
      <c r="P408" s="1">
        <v>10.6432</v>
      </c>
      <c r="Q408" s="6">
        <f t="shared" si="103"/>
        <v>0</v>
      </c>
      <c r="R408" s="21">
        <v>45489</v>
      </c>
      <c r="S408" s="1">
        <v>7.1</v>
      </c>
      <c r="T408" s="1">
        <v>6.6498999999999997</v>
      </c>
      <c r="U408" s="6">
        <f t="shared" si="108"/>
        <v>1.8657802423369674E-2</v>
      </c>
      <c r="V408" s="21">
        <v>45489</v>
      </c>
      <c r="W408" s="1">
        <v>6.3</v>
      </c>
      <c r="X408" s="1">
        <v>5.9160000000000004</v>
      </c>
      <c r="Y408" s="6">
        <f t="shared" si="110"/>
        <v>6.464783940115737E-3</v>
      </c>
      <c r="Z408" s="21">
        <v>45489</v>
      </c>
      <c r="AA408" s="1">
        <v>2.0299999999999998</v>
      </c>
      <c r="AB408" s="1">
        <v>2.0299999999999998</v>
      </c>
      <c r="AC408" s="6">
        <f t="shared" si="104"/>
        <v>0</v>
      </c>
      <c r="AD408" s="21">
        <v>45489</v>
      </c>
      <c r="AE408" s="1">
        <v>8.9499999999999993</v>
      </c>
      <c r="AF408" s="1">
        <v>8.7020999999999997</v>
      </c>
      <c r="AG408" s="6">
        <f t="shared" si="105"/>
        <v>-5.5538414069732367E-3</v>
      </c>
      <c r="AH408" s="21">
        <v>45489</v>
      </c>
      <c r="AI408" s="1">
        <v>9.6199999999999992</v>
      </c>
      <c r="AJ408" s="1">
        <v>9.3122000000000007</v>
      </c>
      <c r="AK408" s="6">
        <f t="shared" si="106"/>
        <v>2.0876377410470326E-3</v>
      </c>
      <c r="AL408" s="21">
        <v>45489</v>
      </c>
      <c r="AM408" s="1">
        <v>1.73</v>
      </c>
      <c r="AN408" s="1">
        <v>1.73</v>
      </c>
      <c r="AO408" s="6">
        <v>0</v>
      </c>
      <c r="AP408" s="21" t="s">
        <v>411</v>
      </c>
      <c r="AQ408" s="1">
        <v>9861.2199999999993</v>
      </c>
      <c r="AR408" s="6">
        <v>2.0068140227018638E-3</v>
      </c>
    </row>
    <row r="409" spans="2:44" x14ac:dyDescent="0.35">
      <c r="B409" s="21">
        <v>45490</v>
      </c>
      <c r="C409" s="1">
        <v>0.59</v>
      </c>
      <c r="D409" s="1">
        <v>0.59</v>
      </c>
      <c r="E409" s="6">
        <f t="shared" si="109"/>
        <v>3.5087719298245723E-2</v>
      </c>
      <c r="F409" s="21">
        <v>45490</v>
      </c>
      <c r="G409" s="1">
        <v>15.8</v>
      </c>
      <c r="H409" s="1">
        <v>12.6449</v>
      </c>
      <c r="I409" s="6">
        <f t="shared" si="107"/>
        <v>-2.8891568300681292E-2</v>
      </c>
      <c r="J409" s="21">
        <v>45490</v>
      </c>
      <c r="K409" s="1">
        <v>53.5</v>
      </c>
      <c r="L409" s="1">
        <v>38.826300000000003</v>
      </c>
      <c r="M409" s="6">
        <f t="shared" si="102"/>
        <v>-1.4733460383841379E-2</v>
      </c>
      <c r="N409" s="21">
        <v>45490</v>
      </c>
      <c r="O409" s="1">
        <v>11.4</v>
      </c>
      <c r="P409" s="1">
        <v>10.6432</v>
      </c>
      <c r="Q409" s="6">
        <f t="shared" si="103"/>
        <v>0</v>
      </c>
      <c r="R409" s="21">
        <v>45490</v>
      </c>
      <c r="S409" s="1">
        <v>7.05</v>
      </c>
      <c r="T409" s="1">
        <v>6.6029999999999998</v>
      </c>
      <c r="U409" s="6">
        <f t="shared" si="108"/>
        <v>-7.0527376351523507E-3</v>
      </c>
      <c r="V409" s="21">
        <v>45490</v>
      </c>
      <c r="W409" s="1">
        <v>6.35</v>
      </c>
      <c r="X409" s="1">
        <v>5.9630000000000001</v>
      </c>
      <c r="Y409" s="6">
        <f t="shared" si="110"/>
        <v>7.9445571331979714E-3</v>
      </c>
      <c r="Z409" s="21">
        <v>45490</v>
      </c>
      <c r="AA409" s="1">
        <v>2.0499999999999998</v>
      </c>
      <c r="AB409" s="1">
        <v>2.0499999999999998</v>
      </c>
      <c r="AC409" s="6">
        <f t="shared" si="104"/>
        <v>9.8522167487684609E-3</v>
      </c>
      <c r="AD409" s="21">
        <v>45490</v>
      </c>
      <c r="AE409" s="1">
        <v>8.86</v>
      </c>
      <c r="AF409" s="1">
        <v>8.6145999999999994</v>
      </c>
      <c r="AG409" s="6">
        <f t="shared" si="105"/>
        <v>-1.0055044184737016E-2</v>
      </c>
      <c r="AH409" s="21">
        <v>45490</v>
      </c>
      <c r="AI409" s="1">
        <v>10</v>
      </c>
      <c r="AJ409" s="1">
        <v>9.68</v>
      </c>
      <c r="AK409" s="6">
        <f t="shared" si="106"/>
        <v>3.9496574386288952E-2</v>
      </c>
      <c r="AL409" s="21">
        <v>45490</v>
      </c>
      <c r="AM409" s="1">
        <v>1.73</v>
      </c>
      <c r="AN409" s="1">
        <v>1.73</v>
      </c>
      <c r="AO409" s="6">
        <v>0</v>
      </c>
      <c r="AP409" s="21" t="s">
        <v>412</v>
      </c>
      <c r="AQ409" s="1">
        <v>9864.58</v>
      </c>
      <c r="AR409" s="6">
        <v>3.4072863195433456E-4</v>
      </c>
    </row>
    <row r="410" spans="2:44" x14ac:dyDescent="0.35">
      <c r="B410" s="21">
        <v>45491</v>
      </c>
      <c r="C410" s="1">
        <v>0.61</v>
      </c>
      <c r="D410" s="1">
        <v>0.61</v>
      </c>
      <c r="E410" s="6">
        <f t="shared" si="109"/>
        <v>3.3898305084745894E-2</v>
      </c>
      <c r="F410" s="21">
        <v>45491</v>
      </c>
      <c r="G410" s="1">
        <v>15.95</v>
      </c>
      <c r="H410" s="1">
        <v>12.765000000000001</v>
      </c>
      <c r="I410" s="6">
        <f t="shared" si="107"/>
        <v>9.497900339267229E-3</v>
      </c>
      <c r="J410" s="21">
        <v>45491</v>
      </c>
      <c r="K410" s="1">
        <v>54</v>
      </c>
      <c r="L410" s="1">
        <v>39.1892</v>
      </c>
      <c r="M410" s="6">
        <f t="shared" si="102"/>
        <v>9.346757223840374E-3</v>
      </c>
      <c r="N410" s="21">
        <v>45491</v>
      </c>
      <c r="O410" s="1">
        <v>11.37</v>
      </c>
      <c r="P410" s="1">
        <v>10.6151</v>
      </c>
      <c r="Q410" s="6">
        <f t="shared" si="103"/>
        <v>-2.6401834034877059E-3</v>
      </c>
      <c r="R410" s="21">
        <v>45491</v>
      </c>
      <c r="S410" s="1">
        <v>7</v>
      </c>
      <c r="T410" s="1">
        <v>6.5561999999999996</v>
      </c>
      <c r="U410" s="6">
        <f t="shared" si="108"/>
        <v>-7.0876874148114721E-3</v>
      </c>
      <c r="V410" s="21">
        <v>45491</v>
      </c>
      <c r="W410" s="1">
        <v>6.33</v>
      </c>
      <c r="X410" s="1">
        <v>5.944</v>
      </c>
      <c r="Y410" s="6">
        <f t="shared" si="110"/>
        <v>-3.1863156129465775E-3</v>
      </c>
      <c r="Z410" s="21">
        <v>45491</v>
      </c>
      <c r="AA410" s="1">
        <v>2.02</v>
      </c>
      <c r="AB410" s="1">
        <v>2.02</v>
      </c>
      <c r="AC410" s="6">
        <f t="shared" si="104"/>
        <v>-1.4634146341463317E-2</v>
      </c>
      <c r="AD410" s="21">
        <v>45491</v>
      </c>
      <c r="AE410" s="1">
        <v>8.98</v>
      </c>
      <c r="AF410" s="1">
        <v>8.7312999999999992</v>
      </c>
      <c r="AG410" s="6">
        <f t="shared" si="105"/>
        <v>1.3546769437930983E-2</v>
      </c>
      <c r="AH410" s="21">
        <v>45491</v>
      </c>
      <c r="AI410" s="1">
        <v>9.84</v>
      </c>
      <c r="AJ410" s="1">
        <v>9.5251000000000001</v>
      </c>
      <c r="AK410" s="6">
        <f t="shared" si="106"/>
        <v>-1.6002066115702429E-2</v>
      </c>
      <c r="AL410" s="21">
        <v>45491</v>
      </c>
      <c r="AM410" s="1">
        <v>1.77</v>
      </c>
      <c r="AN410" s="1">
        <v>1.77</v>
      </c>
      <c r="AO410" s="6">
        <v>2.3121387283236983E-2</v>
      </c>
      <c r="AP410" s="21" t="s">
        <v>413</v>
      </c>
      <c r="AQ410" s="1">
        <v>9873.0400000000009</v>
      </c>
      <c r="AR410" s="6">
        <v>8.5761380616311556E-4</v>
      </c>
    </row>
    <row r="411" spans="2:44" x14ac:dyDescent="0.35">
      <c r="B411" s="21">
        <v>45492</v>
      </c>
      <c r="C411" s="1">
        <v>0.63</v>
      </c>
      <c r="D411" s="1">
        <v>0.63</v>
      </c>
      <c r="E411" s="6">
        <f t="shared" si="109"/>
        <v>3.2786885245901676E-2</v>
      </c>
      <c r="F411" s="21">
        <v>45492</v>
      </c>
      <c r="G411" s="1">
        <v>15.94</v>
      </c>
      <c r="H411" s="1">
        <v>12.757</v>
      </c>
      <c r="I411" s="6">
        <f t="shared" si="107"/>
        <v>-6.2671367019195845E-4</v>
      </c>
      <c r="J411" s="21">
        <v>45492</v>
      </c>
      <c r="K411" s="1">
        <v>54</v>
      </c>
      <c r="L411" s="1">
        <v>39.1892</v>
      </c>
      <c r="M411" s="6">
        <f t="shared" si="102"/>
        <v>0</v>
      </c>
      <c r="N411" s="21">
        <v>45492</v>
      </c>
      <c r="O411" s="1">
        <v>11.37</v>
      </c>
      <c r="P411" s="1">
        <v>10.6151</v>
      </c>
      <c r="Q411" s="6">
        <f t="shared" si="103"/>
        <v>0</v>
      </c>
      <c r="R411" s="21">
        <v>45492</v>
      </c>
      <c r="S411" s="1">
        <v>7</v>
      </c>
      <c r="T411" s="1">
        <v>6.5561999999999996</v>
      </c>
      <c r="U411" s="6">
        <f t="shared" si="108"/>
        <v>0</v>
      </c>
      <c r="V411" s="21">
        <v>45492</v>
      </c>
      <c r="W411" s="1">
        <v>6.27</v>
      </c>
      <c r="X411" s="1">
        <v>5.8869999999999996</v>
      </c>
      <c r="Y411" s="6">
        <f t="shared" si="110"/>
        <v>-9.5895020188425661E-3</v>
      </c>
      <c r="Z411" s="21">
        <v>45492</v>
      </c>
      <c r="AA411" s="1">
        <v>2.04</v>
      </c>
      <c r="AB411" s="1">
        <v>2.04</v>
      </c>
      <c r="AC411" s="6">
        <f t="shared" si="104"/>
        <v>9.9009900990099098E-3</v>
      </c>
      <c r="AD411" s="21">
        <v>45492</v>
      </c>
      <c r="AE411" s="1">
        <v>8.81</v>
      </c>
      <c r="AF411" s="1">
        <v>8.5660000000000007</v>
      </c>
      <c r="AG411" s="6">
        <f t="shared" si="105"/>
        <v>-1.893188872218321E-2</v>
      </c>
      <c r="AH411" s="21">
        <v>45492</v>
      </c>
      <c r="AI411" s="1">
        <v>9.65</v>
      </c>
      <c r="AJ411" s="1">
        <v>9.3412000000000006</v>
      </c>
      <c r="AK411" s="6">
        <f t="shared" si="106"/>
        <v>-1.9306883917229123E-2</v>
      </c>
      <c r="AL411" s="21">
        <v>45492</v>
      </c>
      <c r="AM411" s="1">
        <v>1.77</v>
      </c>
      <c r="AN411" s="1">
        <v>1.77</v>
      </c>
      <c r="AO411" s="6">
        <v>0</v>
      </c>
      <c r="AP411" s="21" t="s">
        <v>414</v>
      </c>
      <c r="AQ411" s="1">
        <v>9845.44</v>
      </c>
      <c r="AR411" s="6">
        <v>-2.7954915608566777E-3</v>
      </c>
    </row>
    <row r="412" spans="2:44" x14ac:dyDescent="0.35">
      <c r="B412" s="21">
        <v>45495</v>
      </c>
      <c r="C412" s="1">
        <v>0.63</v>
      </c>
      <c r="D412" s="1">
        <v>0.63</v>
      </c>
      <c r="E412" s="6">
        <f t="shared" si="109"/>
        <v>0</v>
      </c>
      <c r="F412" s="21">
        <v>45495</v>
      </c>
      <c r="G412" s="1">
        <v>15.9</v>
      </c>
      <c r="H412" s="1">
        <v>12.725</v>
      </c>
      <c r="I412" s="6">
        <f t="shared" si="107"/>
        <v>-2.5084267461001897E-3</v>
      </c>
      <c r="J412" s="21">
        <v>45495</v>
      </c>
      <c r="K412" s="1">
        <v>53.6</v>
      </c>
      <c r="L412" s="1">
        <v>38.898899999999998</v>
      </c>
      <c r="M412" s="6">
        <f t="shared" si="102"/>
        <v>-7.4076531289233305E-3</v>
      </c>
      <c r="N412" s="21">
        <v>45495</v>
      </c>
      <c r="O412" s="1">
        <v>11.77</v>
      </c>
      <c r="P412" s="1">
        <v>10.9886</v>
      </c>
      <c r="Q412" s="6">
        <f t="shared" si="103"/>
        <v>3.5185725994102635E-2</v>
      </c>
      <c r="R412" s="21">
        <v>45495</v>
      </c>
      <c r="S412" s="1">
        <v>7.07</v>
      </c>
      <c r="T412" s="1">
        <v>6.6218000000000004</v>
      </c>
      <c r="U412" s="6">
        <f t="shared" si="108"/>
        <v>1.0005796040389425E-2</v>
      </c>
      <c r="V412" s="21">
        <v>45495</v>
      </c>
      <c r="W412" s="1">
        <v>6.27</v>
      </c>
      <c r="X412" s="1">
        <v>5.8869999999999996</v>
      </c>
      <c r="Y412" s="6">
        <f t="shared" si="110"/>
        <v>0</v>
      </c>
      <c r="Z412" s="21">
        <v>45495</v>
      </c>
      <c r="AA412" s="1">
        <v>2.0299999999999998</v>
      </c>
      <c r="AB412" s="1">
        <v>2.0299999999999998</v>
      </c>
      <c r="AC412" s="6">
        <f t="shared" si="104"/>
        <v>-4.9019607843138191E-3</v>
      </c>
      <c r="AD412" s="21">
        <v>45495</v>
      </c>
      <c r="AE412" s="1">
        <v>9</v>
      </c>
      <c r="AF412" s="1">
        <v>8.7507000000000001</v>
      </c>
      <c r="AG412" s="6">
        <f t="shared" si="105"/>
        <v>2.1561989259864411E-2</v>
      </c>
      <c r="AH412" s="21">
        <v>45495</v>
      </c>
      <c r="AI412" s="1">
        <v>9.59</v>
      </c>
      <c r="AJ412" s="1">
        <v>9.2830999999999992</v>
      </c>
      <c r="AK412" s="6">
        <f t="shared" si="106"/>
        <v>-6.2197576328524296E-3</v>
      </c>
      <c r="AL412" s="21">
        <v>45495</v>
      </c>
      <c r="AM412" s="1">
        <v>1.77</v>
      </c>
      <c r="AN412" s="1">
        <v>1.77</v>
      </c>
      <c r="AO412" s="6">
        <v>0</v>
      </c>
      <c r="AP412" s="21" t="s">
        <v>415</v>
      </c>
      <c r="AQ412" s="1">
        <v>9861.8700000000008</v>
      </c>
      <c r="AR412" s="6">
        <v>1.6687928624825599E-3</v>
      </c>
    </row>
    <row r="413" spans="2:44" x14ac:dyDescent="0.35">
      <c r="B413" s="21">
        <v>45496</v>
      </c>
      <c r="C413" s="1">
        <v>0.61</v>
      </c>
      <c r="D413" s="1">
        <v>0.61</v>
      </c>
      <c r="E413" s="6">
        <f t="shared" si="109"/>
        <v>-3.1746031746031744E-2</v>
      </c>
      <c r="F413" s="21">
        <v>45496</v>
      </c>
      <c r="G413" s="1">
        <v>16.77</v>
      </c>
      <c r="H413" s="1">
        <v>13.421200000000001</v>
      </c>
      <c r="I413" s="6">
        <f t="shared" si="107"/>
        <v>5.4711198428290864E-2</v>
      </c>
      <c r="J413" s="21">
        <v>45496</v>
      </c>
      <c r="K413" s="1">
        <v>54</v>
      </c>
      <c r="L413" s="1">
        <v>39.1892</v>
      </c>
      <c r="M413" s="6">
        <f t="shared" si="102"/>
        <v>7.4629359699118769E-3</v>
      </c>
      <c r="N413" s="21">
        <v>45496</v>
      </c>
      <c r="O413" s="1">
        <v>11.75</v>
      </c>
      <c r="P413" s="1">
        <v>10.969900000000001</v>
      </c>
      <c r="Q413" s="6">
        <f t="shared" si="103"/>
        <v>-1.701763645960308E-3</v>
      </c>
      <c r="R413" s="21">
        <v>45496</v>
      </c>
      <c r="S413" s="1">
        <v>7.04</v>
      </c>
      <c r="T413" s="1">
        <v>6.5937000000000001</v>
      </c>
      <c r="U413" s="6">
        <f t="shared" si="108"/>
        <v>-4.2435591531003736E-3</v>
      </c>
      <c r="V413" s="21">
        <v>45496</v>
      </c>
      <c r="W413" s="1">
        <v>6.24</v>
      </c>
      <c r="X413" s="1">
        <v>5.859</v>
      </c>
      <c r="Y413" s="6">
        <f t="shared" si="110"/>
        <v>-4.7562425683709275E-3</v>
      </c>
      <c r="Z413" s="21">
        <v>45496</v>
      </c>
      <c r="AA413" s="1">
        <v>1.98</v>
      </c>
      <c r="AB413" s="1">
        <v>1.98</v>
      </c>
      <c r="AC413" s="6">
        <f t="shared" si="104"/>
        <v>-2.4630541871921152E-2</v>
      </c>
      <c r="AD413" s="21">
        <v>45496</v>
      </c>
      <c r="AE413" s="1">
        <v>8.9</v>
      </c>
      <c r="AF413" s="1">
        <v>8.6534999999999993</v>
      </c>
      <c r="AG413" s="6">
        <f t="shared" si="105"/>
        <v>-1.1107682813946362E-2</v>
      </c>
      <c r="AH413" s="21">
        <v>45496</v>
      </c>
      <c r="AI413" s="1">
        <v>9.6</v>
      </c>
      <c r="AJ413" s="1">
        <v>9.2927999999999997</v>
      </c>
      <c r="AK413" s="6">
        <f t="shared" si="106"/>
        <v>1.0449095668474406E-3</v>
      </c>
      <c r="AL413" s="21">
        <v>45496</v>
      </c>
      <c r="AM413" s="1">
        <v>1.77</v>
      </c>
      <c r="AN413" s="1">
        <v>1.77</v>
      </c>
      <c r="AO413" s="6">
        <v>0</v>
      </c>
      <c r="AP413" s="21" t="s">
        <v>416</v>
      </c>
      <c r="AQ413" s="1">
        <v>9846.64</v>
      </c>
      <c r="AR413" s="6">
        <v>-1.5443318559260621E-3</v>
      </c>
    </row>
    <row r="414" spans="2:44" x14ac:dyDescent="0.35">
      <c r="B414" s="21">
        <v>45497</v>
      </c>
      <c r="C414" s="1">
        <v>0.62</v>
      </c>
      <c r="D414" s="1">
        <v>0.62</v>
      </c>
      <c r="E414" s="6">
        <f t="shared" si="109"/>
        <v>1.6393442622950838E-2</v>
      </c>
      <c r="F414" s="21">
        <v>45497</v>
      </c>
      <c r="G414" s="1">
        <v>16.75</v>
      </c>
      <c r="H414" s="1">
        <v>13.405200000000001</v>
      </c>
      <c r="I414" s="6">
        <f t="shared" si="107"/>
        <v>-1.1921437725389561E-3</v>
      </c>
      <c r="J414" s="21">
        <v>45497</v>
      </c>
      <c r="K414" s="1">
        <v>53.8</v>
      </c>
      <c r="L414" s="1">
        <v>39.0441</v>
      </c>
      <c r="M414" s="6">
        <f t="shared" si="102"/>
        <v>-3.7025507027446114E-3</v>
      </c>
      <c r="N414" s="21">
        <v>45497</v>
      </c>
      <c r="O414" s="1">
        <v>11.6</v>
      </c>
      <c r="P414" s="1">
        <v>10.8299</v>
      </c>
      <c r="Q414" s="6">
        <f t="shared" si="103"/>
        <v>-1.2762194732859999E-2</v>
      </c>
      <c r="R414" s="21">
        <v>45497</v>
      </c>
      <c r="S414" s="1">
        <v>7.07</v>
      </c>
      <c r="T414" s="1">
        <v>6.6218000000000004</v>
      </c>
      <c r="U414" s="6">
        <f t="shared" si="108"/>
        <v>4.2616436901892207E-3</v>
      </c>
      <c r="V414" s="21">
        <v>45497</v>
      </c>
      <c r="W414" s="1">
        <v>6.24</v>
      </c>
      <c r="X414" s="1">
        <v>5.859</v>
      </c>
      <c r="Y414" s="6">
        <f t="shared" si="110"/>
        <v>0</v>
      </c>
      <c r="Z414" s="21">
        <v>45497</v>
      </c>
      <c r="AA414" s="1">
        <v>1.96</v>
      </c>
      <c r="AB414" s="1">
        <v>1.96</v>
      </c>
      <c r="AC414" s="6">
        <f t="shared" si="104"/>
        <v>-1.0101010101010055E-2</v>
      </c>
      <c r="AD414" s="21">
        <v>45497</v>
      </c>
      <c r="AE414" s="1">
        <v>8.8000000000000007</v>
      </c>
      <c r="AF414" s="1">
        <v>8.5562000000000005</v>
      </c>
      <c r="AG414" s="6">
        <f t="shared" si="105"/>
        <v>-1.124400531576808E-2</v>
      </c>
      <c r="AH414" s="21">
        <v>45497</v>
      </c>
      <c r="AI414" s="1">
        <v>9.5</v>
      </c>
      <c r="AJ414" s="1">
        <v>9.1959999999999997</v>
      </c>
      <c r="AK414" s="6">
        <f t="shared" si="106"/>
        <v>-1.041666666666663E-2</v>
      </c>
      <c r="AL414" s="21">
        <v>45497</v>
      </c>
      <c r="AM414" s="1">
        <v>1.77</v>
      </c>
      <c r="AN414" s="1">
        <v>1.77</v>
      </c>
      <c r="AO414" s="6">
        <v>0</v>
      </c>
      <c r="AP414" s="21" t="s">
        <v>417</v>
      </c>
      <c r="AQ414" s="1">
        <v>9859.6299999999992</v>
      </c>
      <c r="AR414" s="6">
        <v>1.3192317379329133E-3</v>
      </c>
    </row>
    <row r="415" spans="2:44" x14ac:dyDescent="0.35">
      <c r="B415" s="21">
        <v>45499</v>
      </c>
      <c r="C415" s="1">
        <v>0.62</v>
      </c>
      <c r="D415" s="1">
        <v>0.62</v>
      </c>
      <c r="E415" s="6">
        <f t="shared" si="109"/>
        <v>0</v>
      </c>
      <c r="F415" s="21">
        <v>45499</v>
      </c>
      <c r="G415" s="1">
        <v>16.75</v>
      </c>
      <c r="H415" s="1">
        <v>13.405200000000001</v>
      </c>
      <c r="I415" s="6">
        <f t="shared" si="107"/>
        <v>0</v>
      </c>
      <c r="J415" s="21">
        <v>45499</v>
      </c>
      <c r="K415" s="1">
        <v>54</v>
      </c>
      <c r="L415" s="1">
        <v>39.1892</v>
      </c>
      <c r="M415" s="6">
        <f t="shared" si="102"/>
        <v>3.7163105309123701E-3</v>
      </c>
      <c r="N415" s="21">
        <v>45499</v>
      </c>
      <c r="O415" s="1">
        <v>11.6</v>
      </c>
      <c r="P415" s="1">
        <v>10.8299</v>
      </c>
      <c r="Q415" s="6">
        <f t="shared" si="103"/>
        <v>0</v>
      </c>
      <c r="R415" s="21">
        <v>45499</v>
      </c>
      <c r="S415" s="1">
        <v>7.07</v>
      </c>
      <c r="T415" s="1">
        <v>6.6218000000000004</v>
      </c>
      <c r="U415" s="6">
        <f t="shared" si="108"/>
        <v>0</v>
      </c>
      <c r="V415" s="21">
        <v>45499</v>
      </c>
      <c r="W415" s="1">
        <v>6.3</v>
      </c>
      <c r="X415" s="1">
        <v>5.9160000000000004</v>
      </c>
      <c r="Y415" s="6">
        <f t="shared" si="110"/>
        <v>9.7286226318484825E-3</v>
      </c>
      <c r="Z415" s="21">
        <v>45499</v>
      </c>
      <c r="AA415" s="1">
        <v>1.99</v>
      </c>
      <c r="AB415" s="1">
        <v>1.99</v>
      </c>
      <c r="AC415" s="6">
        <f t="shared" si="104"/>
        <v>1.5306122448979664E-2</v>
      </c>
      <c r="AD415" s="21">
        <v>45499</v>
      </c>
      <c r="AE415" s="1">
        <v>8.8000000000000007</v>
      </c>
      <c r="AF415" s="1">
        <v>8.5562000000000005</v>
      </c>
      <c r="AG415" s="6">
        <f t="shared" si="105"/>
        <v>0</v>
      </c>
      <c r="AH415" s="21">
        <v>45499</v>
      </c>
      <c r="AI415" s="1">
        <v>9.32</v>
      </c>
      <c r="AJ415" s="1">
        <v>9.0218000000000007</v>
      </c>
      <c r="AK415" s="6">
        <f t="shared" si="106"/>
        <v>-1.894301870378412E-2</v>
      </c>
      <c r="AL415" s="21">
        <v>45499</v>
      </c>
      <c r="AM415" s="1">
        <v>1.77</v>
      </c>
      <c r="AN415" s="1">
        <v>1.77</v>
      </c>
      <c r="AO415" s="6">
        <v>0</v>
      </c>
      <c r="AP415" s="21" t="s">
        <v>418</v>
      </c>
      <c r="AQ415" s="1">
        <v>9875.0300000000007</v>
      </c>
      <c r="AR415" s="6">
        <v>1.5619247375409095E-3</v>
      </c>
    </row>
    <row r="416" spans="2:44" x14ac:dyDescent="0.35">
      <c r="B416" s="21">
        <v>45502</v>
      </c>
      <c r="C416" s="1">
        <v>0.62</v>
      </c>
      <c r="D416" s="1">
        <v>0.62</v>
      </c>
      <c r="E416" s="6">
        <f t="shared" si="109"/>
        <v>0</v>
      </c>
      <c r="F416" s="21">
        <v>45502</v>
      </c>
      <c r="G416" s="1">
        <v>16.670000000000002</v>
      </c>
      <c r="H416" s="1">
        <v>13.341200000000001</v>
      </c>
      <c r="I416" s="6">
        <f t="shared" si="107"/>
        <v>-4.7742667024737173E-3</v>
      </c>
      <c r="J416" s="21">
        <v>45502</v>
      </c>
      <c r="K416" s="1">
        <v>54</v>
      </c>
      <c r="L416" s="1">
        <v>39.1892</v>
      </c>
      <c r="M416" s="6">
        <f t="shared" si="102"/>
        <v>0</v>
      </c>
      <c r="N416" s="21">
        <v>45502</v>
      </c>
      <c r="O416" s="1">
        <v>11.6</v>
      </c>
      <c r="P416" s="1">
        <v>10.8299</v>
      </c>
      <c r="Q416" s="6">
        <f t="shared" si="103"/>
        <v>0</v>
      </c>
      <c r="R416" s="21">
        <v>45502</v>
      </c>
      <c r="S416" s="1">
        <v>7.07</v>
      </c>
      <c r="T416" s="1">
        <v>6.6218000000000004</v>
      </c>
      <c r="U416" s="6">
        <f t="shared" si="108"/>
        <v>0</v>
      </c>
      <c r="V416" s="21">
        <v>45502</v>
      </c>
      <c r="W416" s="1">
        <v>6.28</v>
      </c>
      <c r="X416" s="1">
        <v>5.8970000000000002</v>
      </c>
      <c r="Y416" s="6">
        <f t="shared" si="110"/>
        <v>-3.2116294793780309E-3</v>
      </c>
      <c r="Z416" s="21">
        <v>45502</v>
      </c>
      <c r="AA416" s="1">
        <v>1.99</v>
      </c>
      <c r="AB416" s="1">
        <v>1.99</v>
      </c>
      <c r="AC416" s="6">
        <f t="shared" si="104"/>
        <v>0</v>
      </c>
      <c r="AD416" s="21">
        <v>45502</v>
      </c>
      <c r="AE416" s="1">
        <v>8.8000000000000007</v>
      </c>
      <c r="AF416" s="1">
        <v>8.5562000000000005</v>
      </c>
      <c r="AG416" s="6">
        <f t="shared" si="105"/>
        <v>0</v>
      </c>
      <c r="AH416" s="21">
        <v>45502</v>
      </c>
      <c r="AI416" s="1">
        <v>9.49</v>
      </c>
      <c r="AJ416" s="1">
        <v>9.1862999999999992</v>
      </c>
      <c r="AK416" s="6">
        <f t="shared" si="106"/>
        <v>1.8233611917799042E-2</v>
      </c>
      <c r="AL416" s="21">
        <v>45502</v>
      </c>
      <c r="AM416" s="1">
        <v>1.77</v>
      </c>
      <c r="AN416" s="1">
        <v>1.77</v>
      </c>
      <c r="AO416" s="6">
        <v>0</v>
      </c>
      <c r="AP416" s="21" t="s">
        <v>419</v>
      </c>
      <c r="AQ416" s="1">
        <v>9847.17</v>
      </c>
      <c r="AR416" s="6">
        <v>-2.8212572518767631E-3</v>
      </c>
    </row>
    <row r="417" spans="2:44" x14ac:dyDescent="0.35">
      <c r="B417" s="21">
        <v>45503</v>
      </c>
      <c r="C417" s="1">
        <v>0.62</v>
      </c>
      <c r="D417" s="1">
        <v>0.62</v>
      </c>
      <c r="E417" s="6">
        <f t="shared" si="109"/>
        <v>0</v>
      </c>
      <c r="F417" s="21">
        <v>45503</v>
      </c>
      <c r="G417" s="1">
        <v>16.29</v>
      </c>
      <c r="H417" s="1">
        <v>13.037100000000001</v>
      </c>
      <c r="I417" s="6">
        <f t="shared" si="107"/>
        <v>-2.2794051509609337E-2</v>
      </c>
      <c r="J417" s="21">
        <v>45503</v>
      </c>
      <c r="K417" s="1">
        <v>53.96</v>
      </c>
      <c r="L417" s="1">
        <v>39.160200000000003</v>
      </c>
      <c r="M417" s="6">
        <f t="shared" si="102"/>
        <v>-7.3999979586203413E-4</v>
      </c>
      <c r="N417" s="21">
        <v>45503</v>
      </c>
      <c r="O417" s="1">
        <v>11.7</v>
      </c>
      <c r="P417" s="1">
        <v>10.9232</v>
      </c>
      <c r="Q417" s="6">
        <f t="shared" si="103"/>
        <v>8.6150379966574153E-3</v>
      </c>
      <c r="R417" s="21">
        <v>45503</v>
      </c>
      <c r="S417" s="1">
        <v>7</v>
      </c>
      <c r="T417" s="1">
        <v>6.5561999999999996</v>
      </c>
      <c r="U417" s="6">
        <f t="shared" si="108"/>
        <v>-9.9066719018998661E-3</v>
      </c>
      <c r="V417" s="21">
        <v>45503</v>
      </c>
      <c r="W417" s="1">
        <v>6.28</v>
      </c>
      <c r="X417" s="1">
        <v>5.8970000000000002</v>
      </c>
      <c r="Y417" s="6">
        <f t="shared" si="110"/>
        <v>0</v>
      </c>
      <c r="Z417" s="21">
        <v>45503</v>
      </c>
      <c r="AA417" s="1">
        <v>1.97</v>
      </c>
      <c r="AB417" s="1">
        <v>1.97</v>
      </c>
      <c r="AC417" s="6">
        <f t="shared" si="104"/>
        <v>-1.0050251256281451E-2</v>
      </c>
      <c r="AD417" s="21">
        <v>45503</v>
      </c>
      <c r="AE417" s="1">
        <v>8.8000000000000007</v>
      </c>
      <c r="AF417" s="1">
        <v>8.5562000000000005</v>
      </c>
      <c r="AG417" s="6">
        <f t="shared" si="105"/>
        <v>0</v>
      </c>
      <c r="AH417" s="21">
        <v>45503</v>
      </c>
      <c r="AI417" s="1">
        <v>9.4</v>
      </c>
      <c r="AJ417" s="1">
        <v>9.0991999999999997</v>
      </c>
      <c r="AK417" s="6">
        <f t="shared" si="106"/>
        <v>-9.4815105102162844E-3</v>
      </c>
      <c r="AL417" s="21">
        <v>45503</v>
      </c>
      <c r="AM417" s="1">
        <v>1.77</v>
      </c>
      <c r="AN417" s="1">
        <v>1.77</v>
      </c>
      <c r="AO417" s="6">
        <v>0</v>
      </c>
      <c r="AP417" s="21" t="s">
        <v>420</v>
      </c>
      <c r="AQ417" s="1">
        <v>9836.84</v>
      </c>
      <c r="AR417" s="6">
        <v>-1.0490323615820474E-3</v>
      </c>
    </row>
    <row r="418" spans="2:44" x14ac:dyDescent="0.35">
      <c r="B418" s="21">
        <v>45504</v>
      </c>
      <c r="C418" s="1">
        <v>0.6</v>
      </c>
      <c r="D418" s="1">
        <v>0.6</v>
      </c>
      <c r="E418" s="6">
        <f t="shared" si="109"/>
        <v>-3.2258064516129115E-2</v>
      </c>
      <c r="F418" s="21">
        <v>45504</v>
      </c>
      <c r="G418" s="1">
        <v>16.54</v>
      </c>
      <c r="H418" s="1">
        <v>13.2372</v>
      </c>
      <c r="I418" s="6">
        <f t="shared" si="107"/>
        <v>1.5348505419149783E-2</v>
      </c>
      <c r="J418" s="21">
        <v>45504</v>
      </c>
      <c r="K418" s="1">
        <v>53.9</v>
      </c>
      <c r="L418" s="1">
        <v>39.116599999999998</v>
      </c>
      <c r="M418" s="6">
        <f t="shared" si="102"/>
        <v>-1.1133753147329895E-3</v>
      </c>
      <c r="N418" s="21">
        <v>45504</v>
      </c>
      <c r="O418" s="1">
        <v>11.69</v>
      </c>
      <c r="P418" s="1">
        <v>10.9139</v>
      </c>
      <c r="Q418" s="6">
        <f t="shared" si="103"/>
        <v>-8.5139885747764765E-4</v>
      </c>
      <c r="R418" s="21">
        <v>45504</v>
      </c>
      <c r="S418" s="1">
        <v>7</v>
      </c>
      <c r="T418" s="1">
        <v>6.5561999999999996</v>
      </c>
      <c r="U418" s="6">
        <f t="shared" si="108"/>
        <v>0</v>
      </c>
      <c r="V418" s="21">
        <v>45504</v>
      </c>
      <c r="W418" s="1">
        <v>6.2</v>
      </c>
      <c r="X418" s="1">
        <v>5.8220000000000001</v>
      </c>
      <c r="Y418" s="6">
        <f t="shared" si="110"/>
        <v>-1.2718331354926282E-2</v>
      </c>
      <c r="Z418" s="21">
        <v>45504</v>
      </c>
      <c r="AA418" s="1">
        <v>1.98</v>
      </c>
      <c r="AB418" s="1">
        <v>1.98</v>
      </c>
      <c r="AC418" s="6">
        <f t="shared" si="104"/>
        <v>5.0761421319795996E-3</v>
      </c>
      <c r="AD418" s="21">
        <v>45504</v>
      </c>
      <c r="AE418" s="1">
        <v>8.6999999999999993</v>
      </c>
      <c r="AF418" s="1">
        <v>8.4589999999999996</v>
      </c>
      <c r="AG418" s="6">
        <f t="shared" si="105"/>
        <v>-1.1360183258923406E-2</v>
      </c>
      <c r="AH418" s="21">
        <v>45504</v>
      </c>
      <c r="AI418" s="1">
        <v>9.31</v>
      </c>
      <c r="AJ418" s="1">
        <v>9.0121000000000002</v>
      </c>
      <c r="AK418" s="6">
        <f t="shared" si="106"/>
        <v>-9.5722700896782031E-3</v>
      </c>
      <c r="AL418" s="21">
        <v>45504</v>
      </c>
      <c r="AM418" s="1">
        <v>1.7</v>
      </c>
      <c r="AN418" s="1">
        <v>1.7</v>
      </c>
      <c r="AO418" s="6">
        <v>-3.9548022598870136E-2</v>
      </c>
      <c r="AP418" s="21" t="s">
        <v>421</v>
      </c>
      <c r="AQ418" s="1">
        <v>9801.19</v>
      </c>
      <c r="AR418" s="6">
        <v>-3.6241313267267872E-3</v>
      </c>
    </row>
    <row r="419" spans="2:44" x14ac:dyDescent="0.35">
      <c r="B419" s="21">
        <v>45505</v>
      </c>
      <c r="C419" s="1">
        <v>0.57999999999999996</v>
      </c>
      <c r="D419" s="1">
        <v>0.57999999999999996</v>
      </c>
      <c r="E419" s="6">
        <f t="shared" si="109"/>
        <v>-3.3333333333333326E-2</v>
      </c>
      <c r="F419" s="21">
        <v>45505</v>
      </c>
      <c r="G419" s="1">
        <v>16.55</v>
      </c>
      <c r="H419" s="1">
        <v>13.245200000000001</v>
      </c>
      <c r="I419" s="6">
        <f t="shared" si="107"/>
        <v>6.0435741697650869E-4</v>
      </c>
      <c r="J419" s="21">
        <v>45505</v>
      </c>
      <c r="K419" s="1">
        <v>53.65</v>
      </c>
      <c r="L419" s="1">
        <v>38.935200000000002</v>
      </c>
      <c r="M419" s="6">
        <f t="shared" si="102"/>
        <v>-4.6374173624496029E-3</v>
      </c>
      <c r="N419" s="21">
        <v>45505</v>
      </c>
      <c r="O419" s="1">
        <v>11.74</v>
      </c>
      <c r="P419" s="1">
        <v>10.960599999999999</v>
      </c>
      <c r="Q419" s="6">
        <f t="shared" si="103"/>
        <v>4.2789470308506328E-3</v>
      </c>
      <c r="R419" s="21">
        <v>45505</v>
      </c>
      <c r="S419" s="1">
        <v>7</v>
      </c>
      <c r="T419" s="1">
        <v>6.5561999999999996</v>
      </c>
      <c r="U419" s="6">
        <f t="shared" si="108"/>
        <v>0</v>
      </c>
      <c r="V419" s="21">
        <v>45505</v>
      </c>
      <c r="W419" s="1">
        <v>6.3</v>
      </c>
      <c r="X419" s="1">
        <v>5.9160000000000004</v>
      </c>
      <c r="Y419" s="6">
        <f t="shared" si="110"/>
        <v>1.6145654414290611E-2</v>
      </c>
      <c r="Z419" s="21">
        <v>45505</v>
      </c>
      <c r="AA419" s="1">
        <v>1.96</v>
      </c>
      <c r="AB419" s="1">
        <v>1.96</v>
      </c>
      <c r="AC419" s="6">
        <f t="shared" si="104"/>
        <v>-1.0101010101010055E-2</v>
      </c>
      <c r="AD419" s="21">
        <v>45505</v>
      </c>
      <c r="AE419" s="1">
        <v>8.6999999999999993</v>
      </c>
      <c r="AF419" s="1">
        <v>8.4589999999999996</v>
      </c>
      <c r="AG419" s="6">
        <f t="shared" si="105"/>
        <v>0</v>
      </c>
      <c r="AH419" s="21">
        <v>45505</v>
      </c>
      <c r="AI419" s="1">
        <v>9.1999999999999993</v>
      </c>
      <c r="AJ419" s="1">
        <v>8.9055999999999997</v>
      </c>
      <c r="AK419" s="6">
        <f t="shared" si="106"/>
        <v>-1.1817445434471496E-2</v>
      </c>
      <c r="AL419" s="21">
        <v>45505</v>
      </c>
      <c r="AM419" s="1">
        <v>1.7</v>
      </c>
      <c r="AN419" s="1">
        <v>1.7</v>
      </c>
      <c r="AO419" s="6">
        <v>0</v>
      </c>
      <c r="AP419" s="21" t="s">
        <v>422</v>
      </c>
      <c r="AQ419" s="1">
        <v>9803.64</v>
      </c>
      <c r="AR419" s="6">
        <v>2.4996964654278031E-4</v>
      </c>
    </row>
    <row r="420" spans="2:44" x14ac:dyDescent="0.35">
      <c r="B420" s="21">
        <v>45506</v>
      </c>
      <c r="C420" s="1">
        <v>0.6</v>
      </c>
      <c r="D420" s="1">
        <v>0.6</v>
      </c>
      <c r="E420" s="6">
        <f t="shared" si="109"/>
        <v>3.4482758620689724E-2</v>
      </c>
      <c r="F420" s="21">
        <v>45506</v>
      </c>
      <c r="G420" s="1">
        <v>16.5</v>
      </c>
      <c r="H420" s="1">
        <v>13.2052</v>
      </c>
      <c r="I420" s="6">
        <f t="shared" si="107"/>
        <v>-3.0199619484795326E-3</v>
      </c>
      <c r="J420" s="21">
        <v>45506</v>
      </c>
      <c r="K420" s="1">
        <v>53.65</v>
      </c>
      <c r="L420" s="1">
        <v>38.935200000000002</v>
      </c>
      <c r="M420" s="6">
        <f t="shared" si="102"/>
        <v>0</v>
      </c>
      <c r="N420" s="21">
        <v>45506</v>
      </c>
      <c r="O420" s="1">
        <v>11.69</v>
      </c>
      <c r="P420" s="1">
        <v>10.9139</v>
      </c>
      <c r="Q420" s="6">
        <f t="shared" si="103"/>
        <v>-4.260715654252456E-3</v>
      </c>
      <c r="R420" s="21">
        <v>45506</v>
      </c>
      <c r="S420" s="1">
        <v>7.1</v>
      </c>
      <c r="T420" s="1">
        <v>6.6498999999999997</v>
      </c>
      <c r="U420" s="6">
        <f t="shared" si="108"/>
        <v>1.4291815380860884E-2</v>
      </c>
      <c r="V420" s="21">
        <v>45506</v>
      </c>
      <c r="W420" s="1">
        <v>6.3</v>
      </c>
      <c r="X420" s="1">
        <v>5.9160000000000004</v>
      </c>
      <c r="Y420" s="6">
        <f t="shared" si="110"/>
        <v>0</v>
      </c>
      <c r="Z420" s="21">
        <v>45506</v>
      </c>
      <c r="AA420" s="1">
        <v>1.95</v>
      </c>
      <c r="AB420" s="1">
        <v>1.95</v>
      </c>
      <c r="AC420" s="6">
        <f t="shared" si="104"/>
        <v>-5.1020408163264808E-3</v>
      </c>
      <c r="AD420" s="21">
        <v>45506</v>
      </c>
      <c r="AE420" s="1">
        <v>8.9</v>
      </c>
      <c r="AF420" s="1">
        <v>8.6534999999999993</v>
      </c>
      <c r="AG420" s="6">
        <f t="shared" si="105"/>
        <v>2.2993261614848048E-2</v>
      </c>
      <c r="AH420" s="21">
        <v>45506</v>
      </c>
      <c r="AI420" s="1">
        <v>9.3000000000000007</v>
      </c>
      <c r="AJ420" s="1">
        <v>9.0023999999999997</v>
      </c>
      <c r="AK420" s="6">
        <f t="shared" si="106"/>
        <v>1.0869565217391353E-2</v>
      </c>
      <c r="AL420" s="21">
        <v>45506</v>
      </c>
      <c r="AM420" s="1">
        <v>1.7</v>
      </c>
      <c r="AN420" s="1">
        <v>1.7</v>
      </c>
      <c r="AO420" s="6">
        <v>0</v>
      </c>
      <c r="AP420" s="21" t="s">
        <v>423</v>
      </c>
      <c r="AQ420" s="1">
        <v>9799.19</v>
      </c>
      <c r="AR420" s="6">
        <v>-4.5391303638231406E-4</v>
      </c>
    </row>
    <row r="421" spans="2:44" x14ac:dyDescent="0.35">
      <c r="B421" s="21">
        <v>45509</v>
      </c>
      <c r="C421" s="1">
        <v>0.57999999999999996</v>
      </c>
      <c r="D421" s="1">
        <v>0.57999999999999996</v>
      </c>
      <c r="E421" s="6">
        <f t="shared" si="109"/>
        <v>-3.3333333333333326E-2</v>
      </c>
      <c r="F421" s="21">
        <v>45509</v>
      </c>
      <c r="G421" s="1">
        <v>16.489999999999998</v>
      </c>
      <c r="H421" s="1">
        <v>13.1972</v>
      </c>
      <c r="I421" s="6">
        <f t="shared" si="107"/>
        <v>-6.0582194892910834E-4</v>
      </c>
      <c r="J421" s="21">
        <v>45509</v>
      </c>
      <c r="K421" s="1">
        <v>53.65</v>
      </c>
      <c r="L421" s="1">
        <v>38.935200000000002</v>
      </c>
      <c r="M421" s="6">
        <f t="shared" si="102"/>
        <v>0</v>
      </c>
      <c r="N421" s="21">
        <v>45509</v>
      </c>
      <c r="O421" s="1">
        <v>11.69</v>
      </c>
      <c r="P421" s="1">
        <v>10.9139</v>
      </c>
      <c r="Q421" s="6">
        <f t="shared" si="103"/>
        <v>0</v>
      </c>
      <c r="R421" s="21">
        <v>45509</v>
      </c>
      <c r="S421" s="1">
        <v>7.1</v>
      </c>
      <c r="T421" s="1">
        <v>6.6498999999999997</v>
      </c>
      <c r="U421" s="6">
        <f t="shared" si="108"/>
        <v>0</v>
      </c>
      <c r="V421" s="21">
        <v>45509</v>
      </c>
      <c r="W421" s="1">
        <v>6.28</v>
      </c>
      <c r="X421" s="1">
        <v>5.8970000000000002</v>
      </c>
      <c r="Y421" s="6">
        <f t="shared" si="110"/>
        <v>-3.2116294793780309E-3</v>
      </c>
      <c r="Z421" s="21">
        <v>45509</v>
      </c>
      <c r="AA421" s="1">
        <v>1.95</v>
      </c>
      <c r="AB421" s="1">
        <v>1.95</v>
      </c>
      <c r="AC421" s="6">
        <f t="shared" si="104"/>
        <v>0</v>
      </c>
      <c r="AD421" s="21">
        <v>45509</v>
      </c>
      <c r="AE421" s="1">
        <v>8.9</v>
      </c>
      <c r="AF421" s="1">
        <v>8.6534999999999993</v>
      </c>
      <c r="AG421" s="6">
        <f t="shared" si="105"/>
        <v>0</v>
      </c>
      <c r="AH421" s="21">
        <v>45509</v>
      </c>
      <c r="AI421" s="1">
        <v>9.4499999999999993</v>
      </c>
      <c r="AJ421" s="1">
        <v>9.1476000000000006</v>
      </c>
      <c r="AK421" s="6">
        <f t="shared" si="106"/>
        <v>1.6129032258064724E-2</v>
      </c>
      <c r="AL421" s="21">
        <v>45509</v>
      </c>
      <c r="AM421" s="1">
        <v>1.7</v>
      </c>
      <c r="AN421" s="1">
        <v>1.7</v>
      </c>
      <c r="AO421" s="6">
        <v>0</v>
      </c>
      <c r="AP421" s="21" t="s">
        <v>424</v>
      </c>
      <c r="AQ421" s="1">
        <v>9800.2999999999993</v>
      </c>
      <c r="AR421" s="6">
        <v>1.1327466862054436E-4</v>
      </c>
    </row>
    <row r="422" spans="2:44" x14ac:dyDescent="0.35">
      <c r="B422" s="21">
        <v>45510</v>
      </c>
      <c r="C422" s="1">
        <v>0.56000000000000005</v>
      </c>
      <c r="D422" s="1">
        <v>0.56000000000000005</v>
      </c>
      <c r="E422" s="6">
        <f t="shared" si="109"/>
        <v>-3.4482758620689502E-2</v>
      </c>
      <c r="F422" s="21">
        <v>45510</v>
      </c>
      <c r="G422" s="1">
        <v>16.440000000000001</v>
      </c>
      <c r="H422" s="1">
        <v>13.1571</v>
      </c>
      <c r="I422" s="6">
        <f t="shared" si="107"/>
        <v>-3.0385233231291497E-3</v>
      </c>
      <c r="J422" s="21">
        <v>45510</v>
      </c>
      <c r="K422" s="1">
        <v>53.5</v>
      </c>
      <c r="L422" s="1">
        <v>38.826300000000003</v>
      </c>
      <c r="M422" s="6">
        <f t="shared" si="102"/>
        <v>-2.7969549405164607E-3</v>
      </c>
      <c r="N422" s="21">
        <v>45510</v>
      </c>
      <c r="O422" s="1">
        <v>11.69</v>
      </c>
      <c r="P422" s="1">
        <v>10.9139</v>
      </c>
      <c r="Q422" s="6">
        <f t="shared" si="103"/>
        <v>0</v>
      </c>
      <c r="R422" s="21">
        <v>45510</v>
      </c>
      <c r="S422" s="1">
        <v>7.09</v>
      </c>
      <c r="T422" s="1">
        <v>6.6405000000000003</v>
      </c>
      <c r="U422" s="6">
        <f t="shared" si="108"/>
        <v>-1.4135550910538974E-3</v>
      </c>
      <c r="V422" s="21">
        <v>45510</v>
      </c>
      <c r="W422" s="1">
        <v>6.26</v>
      </c>
      <c r="X422" s="1">
        <v>5.8780000000000001</v>
      </c>
      <c r="Y422" s="6">
        <f t="shared" si="110"/>
        <v>-3.2219772765813559E-3</v>
      </c>
      <c r="Z422" s="21">
        <v>45510</v>
      </c>
      <c r="AA422" s="1">
        <v>1.97</v>
      </c>
      <c r="AB422" s="1">
        <v>1.97</v>
      </c>
      <c r="AC422" s="6">
        <f t="shared" si="104"/>
        <v>1.025641025641022E-2</v>
      </c>
      <c r="AD422" s="21">
        <v>45510</v>
      </c>
      <c r="AE422" s="1">
        <v>8.75</v>
      </c>
      <c r="AF422" s="1">
        <v>8.5076000000000001</v>
      </c>
      <c r="AG422" s="6">
        <f t="shared" si="105"/>
        <v>-1.6860229964754114E-2</v>
      </c>
      <c r="AH422" s="21">
        <v>45510</v>
      </c>
      <c r="AI422" s="1">
        <v>9.3000000000000007</v>
      </c>
      <c r="AJ422" s="1">
        <v>9.0023999999999997</v>
      </c>
      <c r="AK422" s="6">
        <f t="shared" si="106"/>
        <v>-1.5873015873015928E-2</v>
      </c>
      <c r="AL422" s="21">
        <v>45510</v>
      </c>
      <c r="AM422" s="1">
        <v>1.76</v>
      </c>
      <c r="AN422" s="1">
        <v>1.76</v>
      </c>
      <c r="AO422" s="6">
        <v>3.529411764705892E-2</v>
      </c>
      <c r="AP422" s="21" t="s">
        <v>425</v>
      </c>
      <c r="AQ422" s="1">
        <v>9782.0400000000009</v>
      </c>
      <c r="AR422" s="6">
        <v>-1.863208269134442E-3</v>
      </c>
    </row>
    <row r="423" spans="2:44" x14ac:dyDescent="0.35">
      <c r="B423" s="21">
        <v>45511</v>
      </c>
      <c r="C423" s="1">
        <v>0.57999999999999996</v>
      </c>
      <c r="D423" s="1">
        <v>0.57999999999999996</v>
      </c>
      <c r="E423" s="6">
        <f t="shared" si="109"/>
        <v>3.5714285714285587E-2</v>
      </c>
      <c r="F423" s="21">
        <v>45511</v>
      </c>
      <c r="G423" s="1">
        <v>16.03</v>
      </c>
      <c r="H423" s="1">
        <v>12.829000000000001</v>
      </c>
      <c r="I423" s="6">
        <f t="shared" si="107"/>
        <v>-2.4937106201214476E-2</v>
      </c>
      <c r="J423" s="21">
        <v>45511</v>
      </c>
      <c r="K423" s="1">
        <v>53.1</v>
      </c>
      <c r="L423" s="1">
        <v>38.536099999999998</v>
      </c>
      <c r="M423" s="6">
        <f t="shared" si="102"/>
        <v>-7.4743150905444145E-3</v>
      </c>
      <c r="N423" s="21">
        <v>45511</v>
      </c>
      <c r="O423" s="1">
        <v>11.65</v>
      </c>
      <c r="P423" s="1">
        <v>10.8766</v>
      </c>
      <c r="Q423" s="6">
        <f t="shared" si="103"/>
        <v>-3.4176600481954367E-3</v>
      </c>
      <c r="R423" s="21">
        <v>45511</v>
      </c>
      <c r="S423" s="1">
        <v>7.07</v>
      </c>
      <c r="T423" s="1">
        <v>6.6218000000000004</v>
      </c>
      <c r="U423" s="6">
        <f t="shared" si="108"/>
        <v>-2.8160530080566515E-3</v>
      </c>
      <c r="V423" s="21">
        <v>45511</v>
      </c>
      <c r="W423" s="1">
        <v>6.19</v>
      </c>
      <c r="X423" s="1">
        <v>5.8120000000000003</v>
      </c>
      <c r="Y423" s="6">
        <f t="shared" si="110"/>
        <v>-1.1228308948621923E-2</v>
      </c>
      <c r="Z423" s="21">
        <v>45511</v>
      </c>
      <c r="AA423" s="1">
        <v>1.99</v>
      </c>
      <c r="AB423" s="1">
        <v>1.99</v>
      </c>
      <c r="AC423" s="6">
        <f t="shared" si="104"/>
        <v>1.0152284263959421E-2</v>
      </c>
      <c r="AD423" s="21">
        <v>45511</v>
      </c>
      <c r="AE423" s="1">
        <v>8.75</v>
      </c>
      <c r="AF423" s="1">
        <v>8.5076000000000001</v>
      </c>
      <c r="AG423" s="6">
        <f t="shared" si="105"/>
        <v>0</v>
      </c>
      <c r="AH423" s="21">
        <v>45511</v>
      </c>
      <c r="AI423" s="1">
        <v>9.25</v>
      </c>
      <c r="AJ423" s="1">
        <v>8.9540000000000006</v>
      </c>
      <c r="AK423" s="6">
        <f t="shared" si="106"/>
        <v>-5.3763440860213896E-3</v>
      </c>
      <c r="AL423" s="21">
        <v>45511</v>
      </c>
      <c r="AM423" s="1">
        <v>1.76</v>
      </c>
      <c r="AN423" s="1">
        <v>1.76</v>
      </c>
      <c r="AO423" s="6">
        <v>0</v>
      </c>
      <c r="AP423" s="21" t="s">
        <v>426</v>
      </c>
      <c r="AQ423" s="1">
        <v>9772.39</v>
      </c>
      <c r="AR423" s="6">
        <v>-9.8650179308212849E-4</v>
      </c>
    </row>
    <row r="424" spans="2:44" x14ac:dyDescent="0.35">
      <c r="B424" s="21">
        <v>45512</v>
      </c>
      <c r="C424" s="1">
        <v>0.6</v>
      </c>
      <c r="D424" s="1">
        <v>0.6</v>
      </c>
      <c r="E424" s="6">
        <f t="shared" si="109"/>
        <v>3.4482758620689724E-2</v>
      </c>
      <c r="F424" s="21">
        <v>45512</v>
      </c>
      <c r="G424" s="1">
        <v>16.100000000000001</v>
      </c>
      <c r="H424" s="1">
        <v>12.885</v>
      </c>
      <c r="I424" s="6">
        <f t="shared" si="107"/>
        <v>4.3651102969832767E-3</v>
      </c>
      <c r="J424" s="21">
        <v>45512</v>
      </c>
      <c r="K424" s="1">
        <v>53.4</v>
      </c>
      <c r="L424" s="1">
        <v>38.753799999999998</v>
      </c>
      <c r="M424" s="6">
        <f t="shared" si="102"/>
        <v>5.6492483671155558E-3</v>
      </c>
      <c r="N424" s="21">
        <v>45512</v>
      </c>
      <c r="O424" s="1">
        <v>11.64</v>
      </c>
      <c r="P424" s="1">
        <v>10.8672</v>
      </c>
      <c r="Q424" s="6">
        <f t="shared" si="103"/>
        <v>-8.6424066344259476E-4</v>
      </c>
      <c r="R424" s="21">
        <v>45512</v>
      </c>
      <c r="S424" s="1">
        <v>7.07</v>
      </c>
      <c r="T424" s="1">
        <v>6.6218000000000004</v>
      </c>
      <c r="U424" s="6">
        <f t="shared" si="108"/>
        <v>0</v>
      </c>
      <c r="V424" s="21">
        <v>45512</v>
      </c>
      <c r="W424" s="1">
        <v>6.19</v>
      </c>
      <c r="X424" s="1">
        <v>5.8120000000000003</v>
      </c>
      <c r="Y424" s="6">
        <f t="shared" si="110"/>
        <v>0</v>
      </c>
      <c r="Z424" s="21">
        <v>45512</v>
      </c>
      <c r="AA424" s="1">
        <v>1.98</v>
      </c>
      <c r="AB424" s="1">
        <v>1.98</v>
      </c>
      <c r="AC424" s="6">
        <f t="shared" si="104"/>
        <v>-5.0251256281407253E-3</v>
      </c>
      <c r="AD424" s="21">
        <v>45512</v>
      </c>
      <c r="AE424" s="1">
        <v>8.75</v>
      </c>
      <c r="AF424" s="1">
        <v>8.5076000000000001</v>
      </c>
      <c r="AG424" s="6">
        <f t="shared" si="105"/>
        <v>0</v>
      </c>
      <c r="AH424" s="21">
        <v>45512</v>
      </c>
      <c r="AI424" s="1">
        <v>9.3000000000000007</v>
      </c>
      <c r="AJ424" s="1">
        <v>9.0023999999999997</v>
      </c>
      <c r="AK424" s="6">
        <f t="shared" si="106"/>
        <v>5.4054054054053502E-3</v>
      </c>
      <c r="AL424" s="21">
        <v>45512</v>
      </c>
      <c r="AM424" s="1">
        <v>1.76</v>
      </c>
      <c r="AN424" s="1">
        <v>1.76</v>
      </c>
      <c r="AO424" s="6">
        <v>0</v>
      </c>
      <c r="AP424" s="21" t="s">
        <v>427</v>
      </c>
      <c r="AQ424" s="1">
        <v>9792.66</v>
      </c>
      <c r="AR424" s="6">
        <v>2.0742111192861845E-3</v>
      </c>
    </row>
    <row r="425" spans="2:44" x14ac:dyDescent="0.35">
      <c r="B425" s="21">
        <v>45513</v>
      </c>
      <c r="C425" s="1">
        <v>0.62</v>
      </c>
      <c r="D425" s="1">
        <v>0.62</v>
      </c>
      <c r="E425" s="6">
        <f t="shared" si="109"/>
        <v>3.3333333333333437E-2</v>
      </c>
      <c r="F425" s="21">
        <v>45513</v>
      </c>
      <c r="G425" s="1">
        <v>16.329999999999998</v>
      </c>
      <c r="H425" s="1">
        <v>13.069100000000001</v>
      </c>
      <c r="I425" s="6">
        <f t="shared" si="107"/>
        <v>1.4287931703531376E-2</v>
      </c>
      <c r="J425" s="21">
        <v>45513</v>
      </c>
      <c r="K425" s="1">
        <v>53.4</v>
      </c>
      <c r="L425" s="1">
        <v>38.753799999999998</v>
      </c>
      <c r="M425" s="6">
        <f t="shared" si="102"/>
        <v>0</v>
      </c>
      <c r="N425" s="21">
        <v>45513</v>
      </c>
      <c r="O425" s="1">
        <v>11.56</v>
      </c>
      <c r="P425" s="1">
        <v>10.7925</v>
      </c>
      <c r="Q425" s="6">
        <f t="shared" si="103"/>
        <v>-6.8738957597173078E-3</v>
      </c>
      <c r="R425" s="21">
        <v>45513</v>
      </c>
      <c r="S425" s="1">
        <v>7.07</v>
      </c>
      <c r="T425" s="1">
        <v>6.6218000000000004</v>
      </c>
      <c r="U425" s="6">
        <f t="shared" si="108"/>
        <v>0</v>
      </c>
      <c r="V425" s="21">
        <v>45513</v>
      </c>
      <c r="W425" s="1">
        <v>6.19</v>
      </c>
      <c r="X425" s="1">
        <v>5.8120000000000003</v>
      </c>
      <c r="Y425" s="6">
        <f t="shared" si="110"/>
        <v>0</v>
      </c>
      <c r="Z425" s="21">
        <v>45513</v>
      </c>
      <c r="AA425" s="1">
        <v>1.98</v>
      </c>
      <c r="AB425" s="1">
        <v>1.98</v>
      </c>
      <c r="AC425" s="6">
        <f t="shared" si="104"/>
        <v>0</v>
      </c>
      <c r="AD425" s="21">
        <v>45513</v>
      </c>
      <c r="AE425" s="1">
        <v>8.75</v>
      </c>
      <c r="AF425" s="1">
        <v>8.5076000000000001</v>
      </c>
      <c r="AG425" s="6">
        <f t="shared" si="105"/>
        <v>0</v>
      </c>
      <c r="AH425" s="21">
        <v>45513</v>
      </c>
      <c r="AI425" s="1">
        <v>9.31</v>
      </c>
      <c r="AJ425" s="1">
        <v>9.0121000000000002</v>
      </c>
      <c r="AK425" s="6">
        <f t="shared" si="106"/>
        <v>1.0774904469919022E-3</v>
      </c>
      <c r="AL425" s="21">
        <v>45513</v>
      </c>
      <c r="AM425" s="1">
        <v>1.76</v>
      </c>
      <c r="AN425" s="1">
        <v>1.76</v>
      </c>
      <c r="AO425" s="6">
        <v>0</v>
      </c>
      <c r="AP425" s="21" t="s">
        <v>428</v>
      </c>
      <c r="AQ425" s="1">
        <v>9793.57</v>
      </c>
      <c r="AR425" s="6">
        <v>9.2926743091137354E-5</v>
      </c>
    </row>
    <row r="426" spans="2:44" x14ac:dyDescent="0.35">
      <c r="B426" s="21">
        <v>45516</v>
      </c>
      <c r="C426" s="1">
        <v>0.63</v>
      </c>
      <c r="D426" s="1">
        <v>0.63</v>
      </c>
      <c r="E426" s="6">
        <f t="shared" si="109"/>
        <v>1.6129032258064502E-2</v>
      </c>
      <c r="F426" s="21">
        <v>45516</v>
      </c>
      <c r="G426" s="1">
        <v>16.3</v>
      </c>
      <c r="H426" s="1">
        <v>13.0451</v>
      </c>
      <c r="I426" s="6">
        <f t="shared" si="107"/>
        <v>-1.8363927125816248E-3</v>
      </c>
      <c r="J426" s="21">
        <v>45516</v>
      </c>
      <c r="K426" s="1">
        <v>53.9</v>
      </c>
      <c r="L426" s="1">
        <v>39.116599999999998</v>
      </c>
      <c r="M426" s="6">
        <f t="shared" si="102"/>
        <v>9.3616625982484436E-3</v>
      </c>
      <c r="N426" s="21">
        <v>45516</v>
      </c>
      <c r="O426" s="1">
        <v>11.55</v>
      </c>
      <c r="P426" s="1">
        <v>10.783200000000001</v>
      </c>
      <c r="Q426" s="6">
        <f t="shared" si="103"/>
        <v>-8.6170952050035332E-4</v>
      </c>
      <c r="R426" s="21">
        <v>45516</v>
      </c>
      <c r="S426" s="1">
        <v>7.01</v>
      </c>
      <c r="T426" s="1">
        <v>6.5655999999999999</v>
      </c>
      <c r="U426" s="6">
        <f t="shared" si="108"/>
        <v>-8.4871183062007471E-3</v>
      </c>
      <c r="V426" s="21">
        <v>45516</v>
      </c>
      <c r="W426" s="1">
        <v>6.19</v>
      </c>
      <c r="X426" s="1">
        <v>5.8120000000000003</v>
      </c>
      <c r="Y426" s="6">
        <f t="shared" si="110"/>
        <v>0</v>
      </c>
      <c r="Z426" s="21">
        <v>45516</v>
      </c>
      <c r="AA426" s="1">
        <v>1.99</v>
      </c>
      <c r="AB426" s="1">
        <v>1.99</v>
      </c>
      <c r="AC426" s="6">
        <f t="shared" si="104"/>
        <v>5.050505050504972E-3</v>
      </c>
      <c r="AD426" s="21">
        <v>45516</v>
      </c>
      <c r="AE426" s="1">
        <v>8.75</v>
      </c>
      <c r="AF426" s="1">
        <v>8.5076000000000001</v>
      </c>
      <c r="AG426" s="6">
        <f t="shared" si="105"/>
        <v>0</v>
      </c>
      <c r="AH426" s="21">
        <v>45516</v>
      </c>
      <c r="AI426" s="1">
        <v>9.42</v>
      </c>
      <c r="AJ426" s="1">
        <v>9.1186000000000007</v>
      </c>
      <c r="AK426" s="6">
        <f t="shared" si="106"/>
        <v>1.1817445434471496E-2</v>
      </c>
      <c r="AL426" s="21">
        <v>45516</v>
      </c>
      <c r="AM426" s="1">
        <v>1.69</v>
      </c>
      <c r="AN426" s="1">
        <v>1.69</v>
      </c>
      <c r="AO426" s="6">
        <v>-3.9772727272727293E-2</v>
      </c>
      <c r="AP426" s="21" t="s">
        <v>429</v>
      </c>
      <c r="AQ426" s="1">
        <v>9788.0499999999993</v>
      </c>
      <c r="AR426" s="6">
        <v>-5.6363511977763903E-4</v>
      </c>
    </row>
    <row r="427" spans="2:44" x14ac:dyDescent="0.35">
      <c r="B427" s="21">
        <v>45518</v>
      </c>
      <c r="C427" s="1">
        <v>0.62</v>
      </c>
      <c r="D427" s="1">
        <v>0.62</v>
      </c>
      <c r="E427" s="6">
        <f t="shared" si="109"/>
        <v>-1.5873015873015928E-2</v>
      </c>
      <c r="F427" s="21">
        <v>45518</v>
      </c>
      <c r="G427" s="1">
        <v>16.3</v>
      </c>
      <c r="H427" s="1">
        <v>13.0451</v>
      </c>
      <c r="I427" s="6">
        <f t="shared" si="107"/>
        <v>0</v>
      </c>
      <c r="J427" s="21">
        <v>45518</v>
      </c>
      <c r="K427" s="1">
        <v>53.9</v>
      </c>
      <c r="L427" s="1">
        <v>39.116599999999998</v>
      </c>
      <c r="M427" s="6">
        <f t="shared" si="102"/>
        <v>0</v>
      </c>
      <c r="N427" s="21">
        <v>45518</v>
      </c>
      <c r="O427" s="1">
        <v>11.64</v>
      </c>
      <c r="P427" s="1">
        <v>10.8672</v>
      </c>
      <c r="Q427" s="6">
        <f t="shared" si="103"/>
        <v>7.789895392833257E-3</v>
      </c>
      <c r="R427" s="21">
        <v>45518</v>
      </c>
      <c r="S427" s="1">
        <v>7.05</v>
      </c>
      <c r="T427" s="1">
        <v>6.6029999999999998</v>
      </c>
      <c r="U427" s="6">
        <f t="shared" si="108"/>
        <v>5.6963567686121319E-3</v>
      </c>
      <c r="V427" s="21">
        <v>45518</v>
      </c>
      <c r="W427" s="1">
        <v>6.16</v>
      </c>
      <c r="X427" s="1">
        <v>5.7839999999999998</v>
      </c>
      <c r="Y427" s="6">
        <f t="shared" si="110"/>
        <v>-4.8176187198899489E-3</v>
      </c>
      <c r="Z427" s="21">
        <v>45518</v>
      </c>
      <c r="AA427" s="1">
        <v>1.98</v>
      </c>
      <c r="AB427" s="1">
        <v>1.98</v>
      </c>
      <c r="AC427" s="6">
        <f t="shared" si="104"/>
        <v>-5.0251256281407253E-3</v>
      </c>
      <c r="AD427" s="21">
        <v>45518</v>
      </c>
      <c r="AE427" s="1">
        <v>8.9499999999999993</v>
      </c>
      <c r="AF427" s="1">
        <v>8.7020999999999997</v>
      </c>
      <c r="AG427" s="6">
        <f t="shared" si="105"/>
        <v>2.2861911702477755E-2</v>
      </c>
      <c r="AH427" s="21">
        <v>45518</v>
      </c>
      <c r="AI427" s="1">
        <v>9.4</v>
      </c>
      <c r="AJ427" s="1">
        <v>9.0991999999999997</v>
      </c>
      <c r="AK427" s="6">
        <f t="shared" si="106"/>
        <v>-2.1275195753734932E-3</v>
      </c>
      <c r="AL427" s="21">
        <v>45518</v>
      </c>
      <c r="AM427" s="1">
        <v>1.75</v>
      </c>
      <c r="AN427" s="1">
        <v>1.75</v>
      </c>
      <c r="AO427" s="6">
        <v>3.5502958579881616E-2</v>
      </c>
      <c r="AP427" s="21" t="s">
        <v>430</v>
      </c>
      <c r="AQ427" s="1">
        <v>9834.2099999999991</v>
      </c>
      <c r="AR427" s="6">
        <v>4.7159546589974344E-3</v>
      </c>
    </row>
    <row r="428" spans="2:44" x14ac:dyDescent="0.35">
      <c r="B428" s="21">
        <v>45519</v>
      </c>
      <c r="C428" s="1">
        <v>0.63</v>
      </c>
      <c r="D428" s="1">
        <v>0.63</v>
      </c>
      <c r="E428" s="6">
        <f t="shared" si="109"/>
        <v>1.6129032258064502E-2</v>
      </c>
      <c r="F428" s="21">
        <v>45519</v>
      </c>
      <c r="G428" s="1">
        <v>15.88</v>
      </c>
      <c r="H428" s="1">
        <v>12.709</v>
      </c>
      <c r="I428" s="6">
        <f t="shared" si="107"/>
        <v>-2.5764463285064876E-2</v>
      </c>
      <c r="J428" s="21">
        <v>45519</v>
      </c>
      <c r="K428" s="1">
        <v>53.9</v>
      </c>
      <c r="L428" s="1">
        <v>39.116599999999998</v>
      </c>
      <c r="M428" s="6">
        <f t="shared" si="102"/>
        <v>0</v>
      </c>
      <c r="N428" s="21">
        <v>45519</v>
      </c>
      <c r="O428" s="1">
        <v>12.33</v>
      </c>
      <c r="P428" s="1">
        <v>11.5114</v>
      </c>
      <c r="Q428" s="6">
        <f t="shared" si="103"/>
        <v>5.9279299175500455E-2</v>
      </c>
      <c r="R428" s="21">
        <v>45519</v>
      </c>
      <c r="S428" s="1">
        <v>7.05</v>
      </c>
      <c r="T428" s="1">
        <v>6.6029999999999998</v>
      </c>
      <c r="U428" s="6">
        <f t="shared" si="108"/>
        <v>0</v>
      </c>
      <c r="V428" s="21">
        <v>45519</v>
      </c>
      <c r="W428" s="1">
        <v>6.1</v>
      </c>
      <c r="X428" s="1">
        <v>5.7279999999999998</v>
      </c>
      <c r="Y428" s="6">
        <f t="shared" si="110"/>
        <v>-9.6818810511756226E-3</v>
      </c>
      <c r="Z428" s="21">
        <v>45519</v>
      </c>
      <c r="AA428" s="1">
        <v>1.99</v>
      </c>
      <c r="AB428" s="1">
        <v>1.99</v>
      </c>
      <c r="AC428" s="6">
        <f t="shared" si="104"/>
        <v>5.050505050504972E-3</v>
      </c>
      <c r="AD428" s="21">
        <v>45519</v>
      </c>
      <c r="AE428" s="1">
        <v>8.9499999999999993</v>
      </c>
      <c r="AF428" s="1">
        <v>8.7020999999999997</v>
      </c>
      <c r="AG428" s="6">
        <f t="shared" si="105"/>
        <v>0</v>
      </c>
      <c r="AH428" s="21">
        <v>45519</v>
      </c>
      <c r="AI428" s="1">
        <v>9.5399999999999991</v>
      </c>
      <c r="AJ428" s="1">
        <v>9.2347000000000001</v>
      </c>
      <c r="AK428" s="6">
        <f t="shared" si="106"/>
        <v>1.4891419025848451E-2</v>
      </c>
      <c r="AL428" s="21">
        <v>45519</v>
      </c>
      <c r="AM428" s="1">
        <v>1.75</v>
      </c>
      <c r="AN428" s="1">
        <v>1.75</v>
      </c>
      <c r="AO428" s="6">
        <v>0</v>
      </c>
      <c r="AP428" s="21" t="s">
        <v>431</v>
      </c>
      <c r="AQ428" s="1">
        <v>9838.69</v>
      </c>
      <c r="AR428" s="6">
        <v>4.5555260666607644E-4</v>
      </c>
    </row>
    <row r="429" spans="2:44" x14ac:dyDescent="0.35">
      <c r="B429" s="21">
        <v>45520</v>
      </c>
      <c r="C429" s="1">
        <v>0.65</v>
      </c>
      <c r="D429" s="1">
        <v>0.65</v>
      </c>
      <c r="E429" s="6">
        <f t="shared" si="109"/>
        <v>3.1746031746031855E-2</v>
      </c>
      <c r="F429" s="21">
        <v>45520</v>
      </c>
      <c r="G429" s="1">
        <v>16.329999999999998</v>
      </c>
      <c r="H429" s="1">
        <v>13.069100000000001</v>
      </c>
      <c r="I429" s="6">
        <f t="shared" si="107"/>
        <v>2.8334251317963632E-2</v>
      </c>
      <c r="J429" s="21">
        <v>45520</v>
      </c>
      <c r="K429" s="1">
        <v>53.9</v>
      </c>
      <c r="L429" s="1">
        <v>39.116599999999998</v>
      </c>
      <c r="M429" s="6">
        <f t="shared" si="102"/>
        <v>0</v>
      </c>
      <c r="N429" s="21">
        <v>45520</v>
      </c>
      <c r="O429" s="1">
        <v>12.9</v>
      </c>
      <c r="P429" s="1">
        <v>12.0436</v>
      </c>
      <c r="Q429" s="6">
        <f t="shared" si="103"/>
        <v>4.6232430460239282E-2</v>
      </c>
      <c r="R429" s="21">
        <v>45520</v>
      </c>
      <c r="S429" s="1">
        <v>7.05</v>
      </c>
      <c r="T429" s="1">
        <v>6.6029999999999998</v>
      </c>
      <c r="U429" s="6">
        <f t="shared" si="108"/>
        <v>0</v>
      </c>
      <c r="V429" s="21">
        <v>45520</v>
      </c>
      <c r="W429" s="1">
        <v>6.09</v>
      </c>
      <c r="X429" s="1">
        <v>5.718</v>
      </c>
      <c r="Y429" s="6">
        <f t="shared" si="110"/>
        <v>-1.7458100558659373E-3</v>
      </c>
      <c r="Z429" s="21">
        <v>45520</v>
      </c>
      <c r="AA429" s="1">
        <v>1.99</v>
      </c>
      <c r="AB429" s="1">
        <v>1.99</v>
      </c>
      <c r="AC429" s="6">
        <f t="shared" si="104"/>
        <v>0</v>
      </c>
      <c r="AD429" s="21">
        <v>45520</v>
      </c>
      <c r="AE429" s="1">
        <v>8.94</v>
      </c>
      <c r="AF429" s="1">
        <v>8.6923999999999992</v>
      </c>
      <c r="AG429" s="6">
        <f t="shared" si="105"/>
        <v>-1.1146734696223515E-3</v>
      </c>
      <c r="AH429" s="21">
        <v>45520</v>
      </c>
      <c r="AI429" s="1">
        <v>9.65</v>
      </c>
      <c r="AJ429" s="1">
        <v>9.3412000000000006</v>
      </c>
      <c r="AK429" s="6">
        <f t="shared" si="106"/>
        <v>1.153258903916754E-2</v>
      </c>
      <c r="AL429" s="21">
        <v>45520</v>
      </c>
      <c r="AM429" s="1">
        <v>1.75</v>
      </c>
      <c r="AN429" s="1">
        <v>1.75</v>
      </c>
      <c r="AO429" s="6">
        <v>0</v>
      </c>
      <c r="AP429" s="21" t="s">
        <v>432</v>
      </c>
      <c r="AQ429" s="1">
        <v>9817.14</v>
      </c>
      <c r="AR429" s="6">
        <v>-2.1903322495170352E-3</v>
      </c>
    </row>
    <row r="430" spans="2:44" x14ac:dyDescent="0.35">
      <c r="B430" s="21">
        <v>45523</v>
      </c>
      <c r="C430" s="1">
        <v>0.66</v>
      </c>
      <c r="D430" s="1">
        <v>0.66</v>
      </c>
      <c r="E430" s="6">
        <f t="shared" si="109"/>
        <v>1.538461538461533E-2</v>
      </c>
      <c r="F430" s="21">
        <v>45523</v>
      </c>
      <c r="G430" s="1">
        <v>16.32</v>
      </c>
      <c r="H430" s="1">
        <v>13.0611</v>
      </c>
      <c r="I430" s="6">
        <f t="shared" si="107"/>
        <v>-6.1213090419387495E-4</v>
      </c>
      <c r="J430" s="21">
        <v>45523</v>
      </c>
      <c r="K430" s="1">
        <v>53.5</v>
      </c>
      <c r="L430" s="1">
        <v>38.826300000000003</v>
      </c>
      <c r="M430" s="6">
        <f t="shared" si="102"/>
        <v>-7.4214016555629314E-3</v>
      </c>
      <c r="N430" s="21">
        <v>45523</v>
      </c>
      <c r="O430" s="1">
        <v>12.87</v>
      </c>
      <c r="P430" s="1">
        <v>12.015599999999999</v>
      </c>
      <c r="Q430" s="6">
        <f t="shared" si="103"/>
        <v>-2.3248862466372922E-3</v>
      </c>
      <c r="R430" s="21">
        <v>45523</v>
      </c>
      <c r="S430" s="1">
        <v>7.05</v>
      </c>
      <c r="T430" s="1">
        <v>6.6029999999999998</v>
      </c>
      <c r="U430" s="6">
        <f t="shared" si="108"/>
        <v>0</v>
      </c>
      <c r="V430" s="21">
        <v>45523</v>
      </c>
      <c r="W430" s="1">
        <v>6.09</v>
      </c>
      <c r="X430" s="1">
        <v>5.718</v>
      </c>
      <c r="Y430" s="6">
        <f t="shared" si="110"/>
        <v>0</v>
      </c>
      <c r="Z430" s="21">
        <v>45523</v>
      </c>
      <c r="AA430" s="1">
        <v>1.98</v>
      </c>
      <c r="AB430" s="1">
        <v>1.98</v>
      </c>
      <c r="AC430" s="6">
        <f t="shared" si="104"/>
        <v>-5.0251256281407253E-3</v>
      </c>
      <c r="AD430" s="21">
        <v>45523</v>
      </c>
      <c r="AE430" s="1">
        <v>8.94</v>
      </c>
      <c r="AF430" s="1">
        <v>8.6923999999999992</v>
      </c>
      <c r="AG430" s="6">
        <f t="shared" si="105"/>
        <v>0</v>
      </c>
      <c r="AH430" s="21">
        <v>45523</v>
      </c>
      <c r="AI430" s="1">
        <v>9.69</v>
      </c>
      <c r="AJ430" s="1">
        <v>9.3798999999999992</v>
      </c>
      <c r="AK430" s="6">
        <f t="shared" si="106"/>
        <v>4.142936667665742E-3</v>
      </c>
      <c r="AL430" s="21">
        <v>45523</v>
      </c>
      <c r="AM430" s="1">
        <v>1.75</v>
      </c>
      <c r="AN430" s="1">
        <v>1.75</v>
      </c>
      <c r="AO430" s="6">
        <v>0</v>
      </c>
      <c r="AP430" s="21" t="s">
        <v>433</v>
      </c>
      <c r="AQ430" s="1">
        <v>9807.39</v>
      </c>
      <c r="AR430" s="6">
        <v>-9.9316094096646435E-4</v>
      </c>
    </row>
    <row r="431" spans="2:44" x14ac:dyDescent="0.35">
      <c r="B431" s="21">
        <v>45524</v>
      </c>
      <c r="C431" s="1">
        <v>0.68</v>
      </c>
      <c r="D431" s="1">
        <v>0.68</v>
      </c>
      <c r="E431" s="6">
        <f t="shared" si="109"/>
        <v>3.0303030303030276E-2</v>
      </c>
      <c r="F431" s="21">
        <v>45524</v>
      </c>
      <c r="G431" s="1">
        <v>16.32</v>
      </c>
      <c r="H431" s="1">
        <v>13.0611</v>
      </c>
      <c r="I431" s="6">
        <f t="shared" si="107"/>
        <v>0</v>
      </c>
      <c r="J431" s="21">
        <v>45524</v>
      </c>
      <c r="K431" s="1">
        <v>53.5</v>
      </c>
      <c r="L431" s="1">
        <v>38.826300000000003</v>
      </c>
      <c r="M431" s="6">
        <f t="shared" si="102"/>
        <v>0</v>
      </c>
      <c r="N431" s="21">
        <v>45524</v>
      </c>
      <c r="O431" s="1">
        <v>12.98</v>
      </c>
      <c r="P431" s="1">
        <v>12.1183</v>
      </c>
      <c r="Q431" s="6">
        <f t="shared" si="103"/>
        <v>8.5472219448050613E-3</v>
      </c>
      <c r="R431" s="21">
        <v>45524</v>
      </c>
      <c r="S431" s="1">
        <v>7.03</v>
      </c>
      <c r="T431" s="1">
        <v>6.5842999999999998</v>
      </c>
      <c r="U431" s="6">
        <f t="shared" si="108"/>
        <v>-2.8320460396789038E-3</v>
      </c>
      <c r="V431" s="21">
        <v>45524</v>
      </c>
      <c r="W431" s="1">
        <v>6.09</v>
      </c>
      <c r="X431" s="1">
        <v>5.718</v>
      </c>
      <c r="Y431" s="6">
        <f t="shared" si="110"/>
        <v>0</v>
      </c>
      <c r="Z431" s="21">
        <v>45524</v>
      </c>
      <c r="AA431" s="1">
        <v>2.0099999999999998</v>
      </c>
      <c r="AB431" s="1">
        <v>2.0099999999999998</v>
      </c>
      <c r="AC431" s="6">
        <f t="shared" si="104"/>
        <v>1.5151515151515138E-2</v>
      </c>
      <c r="AD431" s="21">
        <v>45524</v>
      </c>
      <c r="AE431" s="1">
        <v>8.94</v>
      </c>
      <c r="AF431" s="1">
        <v>8.6923999999999992</v>
      </c>
      <c r="AG431" s="6">
        <f t="shared" si="105"/>
        <v>0</v>
      </c>
      <c r="AH431" s="21">
        <v>45524</v>
      </c>
      <c r="AI431" s="1">
        <v>9.6</v>
      </c>
      <c r="AJ431" s="1">
        <v>9.2927999999999997</v>
      </c>
      <c r="AK431" s="6">
        <f t="shared" si="106"/>
        <v>-9.285813281591393E-3</v>
      </c>
      <c r="AL431" s="21">
        <v>45524</v>
      </c>
      <c r="AM431" s="1">
        <v>1.75</v>
      </c>
      <c r="AN431" s="1">
        <v>1.75</v>
      </c>
      <c r="AO431" s="6">
        <v>0</v>
      </c>
      <c r="AP431" s="21" t="s">
        <v>434</v>
      </c>
      <c r="AQ431" s="1">
        <v>9788.43</v>
      </c>
      <c r="AR431" s="6">
        <v>-1.9332360597467124E-3</v>
      </c>
    </row>
    <row r="432" spans="2:44" x14ac:dyDescent="0.35">
      <c r="B432" s="21">
        <v>45525</v>
      </c>
      <c r="C432" s="1">
        <v>0.71</v>
      </c>
      <c r="D432" s="1">
        <v>0.71</v>
      </c>
      <c r="E432" s="6">
        <f t="shared" si="109"/>
        <v>4.4117647058823373E-2</v>
      </c>
      <c r="F432" s="21">
        <v>45525</v>
      </c>
      <c r="G432" s="1">
        <v>15.92</v>
      </c>
      <c r="H432" s="1">
        <v>12.741</v>
      </c>
      <c r="I432" s="6">
        <f t="shared" si="107"/>
        <v>-2.4507889840825081E-2</v>
      </c>
      <c r="J432" s="21">
        <v>45525</v>
      </c>
      <c r="K432" s="1">
        <v>53.5</v>
      </c>
      <c r="L432" s="1">
        <v>38.826300000000003</v>
      </c>
      <c r="M432" s="6">
        <f t="shared" si="102"/>
        <v>0</v>
      </c>
      <c r="N432" s="21">
        <v>45525</v>
      </c>
      <c r="O432" s="1">
        <v>12.79</v>
      </c>
      <c r="P432" s="1">
        <v>11.940899999999999</v>
      </c>
      <c r="Q432" s="6">
        <f t="shared" si="103"/>
        <v>-1.4639017023839962E-2</v>
      </c>
      <c r="R432" s="21">
        <v>45525</v>
      </c>
      <c r="S432" s="1">
        <v>7.09</v>
      </c>
      <c r="T432" s="1">
        <v>6.6405000000000003</v>
      </c>
      <c r="U432" s="6">
        <f t="shared" si="108"/>
        <v>8.5354555533618814E-3</v>
      </c>
      <c r="V432" s="21">
        <v>45525</v>
      </c>
      <c r="W432" s="1">
        <v>6.09</v>
      </c>
      <c r="X432" s="1">
        <v>5.718</v>
      </c>
      <c r="Y432" s="6">
        <f t="shared" si="110"/>
        <v>0</v>
      </c>
      <c r="Z432" s="21">
        <v>45525</v>
      </c>
      <c r="AA432" s="1">
        <v>2.0699999999999998</v>
      </c>
      <c r="AB432" s="1">
        <v>2.0699999999999998</v>
      </c>
      <c r="AC432" s="6">
        <f t="shared" si="104"/>
        <v>2.9850746268656803E-2</v>
      </c>
      <c r="AD432" s="21">
        <v>45525</v>
      </c>
      <c r="AE432" s="1">
        <v>8.94</v>
      </c>
      <c r="AF432" s="1">
        <v>8.6923999999999992</v>
      </c>
      <c r="AG432" s="6">
        <f t="shared" si="105"/>
        <v>0</v>
      </c>
      <c r="AH432" s="21">
        <v>45525</v>
      </c>
      <c r="AI432" s="1">
        <v>9.6</v>
      </c>
      <c r="AJ432" s="1">
        <v>9.2927999999999997</v>
      </c>
      <c r="AK432" s="6">
        <f t="shared" si="106"/>
        <v>0</v>
      </c>
      <c r="AL432" s="21">
        <v>45525</v>
      </c>
      <c r="AM432" s="1">
        <v>1.75</v>
      </c>
      <c r="AN432" s="1">
        <v>1.75</v>
      </c>
      <c r="AO432" s="6">
        <v>0</v>
      </c>
      <c r="AP432" s="21" t="s">
        <v>435</v>
      </c>
      <c r="AQ432" s="1">
        <v>9791.7800000000007</v>
      </c>
      <c r="AR432" s="6">
        <v>3.4224078835931593E-4</v>
      </c>
    </row>
    <row r="433" spans="2:44" x14ac:dyDescent="0.35">
      <c r="B433" s="21">
        <v>45526</v>
      </c>
      <c r="C433" s="1">
        <v>0.72</v>
      </c>
      <c r="D433" s="1">
        <v>0.72</v>
      </c>
      <c r="E433" s="6">
        <f t="shared" si="109"/>
        <v>1.4084507042253502E-2</v>
      </c>
      <c r="F433" s="21">
        <v>45526</v>
      </c>
      <c r="G433" s="1">
        <v>16.100000000000001</v>
      </c>
      <c r="H433" s="1">
        <v>12.885</v>
      </c>
      <c r="I433" s="6">
        <f t="shared" si="107"/>
        <v>1.1302095596891881E-2</v>
      </c>
      <c r="J433" s="21">
        <v>45526</v>
      </c>
      <c r="K433" s="1">
        <v>53.8</v>
      </c>
      <c r="L433" s="1">
        <v>39.0441</v>
      </c>
      <c r="M433" s="6">
        <f t="shared" si="102"/>
        <v>5.6095996785683333E-3</v>
      </c>
      <c r="N433" s="21">
        <v>45526</v>
      </c>
      <c r="O433" s="1">
        <v>12.8</v>
      </c>
      <c r="P433" s="1">
        <v>11.950200000000001</v>
      </c>
      <c r="Q433" s="6">
        <f t="shared" si="103"/>
        <v>7.7883576614845573E-4</v>
      </c>
      <c r="R433" s="21">
        <v>45526</v>
      </c>
      <c r="S433" s="1">
        <v>7.03</v>
      </c>
      <c r="T433" s="1">
        <v>6.5842999999999998</v>
      </c>
      <c r="U433" s="6">
        <f t="shared" si="108"/>
        <v>-8.4632181311649068E-3</v>
      </c>
      <c r="V433" s="21">
        <v>45526</v>
      </c>
      <c r="W433" s="1">
        <v>6</v>
      </c>
      <c r="X433" s="1">
        <v>5.6340000000000003</v>
      </c>
      <c r="Y433" s="6">
        <f t="shared" si="110"/>
        <v>-1.4690451206715527E-2</v>
      </c>
      <c r="Z433" s="21">
        <v>45526</v>
      </c>
      <c r="AA433" s="1">
        <v>2.0499999999999998</v>
      </c>
      <c r="AB433" s="1">
        <v>2.0499999999999998</v>
      </c>
      <c r="AC433" s="6">
        <f t="shared" si="104"/>
        <v>-9.6618357487923134E-3</v>
      </c>
      <c r="AD433" s="21">
        <v>45526</v>
      </c>
      <c r="AE433" s="1">
        <v>8.9</v>
      </c>
      <c r="AF433" s="1">
        <v>8.6534999999999993</v>
      </c>
      <c r="AG433" s="6">
        <f t="shared" si="105"/>
        <v>-4.475173714969416E-3</v>
      </c>
      <c r="AH433" s="21">
        <v>45526</v>
      </c>
      <c r="AI433" s="1">
        <v>9.57</v>
      </c>
      <c r="AJ433" s="1">
        <v>9.2637999999999998</v>
      </c>
      <c r="AK433" s="6">
        <f t="shared" si="106"/>
        <v>-3.1206955922864488E-3</v>
      </c>
      <c r="AL433" s="21">
        <v>45526</v>
      </c>
      <c r="AM433" s="1">
        <v>1.75</v>
      </c>
      <c r="AN433" s="1">
        <v>1.75</v>
      </c>
      <c r="AO433" s="6">
        <v>0</v>
      </c>
      <c r="AP433" s="21" t="s">
        <v>436</v>
      </c>
      <c r="AQ433" s="1">
        <v>9792.8700000000008</v>
      </c>
      <c r="AR433" s="6">
        <v>1.1131786049123349E-4</v>
      </c>
    </row>
    <row r="434" spans="2:44" x14ac:dyDescent="0.35">
      <c r="B434" s="21">
        <v>45527</v>
      </c>
      <c r="C434" s="1">
        <v>0.72</v>
      </c>
      <c r="D434" s="1">
        <v>0.72</v>
      </c>
      <c r="E434" s="6">
        <f t="shared" si="109"/>
        <v>0</v>
      </c>
      <c r="F434" s="21">
        <v>45527</v>
      </c>
      <c r="G434" s="1">
        <v>15.97</v>
      </c>
      <c r="H434" s="1">
        <v>12.781000000000001</v>
      </c>
      <c r="I434" s="6">
        <f t="shared" si="107"/>
        <v>-8.0714008537058346E-3</v>
      </c>
      <c r="J434" s="21">
        <v>45527</v>
      </c>
      <c r="K434" s="1">
        <v>53.79</v>
      </c>
      <c r="L434" s="1">
        <v>39.036799999999999</v>
      </c>
      <c r="M434" s="6">
        <f t="shared" si="102"/>
        <v>-1.8696806943940825E-4</v>
      </c>
      <c r="N434" s="21">
        <v>45527</v>
      </c>
      <c r="O434" s="1">
        <v>12.71</v>
      </c>
      <c r="P434" s="1">
        <v>11.866199999999999</v>
      </c>
      <c r="Q434" s="6">
        <f t="shared" si="103"/>
        <v>-7.0291710598986423E-3</v>
      </c>
      <c r="R434" s="21">
        <v>45527</v>
      </c>
      <c r="S434" s="1">
        <v>7.01</v>
      </c>
      <c r="T434" s="1">
        <v>6.5655999999999999</v>
      </c>
      <c r="U434" s="6">
        <f t="shared" si="108"/>
        <v>-2.8400893033427854E-3</v>
      </c>
      <c r="V434" s="21">
        <v>45527</v>
      </c>
      <c r="W434" s="1">
        <v>6</v>
      </c>
      <c r="X434" s="1">
        <v>5.6340000000000003</v>
      </c>
      <c r="Y434" s="6">
        <f t="shared" si="110"/>
        <v>0</v>
      </c>
      <c r="Z434" s="21">
        <v>45527</v>
      </c>
      <c r="AA434" s="1">
        <v>2.02</v>
      </c>
      <c r="AB434" s="1">
        <v>2.02</v>
      </c>
      <c r="AC434" s="6">
        <f t="shared" si="104"/>
        <v>-1.4634146341463317E-2</v>
      </c>
      <c r="AD434" s="21">
        <v>45527</v>
      </c>
      <c r="AE434" s="1">
        <v>8.7799999999999994</v>
      </c>
      <c r="AF434" s="1">
        <v>8.5367999999999995</v>
      </c>
      <c r="AG434" s="6">
        <f t="shared" si="105"/>
        <v>-1.3485872768244089E-2</v>
      </c>
      <c r="AH434" s="21">
        <v>45527</v>
      </c>
      <c r="AI434" s="1">
        <v>9.57</v>
      </c>
      <c r="AJ434" s="1">
        <v>9.2637999999999998</v>
      </c>
      <c r="AK434" s="6">
        <f t="shared" si="106"/>
        <v>0</v>
      </c>
      <c r="AL434" s="21">
        <v>45527</v>
      </c>
      <c r="AM434" s="1">
        <v>1.75</v>
      </c>
      <c r="AN434" s="1">
        <v>1.75</v>
      </c>
      <c r="AO434" s="6">
        <v>0</v>
      </c>
      <c r="AP434" s="21" t="s">
        <v>437</v>
      </c>
      <c r="AQ434" s="1">
        <v>9762.01</v>
      </c>
      <c r="AR434" s="6">
        <v>-3.1512723032165457E-3</v>
      </c>
    </row>
    <row r="435" spans="2:44" x14ac:dyDescent="0.35">
      <c r="B435" s="21">
        <v>45530</v>
      </c>
      <c r="C435" s="1">
        <v>0.73</v>
      </c>
      <c r="D435" s="1">
        <v>0.73</v>
      </c>
      <c r="E435" s="6">
        <f t="shared" si="109"/>
        <v>1.388888888888884E-2</v>
      </c>
      <c r="F435" s="21">
        <v>45530</v>
      </c>
      <c r="G435" s="1">
        <v>16.149999999999999</v>
      </c>
      <c r="H435" s="1">
        <v>12.925000000000001</v>
      </c>
      <c r="I435" s="6">
        <f t="shared" si="107"/>
        <v>1.1266724043502041E-2</v>
      </c>
      <c r="J435" s="21">
        <v>45530</v>
      </c>
      <c r="K435" s="1">
        <v>53.5</v>
      </c>
      <c r="L435" s="1">
        <v>38.826300000000003</v>
      </c>
      <c r="M435" s="6">
        <f t="shared" si="102"/>
        <v>-5.3923477334206771E-3</v>
      </c>
      <c r="N435" s="21">
        <v>45530</v>
      </c>
      <c r="O435" s="1">
        <v>12.7</v>
      </c>
      <c r="P435" s="1">
        <v>11.8569</v>
      </c>
      <c r="Q435" s="6">
        <f t="shared" si="103"/>
        <v>-7.8373868635284172E-4</v>
      </c>
      <c r="R435" s="21">
        <v>45530</v>
      </c>
      <c r="S435" s="1">
        <v>7.03</v>
      </c>
      <c r="T435" s="1">
        <v>6.5842999999999998</v>
      </c>
      <c r="U435" s="6">
        <f t="shared" si="108"/>
        <v>2.848178384306177E-3</v>
      </c>
      <c r="V435" s="21">
        <v>45530</v>
      </c>
      <c r="W435" s="1">
        <v>6</v>
      </c>
      <c r="X435" s="1">
        <v>5.6340000000000003</v>
      </c>
      <c r="Y435" s="6">
        <f t="shared" si="110"/>
        <v>0</v>
      </c>
      <c r="Z435" s="21">
        <v>45530</v>
      </c>
      <c r="AA435" s="1">
        <v>2</v>
      </c>
      <c r="AB435" s="1">
        <v>2</v>
      </c>
      <c r="AC435" s="6">
        <f t="shared" si="104"/>
        <v>-9.9009900990099098E-3</v>
      </c>
      <c r="AD435" s="21">
        <v>45530</v>
      </c>
      <c r="AE435" s="1">
        <v>8.9</v>
      </c>
      <c r="AF435" s="1">
        <v>8.6534999999999993</v>
      </c>
      <c r="AG435" s="6">
        <f t="shared" si="105"/>
        <v>1.3670227719988715E-2</v>
      </c>
      <c r="AH435" s="21">
        <v>45530</v>
      </c>
      <c r="AI435" s="1">
        <v>9.4600000000000009</v>
      </c>
      <c r="AJ435" s="1">
        <v>9.1572999999999993</v>
      </c>
      <c r="AK435" s="6">
        <f t="shared" si="106"/>
        <v>-1.1496362183984976E-2</v>
      </c>
      <c r="AL435" s="21">
        <v>45530</v>
      </c>
      <c r="AM435" s="1">
        <v>1.68</v>
      </c>
      <c r="AN435" s="1">
        <v>1.68</v>
      </c>
      <c r="AO435" s="6">
        <v>-4.0000000000000036E-2</v>
      </c>
      <c r="AP435" s="21" t="s">
        <v>438</v>
      </c>
      <c r="AQ435" s="1">
        <v>9761.49</v>
      </c>
      <c r="AR435" s="6">
        <v>-5.3267718430949351E-5</v>
      </c>
    </row>
    <row r="436" spans="2:44" x14ac:dyDescent="0.35">
      <c r="B436" s="21">
        <v>45531</v>
      </c>
      <c r="C436" s="1">
        <v>0.73</v>
      </c>
      <c r="D436" s="1">
        <v>0.73</v>
      </c>
      <c r="E436" s="6">
        <f t="shared" si="109"/>
        <v>0</v>
      </c>
      <c r="F436" s="21">
        <v>45531</v>
      </c>
      <c r="G436" s="1">
        <v>15.97</v>
      </c>
      <c r="H436" s="1">
        <v>12.781000000000001</v>
      </c>
      <c r="I436" s="6">
        <f t="shared" si="107"/>
        <v>-1.1141199226305631E-2</v>
      </c>
      <c r="J436" s="21">
        <v>45531</v>
      </c>
      <c r="K436" s="1">
        <v>53.4</v>
      </c>
      <c r="L436" s="1">
        <v>38.753799999999998</v>
      </c>
      <c r="M436" s="6">
        <f t="shared" si="102"/>
        <v>-1.867290985749448E-3</v>
      </c>
      <c r="N436" s="21">
        <v>45531</v>
      </c>
      <c r="O436" s="1">
        <v>12.69</v>
      </c>
      <c r="P436" s="1">
        <v>11.8475</v>
      </c>
      <c r="Q436" s="6">
        <f t="shared" si="103"/>
        <v>-7.9278732214993486E-4</v>
      </c>
      <c r="R436" s="21">
        <v>45531</v>
      </c>
      <c r="S436" s="1">
        <v>7.01</v>
      </c>
      <c r="T436" s="1">
        <v>6.5655999999999999</v>
      </c>
      <c r="U436" s="6">
        <f t="shared" si="108"/>
        <v>-2.8400893033427854E-3</v>
      </c>
      <c r="V436" s="21">
        <v>45531</v>
      </c>
      <c r="W436" s="1">
        <v>6</v>
      </c>
      <c r="X436" s="1">
        <v>5.6340000000000003</v>
      </c>
      <c r="Y436" s="6">
        <f t="shared" si="110"/>
        <v>0</v>
      </c>
      <c r="Z436" s="21">
        <v>45531</v>
      </c>
      <c r="AA436" s="1">
        <v>2</v>
      </c>
      <c r="AB436" s="1">
        <v>2</v>
      </c>
      <c r="AC436" s="6">
        <f t="shared" si="104"/>
        <v>0</v>
      </c>
      <c r="AD436" s="21">
        <v>45531</v>
      </c>
      <c r="AE436" s="1">
        <v>8.9</v>
      </c>
      <c r="AF436" s="1">
        <v>8.6534999999999993</v>
      </c>
      <c r="AG436" s="6">
        <f t="shared" si="105"/>
        <v>0</v>
      </c>
      <c r="AH436" s="21">
        <v>45531</v>
      </c>
      <c r="AI436" s="1">
        <v>9.3699999999999992</v>
      </c>
      <c r="AJ436" s="1">
        <v>9.0701999999999998</v>
      </c>
      <c r="AK436" s="6">
        <f t="shared" si="106"/>
        <v>-9.5115372435106149E-3</v>
      </c>
      <c r="AL436" s="21">
        <v>45531</v>
      </c>
      <c r="AM436" s="1">
        <v>1.75</v>
      </c>
      <c r="AN436" s="1">
        <v>1.75</v>
      </c>
      <c r="AO436" s="6">
        <v>4.1666666666666741E-2</v>
      </c>
      <c r="AP436" s="21" t="s">
        <v>439</v>
      </c>
      <c r="AQ436" s="1">
        <v>9744.15</v>
      </c>
      <c r="AR436" s="6">
        <v>-1.7763681569105128E-3</v>
      </c>
    </row>
    <row r="437" spans="2:44" x14ac:dyDescent="0.35">
      <c r="B437" s="21">
        <v>45532</v>
      </c>
      <c r="C437" s="1">
        <v>0.73</v>
      </c>
      <c r="D437" s="1">
        <v>0.73</v>
      </c>
      <c r="E437" s="6">
        <f t="shared" si="109"/>
        <v>0</v>
      </c>
      <c r="F437" s="21">
        <v>45532</v>
      </c>
      <c r="G437" s="1">
        <v>15.7</v>
      </c>
      <c r="H437" s="1">
        <v>12.5649</v>
      </c>
      <c r="I437" s="6">
        <f t="shared" si="107"/>
        <v>-1.6907910179172259E-2</v>
      </c>
      <c r="J437" s="21">
        <v>45532</v>
      </c>
      <c r="K437" s="1">
        <v>53.4</v>
      </c>
      <c r="L437" s="1">
        <v>38.753799999999998</v>
      </c>
      <c r="M437" s="6">
        <f t="shared" si="102"/>
        <v>0</v>
      </c>
      <c r="N437" s="21">
        <v>45532</v>
      </c>
      <c r="O437" s="1">
        <v>12.75</v>
      </c>
      <c r="P437" s="1">
        <v>11.903499999999999</v>
      </c>
      <c r="Q437" s="6">
        <f t="shared" si="103"/>
        <v>4.7267355982274495E-3</v>
      </c>
      <c r="R437" s="21">
        <v>45532</v>
      </c>
      <c r="S437" s="1">
        <v>7.03</v>
      </c>
      <c r="T437" s="1">
        <v>6.5842999999999998</v>
      </c>
      <c r="U437" s="6">
        <f t="shared" si="108"/>
        <v>2.848178384306177E-3</v>
      </c>
      <c r="V437" s="21">
        <v>45532</v>
      </c>
      <c r="W437" s="1">
        <v>5.99</v>
      </c>
      <c r="X437" s="1">
        <v>5.625</v>
      </c>
      <c r="Y437" s="6">
        <f t="shared" si="110"/>
        <v>-1.5974440894569453E-3</v>
      </c>
      <c r="Z437" s="21">
        <v>45532</v>
      </c>
      <c r="AA437" s="1">
        <v>2</v>
      </c>
      <c r="AB437" s="1">
        <v>2</v>
      </c>
      <c r="AC437" s="6">
        <f t="shared" si="104"/>
        <v>0</v>
      </c>
      <c r="AD437" s="21">
        <v>45532</v>
      </c>
      <c r="AE437" s="1">
        <v>8.8000000000000007</v>
      </c>
      <c r="AF437" s="1">
        <v>8.5562000000000005</v>
      </c>
      <c r="AG437" s="6">
        <f t="shared" si="105"/>
        <v>-1.124400531576808E-2</v>
      </c>
      <c r="AH437" s="21">
        <v>45532</v>
      </c>
      <c r="AI437" s="1">
        <v>9.4499999999999993</v>
      </c>
      <c r="AJ437" s="1">
        <v>9.1476000000000006</v>
      </c>
      <c r="AK437" s="6">
        <f t="shared" si="106"/>
        <v>8.5334391744393834E-3</v>
      </c>
      <c r="AL437" s="21">
        <v>45532</v>
      </c>
      <c r="AM437" s="1">
        <v>1.75</v>
      </c>
      <c r="AN437" s="1">
        <v>1.75</v>
      </c>
      <c r="AO437" s="6">
        <v>0</v>
      </c>
      <c r="AP437" s="21" t="s">
        <v>440</v>
      </c>
      <c r="AQ437" s="1">
        <v>9769.84</v>
      </c>
      <c r="AR437" s="6">
        <v>2.6364536670719918E-3</v>
      </c>
    </row>
    <row r="438" spans="2:44" x14ac:dyDescent="0.35">
      <c r="B438" s="21">
        <v>45533</v>
      </c>
      <c r="C438" s="1">
        <v>0.71</v>
      </c>
      <c r="D438" s="1">
        <v>0.71</v>
      </c>
      <c r="E438" s="6">
        <f t="shared" si="109"/>
        <v>-2.7397260273972601E-2</v>
      </c>
      <c r="F438" s="21">
        <v>45533</v>
      </c>
      <c r="G438" s="1">
        <v>15.97</v>
      </c>
      <c r="H438" s="1">
        <v>12.781000000000001</v>
      </c>
      <c r="I438" s="6">
        <f t="shared" si="107"/>
        <v>1.7198704327133552E-2</v>
      </c>
      <c r="J438" s="21">
        <v>45533</v>
      </c>
      <c r="K438" s="1">
        <v>53.5</v>
      </c>
      <c r="L438" s="1">
        <v>38.826300000000003</v>
      </c>
      <c r="M438" s="6">
        <f t="shared" si="102"/>
        <v>1.8707842843799227E-3</v>
      </c>
      <c r="N438" s="21">
        <v>45533</v>
      </c>
      <c r="O438" s="1">
        <v>12.99</v>
      </c>
      <c r="P438" s="1">
        <v>12.127599999999999</v>
      </c>
      <c r="Q438" s="6">
        <f t="shared" si="103"/>
        <v>1.882639559793331E-2</v>
      </c>
      <c r="R438" s="21">
        <v>45533</v>
      </c>
      <c r="S438" s="1">
        <v>7.03</v>
      </c>
      <c r="T438" s="1">
        <v>6.5842999999999998</v>
      </c>
      <c r="U438" s="6">
        <f t="shared" si="108"/>
        <v>0</v>
      </c>
      <c r="V438" s="21">
        <v>45533</v>
      </c>
      <c r="W438" s="1">
        <v>6</v>
      </c>
      <c r="X438" s="1">
        <v>5.6340000000000003</v>
      </c>
      <c r="Y438" s="6">
        <f t="shared" si="110"/>
        <v>1.6000000000000458E-3</v>
      </c>
      <c r="Z438" s="21">
        <v>45533</v>
      </c>
      <c r="AA438" s="1">
        <v>2.04</v>
      </c>
      <c r="AB438" s="1">
        <v>2.04</v>
      </c>
      <c r="AC438" s="6">
        <f t="shared" si="104"/>
        <v>2.0000000000000018E-2</v>
      </c>
      <c r="AD438" s="21">
        <v>45533</v>
      </c>
      <c r="AE438" s="1">
        <v>8.9</v>
      </c>
      <c r="AF438" s="1">
        <v>8.6534999999999993</v>
      </c>
      <c r="AG438" s="6">
        <f t="shared" si="105"/>
        <v>1.1371870690259467E-2</v>
      </c>
      <c r="AH438" s="21">
        <v>45533</v>
      </c>
      <c r="AI438" s="1">
        <v>9.4600000000000009</v>
      </c>
      <c r="AJ438" s="1">
        <v>9.1572999999999993</v>
      </c>
      <c r="AK438" s="6">
        <f t="shared" si="106"/>
        <v>1.06038742402359E-3</v>
      </c>
      <c r="AL438" s="21">
        <v>45533</v>
      </c>
      <c r="AM438" s="1">
        <v>1.75</v>
      </c>
      <c r="AN438" s="1">
        <v>1.75</v>
      </c>
      <c r="AO438" s="6">
        <v>0</v>
      </c>
      <c r="AP438" s="21" t="s">
        <v>441</v>
      </c>
      <c r="AQ438" s="1">
        <v>9789.81</v>
      </c>
      <c r="AR438" s="6">
        <v>2.044045757146451E-3</v>
      </c>
    </row>
    <row r="439" spans="2:44" x14ac:dyDescent="0.35">
      <c r="B439" s="21">
        <v>45534</v>
      </c>
      <c r="C439" s="1">
        <v>0.72</v>
      </c>
      <c r="D439" s="1">
        <v>0.72</v>
      </c>
      <c r="E439" s="6">
        <f t="shared" si="109"/>
        <v>1.4084507042253502E-2</v>
      </c>
      <c r="F439" s="21">
        <v>45534</v>
      </c>
      <c r="G439" s="1">
        <v>15.97</v>
      </c>
      <c r="H439" s="1">
        <v>12.781000000000001</v>
      </c>
      <c r="I439" s="6">
        <f t="shared" si="107"/>
        <v>0</v>
      </c>
      <c r="J439" s="21">
        <v>45534</v>
      </c>
      <c r="K439" s="1">
        <v>54</v>
      </c>
      <c r="L439" s="1">
        <v>39.1892</v>
      </c>
      <c r="M439" s="6">
        <f t="shared" si="102"/>
        <v>9.346757223840374E-3</v>
      </c>
      <c r="N439" s="21">
        <v>45534</v>
      </c>
      <c r="O439" s="1">
        <v>13.25</v>
      </c>
      <c r="P439" s="1">
        <v>12.3703</v>
      </c>
      <c r="Q439" s="6">
        <f t="shared" si="103"/>
        <v>2.0012203568719356E-2</v>
      </c>
      <c r="R439" s="21">
        <v>45534</v>
      </c>
      <c r="S439" s="1">
        <v>7.2</v>
      </c>
      <c r="T439" s="1">
        <v>6.7435</v>
      </c>
      <c r="U439" s="6">
        <f t="shared" si="108"/>
        <v>2.4178728186747378E-2</v>
      </c>
      <c r="V439" s="21">
        <v>45534</v>
      </c>
      <c r="W439" s="1">
        <v>6</v>
      </c>
      <c r="X439" s="1">
        <v>5.6340000000000003</v>
      </c>
      <c r="Y439" s="6">
        <f t="shared" si="110"/>
        <v>0</v>
      </c>
      <c r="Z439" s="21">
        <v>45534</v>
      </c>
      <c r="AA439" s="1">
        <v>2.0499999999999998</v>
      </c>
      <c r="AB439" s="1">
        <v>2.0499999999999998</v>
      </c>
      <c r="AC439" s="6">
        <f t="shared" si="104"/>
        <v>4.9019607843137081E-3</v>
      </c>
      <c r="AD439" s="21">
        <v>45534</v>
      </c>
      <c r="AE439" s="1">
        <v>8.9</v>
      </c>
      <c r="AF439" s="1">
        <v>8.6534999999999993</v>
      </c>
      <c r="AG439" s="6">
        <f t="shared" si="105"/>
        <v>0</v>
      </c>
      <c r="AH439" s="21">
        <v>45534</v>
      </c>
      <c r="AI439" s="1">
        <v>9.4499999999999993</v>
      </c>
      <c r="AJ439" s="1">
        <v>9.1476000000000006</v>
      </c>
      <c r="AK439" s="6">
        <f t="shared" si="106"/>
        <v>-1.0592641935940339E-3</v>
      </c>
      <c r="AL439" s="21">
        <v>45534</v>
      </c>
      <c r="AM439" s="1">
        <v>1.75</v>
      </c>
      <c r="AN439" s="1">
        <v>1.75</v>
      </c>
      <c r="AO439" s="6">
        <v>0</v>
      </c>
      <c r="AP439" s="21" t="s">
        <v>442</v>
      </c>
      <c r="AQ439" s="1">
        <v>9810.3799999999992</v>
      </c>
      <c r="AR439" s="6">
        <v>2.1011643739765606E-3</v>
      </c>
    </row>
    <row r="440" spans="2:44" x14ac:dyDescent="0.35">
      <c r="B440" s="21">
        <v>45537</v>
      </c>
      <c r="C440" s="1">
        <v>0.71</v>
      </c>
      <c r="D440" s="1">
        <v>0.71</v>
      </c>
      <c r="E440" s="6">
        <f t="shared" si="109"/>
        <v>-1.3888888888888951E-2</v>
      </c>
      <c r="F440" s="21">
        <v>45537</v>
      </c>
      <c r="G440" s="1">
        <v>16.14</v>
      </c>
      <c r="H440" s="1">
        <v>12.917</v>
      </c>
      <c r="I440" s="6">
        <f t="shared" si="107"/>
        <v>1.0640794929974051E-2</v>
      </c>
      <c r="J440" s="21">
        <v>45537</v>
      </c>
      <c r="K440" s="1">
        <v>53.7</v>
      </c>
      <c r="L440" s="1">
        <v>38.971499999999999</v>
      </c>
      <c r="M440" s="6">
        <f t="shared" si="102"/>
        <v>-5.5551019158339709E-3</v>
      </c>
      <c r="N440" s="21">
        <v>45537</v>
      </c>
      <c r="O440" s="1">
        <v>13.44</v>
      </c>
      <c r="P440" s="1">
        <v>12.547700000000001</v>
      </c>
      <c r="Q440" s="6">
        <f t="shared" si="103"/>
        <v>1.4340800142276233E-2</v>
      </c>
      <c r="R440" s="21">
        <v>45537</v>
      </c>
      <c r="S440" s="1">
        <v>7.18</v>
      </c>
      <c r="T440" s="1">
        <v>6.7248000000000001</v>
      </c>
      <c r="U440" s="6">
        <f t="shared" si="108"/>
        <v>-2.7730407058649265E-3</v>
      </c>
      <c r="V440" s="21">
        <v>45537</v>
      </c>
      <c r="W440" s="1">
        <v>6.05</v>
      </c>
      <c r="X440" s="1">
        <v>5.681</v>
      </c>
      <c r="Y440" s="6">
        <f t="shared" si="110"/>
        <v>8.342208022719122E-3</v>
      </c>
      <c r="Z440" s="21">
        <v>45537</v>
      </c>
      <c r="AA440" s="1">
        <v>2.04</v>
      </c>
      <c r="AB440" s="1">
        <v>2.04</v>
      </c>
      <c r="AC440" s="6">
        <f t="shared" si="104"/>
        <v>-4.8780487804876982E-3</v>
      </c>
      <c r="AD440" s="21">
        <v>45537</v>
      </c>
      <c r="AE440" s="1">
        <v>8.92</v>
      </c>
      <c r="AF440" s="1">
        <v>8.6729000000000003</v>
      </c>
      <c r="AG440" s="6">
        <f t="shared" si="105"/>
        <v>2.2418674524760096E-3</v>
      </c>
      <c r="AH440" s="21">
        <v>45537</v>
      </c>
      <c r="AI440" s="1">
        <v>9.44</v>
      </c>
      <c r="AJ440" s="1">
        <v>9.1379000000000001</v>
      </c>
      <c r="AK440" s="6">
        <f t="shared" si="106"/>
        <v>-1.060387424023812E-3</v>
      </c>
      <c r="AL440" s="21">
        <v>45537</v>
      </c>
      <c r="AM440" s="1">
        <v>1.75</v>
      </c>
      <c r="AN440" s="1">
        <v>1.75</v>
      </c>
      <c r="AO440" s="6">
        <v>0</v>
      </c>
      <c r="AP440" s="21" t="s">
        <v>443</v>
      </c>
      <c r="AQ440" s="1">
        <v>9784.1</v>
      </c>
      <c r="AR440" s="6">
        <v>-2.6787953167969336E-3</v>
      </c>
    </row>
    <row r="441" spans="2:44" x14ac:dyDescent="0.35">
      <c r="B441" s="21">
        <v>45538</v>
      </c>
      <c r="C441" s="1">
        <v>0.72</v>
      </c>
      <c r="D441" s="1">
        <v>0.72</v>
      </c>
      <c r="E441" s="6">
        <f t="shared" si="109"/>
        <v>1.4084507042253502E-2</v>
      </c>
      <c r="F441" s="21">
        <v>45538</v>
      </c>
      <c r="G441" s="1">
        <v>16.18</v>
      </c>
      <c r="H441" s="1">
        <v>12.9491</v>
      </c>
      <c r="I441" s="6">
        <f t="shared" si="107"/>
        <v>2.4850971587830895E-3</v>
      </c>
      <c r="J441" s="21">
        <v>45538</v>
      </c>
      <c r="K441" s="1">
        <v>53.7</v>
      </c>
      <c r="L441" s="1">
        <v>38.971499999999999</v>
      </c>
      <c r="M441" s="6">
        <f t="shared" si="102"/>
        <v>0</v>
      </c>
      <c r="N441" s="21">
        <v>45538</v>
      </c>
      <c r="O441" s="1">
        <v>13.39</v>
      </c>
      <c r="P441" s="1">
        <v>12.500999999999999</v>
      </c>
      <c r="Q441" s="6">
        <f t="shared" si="103"/>
        <v>-3.7217976202811309E-3</v>
      </c>
      <c r="R441" s="21">
        <v>45538</v>
      </c>
      <c r="S441" s="1">
        <v>7.28</v>
      </c>
      <c r="T441" s="1">
        <v>6.8183999999999996</v>
      </c>
      <c r="U441" s="6">
        <f t="shared" si="108"/>
        <v>1.3918629550321082E-2</v>
      </c>
      <c r="V441" s="21">
        <v>45538</v>
      </c>
      <c r="W441" s="1">
        <v>6</v>
      </c>
      <c r="X441" s="1">
        <v>5.6340000000000003</v>
      </c>
      <c r="Y441" s="6">
        <f t="shared" si="110"/>
        <v>-8.2731913395528434E-3</v>
      </c>
      <c r="Z441" s="21">
        <v>45538</v>
      </c>
      <c r="AA441" s="1">
        <v>2.0099999999999998</v>
      </c>
      <c r="AB441" s="1">
        <v>2.0099999999999998</v>
      </c>
      <c r="AC441" s="6">
        <f t="shared" si="104"/>
        <v>-1.4705882352941346E-2</v>
      </c>
      <c r="AD441" s="21">
        <v>45538</v>
      </c>
      <c r="AE441" s="1">
        <v>8.99</v>
      </c>
      <c r="AF441" s="1">
        <v>8.7409999999999997</v>
      </c>
      <c r="AG441" s="6">
        <f t="shared" si="105"/>
        <v>7.852044875416464E-3</v>
      </c>
      <c r="AH441" s="21">
        <v>45538</v>
      </c>
      <c r="AI441" s="1">
        <v>9.4</v>
      </c>
      <c r="AJ441" s="1">
        <v>9.0991999999999997</v>
      </c>
      <c r="AK441" s="6">
        <f t="shared" si="106"/>
        <v>-4.2351087230108053E-3</v>
      </c>
      <c r="AL441" s="21">
        <v>45538</v>
      </c>
      <c r="AM441" s="1">
        <v>1.75</v>
      </c>
      <c r="AN441" s="1">
        <v>1.75</v>
      </c>
      <c r="AO441" s="6">
        <v>0</v>
      </c>
      <c r="AP441" s="21" t="s">
        <v>444</v>
      </c>
      <c r="AQ441" s="1">
        <v>9804.93</v>
      </c>
      <c r="AR441" s="6">
        <v>2.1289643401027902E-3</v>
      </c>
    </row>
    <row r="442" spans="2:44" x14ac:dyDescent="0.35">
      <c r="B442" s="21">
        <v>45539</v>
      </c>
      <c r="C442" s="1">
        <v>0.73</v>
      </c>
      <c r="D442" s="1">
        <v>0.73</v>
      </c>
      <c r="E442" s="6">
        <f t="shared" si="109"/>
        <v>1.388888888888884E-2</v>
      </c>
      <c r="F442" s="21">
        <v>45539</v>
      </c>
      <c r="G442" s="1">
        <v>16</v>
      </c>
      <c r="H442" s="1">
        <v>12.805</v>
      </c>
      <c r="I442" s="6">
        <f t="shared" si="107"/>
        <v>-1.112818651489289E-2</v>
      </c>
      <c r="J442" s="21">
        <v>45539</v>
      </c>
      <c r="K442" s="1">
        <v>53.6</v>
      </c>
      <c r="L442" s="1">
        <v>38.898899999999998</v>
      </c>
      <c r="M442" s="6">
        <f t="shared" si="102"/>
        <v>-1.8628998114006423E-3</v>
      </c>
      <c r="N442" s="21">
        <v>45539</v>
      </c>
      <c r="O442" s="1">
        <v>13.79</v>
      </c>
      <c r="P442" s="1">
        <v>12.874499999999999</v>
      </c>
      <c r="Q442" s="6">
        <f t="shared" si="103"/>
        <v>2.9877609791216786E-2</v>
      </c>
      <c r="R442" s="21">
        <v>45539</v>
      </c>
      <c r="S442" s="1">
        <v>7.28</v>
      </c>
      <c r="T442" s="1">
        <v>6.8183999999999996</v>
      </c>
      <c r="U442" s="6">
        <f t="shared" si="108"/>
        <v>0</v>
      </c>
      <c r="V442" s="21">
        <v>45539</v>
      </c>
      <c r="W442" s="1">
        <v>6.03</v>
      </c>
      <c r="X442" s="1">
        <v>5.6619999999999999</v>
      </c>
      <c r="Y442" s="6">
        <f t="shared" si="110"/>
        <v>4.9698260560879781E-3</v>
      </c>
      <c r="Z442" s="21">
        <v>45539</v>
      </c>
      <c r="AA442" s="1">
        <v>2.0299999999999998</v>
      </c>
      <c r="AB442" s="1">
        <v>2.0299999999999998</v>
      </c>
      <c r="AC442" s="6">
        <f t="shared" si="104"/>
        <v>9.9502487562188602E-3</v>
      </c>
      <c r="AD442" s="21">
        <v>45539</v>
      </c>
      <c r="AE442" s="1">
        <v>9.15</v>
      </c>
      <c r="AF442" s="1">
        <v>8.8964999999999996</v>
      </c>
      <c r="AG442" s="6">
        <f t="shared" si="105"/>
        <v>1.7789726575906606E-2</v>
      </c>
      <c r="AH442" s="21">
        <v>45539</v>
      </c>
      <c r="AI442" s="1">
        <v>9.36</v>
      </c>
      <c r="AJ442" s="1">
        <v>9.0604999999999993</v>
      </c>
      <c r="AK442" s="6">
        <f t="shared" si="106"/>
        <v>-4.253121153508066E-3</v>
      </c>
      <c r="AL442" s="21">
        <v>45539</v>
      </c>
      <c r="AM442" s="1">
        <v>1.75</v>
      </c>
      <c r="AN442" s="1">
        <v>1.75</v>
      </c>
      <c r="AO442" s="6">
        <v>0</v>
      </c>
      <c r="AP442" s="21" t="s">
        <v>445</v>
      </c>
      <c r="AQ442" s="1">
        <v>9800.84</v>
      </c>
      <c r="AR442" s="6">
        <v>-4.1713709327861892E-4</v>
      </c>
    </row>
    <row r="443" spans="2:44" x14ac:dyDescent="0.35">
      <c r="B443" s="21">
        <v>45540</v>
      </c>
      <c r="C443" s="1">
        <v>0.73</v>
      </c>
      <c r="D443" s="1">
        <v>0.73</v>
      </c>
      <c r="E443" s="6">
        <f t="shared" si="109"/>
        <v>0</v>
      </c>
      <c r="F443" s="21">
        <v>45540</v>
      </c>
      <c r="G443" s="1">
        <v>16</v>
      </c>
      <c r="H443" s="1">
        <v>12.805</v>
      </c>
      <c r="I443" s="6">
        <f t="shared" si="107"/>
        <v>0</v>
      </c>
      <c r="J443" s="21">
        <v>45540</v>
      </c>
      <c r="K443" s="1">
        <v>53.7</v>
      </c>
      <c r="L443" s="1">
        <v>38.971499999999999</v>
      </c>
      <c r="M443" s="6">
        <f t="shared" si="102"/>
        <v>1.8663766841735541E-3</v>
      </c>
      <c r="N443" s="21">
        <v>45540</v>
      </c>
      <c r="O443" s="1">
        <v>13.59</v>
      </c>
      <c r="P443" s="1">
        <v>12.979799999999999</v>
      </c>
      <c r="Q443" s="6">
        <f t="shared" si="103"/>
        <v>8.1789584061515708E-3</v>
      </c>
      <c r="R443" s="21">
        <v>45540</v>
      </c>
      <c r="S443" s="1">
        <v>7.25</v>
      </c>
      <c r="T443" s="1">
        <v>6.7904</v>
      </c>
      <c r="U443" s="6">
        <f t="shared" si="108"/>
        <v>-4.1065352575383463E-3</v>
      </c>
      <c r="V443" s="21">
        <v>45540</v>
      </c>
      <c r="W443" s="1">
        <v>6</v>
      </c>
      <c r="X443" s="1">
        <v>5.6340000000000003</v>
      </c>
      <c r="Y443" s="6">
        <f t="shared" si="110"/>
        <v>-4.945249028611709E-3</v>
      </c>
      <c r="Z443" s="21">
        <v>45540</v>
      </c>
      <c r="AA443" s="1">
        <v>2</v>
      </c>
      <c r="AB443" s="1">
        <v>2</v>
      </c>
      <c r="AC443" s="6">
        <f t="shared" si="104"/>
        <v>-1.477832512315258E-2</v>
      </c>
      <c r="AD443" s="21">
        <v>45540</v>
      </c>
      <c r="AE443" s="1">
        <v>9.1</v>
      </c>
      <c r="AF443" s="1">
        <v>8.8478999999999992</v>
      </c>
      <c r="AG443" s="6">
        <f t="shared" si="105"/>
        <v>-5.4628224582701224E-3</v>
      </c>
      <c r="AH443" s="21">
        <v>45540</v>
      </c>
      <c r="AI443" s="1">
        <v>9.6300000000000008</v>
      </c>
      <c r="AJ443" s="1">
        <v>9.3217999999999996</v>
      </c>
      <c r="AK443" s="6">
        <f t="shared" si="106"/>
        <v>2.8839468020528614E-2</v>
      </c>
      <c r="AL443" s="21">
        <v>45540</v>
      </c>
      <c r="AM443" s="1">
        <v>1.75</v>
      </c>
      <c r="AN443" s="1">
        <v>1.75</v>
      </c>
      <c r="AO443" s="6">
        <v>0</v>
      </c>
      <c r="AP443" s="21" t="s">
        <v>446</v>
      </c>
      <c r="AQ443" s="1">
        <v>9810.67</v>
      </c>
      <c r="AR443" s="6">
        <v>1.0029752551821147E-3</v>
      </c>
    </row>
    <row r="444" spans="2:44" x14ac:dyDescent="0.35">
      <c r="B444" s="21">
        <v>45541</v>
      </c>
      <c r="C444" s="1">
        <v>0.72</v>
      </c>
      <c r="D444" s="1">
        <v>0.72</v>
      </c>
      <c r="E444" s="6">
        <f t="shared" si="109"/>
        <v>-1.3698630136986356E-2</v>
      </c>
      <c r="F444" s="21">
        <v>45541</v>
      </c>
      <c r="G444" s="1">
        <v>16.39</v>
      </c>
      <c r="H444" s="1">
        <v>13.117100000000001</v>
      </c>
      <c r="I444" s="6">
        <f t="shared" si="107"/>
        <v>2.4373291682936449E-2</v>
      </c>
      <c r="J444" s="21">
        <v>45541</v>
      </c>
      <c r="K444" s="1">
        <v>53.9</v>
      </c>
      <c r="L444" s="1">
        <v>39.116599999999998</v>
      </c>
      <c r="M444" s="6">
        <f t="shared" si="102"/>
        <v>3.7232336450996328E-3</v>
      </c>
      <c r="N444" s="21">
        <v>45541</v>
      </c>
      <c r="O444" s="1">
        <v>13.45</v>
      </c>
      <c r="P444" s="1">
        <v>12.8461</v>
      </c>
      <c r="Q444" s="6">
        <f t="shared" si="103"/>
        <v>-1.0300620964883822E-2</v>
      </c>
      <c r="R444" s="21">
        <v>45541</v>
      </c>
      <c r="S444" s="1">
        <v>7.17</v>
      </c>
      <c r="T444" s="1">
        <v>6.7153999999999998</v>
      </c>
      <c r="U444" s="6">
        <f t="shared" si="108"/>
        <v>-1.1045004712535333E-2</v>
      </c>
      <c r="V444" s="21">
        <v>45541</v>
      </c>
      <c r="W444" s="1">
        <v>6</v>
      </c>
      <c r="X444" s="1">
        <v>5.6340000000000003</v>
      </c>
      <c r="Y444" s="6">
        <f t="shared" si="110"/>
        <v>0</v>
      </c>
      <c r="Z444" s="21">
        <v>45541</v>
      </c>
      <c r="AA444" s="1">
        <v>2.0099999999999998</v>
      </c>
      <c r="AB444" s="1">
        <v>2.0099999999999998</v>
      </c>
      <c r="AC444" s="6">
        <f t="shared" si="104"/>
        <v>4.9999999999998934E-3</v>
      </c>
      <c r="AD444" s="21">
        <v>45541</v>
      </c>
      <c r="AE444" s="1">
        <v>9.09</v>
      </c>
      <c r="AF444" s="1">
        <v>8.8382000000000005</v>
      </c>
      <c r="AG444" s="6">
        <f t="shared" si="105"/>
        <v>-1.0963053379896559E-3</v>
      </c>
      <c r="AH444" s="21">
        <v>45541</v>
      </c>
      <c r="AI444" s="1">
        <v>9.6</v>
      </c>
      <c r="AJ444" s="1">
        <v>9.2927999999999997</v>
      </c>
      <c r="AK444" s="6">
        <f t="shared" si="106"/>
        <v>-3.1109871484048535E-3</v>
      </c>
      <c r="AL444" s="21">
        <v>45541</v>
      </c>
      <c r="AM444" s="1">
        <v>1.75</v>
      </c>
      <c r="AN444" s="1">
        <v>1.75</v>
      </c>
      <c r="AO444" s="6">
        <v>0</v>
      </c>
      <c r="AP444" s="21" t="s">
        <v>447</v>
      </c>
      <c r="AQ444" s="1">
        <v>9804.44</v>
      </c>
      <c r="AR444" s="6">
        <v>-6.3502288834493825E-4</v>
      </c>
    </row>
    <row r="445" spans="2:44" x14ac:dyDescent="0.35">
      <c r="B445" s="21">
        <v>45544</v>
      </c>
      <c r="C445" s="1">
        <v>0.72</v>
      </c>
      <c r="D445" s="1">
        <v>0.72</v>
      </c>
      <c r="E445" s="6">
        <f t="shared" si="109"/>
        <v>0</v>
      </c>
      <c r="F445" s="21">
        <v>45544</v>
      </c>
      <c r="G445" s="1">
        <v>16.350000000000001</v>
      </c>
      <c r="H445" s="1">
        <v>13.085100000000001</v>
      </c>
      <c r="I445" s="6">
        <f t="shared" si="107"/>
        <v>-2.4395636230569728E-3</v>
      </c>
      <c r="J445" s="21">
        <v>45544</v>
      </c>
      <c r="K445" s="1">
        <v>53.9</v>
      </c>
      <c r="L445" s="1">
        <v>39.116599999999998</v>
      </c>
      <c r="M445" s="6">
        <f t="shared" si="102"/>
        <v>0</v>
      </c>
      <c r="N445" s="21">
        <v>45544</v>
      </c>
      <c r="O445" s="1">
        <v>13.39</v>
      </c>
      <c r="P445" s="1">
        <v>12.7888</v>
      </c>
      <c r="Q445" s="6">
        <f t="shared" si="103"/>
        <v>-4.4604977386132338E-3</v>
      </c>
      <c r="R445" s="21">
        <v>45544</v>
      </c>
      <c r="S445" s="1">
        <v>7.04</v>
      </c>
      <c r="T445" s="1">
        <v>6.5937000000000001</v>
      </c>
      <c r="U445" s="6">
        <f t="shared" si="108"/>
        <v>-1.8122524347023217E-2</v>
      </c>
      <c r="V445" s="21">
        <v>45544</v>
      </c>
      <c r="W445" s="1">
        <v>6</v>
      </c>
      <c r="X445" s="1">
        <v>5.6340000000000003</v>
      </c>
      <c r="Y445" s="6">
        <f t="shared" si="110"/>
        <v>0</v>
      </c>
      <c r="Z445" s="21">
        <v>45544</v>
      </c>
      <c r="AA445" s="1">
        <v>2.0099999999999998</v>
      </c>
      <c r="AB445" s="1">
        <v>2.0099999999999998</v>
      </c>
      <c r="AC445" s="6">
        <f t="shared" si="104"/>
        <v>0</v>
      </c>
      <c r="AD445" s="21">
        <v>45544</v>
      </c>
      <c r="AE445" s="1">
        <v>9.14</v>
      </c>
      <c r="AF445" s="1">
        <v>8.8867999999999991</v>
      </c>
      <c r="AG445" s="6">
        <f t="shared" si="105"/>
        <v>5.4988572333731778E-3</v>
      </c>
      <c r="AH445" s="21">
        <v>45544</v>
      </c>
      <c r="AI445" s="1">
        <v>9.81</v>
      </c>
      <c r="AJ445" s="1">
        <v>9.4961000000000002</v>
      </c>
      <c r="AK445" s="6">
        <f t="shared" si="106"/>
        <v>2.1877152203856776E-2</v>
      </c>
      <c r="AL445" s="21">
        <v>45544</v>
      </c>
      <c r="AM445" s="1">
        <v>1.75</v>
      </c>
      <c r="AN445" s="1">
        <v>1.75</v>
      </c>
      <c r="AO445" s="6">
        <v>0</v>
      </c>
      <c r="AP445" s="21" t="s">
        <v>448</v>
      </c>
      <c r="AQ445" s="1">
        <v>9808.6200000000008</v>
      </c>
      <c r="AR445" s="6">
        <v>4.263374552753163E-4</v>
      </c>
    </row>
    <row r="446" spans="2:44" x14ac:dyDescent="0.35">
      <c r="B446" s="21">
        <v>45545</v>
      </c>
      <c r="C446" s="1">
        <v>0.73</v>
      </c>
      <c r="D446" s="1">
        <v>0.73</v>
      </c>
      <c r="E446" s="6">
        <f t="shared" si="109"/>
        <v>1.388888888888884E-2</v>
      </c>
      <c r="F446" s="21">
        <v>45545</v>
      </c>
      <c r="G446" s="1">
        <v>16.29</v>
      </c>
      <c r="H446" s="1">
        <v>13.037100000000001</v>
      </c>
      <c r="I446" s="6">
        <f t="shared" si="107"/>
        <v>-3.6682944723387401E-3</v>
      </c>
      <c r="J446" s="21">
        <v>45545</v>
      </c>
      <c r="K446" s="1">
        <v>53.6</v>
      </c>
      <c r="L446" s="1">
        <v>38.898899999999998</v>
      </c>
      <c r="M446" s="6">
        <f t="shared" si="102"/>
        <v>-5.5654121268208234E-3</v>
      </c>
      <c r="N446" s="21">
        <v>45545</v>
      </c>
      <c r="O446" s="1">
        <v>13.19</v>
      </c>
      <c r="P446" s="1">
        <v>12.597799999999999</v>
      </c>
      <c r="Q446" s="6">
        <f t="shared" si="103"/>
        <v>-1.4934943075190832E-2</v>
      </c>
      <c r="R446" s="21">
        <v>45545</v>
      </c>
      <c r="S446" s="1">
        <v>7.17</v>
      </c>
      <c r="T446" s="1">
        <v>6.7153999999999998</v>
      </c>
      <c r="U446" s="6">
        <f t="shared" si="108"/>
        <v>1.8457011996299455E-2</v>
      </c>
      <c r="V446" s="21">
        <v>45545</v>
      </c>
      <c r="W446" s="1">
        <v>5.98</v>
      </c>
      <c r="X446" s="1">
        <v>5.6150000000000002</v>
      </c>
      <c r="Y446" s="6">
        <f t="shared" si="110"/>
        <v>-3.3723819666311439E-3</v>
      </c>
      <c r="Z446" s="21">
        <v>45545</v>
      </c>
      <c r="AA446" s="1">
        <v>2</v>
      </c>
      <c r="AB446" s="1">
        <v>2</v>
      </c>
      <c r="AC446" s="6">
        <f t="shared" si="104"/>
        <v>-4.9751243781093191E-3</v>
      </c>
      <c r="AD446" s="21">
        <v>45545</v>
      </c>
      <c r="AE446" s="1">
        <v>9</v>
      </c>
      <c r="AF446" s="1">
        <v>8.7507000000000001</v>
      </c>
      <c r="AG446" s="6">
        <f t="shared" si="105"/>
        <v>-1.5314848989512408E-2</v>
      </c>
      <c r="AH446" s="21">
        <v>45545</v>
      </c>
      <c r="AI446" s="1">
        <v>9.8000000000000007</v>
      </c>
      <c r="AJ446" s="1">
        <v>9.4863999999999997</v>
      </c>
      <c r="AK446" s="6">
        <f t="shared" si="106"/>
        <v>-1.0214719727046351E-3</v>
      </c>
      <c r="AL446" s="21">
        <v>45545</v>
      </c>
      <c r="AM446" s="1">
        <v>1.75</v>
      </c>
      <c r="AN446" s="1">
        <v>1.75</v>
      </c>
      <c r="AO446" s="6">
        <v>0</v>
      </c>
      <c r="AP446" s="21" t="s">
        <v>449</v>
      </c>
      <c r="AQ446" s="1">
        <v>9775.15</v>
      </c>
      <c r="AR446" s="6">
        <v>-3.4123046871018525E-3</v>
      </c>
    </row>
    <row r="447" spans="2:44" x14ac:dyDescent="0.35">
      <c r="B447" s="21">
        <v>45546</v>
      </c>
      <c r="C447" s="1">
        <v>0.73</v>
      </c>
      <c r="D447" s="1">
        <v>0.73</v>
      </c>
      <c r="E447" s="6">
        <f t="shared" si="109"/>
        <v>0</v>
      </c>
      <c r="F447" s="21">
        <v>45546</v>
      </c>
      <c r="G447" s="1">
        <v>17.12</v>
      </c>
      <c r="H447" s="1">
        <v>13.7013</v>
      </c>
      <c r="I447" s="6">
        <f t="shared" si="107"/>
        <v>5.0946913040476716E-2</v>
      </c>
      <c r="J447" s="21">
        <v>45546</v>
      </c>
      <c r="K447" s="1">
        <v>53.59</v>
      </c>
      <c r="L447" s="1">
        <v>38.8917</v>
      </c>
      <c r="M447" s="6">
        <f t="shared" si="102"/>
        <v>-1.8509520834775195E-4</v>
      </c>
      <c r="N447" s="21">
        <v>45546</v>
      </c>
      <c r="O447" s="1">
        <v>13</v>
      </c>
      <c r="P447" s="1">
        <v>12.4163</v>
      </c>
      <c r="Q447" s="6">
        <f t="shared" si="103"/>
        <v>-1.4407277461144008E-2</v>
      </c>
      <c r="R447" s="21">
        <v>45546</v>
      </c>
      <c r="S447" s="1">
        <v>7.12</v>
      </c>
      <c r="T447" s="1">
        <v>6.6685999999999996</v>
      </c>
      <c r="U447" s="6">
        <f t="shared" si="108"/>
        <v>-6.9690561991839761E-3</v>
      </c>
      <c r="V447" s="21">
        <v>45546</v>
      </c>
      <c r="W447" s="1">
        <v>5.98</v>
      </c>
      <c r="X447" s="1">
        <v>5.6150000000000002</v>
      </c>
      <c r="Y447" s="6">
        <f t="shared" si="110"/>
        <v>0</v>
      </c>
      <c r="Z447" s="21">
        <v>45546</v>
      </c>
      <c r="AA447" s="1">
        <v>2.02</v>
      </c>
      <c r="AB447" s="1">
        <v>2.02</v>
      </c>
      <c r="AC447" s="6">
        <f t="shared" si="104"/>
        <v>1.0000000000000009E-2</v>
      </c>
      <c r="AD447" s="21">
        <v>45546</v>
      </c>
      <c r="AE447" s="1">
        <v>9</v>
      </c>
      <c r="AF447" s="1">
        <v>8.7507000000000001</v>
      </c>
      <c r="AG447" s="6">
        <f t="shared" si="105"/>
        <v>0</v>
      </c>
      <c r="AH447" s="21">
        <v>45546</v>
      </c>
      <c r="AI447" s="1">
        <v>9.75</v>
      </c>
      <c r="AJ447" s="1">
        <v>9.4380000000000006</v>
      </c>
      <c r="AK447" s="6">
        <f t="shared" si="106"/>
        <v>-5.1020408163264808E-3</v>
      </c>
      <c r="AL447" s="21">
        <v>45546</v>
      </c>
      <c r="AM447" s="1">
        <v>1.75</v>
      </c>
      <c r="AN447" s="1">
        <v>1.75</v>
      </c>
      <c r="AO447" s="6">
        <v>0</v>
      </c>
      <c r="AP447" s="21" t="s">
        <v>450</v>
      </c>
      <c r="AQ447" s="1">
        <v>9779.7099999999991</v>
      </c>
      <c r="AR447" s="6">
        <v>4.6648900528367676E-4</v>
      </c>
    </row>
    <row r="448" spans="2:44" x14ac:dyDescent="0.35">
      <c r="B448" s="21">
        <v>45547</v>
      </c>
      <c r="C448" s="1">
        <v>0.75</v>
      </c>
      <c r="D448" s="1">
        <v>0.75</v>
      </c>
      <c r="E448" s="6">
        <f t="shared" si="109"/>
        <v>2.7397260273972712E-2</v>
      </c>
      <c r="F448" s="21">
        <v>45547</v>
      </c>
      <c r="G448" s="1">
        <v>17.12</v>
      </c>
      <c r="H448" s="1">
        <v>13.7013</v>
      </c>
      <c r="I448" s="6">
        <f t="shared" si="107"/>
        <v>0</v>
      </c>
      <c r="J448" s="21">
        <v>45547</v>
      </c>
      <c r="K448" s="1">
        <v>53.2</v>
      </c>
      <c r="L448" s="1">
        <v>38.608600000000003</v>
      </c>
      <c r="M448" s="6">
        <f t="shared" si="102"/>
        <v>-7.2791881044026452E-3</v>
      </c>
      <c r="N448" s="21">
        <v>45547</v>
      </c>
      <c r="O448" s="1">
        <v>13.1</v>
      </c>
      <c r="P448" s="1">
        <v>12.511799999999999</v>
      </c>
      <c r="Q448" s="6">
        <f t="shared" si="103"/>
        <v>7.6915022993966353E-3</v>
      </c>
      <c r="R448" s="21">
        <v>45547</v>
      </c>
      <c r="S448" s="1">
        <v>7.09</v>
      </c>
      <c r="T448" s="1">
        <v>6.6405000000000003</v>
      </c>
      <c r="U448" s="6">
        <f t="shared" si="108"/>
        <v>-4.2137780043786099E-3</v>
      </c>
      <c r="V448" s="21">
        <v>45547</v>
      </c>
      <c r="W448" s="1">
        <v>5.98</v>
      </c>
      <c r="X448" s="1">
        <v>5.6150000000000002</v>
      </c>
      <c r="Y448" s="6">
        <f t="shared" si="110"/>
        <v>0</v>
      </c>
      <c r="Z448" s="21">
        <v>45547</v>
      </c>
      <c r="AA448" s="1">
        <v>2.02</v>
      </c>
      <c r="AB448" s="1">
        <v>2.02</v>
      </c>
      <c r="AC448" s="6">
        <f t="shared" si="104"/>
        <v>0</v>
      </c>
      <c r="AD448" s="21">
        <v>45547</v>
      </c>
      <c r="AE448" s="1">
        <v>9</v>
      </c>
      <c r="AF448" s="1">
        <v>8.7507000000000001</v>
      </c>
      <c r="AG448" s="6">
        <f t="shared" si="105"/>
        <v>0</v>
      </c>
      <c r="AH448" s="21">
        <v>45547</v>
      </c>
      <c r="AI448" s="1">
        <v>9.74</v>
      </c>
      <c r="AJ448" s="1">
        <v>9.4283000000000001</v>
      </c>
      <c r="AK448" s="6">
        <f t="shared" si="106"/>
        <v>-1.0277601186692298E-3</v>
      </c>
      <c r="AL448" s="21">
        <v>45547</v>
      </c>
      <c r="AM448" s="1">
        <v>1.75</v>
      </c>
      <c r="AN448" s="1">
        <v>1.75</v>
      </c>
      <c r="AO448" s="6">
        <v>0</v>
      </c>
      <c r="AP448" s="21" t="s">
        <v>451</v>
      </c>
      <c r="AQ448" s="1">
        <v>9769.59</v>
      </c>
      <c r="AR448" s="6">
        <v>-1.0347955102961715E-3</v>
      </c>
    </row>
    <row r="449" spans="2:44" x14ac:dyDescent="0.35">
      <c r="B449" s="21">
        <v>45548</v>
      </c>
      <c r="C449" s="1">
        <v>0.78</v>
      </c>
      <c r="D449" s="1">
        <v>0.78</v>
      </c>
      <c r="E449" s="6">
        <f t="shared" si="109"/>
        <v>4.0000000000000036E-2</v>
      </c>
      <c r="F449" s="21">
        <v>45548</v>
      </c>
      <c r="G449" s="1">
        <v>17</v>
      </c>
      <c r="H449" s="1">
        <v>13.6053</v>
      </c>
      <c r="I449" s="6">
        <f t="shared" si="107"/>
        <v>-7.0066344069540376E-3</v>
      </c>
      <c r="J449" s="21">
        <v>45548</v>
      </c>
      <c r="K449" s="1">
        <v>53.4</v>
      </c>
      <c r="L449" s="1">
        <v>38.753799999999998</v>
      </c>
      <c r="M449" s="6">
        <f t="shared" si="102"/>
        <v>3.7608201281578157E-3</v>
      </c>
      <c r="N449" s="21">
        <v>45548</v>
      </c>
      <c r="O449" s="1">
        <v>13.15</v>
      </c>
      <c r="P449" s="1">
        <v>12.5596</v>
      </c>
      <c r="Q449" s="6">
        <f t="shared" si="103"/>
        <v>3.8203935484901752E-3</v>
      </c>
      <c r="R449" s="21">
        <v>45548</v>
      </c>
      <c r="S449" s="1">
        <v>7.05</v>
      </c>
      <c r="T449" s="1">
        <v>6.6029999999999998</v>
      </c>
      <c r="U449" s="6">
        <f t="shared" si="108"/>
        <v>-5.6471651231082554E-3</v>
      </c>
      <c r="V449" s="21">
        <v>45548</v>
      </c>
      <c r="W449" s="1">
        <v>5.98</v>
      </c>
      <c r="X449" s="1">
        <v>5.6150000000000002</v>
      </c>
      <c r="Y449" s="6">
        <f t="shared" si="110"/>
        <v>0</v>
      </c>
      <c r="Z449" s="21">
        <v>45548</v>
      </c>
      <c r="AA449" s="1">
        <v>2.02</v>
      </c>
      <c r="AB449" s="1">
        <v>2.02</v>
      </c>
      <c r="AC449" s="6">
        <f t="shared" si="104"/>
        <v>0</v>
      </c>
      <c r="AD449" s="21">
        <v>45548</v>
      </c>
      <c r="AE449" s="1">
        <v>9</v>
      </c>
      <c r="AF449" s="1">
        <v>8.7507000000000001</v>
      </c>
      <c r="AG449" s="6">
        <f t="shared" si="105"/>
        <v>0</v>
      </c>
      <c r="AH449" s="21">
        <v>45548</v>
      </c>
      <c r="AI449" s="1">
        <v>9.74</v>
      </c>
      <c r="AJ449" s="1">
        <v>9.4283000000000001</v>
      </c>
      <c r="AK449" s="6">
        <f t="shared" si="106"/>
        <v>0</v>
      </c>
      <c r="AL449" s="21">
        <v>45548</v>
      </c>
      <c r="AM449" s="1">
        <v>1.75</v>
      </c>
      <c r="AN449" s="1">
        <v>1.75</v>
      </c>
      <c r="AO449" s="6">
        <v>0</v>
      </c>
      <c r="AP449" s="21" t="s">
        <v>452</v>
      </c>
      <c r="AQ449" s="1">
        <v>9787.5300000000007</v>
      </c>
      <c r="AR449" s="6">
        <v>1.8363104285850085E-3</v>
      </c>
    </row>
    <row r="450" spans="2:44" x14ac:dyDescent="0.35">
      <c r="B450" s="21">
        <v>45551</v>
      </c>
      <c r="C450" s="1">
        <v>0.78</v>
      </c>
      <c r="D450" s="1">
        <v>0.78</v>
      </c>
      <c r="E450" s="6">
        <f t="shared" si="109"/>
        <v>0</v>
      </c>
      <c r="F450" s="21">
        <v>45551</v>
      </c>
      <c r="G450" s="1">
        <v>16.899999999999999</v>
      </c>
      <c r="H450" s="1">
        <v>13.5253</v>
      </c>
      <c r="I450" s="6">
        <f t="shared" si="107"/>
        <v>-5.8800614466421042E-3</v>
      </c>
      <c r="J450" s="21">
        <v>45551</v>
      </c>
      <c r="K450" s="1">
        <v>53.3</v>
      </c>
      <c r="L450" s="1">
        <v>38.681199999999997</v>
      </c>
      <c r="M450" s="6">
        <f t="shared" si="102"/>
        <v>-1.8733646764962364E-3</v>
      </c>
      <c r="N450" s="21">
        <v>45551</v>
      </c>
      <c r="O450" s="1">
        <v>13.3</v>
      </c>
      <c r="P450" s="1">
        <v>12.7028</v>
      </c>
      <c r="Q450" s="6">
        <f t="shared" si="103"/>
        <v>1.1401636994808673E-2</v>
      </c>
      <c r="R450" s="21">
        <v>45551</v>
      </c>
      <c r="S450" s="1">
        <v>7.1</v>
      </c>
      <c r="T450" s="1">
        <v>6.6498999999999997</v>
      </c>
      <c r="U450" s="6">
        <f t="shared" si="108"/>
        <v>7.1028320460395644E-3</v>
      </c>
      <c r="V450" s="21">
        <v>45551</v>
      </c>
      <c r="W450" s="1">
        <v>6</v>
      </c>
      <c r="X450" s="1">
        <v>5.6340000000000003</v>
      </c>
      <c r="Y450" s="6">
        <f t="shared" si="110"/>
        <v>3.3837934105076517E-3</v>
      </c>
      <c r="Z450" s="21">
        <v>45551</v>
      </c>
      <c r="AA450" s="1">
        <v>2</v>
      </c>
      <c r="AB450" s="1">
        <v>2</v>
      </c>
      <c r="AC450" s="6">
        <f t="shared" si="104"/>
        <v>-9.9009900990099098E-3</v>
      </c>
      <c r="AD450" s="21">
        <v>45551</v>
      </c>
      <c r="AE450" s="1">
        <v>9.1</v>
      </c>
      <c r="AF450" s="1">
        <v>8.8478999999999992</v>
      </c>
      <c r="AG450" s="6">
        <f t="shared" si="105"/>
        <v>1.1107682813946251E-2</v>
      </c>
      <c r="AH450" s="21">
        <v>45551</v>
      </c>
      <c r="AI450" s="1">
        <v>9.74</v>
      </c>
      <c r="AJ450" s="1">
        <v>9.4283000000000001</v>
      </c>
      <c r="AK450" s="6">
        <f t="shared" si="106"/>
        <v>0</v>
      </c>
      <c r="AL450" s="21">
        <v>45551</v>
      </c>
      <c r="AM450" s="1">
        <v>1.75</v>
      </c>
      <c r="AN450" s="1">
        <v>1.75</v>
      </c>
      <c r="AO450" s="6">
        <v>0</v>
      </c>
      <c r="AP450" s="21" t="s">
        <v>453</v>
      </c>
      <c r="AQ450" s="1">
        <v>9766.7999999999993</v>
      </c>
      <c r="AR450" s="6">
        <v>-2.1180011708777924E-3</v>
      </c>
    </row>
    <row r="451" spans="2:44" x14ac:dyDescent="0.35">
      <c r="B451" s="21">
        <v>45552</v>
      </c>
      <c r="C451" s="1">
        <v>0.75</v>
      </c>
      <c r="D451" s="1">
        <v>0.75</v>
      </c>
      <c r="E451" s="6">
        <f t="shared" si="109"/>
        <v>-3.8461538461538547E-2</v>
      </c>
      <c r="F451" s="21">
        <v>45552</v>
      </c>
      <c r="G451" s="1">
        <v>16.98</v>
      </c>
      <c r="H451" s="1">
        <v>13.5893</v>
      </c>
      <c r="I451" s="6">
        <f t="shared" si="107"/>
        <v>4.7318728604910376E-3</v>
      </c>
      <c r="J451" s="21">
        <v>45552</v>
      </c>
      <c r="K451" s="1">
        <v>52.8</v>
      </c>
      <c r="L451" s="1">
        <v>38.318300000000001</v>
      </c>
      <c r="M451" s="6">
        <f t="shared" ref="M451:M514" si="111">(L451/L450)-1</f>
        <v>-9.3818185578522506E-3</v>
      </c>
      <c r="N451" s="21">
        <v>45552</v>
      </c>
      <c r="O451" s="1">
        <v>13.2</v>
      </c>
      <c r="P451" s="1">
        <v>12.6073</v>
      </c>
      <c r="Q451" s="6">
        <f t="shared" ref="Q451:Q514" si="112">(P451/P450)-1</f>
        <v>-7.5180275214913328E-3</v>
      </c>
      <c r="R451" s="21">
        <v>45552</v>
      </c>
      <c r="S451" s="1">
        <v>7.13</v>
      </c>
      <c r="T451" s="1">
        <v>6.6779999999999999</v>
      </c>
      <c r="U451" s="6">
        <f t="shared" si="108"/>
        <v>4.2256274530443338E-3</v>
      </c>
      <c r="V451" s="21">
        <v>45552</v>
      </c>
      <c r="W451" s="1">
        <v>6</v>
      </c>
      <c r="X451" s="1">
        <v>5.6340000000000003</v>
      </c>
      <c r="Y451" s="6">
        <f t="shared" si="110"/>
        <v>0</v>
      </c>
      <c r="Z451" s="21">
        <v>45552</v>
      </c>
      <c r="AA451" s="1">
        <v>2.0499999999999998</v>
      </c>
      <c r="AB451" s="1">
        <v>2.0499999999999998</v>
      </c>
      <c r="AC451" s="6">
        <f t="shared" ref="AC451:AC514" si="113">(AB451/AB450)-1</f>
        <v>2.4999999999999911E-2</v>
      </c>
      <c r="AD451" s="21">
        <v>45552</v>
      </c>
      <c r="AE451" s="1">
        <v>9.0500000000000007</v>
      </c>
      <c r="AF451" s="1">
        <v>8.7993000000000006</v>
      </c>
      <c r="AG451" s="6">
        <f t="shared" ref="AG451:AG514" si="114">(AF451/AF450)-1</f>
        <v>-5.4928288068353259E-3</v>
      </c>
      <c r="AH451" s="21">
        <v>45552</v>
      </c>
      <c r="AI451" s="1">
        <v>9.7899999999999991</v>
      </c>
      <c r="AJ451" s="1">
        <v>9.4766999999999992</v>
      </c>
      <c r="AK451" s="6">
        <f t="shared" ref="AK451:AK514" si="115">(AJ451/AJ450)-1</f>
        <v>5.1334811153653792E-3</v>
      </c>
      <c r="AL451" s="21">
        <v>45552</v>
      </c>
      <c r="AM451" s="1">
        <v>1.75</v>
      </c>
      <c r="AN451" s="1">
        <v>1.75</v>
      </c>
      <c r="AO451" s="6">
        <v>0</v>
      </c>
      <c r="AP451" s="21" t="s">
        <v>454</v>
      </c>
      <c r="AQ451" s="1">
        <v>9761.5499999999993</v>
      </c>
      <c r="AR451" s="6">
        <v>-5.3753532374989366E-4</v>
      </c>
    </row>
    <row r="452" spans="2:44" x14ac:dyDescent="0.35">
      <c r="B452" s="21">
        <v>45553</v>
      </c>
      <c r="C452" s="1">
        <v>0.78</v>
      </c>
      <c r="D452" s="1">
        <v>0.78</v>
      </c>
      <c r="E452" s="6">
        <f t="shared" si="109"/>
        <v>4.0000000000000036E-2</v>
      </c>
      <c r="F452" s="21">
        <v>45553</v>
      </c>
      <c r="G452" s="1">
        <v>16.98</v>
      </c>
      <c r="H452" s="1">
        <v>13.5893</v>
      </c>
      <c r="I452" s="6">
        <f t="shared" si="107"/>
        <v>0</v>
      </c>
      <c r="J452" s="21">
        <v>45553</v>
      </c>
      <c r="K452" s="1">
        <v>52.7</v>
      </c>
      <c r="L452" s="1">
        <v>38.245800000000003</v>
      </c>
      <c r="M452" s="6">
        <f t="shared" si="111"/>
        <v>-1.8920463590502701E-3</v>
      </c>
      <c r="N452" s="21">
        <v>45553</v>
      </c>
      <c r="O452" s="1">
        <v>13.2</v>
      </c>
      <c r="P452" s="1">
        <v>12.6073</v>
      </c>
      <c r="Q452" s="6">
        <f t="shared" si="112"/>
        <v>0</v>
      </c>
      <c r="R452" s="21">
        <v>45553</v>
      </c>
      <c r="S452" s="1">
        <v>7.11</v>
      </c>
      <c r="T452" s="1">
        <v>6.6592000000000002</v>
      </c>
      <c r="U452" s="6">
        <f t="shared" si="108"/>
        <v>-2.8152141359688576E-3</v>
      </c>
      <c r="V452" s="21">
        <v>45553</v>
      </c>
      <c r="W452" s="1">
        <v>6</v>
      </c>
      <c r="X452" s="1">
        <v>5.6340000000000003</v>
      </c>
      <c r="Y452" s="6">
        <f t="shared" si="110"/>
        <v>0</v>
      </c>
      <c r="Z452" s="21">
        <v>45553</v>
      </c>
      <c r="AA452" s="1">
        <v>2.04</v>
      </c>
      <c r="AB452" s="1">
        <v>2.04</v>
      </c>
      <c r="AC452" s="6">
        <f t="shared" si="113"/>
        <v>-4.8780487804876982E-3</v>
      </c>
      <c r="AD452" s="21">
        <v>45553</v>
      </c>
      <c r="AE452" s="1">
        <v>9</v>
      </c>
      <c r="AF452" s="1">
        <v>8.7507000000000001</v>
      </c>
      <c r="AG452" s="6">
        <f t="shared" si="114"/>
        <v>-5.5231666155263204E-3</v>
      </c>
      <c r="AH452" s="21">
        <v>45553</v>
      </c>
      <c r="AI452" s="1">
        <v>9.7200000000000006</v>
      </c>
      <c r="AJ452" s="1">
        <v>9.4090000000000007</v>
      </c>
      <c r="AK452" s="6">
        <f t="shared" si="115"/>
        <v>-7.14383698966925E-3</v>
      </c>
      <c r="AL452" s="21">
        <v>45553</v>
      </c>
      <c r="AM452" s="1">
        <v>1.75</v>
      </c>
      <c r="AN452" s="1">
        <v>1.75</v>
      </c>
      <c r="AO452" s="6">
        <v>0</v>
      </c>
      <c r="AP452" s="21" t="s">
        <v>455</v>
      </c>
      <c r="AQ452" s="1">
        <v>9751.68</v>
      </c>
      <c r="AR452" s="6">
        <v>-1.0111099159456627E-3</v>
      </c>
    </row>
    <row r="453" spans="2:44" x14ac:dyDescent="0.35">
      <c r="B453" s="21">
        <v>45554</v>
      </c>
      <c r="C453" s="1">
        <v>0.77</v>
      </c>
      <c r="D453" s="1">
        <v>0.77</v>
      </c>
      <c r="E453" s="6">
        <f t="shared" si="109"/>
        <v>-1.2820512820512886E-2</v>
      </c>
      <c r="F453" s="21">
        <v>45554</v>
      </c>
      <c r="G453" s="1">
        <v>16.899999999999999</v>
      </c>
      <c r="H453" s="1">
        <v>13.5253</v>
      </c>
      <c r="I453" s="6">
        <f t="shared" si="107"/>
        <v>-4.7095876903151535E-3</v>
      </c>
      <c r="J453" s="21">
        <v>45554</v>
      </c>
      <c r="K453" s="1">
        <v>52.58</v>
      </c>
      <c r="L453" s="1">
        <v>38.158700000000003</v>
      </c>
      <c r="M453" s="6">
        <f t="shared" si="111"/>
        <v>-2.2773742476297487E-3</v>
      </c>
      <c r="N453" s="21">
        <v>45554</v>
      </c>
      <c r="O453" s="1">
        <v>12.99</v>
      </c>
      <c r="P453" s="1">
        <v>12.406700000000001</v>
      </c>
      <c r="Q453" s="6">
        <f t="shared" si="112"/>
        <v>-1.5911416401608536E-2</v>
      </c>
      <c r="R453" s="21">
        <v>45554</v>
      </c>
      <c r="S453" s="1">
        <v>7.12</v>
      </c>
      <c r="T453" s="1">
        <v>6.6685999999999996</v>
      </c>
      <c r="U453" s="6">
        <f t="shared" si="108"/>
        <v>1.4115809706871651E-3</v>
      </c>
      <c r="V453" s="21">
        <v>45554</v>
      </c>
      <c r="W453" s="1">
        <v>6</v>
      </c>
      <c r="X453" s="1">
        <v>5.6340000000000003</v>
      </c>
      <c r="Y453" s="6">
        <f t="shared" si="110"/>
        <v>0</v>
      </c>
      <c r="Z453" s="21">
        <v>45554</v>
      </c>
      <c r="AA453" s="1">
        <v>2.02</v>
      </c>
      <c r="AB453" s="1">
        <v>2.02</v>
      </c>
      <c r="AC453" s="6">
        <f t="shared" si="113"/>
        <v>-9.8039215686274161E-3</v>
      </c>
      <c r="AD453" s="21">
        <v>45554</v>
      </c>
      <c r="AE453" s="1">
        <v>9</v>
      </c>
      <c r="AF453" s="1">
        <v>8.7507000000000001</v>
      </c>
      <c r="AG453" s="6">
        <f t="shared" si="114"/>
        <v>0</v>
      </c>
      <c r="AH453" s="21">
        <v>45554</v>
      </c>
      <c r="AI453" s="1">
        <v>9.69</v>
      </c>
      <c r="AJ453" s="1">
        <v>9.3798999999999992</v>
      </c>
      <c r="AK453" s="6">
        <f t="shared" si="115"/>
        <v>-3.0927835051547392E-3</v>
      </c>
      <c r="AL453" s="21">
        <v>45554</v>
      </c>
      <c r="AM453" s="1">
        <v>1.75</v>
      </c>
      <c r="AN453" s="1">
        <v>1.75</v>
      </c>
      <c r="AO453" s="6">
        <v>0</v>
      </c>
      <c r="AP453" s="21" t="s">
        <v>456</v>
      </c>
      <c r="AQ453" s="1">
        <v>9765.41</v>
      </c>
      <c r="AR453" s="6">
        <v>1.4079625254315165E-3</v>
      </c>
    </row>
    <row r="454" spans="2:44" x14ac:dyDescent="0.35">
      <c r="B454" s="21">
        <v>45555</v>
      </c>
      <c r="C454" s="1">
        <v>0.74</v>
      </c>
      <c r="D454" s="1">
        <v>0.74</v>
      </c>
      <c r="E454" s="6">
        <f t="shared" si="109"/>
        <v>-3.8961038961038974E-2</v>
      </c>
      <c r="F454" s="21">
        <v>45555</v>
      </c>
      <c r="G454" s="1">
        <v>16.899999999999999</v>
      </c>
      <c r="H454" s="1">
        <v>13.5253</v>
      </c>
      <c r="I454" s="6">
        <f t="shared" si="107"/>
        <v>0</v>
      </c>
      <c r="J454" s="21">
        <v>45555</v>
      </c>
      <c r="K454" s="1">
        <v>52.45</v>
      </c>
      <c r="L454" s="1">
        <v>38.064300000000003</v>
      </c>
      <c r="M454" s="6">
        <f t="shared" si="111"/>
        <v>-2.4738788271089218E-3</v>
      </c>
      <c r="N454" s="21">
        <v>45555</v>
      </c>
      <c r="O454" s="1">
        <v>13</v>
      </c>
      <c r="P454" s="1">
        <v>12.4163</v>
      </c>
      <c r="Q454" s="6">
        <f t="shared" si="112"/>
        <v>7.7377546003365438E-4</v>
      </c>
      <c r="R454" s="21">
        <v>45555</v>
      </c>
      <c r="S454" s="1">
        <v>7.09</v>
      </c>
      <c r="T454" s="1">
        <v>6.6405000000000003</v>
      </c>
      <c r="U454" s="6">
        <f t="shared" si="108"/>
        <v>-4.2137780043786099E-3</v>
      </c>
      <c r="V454" s="21">
        <v>45555</v>
      </c>
      <c r="W454" s="1">
        <v>6.1</v>
      </c>
      <c r="X454" s="1">
        <v>5.7279999999999998</v>
      </c>
      <c r="Y454" s="6">
        <f t="shared" si="110"/>
        <v>1.6684416045438244E-2</v>
      </c>
      <c r="Z454" s="21">
        <v>45555</v>
      </c>
      <c r="AA454" s="1">
        <v>2.0299999999999998</v>
      </c>
      <c r="AB454" s="1">
        <v>2.0299999999999998</v>
      </c>
      <c r="AC454" s="6">
        <f t="shared" si="113"/>
        <v>4.9504950495049549E-3</v>
      </c>
      <c r="AD454" s="21">
        <v>45555</v>
      </c>
      <c r="AE454" s="1">
        <v>9</v>
      </c>
      <c r="AF454" s="1">
        <v>8.7507000000000001</v>
      </c>
      <c r="AG454" s="6">
        <f t="shared" si="114"/>
        <v>0</v>
      </c>
      <c r="AH454" s="21">
        <v>45555</v>
      </c>
      <c r="AI454" s="1">
        <v>9.69</v>
      </c>
      <c r="AJ454" s="1">
        <v>9.3798999999999992</v>
      </c>
      <c r="AK454" s="6">
        <f t="shared" si="115"/>
        <v>0</v>
      </c>
      <c r="AL454" s="21">
        <v>45555</v>
      </c>
      <c r="AM454" s="1">
        <v>1.75</v>
      </c>
      <c r="AN454" s="1">
        <v>1.75</v>
      </c>
      <c r="AO454" s="6">
        <v>0</v>
      </c>
      <c r="AP454" s="21" t="s">
        <v>457</v>
      </c>
      <c r="AQ454" s="1">
        <v>9786.09</v>
      </c>
      <c r="AR454" s="6">
        <v>2.1176786228125355E-3</v>
      </c>
    </row>
    <row r="455" spans="2:44" x14ac:dyDescent="0.35">
      <c r="B455" s="21">
        <v>45558</v>
      </c>
      <c r="C455" s="1">
        <v>0.73</v>
      </c>
      <c r="D455" s="1">
        <v>0.73</v>
      </c>
      <c r="E455" s="6">
        <f t="shared" si="109"/>
        <v>-1.3513513513513487E-2</v>
      </c>
      <c r="F455" s="21">
        <v>45558</v>
      </c>
      <c r="G455" s="1">
        <v>16.87</v>
      </c>
      <c r="H455" s="1">
        <v>13.501300000000001</v>
      </c>
      <c r="I455" s="6">
        <f t="shared" ref="I455:I518" si="116">(H455/H454)-1</f>
        <v>-1.7744523226841391E-3</v>
      </c>
      <c r="J455" s="21">
        <v>45558</v>
      </c>
      <c r="K455" s="1">
        <v>52.7</v>
      </c>
      <c r="L455" s="1">
        <v>38.245800000000003</v>
      </c>
      <c r="M455" s="6">
        <f t="shared" si="111"/>
        <v>4.7682474129302488E-3</v>
      </c>
      <c r="N455" s="21">
        <v>45558</v>
      </c>
      <c r="O455" s="1">
        <v>13</v>
      </c>
      <c r="P455" s="1">
        <v>12.4163</v>
      </c>
      <c r="Q455" s="6">
        <f t="shared" si="112"/>
        <v>0</v>
      </c>
      <c r="R455" s="21">
        <v>45558</v>
      </c>
      <c r="S455" s="1">
        <v>7.18</v>
      </c>
      <c r="T455" s="1">
        <v>6.7248000000000001</v>
      </c>
      <c r="U455" s="6">
        <f t="shared" si="108"/>
        <v>1.2694827196747305E-2</v>
      </c>
      <c r="V455" s="21">
        <v>45558</v>
      </c>
      <c r="W455" s="1">
        <v>6.14</v>
      </c>
      <c r="X455" s="1">
        <v>5.7649999999999997</v>
      </c>
      <c r="Y455" s="6">
        <f t="shared" si="110"/>
        <v>6.4594972067038015E-3</v>
      </c>
      <c r="Z455" s="21">
        <v>45558</v>
      </c>
      <c r="AA455" s="1">
        <v>2.02</v>
      </c>
      <c r="AB455" s="1">
        <v>2.02</v>
      </c>
      <c r="AC455" s="6">
        <f t="shared" si="113"/>
        <v>-4.9261083743841194E-3</v>
      </c>
      <c r="AD455" s="21">
        <v>45558</v>
      </c>
      <c r="AE455" s="1">
        <v>9</v>
      </c>
      <c r="AF455" s="1">
        <v>8.7507000000000001</v>
      </c>
      <c r="AG455" s="6">
        <f t="shared" si="114"/>
        <v>0</v>
      </c>
      <c r="AH455" s="21">
        <v>45558</v>
      </c>
      <c r="AI455" s="1">
        <v>9.6</v>
      </c>
      <c r="AJ455" s="1">
        <v>9.2927999999999997</v>
      </c>
      <c r="AK455" s="6">
        <f t="shared" si="115"/>
        <v>-9.285813281591393E-3</v>
      </c>
      <c r="AL455" s="21">
        <v>45558</v>
      </c>
      <c r="AM455" s="1">
        <v>1.75</v>
      </c>
      <c r="AN455" s="1">
        <v>1.75</v>
      </c>
      <c r="AO455" s="6">
        <v>0</v>
      </c>
      <c r="AP455" s="21" t="s">
        <v>458</v>
      </c>
      <c r="AQ455" s="1">
        <v>9794.89</v>
      </c>
      <c r="AR455" s="6">
        <v>8.9923554759852031E-4</v>
      </c>
    </row>
    <row r="456" spans="2:44" x14ac:dyDescent="0.35">
      <c r="B456" s="21">
        <v>45559</v>
      </c>
      <c r="C456" s="1">
        <v>0.7</v>
      </c>
      <c r="D456" s="1">
        <v>0.7</v>
      </c>
      <c r="E456" s="6">
        <f t="shared" si="109"/>
        <v>-4.1095890410958957E-2</v>
      </c>
      <c r="F456" s="21">
        <v>45559</v>
      </c>
      <c r="G456" s="1">
        <v>16.87</v>
      </c>
      <c r="H456" s="1">
        <v>13.501300000000001</v>
      </c>
      <c r="I456" s="6">
        <f t="shared" si="116"/>
        <v>0</v>
      </c>
      <c r="J456" s="21">
        <v>45559</v>
      </c>
      <c r="K456" s="1">
        <v>53.5</v>
      </c>
      <c r="L456" s="1">
        <v>38.826300000000003</v>
      </c>
      <c r="M456" s="6">
        <f t="shared" si="111"/>
        <v>1.517813720722283E-2</v>
      </c>
      <c r="N456" s="21">
        <v>45559</v>
      </c>
      <c r="O456" s="1">
        <v>13</v>
      </c>
      <c r="P456" s="1">
        <v>12.4163</v>
      </c>
      <c r="Q456" s="6">
        <f t="shared" si="112"/>
        <v>0</v>
      </c>
      <c r="R456" s="21">
        <v>45559</v>
      </c>
      <c r="S456" s="1">
        <v>7.18</v>
      </c>
      <c r="T456" s="1">
        <v>6.7248000000000001</v>
      </c>
      <c r="U456" s="6">
        <f t="shared" si="108"/>
        <v>0</v>
      </c>
      <c r="V456" s="21">
        <v>45559</v>
      </c>
      <c r="W456" s="1">
        <v>6.15</v>
      </c>
      <c r="X456" s="1">
        <v>5.7750000000000004</v>
      </c>
      <c r="Y456" s="6">
        <f t="shared" si="110"/>
        <v>1.7346053772768766E-3</v>
      </c>
      <c r="Z456" s="21">
        <v>45559</v>
      </c>
      <c r="AA456" s="1">
        <v>2.04</v>
      </c>
      <c r="AB456" s="1">
        <v>2.04</v>
      </c>
      <c r="AC456" s="6">
        <f t="shared" si="113"/>
        <v>9.9009900990099098E-3</v>
      </c>
      <c r="AD456" s="21">
        <v>45559</v>
      </c>
      <c r="AE456" s="1">
        <v>9</v>
      </c>
      <c r="AF456" s="1">
        <v>8.7507000000000001</v>
      </c>
      <c r="AG456" s="6">
        <f t="shared" si="114"/>
        <v>0</v>
      </c>
      <c r="AH456" s="21">
        <v>45559</v>
      </c>
      <c r="AI456" s="1">
        <v>9.6999999999999993</v>
      </c>
      <c r="AJ456" s="1">
        <v>9.3895999999999997</v>
      </c>
      <c r="AK456" s="6">
        <f t="shared" si="115"/>
        <v>1.0416666666666741E-2</v>
      </c>
      <c r="AL456" s="21">
        <v>45559</v>
      </c>
      <c r="AM456" s="1">
        <v>1.74</v>
      </c>
      <c r="AN456" s="1">
        <v>1.74</v>
      </c>
      <c r="AO456" s="6">
        <v>-5.7142857142856718E-3</v>
      </c>
      <c r="AP456" s="21" t="s">
        <v>459</v>
      </c>
      <c r="AQ456" s="1">
        <v>9813.41</v>
      </c>
      <c r="AR456" s="6">
        <v>1.8907818260338605E-3</v>
      </c>
    </row>
    <row r="457" spans="2:44" x14ac:dyDescent="0.35">
      <c r="B457" s="21">
        <v>45560</v>
      </c>
      <c r="C457" s="1">
        <v>0.72</v>
      </c>
      <c r="D457" s="1">
        <v>0.72</v>
      </c>
      <c r="E457" s="6">
        <f t="shared" si="109"/>
        <v>2.8571428571428692E-2</v>
      </c>
      <c r="F457" s="21">
        <v>45560</v>
      </c>
      <c r="G457" s="1">
        <v>16.8</v>
      </c>
      <c r="H457" s="1">
        <v>13.4452</v>
      </c>
      <c r="I457" s="6">
        <f t="shared" si="116"/>
        <v>-4.1551554294771975E-3</v>
      </c>
      <c r="J457" s="21">
        <v>45560</v>
      </c>
      <c r="K457" s="1">
        <v>53.3</v>
      </c>
      <c r="L457" s="1">
        <v>38.681199999999997</v>
      </c>
      <c r="M457" s="6">
        <f t="shared" si="111"/>
        <v>-3.7371575452722627E-3</v>
      </c>
      <c r="N457" s="21">
        <v>45560</v>
      </c>
      <c r="O457" s="1">
        <v>12.98</v>
      </c>
      <c r="P457" s="1">
        <v>12.3972</v>
      </c>
      <c r="Q457" s="6">
        <f t="shared" si="112"/>
        <v>-1.5383004598793493E-3</v>
      </c>
      <c r="R457" s="21">
        <v>45560</v>
      </c>
      <c r="S457" s="1">
        <v>7.18</v>
      </c>
      <c r="T457" s="1">
        <v>6.7248000000000001</v>
      </c>
      <c r="U457" s="6">
        <f t="shared" ref="U457:U520" si="117">(T457/T456)-1</f>
        <v>0</v>
      </c>
      <c r="V457" s="21">
        <v>45560</v>
      </c>
      <c r="W457" s="1">
        <v>6.15</v>
      </c>
      <c r="X457" s="1">
        <v>5.7750000000000004</v>
      </c>
      <c r="Y457" s="6">
        <f t="shared" si="110"/>
        <v>0</v>
      </c>
      <c r="Z457" s="21">
        <v>45560</v>
      </c>
      <c r="AA457" s="1">
        <v>2.0299999999999998</v>
      </c>
      <c r="AB457" s="1">
        <v>2.0299999999999998</v>
      </c>
      <c r="AC457" s="6">
        <f t="shared" si="113"/>
        <v>-4.9019607843138191E-3</v>
      </c>
      <c r="AD457" s="21">
        <v>45560</v>
      </c>
      <c r="AE457" s="1">
        <v>9</v>
      </c>
      <c r="AF457" s="1">
        <v>8.7507000000000001</v>
      </c>
      <c r="AG457" s="6">
        <f t="shared" si="114"/>
        <v>0</v>
      </c>
      <c r="AH457" s="21">
        <v>45560</v>
      </c>
      <c r="AI457" s="1">
        <v>9.84</v>
      </c>
      <c r="AJ457" s="1">
        <v>9.5251000000000001</v>
      </c>
      <c r="AK457" s="6">
        <f t="shared" si="115"/>
        <v>1.4430859674533503E-2</v>
      </c>
      <c r="AL457" s="21">
        <v>45560</v>
      </c>
      <c r="AM457" s="1">
        <v>1.74</v>
      </c>
      <c r="AN457" s="1">
        <v>1.74</v>
      </c>
      <c r="AO457" s="6">
        <v>0</v>
      </c>
      <c r="AP457" s="21" t="s">
        <v>460</v>
      </c>
      <c r="AQ457" s="1">
        <v>9814.4699999999993</v>
      </c>
      <c r="AR457" s="6">
        <v>1.080154604768957E-4</v>
      </c>
    </row>
    <row r="458" spans="2:44" x14ac:dyDescent="0.35">
      <c r="B458" s="21">
        <v>45561</v>
      </c>
      <c r="C458" s="1">
        <v>0.69</v>
      </c>
      <c r="D458" s="1">
        <v>0.69</v>
      </c>
      <c r="E458" s="6">
        <f t="shared" si="109"/>
        <v>-4.1666666666666741E-2</v>
      </c>
      <c r="F458" s="21">
        <v>45561</v>
      </c>
      <c r="G458" s="1">
        <v>16.86</v>
      </c>
      <c r="H458" s="1">
        <v>13.4933</v>
      </c>
      <c r="I458" s="6">
        <f t="shared" si="116"/>
        <v>3.5774849016749766E-3</v>
      </c>
      <c r="J458" s="21">
        <v>45561</v>
      </c>
      <c r="K458" s="1">
        <v>53</v>
      </c>
      <c r="L458" s="1">
        <v>38.463500000000003</v>
      </c>
      <c r="M458" s="6">
        <f t="shared" si="111"/>
        <v>-5.6280570406294084E-3</v>
      </c>
      <c r="N458" s="21">
        <v>45561</v>
      </c>
      <c r="O458" s="1">
        <v>12.87</v>
      </c>
      <c r="P458" s="1">
        <v>12.2921</v>
      </c>
      <c r="Q458" s="6">
        <f t="shared" si="112"/>
        <v>-8.4777207756590034E-3</v>
      </c>
      <c r="R458" s="21">
        <v>45561</v>
      </c>
      <c r="S458" s="1">
        <v>7.17</v>
      </c>
      <c r="T458" s="1">
        <v>6.7153999999999998</v>
      </c>
      <c r="U458" s="6">
        <f t="shared" si="117"/>
        <v>-1.3978110873186234E-3</v>
      </c>
      <c r="V458" s="21">
        <v>45561</v>
      </c>
      <c r="W458" s="1">
        <v>6.14</v>
      </c>
      <c r="X458" s="1">
        <v>5.7649999999999997</v>
      </c>
      <c r="Y458" s="6">
        <f t="shared" si="110"/>
        <v>-1.7316017316018062E-3</v>
      </c>
      <c r="Z458" s="21">
        <v>45561</v>
      </c>
      <c r="AA458" s="1">
        <v>2.02</v>
      </c>
      <c r="AB458" s="1">
        <v>2.02</v>
      </c>
      <c r="AC458" s="6">
        <f t="shared" si="113"/>
        <v>-4.9261083743841194E-3</v>
      </c>
      <c r="AD458" s="21">
        <v>45561</v>
      </c>
      <c r="AE458" s="1">
        <v>9</v>
      </c>
      <c r="AF458" s="1">
        <v>8.7507000000000001</v>
      </c>
      <c r="AG458" s="6">
        <f t="shared" si="114"/>
        <v>0</v>
      </c>
      <c r="AH458" s="21">
        <v>45561</v>
      </c>
      <c r="AI458" s="1">
        <v>9.9</v>
      </c>
      <c r="AJ458" s="1">
        <v>9.5831999999999997</v>
      </c>
      <c r="AK458" s="6">
        <f t="shared" si="115"/>
        <v>6.0996734942415642E-3</v>
      </c>
      <c r="AL458" s="21">
        <v>45561</v>
      </c>
      <c r="AM458" s="1">
        <v>1.74</v>
      </c>
      <c r="AN458" s="1">
        <v>1.74</v>
      </c>
      <c r="AO458" s="6">
        <v>0</v>
      </c>
      <c r="AP458" s="21" t="s">
        <v>461</v>
      </c>
      <c r="AQ458" s="1">
        <v>9904.74</v>
      </c>
      <c r="AR458" s="6">
        <v>9.1976438870362554E-3</v>
      </c>
    </row>
    <row r="459" spans="2:44" x14ac:dyDescent="0.35">
      <c r="B459" s="21">
        <v>45562</v>
      </c>
      <c r="C459" s="1">
        <v>0.71</v>
      </c>
      <c r="D459" s="1">
        <v>0.71</v>
      </c>
      <c r="E459" s="6">
        <f t="shared" si="109"/>
        <v>2.898550724637694E-2</v>
      </c>
      <c r="F459" s="21">
        <v>45562</v>
      </c>
      <c r="G459" s="1">
        <v>16.7</v>
      </c>
      <c r="H459" s="1">
        <v>13.3652</v>
      </c>
      <c r="I459" s="6">
        <f t="shared" si="116"/>
        <v>-9.4936005276692326E-3</v>
      </c>
      <c r="J459" s="21">
        <v>45562</v>
      </c>
      <c r="K459" s="1">
        <v>53.2</v>
      </c>
      <c r="L459" s="1">
        <v>38.608600000000003</v>
      </c>
      <c r="M459" s="6">
        <f t="shared" si="111"/>
        <v>3.7724076072120916E-3</v>
      </c>
      <c r="N459" s="21">
        <v>45562</v>
      </c>
      <c r="O459" s="1">
        <v>12.85</v>
      </c>
      <c r="P459" s="1">
        <v>12.273</v>
      </c>
      <c r="Q459" s="6">
        <f t="shared" si="112"/>
        <v>-1.5538435255163519E-3</v>
      </c>
      <c r="R459" s="21">
        <v>45562</v>
      </c>
      <c r="S459" s="1">
        <v>7.29</v>
      </c>
      <c r="T459" s="1">
        <v>6.8277999999999999</v>
      </c>
      <c r="U459" s="6">
        <f t="shared" si="117"/>
        <v>1.673764779462128E-2</v>
      </c>
      <c r="V459" s="21">
        <v>45562</v>
      </c>
      <c r="W459" s="1">
        <v>6.15</v>
      </c>
      <c r="X459" s="1">
        <v>5.7750000000000004</v>
      </c>
      <c r="Y459" s="6">
        <f t="shared" si="110"/>
        <v>1.7346053772768766E-3</v>
      </c>
      <c r="Z459" s="21">
        <v>45562</v>
      </c>
      <c r="AA459" s="1">
        <v>2.04</v>
      </c>
      <c r="AB459" s="1">
        <v>2.04</v>
      </c>
      <c r="AC459" s="6">
        <f t="shared" si="113"/>
        <v>9.9009900990099098E-3</v>
      </c>
      <c r="AD459" s="21">
        <v>45562</v>
      </c>
      <c r="AE459" s="1">
        <v>9</v>
      </c>
      <c r="AF459" s="1">
        <v>8.7507000000000001</v>
      </c>
      <c r="AG459" s="6">
        <f t="shared" si="114"/>
        <v>0</v>
      </c>
      <c r="AH459" s="21">
        <v>45562</v>
      </c>
      <c r="AI459" s="1">
        <v>10.029999999999999</v>
      </c>
      <c r="AJ459" s="1">
        <v>9.7089999999999996</v>
      </c>
      <c r="AK459" s="6">
        <f t="shared" si="115"/>
        <v>1.3127139160197032E-2</v>
      </c>
      <c r="AL459" s="21">
        <v>45562</v>
      </c>
      <c r="AM459" s="1">
        <v>1.74</v>
      </c>
      <c r="AN459" s="1">
        <v>1.74</v>
      </c>
      <c r="AO459" s="6">
        <v>0</v>
      </c>
      <c r="AP459" s="21" t="s">
        <v>462</v>
      </c>
      <c r="AQ459" s="1">
        <v>9989.34</v>
      </c>
      <c r="AR459" s="6">
        <v>8.541365043403415E-3</v>
      </c>
    </row>
    <row r="460" spans="2:44" x14ac:dyDescent="0.35">
      <c r="B460" s="21">
        <v>45565</v>
      </c>
      <c r="C460" s="1">
        <v>0.74</v>
      </c>
      <c r="D460" s="1">
        <v>0.74</v>
      </c>
      <c r="E460" s="6">
        <f t="shared" si="109"/>
        <v>4.2253521126760507E-2</v>
      </c>
      <c r="F460" s="21">
        <v>45565</v>
      </c>
      <c r="G460" s="1">
        <v>16.649999999999999</v>
      </c>
      <c r="H460" s="1">
        <v>13.325200000000001</v>
      </c>
      <c r="I460" s="6">
        <f t="shared" si="116"/>
        <v>-2.9928470954417863E-3</v>
      </c>
      <c r="J460" s="21">
        <v>45565</v>
      </c>
      <c r="K460" s="1">
        <v>53.4</v>
      </c>
      <c r="L460" s="1">
        <v>38.753799999999998</v>
      </c>
      <c r="M460" s="6">
        <f t="shared" si="111"/>
        <v>3.7608201281578157E-3</v>
      </c>
      <c r="N460" s="21">
        <v>45565</v>
      </c>
      <c r="O460" s="1">
        <v>12.85</v>
      </c>
      <c r="P460" s="1">
        <v>12.273</v>
      </c>
      <c r="Q460" s="6">
        <f t="shared" si="112"/>
        <v>0</v>
      </c>
      <c r="R460" s="21">
        <v>45565</v>
      </c>
      <c r="S460" s="1">
        <v>7.29</v>
      </c>
      <c r="T460" s="1">
        <v>6.8277999999999999</v>
      </c>
      <c r="U460" s="6">
        <f t="shared" si="117"/>
        <v>0</v>
      </c>
      <c r="V460" s="21">
        <v>45565</v>
      </c>
      <c r="W460" s="1">
        <v>6.2</v>
      </c>
      <c r="X460" s="1">
        <v>5.8220000000000001</v>
      </c>
      <c r="Y460" s="6">
        <f t="shared" si="110"/>
        <v>8.1385281385280006E-3</v>
      </c>
      <c r="Z460" s="21">
        <v>45565</v>
      </c>
      <c r="AA460" s="1">
        <v>2.04</v>
      </c>
      <c r="AB460" s="1">
        <v>2.04</v>
      </c>
      <c r="AC460" s="6">
        <f t="shared" si="113"/>
        <v>0</v>
      </c>
      <c r="AD460" s="21">
        <v>45565</v>
      </c>
      <c r="AE460" s="1">
        <v>9</v>
      </c>
      <c r="AF460" s="1">
        <v>8.7507000000000001</v>
      </c>
      <c r="AG460" s="6">
        <f t="shared" si="114"/>
        <v>0</v>
      </c>
      <c r="AH460" s="21">
        <v>45565</v>
      </c>
      <c r="AI460" s="1">
        <v>10.1</v>
      </c>
      <c r="AJ460" s="1">
        <v>9.7767999999999997</v>
      </c>
      <c r="AK460" s="6">
        <f t="shared" si="115"/>
        <v>6.9832114532908385E-3</v>
      </c>
      <c r="AL460" s="21">
        <v>45565</v>
      </c>
      <c r="AM460" s="1">
        <v>1.74</v>
      </c>
      <c r="AN460" s="1">
        <v>1.74</v>
      </c>
      <c r="AO460" s="6">
        <v>0</v>
      </c>
      <c r="AP460" s="21" t="s">
        <v>463</v>
      </c>
      <c r="AQ460" s="1">
        <v>9955.34</v>
      </c>
      <c r="AR460" s="6">
        <v>-3.4036282677334384E-3</v>
      </c>
    </row>
    <row r="461" spans="2:44" x14ac:dyDescent="0.35">
      <c r="B461" s="21">
        <v>45566</v>
      </c>
      <c r="C461" s="1">
        <v>0.75</v>
      </c>
      <c r="D461" s="1">
        <v>0.75</v>
      </c>
      <c r="E461" s="6">
        <f t="shared" si="109"/>
        <v>1.3513513513513598E-2</v>
      </c>
      <c r="F461" s="21">
        <v>45566</v>
      </c>
      <c r="G461" s="1">
        <v>16.579999999999998</v>
      </c>
      <c r="H461" s="1">
        <v>13.2692</v>
      </c>
      <c r="I461" s="6">
        <f t="shared" si="116"/>
        <v>-4.20256356377402E-3</v>
      </c>
      <c r="J461" s="21">
        <v>45566</v>
      </c>
      <c r="K461" s="1">
        <v>53.78</v>
      </c>
      <c r="L461" s="1">
        <v>39.029499999999999</v>
      </c>
      <c r="M461" s="6">
        <f t="shared" si="111"/>
        <v>7.1141410648762893E-3</v>
      </c>
      <c r="N461" s="21">
        <v>45566</v>
      </c>
      <c r="O461" s="1">
        <v>12.84</v>
      </c>
      <c r="P461" s="1">
        <v>12.263500000000001</v>
      </c>
      <c r="Q461" s="6">
        <f t="shared" si="112"/>
        <v>-7.7405687281018043E-4</v>
      </c>
      <c r="R461" s="21">
        <v>45566</v>
      </c>
      <c r="S461" s="1">
        <v>7.15</v>
      </c>
      <c r="T461" s="1">
        <v>6.6966999999999999</v>
      </c>
      <c r="U461" s="6">
        <f t="shared" si="117"/>
        <v>-1.9200913910776496E-2</v>
      </c>
      <c r="V461" s="21">
        <v>45566</v>
      </c>
      <c r="W461" s="1">
        <v>6.2</v>
      </c>
      <c r="X461" s="1">
        <v>5.8220000000000001</v>
      </c>
      <c r="Y461" s="6">
        <f t="shared" si="110"/>
        <v>0</v>
      </c>
      <c r="Z461" s="21">
        <v>45566</v>
      </c>
      <c r="AA461" s="1">
        <v>2.0299999999999998</v>
      </c>
      <c r="AB461" s="1">
        <v>2.0299999999999998</v>
      </c>
      <c r="AC461" s="6">
        <f t="shared" si="113"/>
        <v>-4.9019607843138191E-3</v>
      </c>
      <c r="AD461" s="21">
        <v>45566</v>
      </c>
      <c r="AE461" s="1">
        <v>9</v>
      </c>
      <c r="AF461" s="1">
        <v>8.7507000000000001</v>
      </c>
      <c r="AG461" s="6">
        <f t="shared" si="114"/>
        <v>0</v>
      </c>
      <c r="AH461" s="21">
        <v>45566</v>
      </c>
      <c r="AI461" s="1">
        <v>10.3</v>
      </c>
      <c r="AJ461" s="1">
        <v>9.9703999999999997</v>
      </c>
      <c r="AK461" s="6">
        <f t="shared" si="115"/>
        <v>1.980198019801982E-2</v>
      </c>
      <c r="AL461" s="21">
        <v>45566</v>
      </c>
      <c r="AM461" s="1">
        <v>1.79</v>
      </c>
      <c r="AN461" s="1">
        <v>1.79</v>
      </c>
      <c r="AO461" s="6">
        <v>2.8735632183908066E-2</v>
      </c>
      <c r="AP461" s="21" t="s">
        <v>464</v>
      </c>
      <c r="AQ461" s="1">
        <v>9991.5499999999993</v>
      </c>
      <c r="AR461" s="6">
        <v>3.6372439313976379E-3</v>
      </c>
    </row>
    <row r="462" spans="2:44" x14ac:dyDescent="0.35">
      <c r="B462" s="21">
        <v>45567</v>
      </c>
      <c r="C462" s="1">
        <v>0.76</v>
      </c>
      <c r="D462" s="1">
        <v>0.76</v>
      </c>
      <c r="E462" s="6">
        <f t="shared" si="109"/>
        <v>1.3333333333333419E-2</v>
      </c>
      <c r="F462" s="21">
        <v>45567</v>
      </c>
      <c r="G462" s="1">
        <v>16.059999999999999</v>
      </c>
      <c r="H462" s="1">
        <v>12.853</v>
      </c>
      <c r="I462" s="6">
        <f t="shared" si="116"/>
        <v>-3.1365869833901106E-2</v>
      </c>
      <c r="J462" s="21">
        <v>45567</v>
      </c>
      <c r="K462" s="1">
        <v>53.7</v>
      </c>
      <c r="L462" s="1">
        <v>38.971499999999999</v>
      </c>
      <c r="M462" s="6">
        <f t="shared" si="111"/>
        <v>-1.4860554196184372E-3</v>
      </c>
      <c r="N462" s="21">
        <v>45567</v>
      </c>
      <c r="O462" s="1">
        <v>12.83</v>
      </c>
      <c r="P462" s="1">
        <v>12.2539</v>
      </c>
      <c r="Q462" s="6">
        <f t="shared" si="112"/>
        <v>-7.8281077995678849E-4</v>
      </c>
      <c r="R462" s="21">
        <v>45567</v>
      </c>
      <c r="S462" s="1">
        <v>7.25</v>
      </c>
      <c r="T462" s="1">
        <v>6.7904</v>
      </c>
      <c r="U462" s="6">
        <f t="shared" si="117"/>
        <v>1.3991966192303584E-2</v>
      </c>
      <c r="V462" s="21">
        <v>45567</v>
      </c>
      <c r="W462" s="1">
        <v>6.2</v>
      </c>
      <c r="X462" s="1">
        <v>5.8220000000000001</v>
      </c>
      <c r="Y462" s="6">
        <f t="shared" si="110"/>
        <v>0</v>
      </c>
      <c r="Z462" s="21">
        <v>45567</v>
      </c>
      <c r="AA462" s="1">
        <v>2.02</v>
      </c>
      <c r="AB462" s="1">
        <v>2.02</v>
      </c>
      <c r="AC462" s="6">
        <f t="shared" si="113"/>
        <v>-4.9261083743841194E-3</v>
      </c>
      <c r="AD462" s="21">
        <v>45567</v>
      </c>
      <c r="AE462" s="1">
        <v>8.98</v>
      </c>
      <c r="AF462" s="1">
        <v>8.7312999999999992</v>
      </c>
      <c r="AG462" s="6">
        <f t="shared" si="114"/>
        <v>-2.2169654999030231E-3</v>
      </c>
      <c r="AH462" s="21">
        <v>45567</v>
      </c>
      <c r="AI462" s="1">
        <v>10.24</v>
      </c>
      <c r="AJ462" s="1">
        <v>9.9123000000000001</v>
      </c>
      <c r="AK462" s="6">
        <f t="shared" si="115"/>
        <v>-5.8272486560217995E-3</v>
      </c>
      <c r="AL462" s="21">
        <v>45567</v>
      </c>
      <c r="AM462" s="1">
        <v>1.81</v>
      </c>
      <c r="AN462" s="1">
        <v>1.81</v>
      </c>
      <c r="AO462" s="6">
        <v>1.1173184357541999E-2</v>
      </c>
      <c r="AP462" s="21" t="s">
        <v>465</v>
      </c>
      <c r="AQ462" s="1">
        <v>9970.7999999999993</v>
      </c>
      <c r="AR462" s="6">
        <v>-2.0767548578548567E-3</v>
      </c>
    </row>
    <row r="463" spans="2:44" x14ac:dyDescent="0.35">
      <c r="B463" s="21">
        <v>45568</v>
      </c>
      <c r="C463" s="1">
        <v>0.77</v>
      </c>
      <c r="D463" s="1">
        <v>0.77</v>
      </c>
      <c r="E463" s="6">
        <f t="shared" si="109"/>
        <v>1.3157894736842035E-2</v>
      </c>
      <c r="F463" s="21">
        <v>45568</v>
      </c>
      <c r="G463" s="1">
        <v>16.29</v>
      </c>
      <c r="H463" s="1">
        <v>13.037100000000001</v>
      </c>
      <c r="I463" s="6">
        <f t="shared" si="116"/>
        <v>1.4323504240255192E-2</v>
      </c>
      <c r="J463" s="21">
        <v>45568</v>
      </c>
      <c r="K463" s="1">
        <v>53.4</v>
      </c>
      <c r="L463" s="1">
        <v>38.753799999999998</v>
      </c>
      <c r="M463" s="6">
        <f t="shared" si="111"/>
        <v>-5.5861334565002752E-3</v>
      </c>
      <c r="N463" s="21">
        <v>45568</v>
      </c>
      <c r="O463" s="1">
        <v>12.7</v>
      </c>
      <c r="P463" s="1">
        <v>12.129799999999999</v>
      </c>
      <c r="Q463" s="6">
        <f t="shared" si="112"/>
        <v>-1.0127388015244154E-2</v>
      </c>
      <c r="R463" s="21">
        <v>45568</v>
      </c>
      <c r="S463" s="1">
        <v>7.25</v>
      </c>
      <c r="T463" s="1">
        <v>6.7904</v>
      </c>
      <c r="U463" s="6">
        <f t="shared" si="117"/>
        <v>0</v>
      </c>
      <c r="V463" s="21">
        <v>45568</v>
      </c>
      <c r="W463" s="1">
        <v>6.19</v>
      </c>
      <c r="X463" s="1">
        <v>5.8120000000000003</v>
      </c>
      <c r="Y463" s="6">
        <f t="shared" si="110"/>
        <v>-1.7176228100308499E-3</v>
      </c>
      <c r="Z463" s="21">
        <v>45568</v>
      </c>
      <c r="AA463" s="1">
        <v>2.02</v>
      </c>
      <c r="AB463" s="1">
        <v>2.02</v>
      </c>
      <c r="AC463" s="6">
        <f t="shared" si="113"/>
        <v>0</v>
      </c>
      <c r="AD463" s="21">
        <v>45568</v>
      </c>
      <c r="AE463" s="1">
        <v>8.9</v>
      </c>
      <c r="AF463" s="1">
        <v>8.6534999999999993</v>
      </c>
      <c r="AG463" s="6">
        <f t="shared" si="114"/>
        <v>-8.9104715219955333E-3</v>
      </c>
      <c r="AH463" s="21">
        <v>45568</v>
      </c>
      <c r="AI463" s="1">
        <v>10.220000000000001</v>
      </c>
      <c r="AJ463" s="1">
        <v>9.8930000000000007</v>
      </c>
      <c r="AK463" s="6">
        <f t="shared" si="115"/>
        <v>-1.9470758552504464E-3</v>
      </c>
      <c r="AL463" s="21">
        <v>45568</v>
      </c>
      <c r="AM463" s="1">
        <v>1.81</v>
      </c>
      <c r="AN463" s="1">
        <v>1.81</v>
      </c>
      <c r="AO463" s="6">
        <v>0</v>
      </c>
      <c r="AP463" s="21" t="s">
        <v>466</v>
      </c>
      <c r="AQ463" s="1">
        <v>9939.83</v>
      </c>
      <c r="AR463" s="6">
        <v>-3.1060697235928414E-3</v>
      </c>
    </row>
    <row r="464" spans="2:44" x14ac:dyDescent="0.35">
      <c r="B464" s="21">
        <v>45569</v>
      </c>
      <c r="C464" s="1">
        <v>0.76</v>
      </c>
      <c r="D464" s="1">
        <v>0.76</v>
      </c>
      <c r="E464" s="6">
        <f t="shared" si="109"/>
        <v>-1.2987012987012991E-2</v>
      </c>
      <c r="F464" s="21">
        <v>45569</v>
      </c>
      <c r="G464" s="1">
        <v>16</v>
      </c>
      <c r="H464" s="1">
        <v>12.805</v>
      </c>
      <c r="I464" s="6">
        <f t="shared" si="116"/>
        <v>-1.7803039019413935E-2</v>
      </c>
      <c r="J464" s="21">
        <v>45569</v>
      </c>
      <c r="K464" s="1">
        <v>53.3</v>
      </c>
      <c r="L464" s="1">
        <v>38.681199999999997</v>
      </c>
      <c r="M464" s="6">
        <f t="shared" si="111"/>
        <v>-1.8733646764962364E-3</v>
      </c>
      <c r="N464" s="21">
        <v>45569</v>
      </c>
      <c r="O464" s="1">
        <v>12.7</v>
      </c>
      <c r="P464" s="1">
        <v>12.129799999999999</v>
      </c>
      <c r="Q464" s="6">
        <f t="shared" si="112"/>
        <v>0</v>
      </c>
      <c r="R464" s="21">
        <v>45569</v>
      </c>
      <c r="S464" s="1">
        <v>7.25</v>
      </c>
      <c r="T464" s="1">
        <v>6.7904</v>
      </c>
      <c r="U464" s="6">
        <f t="shared" si="117"/>
        <v>0</v>
      </c>
      <c r="V464" s="21">
        <v>45569</v>
      </c>
      <c r="W464" s="1">
        <v>6.15</v>
      </c>
      <c r="X464" s="1">
        <v>5.7750000000000004</v>
      </c>
      <c r="Y464" s="6">
        <f t="shared" si="110"/>
        <v>-6.3661390227116588E-3</v>
      </c>
      <c r="Z464" s="21">
        <v>45569</v>
      </c>
      <c r="AA464" s="1">
        <v>2.04</v>
      </c>
      <c r="AB464" s="1">
        <v>2.04</v>
      </c>
      <c r="AC464" s="6">
        <f t="shared" si="113"/>
        <v>9.9009900990099098E-3</v>
      </c>
      <c r="AD464" s="21">
        <v>45569</v>
      </c>
      <c r="AE464" s="1">
        <v>8.9</v>
      </c>
      <c r="AF464" s="1">
        <v>8.6534999999999993</v>
      </c>
      <c r="AG464" s="6">
        <f t="shared" si="114"/>
        <v>0</v>
      </c>
      <c r="AH464" s="21">
        <v>45569</v>
      </c>
      <c r="AI464" s="1">
        <v>10.19</v>
      </c>
      <c r="AJ464" s="1">
        <v>9.8638999999999992</v>
      </c>
      <c r="AK464" s="6">
        <f t="shared" si="115"/>
        <v>-2.9414737693319593E-3</v>
      </c>
      <c r="AL464" s="21">
        <v>45569</v>
      </c>
      <c r="AM464" s="1">
        <v>1.78</v>
      </c>
      <c r="AN464" s="1">
        <v>1.78</v>
      </c>
      <c r="AO464" s="6">
        <v>-1.6574585635359185E-2</v>
      </c>
      <c r="AP464" s="21" t="s">
        <v>467</v>
      </c>
      <c r="AQ464" s="1">
        <v>9908.5</v>
      </c>
      <c r="AR464" s="6">
        <v>-3.151965375665422E-3</v>
      </c>
    </row>
    <row r="465" spans="2:44" x14ac:dyDescent="0.35">
      <c r="B465" s="21">
        <v>45572</v>
      </c>
      <c r="C465" s="1">
        <v>0.76</v>
      </c>
      <c r="D465" s="1">
        <v>0.76</v>
      </c>
      <c r="E465" s="6">
        <f t="shared" ref="E465:E528" si="118">(D465/D464)-1</f>
        <v>0</v>
      </c>
      <c r="F465" s="21">
        <v>45572</v>
      </c>
      <c r="G465" s="1">
        <v>15.75</v>
      </c>
      <c r="H465" s="1">
        <v>12.604900000000001</v>
      </c>
      <c r="I465" s="6">
        <f t="shared" si="116"/>
        <v>-1.5626708317063587E-2</v>
      </c>
      <c r="J465" s="21">
        <v>45572</v>
      </c>
      <c r="K465" s="1">
        <v>52.95</v>
      </c>
      <c r="L465" s="1">
        <v>38.427199999999999</v>
      </c>
      <c r="M465" s="6">
        <f t="shared" si="111"/>
        <v>-6.5664974199352022E-3</v>
      </c>
      <c r="N465" s="21">
        <v>45572</v>
      </c>
      <c r="O465" s="1">
        <v>12.64</v>
      </c>
      <c r="P465" s="1">
        <v>12.0725</v>
      </c>
      <c r="Q465" s="6">
        <f t="shared" si="112"/>
        <v>-4.7239031146432131E-3</v>
      </c>
      <c r="R465" s="21">
        <v>45572</v>
      </c>
      <c r="S465" s="1">
        <v>7.24</v>
      </c>
      <c r="T465" s="1">
        <v>6.7809999999999997</v>
      </c>
      <c r="U465" s="6">
        <f t="shared" si="117"/>
        <v>-1.3843072573044291E-3</v>
      </c>
      <c r="V465" s="21">
        <v>45572</v>
      </c>
      <c r="W465" s="1">
        <v>6.15</v>
      </c>
      <c r="X465" s="1">
        <v>5.7750000000000004</v>
      </c>
      <c r="Y465" s="6">
        <f t="shared" si="110"/>
        <v>0</v>
      </c>
      <c r="Z465" s="21">
        <v>45572</v>
      </c>
      <c r="AA465" s="1">
        <v>2.0299999999999998</v>
      </c>
      <c r="AB465" s="1">
        <v>2.0299999999999998</v>
      </c>
      <c r="AC465" s="6">
        <f t="shared" si="113"/>
        <v>-4.9019607843138191E-3</v>
      </c>
      <c r="AD465" s="21">
        <v>45572</v>
      </c>
      <c r="AE465" s="1">
        <v>8.9</v>
      </c>
      <c r="AF465" s="1">
        <v>8.6534999999999993</v>
      </c>
      <c r="AG465" s="6">
        <f t="shared" si="114"/>
        <v>0</v>
      </c>
      <c r="AH465" s="21">
        <v>45572</v>
      </c>
      <c r="AI465" s="1">
        <v>10.1</v>
      </c>
      <c r="AJ465" s="1">
        <v>9.7767999999999997</v>
      </c>
      <c r="AK465" s="6">
        <f t="shared" si="115"/>
        <v>-8.830178732549987E-3</v>
      </c>
      <c r="AL465" s="21">
        <v>45572</v>
      </c>
      <c r="AM465" s="1">
        <v>1.78</v>
      </c>
      <c r="AN465" s="1">
        <v>1.78</v>
      </c>
      <c r="AO465" s="6">
        <v>0</v>
      </c>
      <c r="AP465" s="21" t="s">
        <v>468</v>
      </c>
      <c r="AQ465" s="1">
        <v>9881.9500000000007</v>
      </c>
      <c r="AR465" s="6">
        <v>-2.6795175859110065E-3</v>
      </c>
    </row>
    <row r="466" spans="2:44" x14ac:dyDescent="0.35">
      <c r="B466" s="21">
        <v>45573</v>
      </c>
      <c r="C466" s="1">
        <v>0.76</v>
      </c>
      <c r="D466" s="1">
        <v>0.76</v>
      </c>
      <c r="E466" s="6">
        <f t="shared" si="118"/>
        <v>0</v>
      </c>
      <c r="F466" s="21">
        <v>45573</v>
      </c>
      <c r="G466" s="1">
        <v>16</v>
      </c>
      <c r="H466" s="1">
        <v>12.805</v>
      </c>
      <c r="I466" s="6">
        <f t="shared" si="116"/>
        <v>1.5874778855841765E-2</v>
      </c>
      <c r="J466" s="21">
        <v>45573</v>
      </c>
      <c r="K466" s="1">
        <v>52.95</v>
      </c>
      <c r="L466" s="1">
        <v>38.427199999999999</v>
      </c>
      <c r="M466" s="6">
        <f t="shared" si="111"/>
        <v>0</v>
      </c>
      <c r="N466" s="21">
        <v>45573</v>
      </c>
      <c r="O466" s="1">
        <v>12.7</v>
      </c>
      <c r="P466" s="1">
        <v>12.129799999999999</v>
      </c>
      <c r="Q466" s="6">
        <f t="shared" si="112"/>
        <v>4.7463242907435088E-3</v>
      </c>
      <c r="R466" s="21">
        <v>45573</v>
      </c>
      <c r="S466" s="1">
        <v>7.24</v>
      </c>
      <c r="T466" s="1">
        <v>6.7809999999999997</v>
      </c>
      <c r="U466" s="6">
        <f t="shared" si="117"/>
        <v>0</v>
      </c>
      <c r="V466" s="21">
        <v>45573</v>
      </c>
      <c r="W466" s="1">
        <v>6.2</v>
      </c>
      <c r="X466" s="1">
        <v>5.8220000000000001</v>
      </c>
      <c r="Y466" s="6">
        <f t="shared" si="110"/>
        <v>8.1385281385280006E-3</v>
      </c>
      <c r="Z466" s="21">
        <v>45573</v>
      </c>
      <c r="AA466" s="1">
        <v>2.02</v>
      </c>
      <c r="AB466" s="1">
        <v>2.02</v>
      </c>
      <c r="AC466" s="6">
        <f t="shared" si="113"/>
        <v>-4.9261083743841194E-3</v>
      </c>
      <c r="AD466" s="21">
        <v>45573</v>
      </c>
      <c r="AE466" s="1">
        <v>8.8699999999999992</v>
      </c>
      <c r="AF466" s="1">
        <v>8.6242999999999999</v>
      </c>
      <c r="AG466" s="6">
        <f t="shared" si="114"/>
        <v>-3.374357196510025E-3</v>
      </c>
      <c r="AH466" s="21">
        <v>45573</v>
      </c>
      <c r="AI466" s="1">
        <v>10.15</v>
      </c>
      <c r="AJ466" s="1">
        <v>9.8252000000000006</v>
      </c>
      <c r="AK466" s="6">
        <f t="shared" si="115"/>
        <v>4.9504950495049549E-3</v>
      </c>
      <c r="AL466" s="21">
        <v>45573</v>
      </c>
      <c r="AM466" s="1">
        <v>1.78</v>
      </c>
      <c r="AN466" s="1">
        <v>1.78</v>
      </c>
      <c r="AO466" s="6">
        <v>0</v>
      </c>
      <c r="AP466" s="21" t="s">
        <v>469</v>
      </c>
      <c r="AQ466" s="1">
        <v>9902.48</v>
      </c>
      <c r="AR466" s="6">
        <v>2.0775251848064169E-3</v>
      </c>
    </row>
    <row r="467" spans="2:44" x14ac:dyDescent="0.35">
      <c r="B467" s="21">
        <v>45574</v>
      </c>
      <c r="C467" s="1">
        <v>0.76</v>
      </c>
      <c r="D467" s="1">
        <v>0.76</v>
      </c>
      <c r="E467" s="6">
        <f t="shared" si="118"/>
        <v>0</v>
      </c>
      <c r="F467" s="21">
        <v>45574</v>
      </c>
      <c r="G467" s="1">
        <v>16</v>
      </c>
      <c r="H467" s="1">
        <v>12.805</v>
      </c>
      <c r="I467" s="6">
        <f t="shared" si="116"/>
        <v>0</v>
      </c>
      <c r="J467" s="21">
        <v>45574</v>
      </c>
      <c r="K467" s="1">
        <v>53</v>
      </c>
      <c r="L467" s="1">
        <v>38.463500000000003</v>
      </c>
      <c r="M467" s="6">
        <f t="shared" si="111"/>
        <v>9.4464337760769013E-4</v>
      </c>
      <c r="N467" s="21">
        <v>45574</v>
      </c>
      <c r="O467" s="1">
        <v>12.65</v>
      </c>
      <c r="P467" s="1">
        <v>12.082000000000001</v>
      </c>
      <c r="Q467" s="6">
        <f t="shared" si="112"/>
        <v>-3.9407080083759816E-3</v>
      </c>
      <c r="R467" s="21">
        <v>45574</v>
      </c>
      <c r="S467" s="1">
        <v>7.23</v>
      </c>
      <c r="T467" s="1">
        <v>6.7716000000000003</v>
      </c>
      <c r="U467" s="6">
        <f t="shared" si="117"/>
        <v>-1.3862262203213627E-3</v>
      </c>
      <c r="V467" s="21">
        <v>45574</v>
      </c>
      <c r="W467" s="1">
        <v>6.03</v>
      </c>
      <c r="X467" s="1">
        <v>5.6619999999999999</v>
      </c>
      <c r="Y467" s="6">
        <f t="shared" si="110"/>
        <v>-2.7481964960494709E-2</v>
      </c>
      <c r="Z467" s="21">
        <v>45574</v>
      </c>
      <c r="AA467" s="1">
        <v>2.04</v>
      </c>
      <c r="AB467" s="1">
        <v>2.04</v>
      </c>
      <c r="AC467" s="6">
        <f t="shared" si="113"/>
        <v>9.9009900990099098E-3</v>
      </c>
      <c r="AD467" s="21">
        <v>45574</v>
      </c>
      <c r="AE467" s="1">
        <v>8.86</v>
      </c>
      <c r="AF467" s="1">
        <v>8.6145999999999994</v>
      </c>
      <c r="AG467" s="6">
        <f t="shared" si="114"/>
        <v>-1.1247289635101243E-3</v>
      </c>
      <c r="AH467" s="21">
        <v>45574</v>
      </c>
      <c r="AI467" s="1">
        <v>10.18</v>
      </c>
      <c r="AJ467" s="1">
        <v>9.8542000000000005</v>
      </c>
      <c r="AK467" s="6">
        <f t="shared" si="115"/>
        <v>2.9515938606847758E-3</v>
      </c>
      <c r="AL467" s="21">
        <v>45574</v>
      </c>
      <c r="AM467" s="1">
        <v>1.78</v>
      </c>
      <c r="AN467" s="1">
        <v>1.78</v>
      </c>
      <c r="AO467" s="6">
        <v>0</v>
      </c>
      <c r="AP467" s="21" t="s">
        <v>470</v>
      </c>
      <c r="AQ467" s="1">
        <v>9893.0499999999993</v>
      </c>
      <c r="AR467" s="6">
        <v>-9.5228669989744219E-4</v>
      </c>
    </row>
    <row r="468" spans="2:44" x14ac:dyDescent="0.35">
      <c r="B468" s="21">
        <v>45575</v>
      </c>
      <c r="C468" s="1">
        <v>0.76</v>
      </c>
      <c r="D468" s="1">
        <v>0.76</v>
      </c>
      <c r="E468" s="6">
        <f t="shared" si="118"/>
        <v>0</v>
      </c>
      <c r="F468" s="21">
        <v>45575</v>
      </c>
      <c r="G468" s="1">
        <v>15.6</v>
      </c>
      <c r="H468" s="1">
        <v>12.4849</v>
      </c>
      <c r="I468" s="6">
        <f t="shared" si="116"/>
        <v>-2.4998047637641574E-2</v>
      </c>
      <c r="J468" s="21">
        <v>45575</v>
      </c>
      <c r="K468" s="1">
        <v>53.2</v>
      </c>
      <c r="L468" s="1">
        <v>38.608600000000003</v>
      </c>
      <c r="M468" s="6">
        <f t="shared" si="111"/>
        <v>3.7724076072120916E-3</v>
      </c>
      <c r="N468" s="21">
        <v>45575</v>
      </c>
      <c r="O468" s="1">
        <v>12.6</v>
      </c>
      <c r="P468" s="1">
        <v>12.0343</v>
      </c>
      <c r="Q468" s="6">
        <f t="shared" si="112"/>
        <v>-3.9480218506869891E-3</v>
      </c>
      <c r="R468" s="21">
        <v>45575</v>
      </c>
      <c r="S468" s="1">
        <v>7.22</v>
      </c>
      <c r="T468" s="1">
        <v>6.7622999999999998</v>
      </c>
      <c r="U468" s="6">
        <f t="shared" si="117"/>
        <v>-1.3733829523303598E-3</v>
      </c>
      <c r="V468" s="21">
        <v>45575</v>
      </c>
      <c r="W468" s="1">
        <v>6.15</v>
      </c>
      <c r="X468" s="1">
        <v>5.7750000000000004</v>
      </c>
      <c r="Y468" s="6">
        <f t="shared" si="110"/>
        <v>1.9957612151183302E-2</v>
      </c>
      <c r="Z468" s="21">
        <v>45575</v>
      </c>
      <c r="AA468" s="1">
        <v>2.02</v>
      </c>
      <c r="AB468" s="1">
        <v>2.02</v>
      </c>
      <c r="AC468" s="6">
        <f t="shared" si="113"/>
        <v>-9.8039215686274161E-3</v>
      </c>
      <c r="AD468" s="21">
        <v>45575</v>
      </c>
      <c r="AE468" s="1">
        <v>8.85</v>
      </c>
      <c r="AF468" s="1">
        <v>8.6049000000000007</v>
      </c>
      <c r="AG468" s="6">
        <f t="shared" si="114"/>
        <v>-1.1259954031526132E-3</v>
      </c>
      <c r="AH468" s="21">
        <v>45575</v>
      </c>
      <c r="AI468" s="1">
        <v>10.3</v>
      </c>
      <c r="AJ468" s="1">
        <v>9.9703999999999997</v>
      </c>
      <c r="AK468" s="6">
        <f t="shared" si="115"/>
        <v>1.1791926285238619E-2</v>
      </c>
      <c r="AL468" s="21">
        <v>45575</v>
      </c>
      <c r="AM468" s="1">
        <v>1.78</v>
      </c>
      <c r="AN468" s="1">
        <v>1.78</v>
      </c>
      <c r="AO468" s="6">
        <v>0</v>
      </c>
      <c r="AP468" s="21" t="s">
        <v>471</v>
      </c>
      <c r="AQ468" s="1">
        <v>9900.41</v>
      </c>
      <c r="AR468" s="6">
        <v>7.4395661600834551E-4</v>
      </c>
    </row>
    <row r="469" spans="2:44" x14ac:dyDescent="0.35">
      <c r="B469" s="21">
        <v>45576</v>
      </c>
      <c r="C469" s="1">
        <v>0.76</v>
      </c>
      <c r="D469" s="1">
        <v>0.76</v>
      </c>
      <c r="E469" s="6">
        <f t="shared" si="118"/>
        <v>0</v>
      </c>
      <c r="F469" s="21">
        <v>45576</v>
      </c>
      <c r="G469" s="1">
        <v>15.99</v>
      </c>
      <c r="H469" s="1">
        <v>12.797000000000001</v>
      </c>
      <c r="I469" s="6">
        <f t="shared" si="116"/>
        <v>2.4998197822970303E-2</v>
      </c>
      <c r="J469" s="21">
        <v>45576</v>
      </c>
      <c r="K469" s="1">
        <v>53</v>
      </c>
      <c r="L469" s="1">
        <v>38.463500000000003</v>
      </c>
      <c r="M469" s="6">
        <f t="shared" si="111"/>
        <v>-3.7582300316509887E-3</v>
      </c>
      <c r="N469" s="21">
        <v>45576</v>
      </c>
      <c r="O469" s="1">
        <v>12.6</v>
      </c>
      <c r="P469" s="1">
        <v>12.0343</v>
      </c>
      <c r="Q469" s="6">
        <f t="shared" si="112"/>
        <v>0</v>
      </c>
      <c r="R469" s="21">
        <v>45576</v>
      </c>
      <c r="S469" s="1">
        <v>7.28</v>
      </c>
      <c r="T469" s="1">
        <v>6.8183999999999996</v>
      </c>
      <c r="U469" s="6">
        <f t="shared" si="117"/>
        <v>8.2959939665498972E-3</v>
      </c>
      <c r="V469" s="21">
        <v>45576</v>
      </c>
      <c r="W469" s="1">
        <v>6.15</v>
      </c>
      <c r="X469" s="1">
        <v>5.7750000000000004</v>
      </c>
      <c r="Y469" s="6">
        <f t="shared" ref="Y469:Y532" si="119">(X469/X468)-1</f>
        <v>0</v>
      </c>
      <c r="Z469" s="21">
        <v>45576</v>
      </c>
      <c r="AA469" s="1">
        <v>2.02</v>
      </c>
      <c r="AB469" s="1">
        <v>2.02</v>
      </c>
      <c r="AC469" s="6">
        <f t="shared" si="113"/>
        <v>0</v>
      </c>
      <c r="AD469" s="21">
        <v>45576</v>
      </c>
      <c r="AE469" s="1">
        <v>8.7200000000000006</v>
      </c>
      <c r="AF469" s="1">
        <v>8.4785000000000004</v>
      </c>
      <c r="AG469" s="6">
        <f t="shared" si="114"/>
        <v>-1.4689304930911473E-2</v>
      </c>
      <c r="AH469" s="21">
        <v>45576</v>
      </c>
      <c r="AI469" s="1">
        <v>10.4</v>
      </c>
      <c r="AJ469" s="1">
        <v>10.0672</v>
      </c>
      <c r="AK469" s="6">
        <f t="shared" si="115"/>
        <v>9.7087378640776656E-3</v>
      </c>
      <c r="AL469" s="21">
        <v>45576</v>
      </c>
      <c r="AM469" s="1">
        <v>1.78</v>
      </c>
      <c r="AN469" s="1">
        <v>1.78</v>
      </c>
      <c r="AO469" s="6">
        <v>0</v>
      </c>
      <c r="AP469" s="21" t="s">
        <v>472</v>
      </c>
      <c r="AQ469" s="1">
        <v>9909.8700000000008</v>
      </c>
      <c r="AR469" s="6">
        <v>9.5551598368159851E-4</v>
      </c>
    </row>
    <row r="470" spans="2:44" x14ac:dyDescent="0.35">
      <c r="B470" s="21">
        <v>45579</v>
      </c>
      <c r="C470" s="1">
        <v>0.76</v>
      </c>
      <c r="D470" s="1">
        <v>0.76</v>
      </c>
      <c r="E470" s="6">
        <f t="shared" si="118"/>
        <v>0</v>
      </c>
      <c r="F470" s="21">
        <v>45579</v>
      </c>
      <c r="G470" s="1">
        <v>16</v>
      </c>
      <c r="H470" s="1">
        <v>12.805</v>
      </c>
      <c r="I470" s="6">
        <f t="shared" si="116"/>
        <v>6.2514651871525828E-4</v>
      </c>
      <c r="J470" s="21">
        <v>45579</v>
      </c>
      <c r="K470" s="1">
        <v>53</v>
      </c>
      <c r="L470" s="1">
        <v>38.463500000000003</v>
      </c>
      <c r="M470" s="6">
        <f t="shared" si="111"/>
        <v>0</v>
      </c>
      <c r="N470" s="21">
        <v>45579</v>
      </c>
      <c r="O470" s="1">
        <v>12.28</v>
      </c>
      <c r="P470" s="1">
        <v>11.7286</v>
      </c>
      <c r="Q470" s="6">
        <f t="shared" si="112"/>
        <v>-2.5402391497635901E-2</v>
      </c>
      <c r="R470" s="21">
        <v>45579</v>
      </c>
      <c r="S470" s="1">
        <v>7.29</v>
      </c>
      <c r="T470" s="1">
        <v>6.8277999999999999</v>
      </c>
      <c r="U470" s="6">
        <f t="shared" si="117"/>
        <v>1.3786225507450567E-3</v>
      </c>
      <c r="V470" s="21">
        <v>45579</v>
      </c>
      <c r="W470" s="1">
        <v>6.23</v>
      </c>
      <c r="X470" s="1">
        <v>5.85</v>
      </c>
      <c r="Y470" s="6">
        <f t="shared" si="119"/>
        <v>1.298701298701288E-2</v>
      </c>
      <c r="Z470" s="21">
        <v>45579</v>
      </c>
      <c r="AA470" s="1">
        <v>2.02</v>
      </c>
      <c r="AB470" s="1">
        <v>2.02</v>
      </c>
      <c r="AC470" s="6">
        <f t="shared" si="113"/>
        <v>0</v>
      </c>
      <c r="AD470" s="21">
        <v>45579</v>
      </c>
      <c r="AE470" s="1">
        <v>8.9499999999999993</v>
      </c>
      <c r="AF470" s="1">
        <v>8.7020999999999997</v>
      </c>
      <c r="AG470" s="6">
        <f t="shared" si="114"/>
        <v>2.6372589491065579E-2</v>
      </c>
      <c r="AH470" s="21">
        <v>45579</v>
      </c>
      <c r="AI470" s="1">
        <v>10.36</v>
      </c>
      <c r="AJ470" s="1">
        <v>10.028499999999999</v>
      </c>
      <c r="AK470" s="6">
        <f t="shared" si="115"/>
        <v>-3.8441671964399848E-3</v>
      </c>
      <c r="AL470" s="21">
        <v>45579</v>
      </c>
      <c r="AM470" s="1">
        <v>1.78</v>
      </c>
      <c r="AN470" s="1">
        <v>1.78</v>
      </c>
      <c r="AO470" s="6">
        <v>0</v>
      </c>
      <c r="AP470" s="21" t="s">
        <v>473</v>
      </c>
      <c r="AQ470" s="1">
        <v>9919.68</v>
      </c>
      <c r="AR470" s="6">
        <v>9.8992216850457559E-4</v>
      </c>
    </row>
    <row r="471" spans="2:44" x14ac:dyDescent="0.35">
      <c r="B471" s="21">
        <v>45581</v>
      </c>
      <c r="C471" s="1">
        <v>0.74</v>
      </c>
      <c r="D471" s="1">
        <v>0.74</v>
      </c>
      <c r="E471" s="6">
        <f t="shared" si="118"/>
        <v>-2.6315789473684181E-2</v>
      </c>
      <c r="F471" s="21">
        <v>45581</v>
      </c>
      <c r="G471" s="1">
        <v>15.6</v>
      </c>
      <c r="H471" s="1">
        <v>12.4849</v>
      </c>
      <c r="I471" s="6">
        <f t="shared" si="116"/>
        <v>-2.4998047637641574E-2</v>
      </c>
      <c r="J471" s="21">
        <v>45581</v>
      </c>
      <c r="K471" s="1">
        <v>51.39</v>
      </c>
      <c r="L471" s="1">
        <v>37.295099999999998</v>
      </c>
      <c r="M471" s="6">
        <f t="shared" si="111"/>
        <v>-3.0376850780610365E-2</v>
      </c>
      <c r="N471" s="21">
        <v>45581</v>
      </c>
      <c r="O471" s="1">
        <v>12.15</v>
      </c>
      <c r="P471" s="1">
        <v>11.6045</v>
      </c>
      <c r="Q471" s="6">
        <f t="shared" si="112"/>
        <v>-1.0580973006155903E-2</v>
      </c>
      <c r="R471" s="21">
        <v>45581</v>
      </c>
      <c r="S471" s="1">
        <v>7.29</v>
      </c>
      <c r="T471" s="1">
        <v>6.8277999999999999</v>
      </c>
      <c r="U471" s="6">
        <f t="shared" si="117"/>
        <v>0</v>
      </c>
      <c r="V471" s="21">
        <v>45581</v>
      </c>
      <c r="W471" s="1">
        <v>6.08</v>
      </c>
      <c r="X471" s="1">
        <v>5.7089999999999996</v>
      </c>
      <c r="Y471" s="6">
        <f t="shared" si="119"/>
        <v>-2.4102564102564061E-2</v>
      </c>
      <c r="Z471" s="21">
        <v>45581</v>
      </c>
      <c r="AA471" s="1">
        <v>1.99</v>
      </c>
      <c r="AB471" s="1">
        <v>1.99</v>
      </c>
      <c r="AC471" s="6">
        <f t="shared" si="113"/>
        <v>-1.4851485148514865E-2</v>
      </c>
      <c r="AD471" s="21">
        <v>45581</v>
      </c>
      <c r="AE471" s="1">
        <v>8.89</v>
      </c>
      <c r="AF471" s="1">
        <v>8.6437000000000008</v>
      </c>
      <c r="AG471" s="6">
        <f t="shared" si="114"/>
        <v>-6.711023775870073E-3</v>
      </c>
      <c r="AH471" s="21">
        <v>45581</v>
      </c>
      <c r="AI471" s="1">
        <v>10.1</v>
      </c>
      <c r="AJ471" s="1">
        <v>9.7767999999999997</v>
      </c>
      <c r="AK471" s="6">
        <f t="shared" si="115"/>
        <v>-2.509846936231741E-2</v>
      </c>
      <c r="AL471" s="21">
        <v>45581</v>
      </c>
      <c r="AM471" s="1">
        <v>1.78</v>
      </c>
      <c r="AN471" s="1">
        <v>1.78</v>
      </c>
      <c r="AO471" s="6">
        <v>0</v>
      </c>
      <c r="AP471" s="21" t="s">
        <v>474</v>
      </c>
      <c r="AQ471" s="1">
        <v>9765.17</v>
      </c>
      <c r="AR471" s="6">
        <v>-1.557610729378367E-2</v>
      </c>
    </row>
    <row r="472" spans="2:44" x14ac:dyDescent="0.35">
      <c r="B472" s="21">
        <v>45582</v>
      </c>
      <c r="C472" s="1">
        <v>0.75</v>
      </c>
      <c r="D472" s="1">
        <v>0.75</v>
      </c>
      <c r="E472" s="6">
        <f t="shared" si="118"/>
        <v>1.3513513513513598E-2</v>
      </c>
      <c r="F472" s="21">
        <v>45582</v>
      </c>
      <c r="G472" s="1">
        <v>15.93</v>
      </c>
      <c r="H472" s="1">
        <v>12.749000000000001</v>
      </c>
      <c r="I472" s="6">
        <f t="shared" si="116"/>
        <v>2.1153553492619048E-2</v>
      </c>
      <c r="J472" s="21">
        <v>45582</v>
      </c>
      <c r="K472" s="1">
        <v>50.75</v>
      </c>
      <c r="L472" s="1">
        <v>36.830599999999997</v>
      </c>
      <c r="M472" s="6">
        <f t="shared" si="111"/>
        <v>-1.2454719252663282E-2</v>
      </c>
      <c r="N472" s="21">
        <v>45582</v>
      </c>
      <c r="O472" s="1">
        <v>12.25</v>
      </c>
      <c r="P472" s="1">
        <v>11.7</v>
      </c>
      <c r="Q472" s="6">
        <f t="shared" si="112"/>
        <v>8.2295661165927569E-3</v>
      </c>
      <c r="R472" s="21">
        <v>45582</v>
      </c>
      <c r="S472" s="1">
        <v>7.2</v>
      </c>
      <c r="T472" s="1">
        <v>6.7435</v>
      </c>
      <c r="U472" s="6">
        <f t="shared" si="117"/>
        <v>-1.2346583086792151E-2</v>
      </c>
      <c r="V472" s="21">
        <v>45582</v>
      </c>
      <c r="W472" s="1">
        <v>6.15</v>
      </c>
      <c r="X472" s="1">
        <v>5.7750000000000004</v>
      </c>
      <c r="Y472" s="6">
        <f t="shared" si="119"/>
        <v>1.1560693641618602E-2</v>
      </c>
      <c r="Z472" s="21">
        <v>45582</v>
      </c>
      <c r="AA472" s="1">
        <v>1.99</v>
      </c>
      <c r="AB472" s="1">
        <v>1.99</v>
      </c>
      <c r="AC472" s="6">
        <f t="shared" si="113"/>
        <v>0</v>
      </c>
      <c r="AD472" s="21">
        <v>45582</v>
      </c>
      <c r="AE472" s="1">
        <v>8.9499999999999993</v>
      </c>
      <c r="AF472" s="1">
        <v>8.7020999999999997</v>
      </c>
      <c r="AG472" s="6">
        <f t="shared" si="114"/>
        <v>6.7563659081180116E-3</v>
      </c>
      <c r="AH472" s="21">
        <v>45582</v>
      </c>
      <c r="AI472" s="1">
        <v>10.220000000000001</v>
      </c>
      <c r="AJ472" s="1">
        <v>9.8930000000000007</v>
      </c>
      <c r="AK472" s="6">
        <f t="shared" si="115"/>
        <v>1.1885279437034768E-2</v>
      </c>
      <c r="AL472" s="21">
        <v>45582</v>
      </c>
      <c r="AM472" s="1">
        <v>1.78</v>
      </c>
      <c r="AN472" s="1">
        <v>1.78</v>
      </c>
      <c r="AO472" s="6">
        <v>0</v>
      </c>
      <c r="AP472" s="21" t="s">
        <v>475</v>
      </c>
      <c r="AQ472" s="1">
        <v>9810.98</v>
      </c>
      <c r="AR472" s="6">
        <v>4.691162570646501E-3</v>
      </c>
    </row>
    <row r="473" spans="2:44" x14ac:dyDescent="0.35">
      <c r="B473" s="21">
        <v>45583</v>
      </c>
      <c r="C473" s="1">
        <v>0.74</v>
      </c>
      <c r="D473" s="1">
        <v>0.74</v>
      </c>
      <c r="E473" s="6">
        <f t="shared" si="118"/>
        <v>-1.3333333333333308E-2</v>
      </c>
      <c r="F473" s="21">
        <v>45583</v>
      </c>
      <c r="G473" s="1">
        <v>15.94</v>
      </c>
      <c r="H473" s="1">
        <v>12.757</v>
      </c>
      <c r="I473" s="6">
        <f t="shared" si="116"/>
        <v>6.2750019609381091E-4</v>
      </c>
      <c r="J473" s="21">
        <v>45583</v>
      </c>
      <c r="K473" s="1">
        <v>51.4</v>
      </c>
      <c r="L473" s="1">
        <v>37.302300000000002</v>
      </c>
      <c r="M473" s="6">
        <f t="shared" si="111"/>
        <v>1.2807285246507094E-2</v>
      </c>
      <c r="N473" s="21">
        <v>45583</v>
      </c>
      <c r="O473" s="1">
        <v>12.35</v>
      </c>
      <c r="P473" s="1">
        <v>11.795500000000001</v>
      </c>
      <c r="Q473" s="6">
        <f t="shared" si="112"/>
        <v>8.162393162393311E-3</v>
      </c>
      <c r="R473" s="21">
        <v>45583</v>
      </c>
      <c r="S473" s="1">
        <v>7.24</v>
      </c>
      <c r="T473" s="1">
        <v>6.7809999999999997</v>
      </c>
      <c r="U473" s="6">
        <f t="shared" si="117"/>
        <v>5.5609105064136077E-3</v>
      </c>
      <c r="V473" s="21">
        <v>45583</v>
      </c>
      <c r="W473" s="1">
        <v>6.15</v>
      </c>
      <c r="X473" s="1">
        <v>5.7750000000000004</v>
      </c>
      <c r="Y473" s="6">
        <f t="shared" si="119"/>
        <v>0</v>
      </c>
      <c r="Z473" s="21">
        <v>45583</v>
      </c>
      <c r="AA473" s="1">
        <v>2.02</v>
      </c>
      <c r="AB473" s="1">
        <v>2.02</v>
      </c>
      <c r="AC473" s="6">
        <f t="shared" si="113"/>
        <v>1.5075376884422065E-2</v>
      </c>
      <c r="AD473" s="21">
        <v>45583</v>
      </c>
      <c r="AE473" s="1">
        <v>8.9499999999999993</v>
      </c>
      <c r="AF473" s="1">
        <v>8.7020999999999997</v>
      </c>
      <c r="AG473" s="6">
        <f t="shared" si="114"/>
        <v>0</v>
      </c>
      <c r="AH473" s="21">
        <v>45583</v>
      </c>
      <c r="AI473" s="1">
        <v>10.25</v>
      </c>
      <c r="AJ473" s="1">
        <v>9.9220000000000006</v>
      </c>
      <c r="AK473" s="6">
        <f t="shared" si="115"/>
        <v>2.9313656120488751E-3</v>
      </c>
      <c r="AL473" s="21">
        <v>45583</v>
      </c>
      <c r="AM473" s="1">
        <v>1.7</v>
      </c>
      <c r="AN473" s="1">
        <v>1.7</v>
      </c>
      <c r="AO473" s="6">
        <v>-4.49438202247191E-2</v>
      </c>
      <c r="AP473" s="21" t="s">
        <v>476</v>
      </c>
      <c r="AQ473" s="1">
        <v>9849.7999999999993</v>
      </c>
      <c r="AR473" s="6">
        <v>3.9567912685583018E-3</v>
      </c>
    </row>
    <row r="474" spans="2:44" x14ac:dyDescent="0.35">
      <c r="B474" s="21">
        <v>45586</v>
      </c>
      <c r="C474" s="1">
        <v>0.73</v>
      </c>
      <c r="D474" s="1">
        <v>0.73</v>
      </c>
      <c r="E474" s="6">
        <f t="shared" si="118"/>
        <v>-1.3513513513513487E-2</v>
      </c>
      <c r="F474" s="21">
        <v>45586</v>
      </c>
      <c r="G474" s="1">
        <v>16.2</v>
      </c>
      <c r="H474" s="1">
        <v>12.9651</v>
      </c>
      <c r="I474" s="6">
        <f t="shared" si="116"/>
        <v>1.6312612683232697E-2</v>
      </c>
      <c r="J474" s="21">
        <v>45586</v>
      </c>
      <c r="K474" s="1">
        <v>51.4</v>
      </c>
      <c r="L474" s="1">
        <v>37.302300000000002</v>
      </c>
      <c r="M474" s="6">
        <f t="shared" si="111"/>
        <v>0</v>
      </c>
      <c r="N474" s="21">
        <v>45586</v>
      </c>
      <c r="O474" s="1">
        <v>12.89</v>
      </c>
      <c r="P474" s="1">
        <v>12.311199999999999</v>
      </c>
      <c r="Q474" s="6">
        <f t="shared" si="112"/>
        <v>4.3720062735788989E-2</v>
      </c>
      <c r="R474" s="21">
        <v>45586</v>
      </c>
      <c r="S474" s="1">
        <v>7.24</v>
      </c>
      <c r="T474" s="1">
        <v>6.7809999999999997</v>
      </c>
      <c r="U474" s="6">
        <f t="shared" si="117"/>
        <v>0</v>
      </c>
      <c r="V474" s="21">
        <v>45586</v>
      </c>
      <c r="W474" s="1">
        <v>6.23</v>
      </c>
      <c r="X474" s="1">
        <v>5.85</v>
      </c>
      <c r="Y474" s="6">
        <f t="shared" si="119"/>
        <v>1.298701298701288E-2</v>
      </c>
      <c r="Z474" s="21">
        <v>45586</v>
      </c>
      <c r="AA474" s="1">
        <v>2.0299999999999998</v>
      </c>
      <c r="AB474" s="1">
        <v>2.0299999999999998</v>
      </c>
      <c r="AC474" s="6">
        <f t="shared" si="113"/>
        <v>4.9504950495049549E-3</v>
      </c>
      <c r="AD474" s="21">
        <v>45586</v>
      </c>
      <c r="AE474" s="1">
        <v>8.9</v>
      </c>
      <c r="AF474" s="1">
        <v>8.6534999999999993</v>
      </c>
      <c r="AG474" s="6">
        <f t="shared" si="114"/>
        <v>-5.5848588271797395E-3</v>
      </c>
      <c r="AH474" s="21">
        <v>45586</v>
      </c>
      <c r="AI474" s="1">
        <v>10.3</v>
      </c>
      <c r="AJ474" s="1">
        <v>9.9703999999999997</v>
      </c>
      <c r="AK474" s="6">
        <f t="shared" si="115"/>
        <v>4.8780487804878092E-3</v>
      </c>
      <c r="AL474" s="21">
        <v>45586</v>
      </c>
      <c r="AM474" s="1">
        <v>1.7</v>
      </c>
      <c r="AN474" s="1">
        <v>1.7</v>
      </c>
      <c r="AO474" s="6">
        <v>0</v>
      </c>
      <c r="AP474" s="21" t="s">
        <v>477</v>
      </c>
      <c r="AQ474" s="1">
        <v>9856.43</v>
      </c>
      <c r="AR474" s="6">
        <v>6.7311011391102404E-4</v>
      </c>
    </row>
    <row r="475" spans="2:44" x14ac:dyDescent="0.35">
      <c r="B475" s="21">
        <v>45587</v>
      </c>
      <c r="C475" s="1">
        <v>0.72</v>
      </c>
      <c r="D475" s="1">
        <v>0.72</v>
      </c>
      <c r="E475" s="6">
        <f t="shared" si="118"/>
        <v>-1.3698630136986356E-2</v>
      </c>
      <c r="F475" s="21">
        <v>45587</v>
      </c>
      <c r="G475" s="1">
        <v>16.239999999999998</v>
      </c>
      <c r="H475" s="1">
        <v>12.9971</v>
      </c>
      <c r="I475" s="6">
        <f t="shared" si="116"/>
        <v>2.4681645340183245E-3</v>
      </c>
      <c r="J475" s="21">
        <v>45587</v>
      </c>
      <c r="K475" s="1">
        <v>51.5</v>
      </c>
      <c r="L475" s="1">
        <v>37.374899999999997</v>
      </c>
      <c r="M475" s="6">
        <f t="shared" si="111"/>
        <v>1.946260686338297E-3</v>
      </c>
      <c r="N475" s="21">
        <v>45587</v>
      </c>
      <c r="O475" s="1">
        <v>12.8</v>
      </c>
      <c r="P475" s="1">
        <v>12.225300000000001</v>
      </c>
      <c r="Q475" s="6">
        <f t="shared" si="112"/>
        <v>-6.9773864448631207E-3</v>
      </c>
      <c r="R475" s="21">
        <v>45587</v>
      </c>
      <c r="S475" s="1">
        <v>7.23</v>
      </c>
      <c r="T475" s="1">
        <v>6.7716000000000003</v>
      </c>
      <c r="U475" s="6">
        <f t="shared" si="117"/>
        <v>-1.3862262203213627E-3</v>
      </c>
      <c r="V475" s="21">
        <v>45587</v>
      </c>
      <c r="W475" s="1">
        <v>6.19</v>
      </c>
      <c r="X475" s="1">
        <v>5.8120000000000003</v>
      </c>
      <c r="Y475" s="6">
        <f t="shared" si="119"/>
        <v>-6.4957264957263838E-3</v>
      </c>
      <c r="Z475" s="21">
        <v>45587</v>
      </c>
      <c r="AA475" s="1">
        <v>2.0099999999999998</v>
      </c>
      <c r="AB475" s="1">
        <v>2.0099999999999998</v>
      </c>
      <c r="AC475" s="6">
        <f t="shared" si="113"/>
        <v>-9.8522167487684609E-3</v>
      </c>
      <c r="AD475" s="21">
        <v>45587</v>
      </c>
      <c r="AE475" s="1">
        <v>8.94</v>
      </c>
      <c r="AF475" s="1">
        <v>8.6923999999999992</v>
      </c>
      <c r="AG475" s="6">
        <f t="shared" si="114"/>
        <v>4.4952909227480298E-3</v>
      </c>
      <c r="AH475" s="21">
        <v>45587</v>
      </c>
      <c r="AI475" s="1">
        <v>10.36</v>
      </c>
      <c r="AJ475" s="1">
        <v>10.028499999999999</v>
      </c>
      <c r="AK475" s="6">
        <f t="shared" si="115"/>
        <v>5.8272486560217995E-3</v>
      </c>
      <c r="AL475" s="21">
        <v>45587</v>
      </c>
      <c r="AM475" s="1">
        <v>1.77</v>
      </c>
      <c r="AN475" s="1">
        <v>1.77</v>
      </c>
      <c r="AO475" s="6">
        <v>4.117647058823537E-2</v>
      </c>
      <c r="AP475" s="21" t="s">
        <v>478</v>
      </c>
      <c r="AQ475" s="1">
        <v>9859.15</v>
      </c>
      <c r="AR475" s="6">
        <v>2.7596198623625057E-4</v>
      </c>
    </row>
    <row r="476" spans="2:44" x14ac:dyDescent="0.35">
      <c r="B476" s="21">
        <v>45588</v>
      </c>
      <c r="C476" s="1">
        <v>0.69</v>
      </c>
      <c r="D476" s="1">
        <v>0.69</v>
      </c>
      <c r="E476" s="6">
        <f t="shared" si="118"/>
        <v>-4.1666666666666741E-2</v>
      </c>
      <c r="F476" s="21">
        <v>45588</v>
      </c>
      <c r="G476" s="1">
        <v>16.23</v>
      </c>
      <c r="H476" s="1">
        <v>12.989100000000001</v>
      </c>
      <c r="I476" s="6">
        <f t="shared" si="116"/>
        <v>-6.155219241215093E-4</v>
      </c>
      <c r="J476" s="21">
        <v>45588</v>
      </c>
      <c r="K476" s="1">
        <v>51.7</v>
      </c>
      <c r="L476" s="1">
        <v>37.520000000000003</v>
      </c>
      <c r="M476" s="6">
        <f t="shared" si="111"/>
        <v>3.8822846348753881E-3</v>
      </c>
      <c r="N476" s="21">
        <v>45588</v>
      </c>
      <c r="O476" s="1">
        <v>12.62</v>
      </c>
      <c r="P476" s="1">
        <v>12.0534</v>
      </c>
      <c r="Q476" s="6">
        <f t="shared" si="112"/>
        <v>-1.4061004637923036E-2</v>
      </c>
      <c r="R476" s="21">
        <v>45588</v>
      </c>
      <c r="S476" s="1">
        <v>7.22</v>
      </c>
      <c r="T476" s="1">
        <v>6.7622999999999998</v>
      </c>
      <c r="U476" s="6">
        <f t="shared" si="117"/>
        <v>-1.3733829523303598E-3</v>
      </c>
      <c r="V476" s="21">
        <v>45588</v>
      </c>
      <c r="W476" s="1">
        <v>6.2</v>
      </c>
      <c r="X476" s="1">
        <v>5.8220000000000001</v>
      </c>
      <c r="Y476" s="6">
        <f t="shared" si="119"/>
        <v>1.7205781142464183E-3</v>
      </c>
      <c r="Z476" s="21">
        <v>45588</v>
      </c>
      <c r="AA476" s="1">
        <v>2</v>
      </c>
      <c r="AB476" s="1">
        <v>2</v>
      </c>
      <c r="AC476" s="6">
        <f t="shared" si="113"/>
        <v>-4.9751243781093191E-3</v>
      </c>
      <c r="AD476" s="21">
        <v>45588</v>
      </c>
      <c r="AE476" s="1">
        <v>8.6999999999999993</v>
      </c>
      <c r="AF476" s="1">
        <v>8.4589999999999996</v>
      </c>
      <c r="AG476" s="6">
        <f t="shared" si="114"/>
        <v>-2.6851042289816385E-2</v>
      </c>
      <c r="AH476" s="21">
        <v>45588</v>
      </c>
      <c r="AI476" s="1">
        <v>10.3</v>
      </c>
      <c r="AJ476" s="1">
        <v>9.9703999999999997</v>
      </c>
      <c r="AK476" s="6">
        <f t="shared" si="115"/>
        <v>-5.7934885576107487E-3</v>
      </c>
      <c r="AL476" s="21">
        <v>45588</v>
      </c>
      <c r="AM476" s="1">
        <v>1.77</v>
      </c>
      <c r="AN476" s="1">
        <v>1.77</v>
      </c>
      <c r="AO476" s="6">
        <v>0</v>
      </c>
      <c r="AP476" s="21" t="s">
        <v>479</v>
      </c>
      <c r="AQ476" s="1">
        <v>9819.59</v>
      </c>
      <c r="AR476" s="6">
        <v>-4.0125162919724122E-3</v>
      </c>
    </row>
    <row r="477" spans="2:44" x14ac:dyDescent="0.35">
      <c r="B477" s="21">
        <v>45589</v>
      </c>
      <c r="C477" s="1">
        <v>0.66</v>
      </c>
      <c r="D477" s="1">
        <v>0.66</v>
      </c>
      <c r="E477" s="6">
        <f t="shared" si="118"/>
        <v>-4.3478260869565077E-2</v>
      </c>
      <c r="F477" s="21">
        <v>45589</v>
      </c>
      <c r="G477" s="1">
        <v>16.170000000000002</v>
      </c>
      <c r="H477" s="1">
        <v>12.9411</v>
      </c>
      <c r="I477" s="6">
        <f t="shared" si="116"/>
        <v>-3.6954061482319389E-3</v>
      </c>
      <c r="J477" s="21">
        <v>45589</v>
      </c>
      <c r="K477" s="1">
        <v>51.6</v>
      </c>
      <c r="L477" s="1">
        <v>37.447499999999998</v>
      </c>
      <c r="M477" s="6">
        <f t="shared" si="111"/>
        <v>-1.9323027718551877E-3</v>
      </c>
      <c r="N477" s="21">
        <v>45589</v>
      </c>
      <c r="O477" s="1">
        <v>12.6</v>
      </c>
      <c r="P477" s="1">
        <v>12.0343</v>
      </c>
      <c r="Q477" s="6">
        <f t="shared" si="112"/>
        <v>-1.5846151293410493E-3</v>
      </c>
      <c r="R477" s="21">
        <v>45589</v>
      </c>
      <c r="S477" s="1">
        <v>7.24</v>
      </c>
      <c r="T477" s="1">
        <v>6.7809999999999997</v>
      </c>
      <c r="U477" s="6">
        <f t="shared" si="117"/>
        <v>2.7653313221833731E-3</v>
      </c>
      <c r="V477" s="21">
        <v>45589</v>
      </c>
      <c r="W477" s="1">
        <v>6.15</v>
      </c>
      <c r="X477" s="1">
        <v>5.7750000000000004</v>
      </c>
      <c r="Y477" s="6">
        <f t="shared" si="119"/>
        <v>-8.0728272071453056E-3</v>
      </c>
      <c r="Z477" s="21">
        <v>45589</v>
      </c>
      <c r="AA477" s="1">
        <v>2</v>
      </c>
      <c r="AB477" s="1">
        <v>2</v>
      </c>
      <c r="AC477" s="6">
        <f t="shared" si="113"/>
        <v>0</v>
      </c>
      <c r="AD477" s="21">
        <v>45589</v>
      </c>
      <c r="AE477" s="1">
        <v>8.6999999999999993</v>
      </c>
      <c r="AF477" s="1">
        <v>8.4589999999999996</v>
      </c>
      <c r="AG477" s="6">
        <f t="shared" si="114"/>
        <v>0</v>
      </c>
      <c r="AH477" s="21">
        <v>45589</v>
      </c>
      <c r="AI477" s="1">
        <v>10.39</v>
      </c>
      <c r="AJ477" s="1">
        <v>10.057499999999999</v>
      </c>
      <c r="AK477" s="6">
        <f t="shared" si="115"/>
        <v>8.7358581400946989E-3</v>
      </c>
      <c r="AL477" s="21">
        <v>45589</v>
      </c>
      <c r="AM477" s="1">
        <v>1.7</v>
      </c>
      <c r="AN477" s="1">
        <v>1.7</v>
      </c>
      <c r="AO477" s="6">
        <v>-3.9548022598870136E-2</v>
      </c>
      <c r="AP477" s="21" t="s">
        <v>480</v>
      </c>
      <c r="AQ477" s="1">
        <v>9818.85</v>
      </c>
      <c r="AR477" s="6">
        <v>-7.5359561855448121E-5</v>
      </c>
    </row>
    <row r="478" spans="2:44" x14ac:dyDescent="0.35">
      <c r="B478" s="21">
        <v>45590</v>
      </c>
      <c r="C478" s="1">
        <v>0.68</v>
      </c>
      <c r="D478" s="1">
        <v>0.68</v>
      </c>
      <c r="E478" s="6">
        <f t="shared" si="118"/>
        <v>3.0303030303030276E-2</v>
      </c>
      <c r="F478" s="21">
        <v>45590</v>
      </c>
      <c r="G478" s="1">
        <v>16.16</v>
      </c>
      <c r="H478" s="1">
        <v>12.933</v>
      </c>
      <c r="I478" s="6">
        <f t="shared" si="116"/>
        <v>-6.2591278948476159E-4</v>
      </c>
      <c r="J478" s="21">
        <v>45590</v>
      </c>
      <c r="K478" s="1">
        <v>51.49</v>
      </c>
      <c r="L478" s="1">
        <v>37.367600000000003</v>
      </c>
      <c r="M478" s="6">
        <f t="shared" si="111"/>
        <v>-2.1336537819612866E-3</v>
      </c>
      <c r="N478" s="21">
        <v>45590</v>
      </c>
      <c r="O478" s="1">
        <v>12.5</v>
      </c>
      <c r="P478" s="1">
        <v>11.938700000000001</v>
      </c>
      <c r="Q478" s="6">
        <f t="shared" si="112"/>
        <v>-7.9439601804840443E-3</v>
      </c>
      <c r="R478" s="21">
        <v>45590</v>
      </c>
      <c r="S478" s="1">
        <v>7.2</v>
      </c>
      <c r="T478" s="1">
        <v>6.7435</v>
      </c>
      <c r="U478" s="6">
        <f t="shared" si="117"/>
        <v>-5.5301577938356994E-3</v>
      </c>
      <c r="V478" s="21">
        <v>45590</v>
      </c>
      <c r="W478" s="1">
        <v>6.25</v>
      </c>
      <c r="X478" s="1">
        <v>5.8689999999999998</v>
      </c>
      <c r="Y478" s="6">
        <f t="shared" si="119"/>
        <v>1.6277056277056223E-2</v>
      </c>
      <c r="Z478" s="21">
        <v>45590</v>
      </c>
      <c r="AA478" s="1">
        <v>1.99</v>
      </c>
      <c r="AB478" s="1">
        <v>1.99</v>
      </c>
      <c r="AC478" s="6">
        <f t="shared" si="113"/>
        <v>-5.0000000000000044E-3</v>
      </c>
      <c r="AD478" s="21">
        <v>45590</v>
      </c>
      <c r="AE478" s="1">
        <v>8.6999999999999993</v>
      </c>
      <c r="AF478" s="1">
        <v>8.4589999999999996</v>
      </c>
      <c r="AG478" s="6">
        <f t="shared" si="114"/>
        <v>0</v>
      </c>
      <c r="AH478" s="21">
        <v>45590</v>
      </c>
      <c r="AI478" s="1">
        <v>10.199999999999999</v>
      </c>
      <c r="AJ478" s="1">
        <v>9.8735999999999997</v>
      </c>
      <c r="AK478" s="6">
        <f t="shared" si="115"/>
        <v>-1.8284862043251304E-2</v>
      </c>
      <c r="AL478" s="21">
        <v>45590</v>
      </c>
      <c r="AM478" s="1">
        <v>1.68</v>
      </c>
      <c r="AN478" s="1">
        <v>1.68</v>
      </c>
      <c r="AO478" s="6">
        <v>-1.1764705882352899E-2</v>
      </c>
      <c r="AP478" s="21" t="s">
        <v>481</v>
      </c>
      <c r="AQ478" s="1">
        <v>9814.81</v>
      </c>
      <c r="AR478" s="6">
        <v>-4.1145347978643887E-4</v>
      </c>
    </row>
    <row r="479" spans="2:44" x14ac:dyDescent="0.35">
      <c r="B479" s="21">
        <v>45593</v>
      </c>
      <c r="C479" s="1">
        <v>0.71</v>
      </c>
      <c r="D479" s="1">
        <v>0.71</v>
      </c>
      <c r="E479" s="6">
        <f t="shared" si="118"/>
        <v>4.4117647058823373E-2</v>
      </c>
      <c r="F479" s="21">
        <v>45593</v>
      </c>
      <c r="G479" s="1">
        <v>16.149999999999999</v>
      </c>
      <c r="H479" s="1">
        <v>12.925000000000001</v>
      </c>
      <c r="I479" s="6">
        <f t="shared" si="116"/>
        <v>-6.1857264362474851E-4</v>
      </c>
      <c r="J479" s="21">
        <v>45593</v>
      </c>
      <c r="K479" s="1">
        <v>51.35</v>
      </c>
      <c r="L479" s="1">
        <v>37.265999999999998</v>
      </c>
      <c r="M479" s="6">
        <f t="shared" si="111"/>
        <v>-2.7189329793726458E-3</v>
      </c>
      <c r="N479" s="21">
        <v>45593</v>
      </c>
      <c r="O479" s="1">
        <v>12.47</v>
      </c>
      <c r="P479" s="1">
        <v>11.9101</v>
      </c>
      <c r="Q479" s="6">
        <f t="shared" si="112"/>
        <v>-2.3955707070284493E-3</v>
      </c>
      <c r="R479" s="21">
        <v>45593</v>
      </c>
      <c r="S479" s="1">
        <v>7.2</v>
      </c>
      <c r="T479" s="1">
        <v>6.7435</v>
      </c>
      <c r="U479" s="6">
        <f t="shared" si="117"/>
        <v>0</v>
      </c>
      <c r="V479" s="21">
        <v>45593</v>
      </c>
      <c r="W479" s="1">
        <v>6.25</v>
      </c>
      <c r="X479" s="1">
        <v>5.8689999999999998</v>
      </c>
      <c r="Y479" s="6">
        <f t="shared" si="119"/>
        <v>0</v>
      </c>
      <c r="Z479" s="21">
        <v>45593</v>
      </c>
      <c r="AA479" s="1">
        <v>2</v>
      </c>
      <c r="AB479" s="1">
        <v>2</v>
      </c>
      <c r="AC479" s="6">
        <f t="shared" si="113"/>
        <v>5.0251256281406143E-3</v>
      </c>
      <c r="AD479" s="21">
        <v>45593</v>
      </c>
      <c r="AE479" s="1">
        <v>8.8000000000000007</v>
      </c>
      <c r="AF479" s="1">
        <v>8.5562000000000005</v>
      </c>
      <c r="AG479" s="6">
        <f t="shared" si="114"/>
        <v>1.14907199432559E-2</v>
      </c>
      <c r="AH479" s="21">
        <v>45593</v>
      </c>
      <c r="AI479" s="1">
        <v>10.23</v>
      </c>
      <c r="AJ479" s="1">
        <v>9.9025999999999996</v>
      </c>
      <c r="AK479" s="6">
        <f t="shared" si="115"/>
        <v>2.937125263328566E-3</v>
      </c>
      <c r="AL479" s="21">
        <v>45593</v>
      </c>
      <c r="AM479" s="1">
        <v>1.68</v>
      </c>
      <c r="AN479" s="1">
        <v>1.68</v>
      </c>
      <c r="AO479" s="6">
        <v>0</v>
      </c>
      <c r="AP479" s="21" t="s">
        <v>482</v>
      </c>
      <c r="AQ479" s="1">
        <v>9830.6</v>
      </c>
      <c r="AR479" s="6">
        <v>1.6087932420496553E-3</v>
      </c>
    </row>
    <row r="480" spans="2:44" x14ac:dyDescent="0.35">
      <c r="B480" s="21">
        <v>45594</v>
      </c>
      <c r="C480" s="1">
        <v>0.71</v>
      </c>
      <c r="D480" s="1">
        <v>0.71</v>
      </c>
      <c r="E480" s="6">
        <f t="shared" si="118"/>
        <v>0</v>
      </c>
      <c r="F480" s="21">
        <v>45594</v>
      </c>
      <c r="G480" s="1">
        <v>16.149999999999999</v>
      </c>
      <c r="H480" s="1">
        <v>12.925000000000001</v>
      </c>
      <c r="I480" s="6">
        <f t="shared" si="116"/>
        <v>0</v>
      </c>
      <c r="J480" s="21">
        <v>45594</v>
      </c>
      <c r="K480" s="1">
        <v>51</v>
      </c>
      <c r="L480" s="1">
        <v>37.012</v>
      </c>
      <c r="M480" s="6">
        <f t="shared" si="111"/>
        <v>-6.8158643267320906E-3</v>
      </c>
      <c r="N480" s="21">
        <v>45594</v>
      </c>
      <c r="O480" s="1">
        <v>12.5</v>
      </c>
      <c r="P480" s="1">
        <v>11.938700000000001</v>
      </c>
      <c r="Q480" s="6">
        <f t="shared" si="112"/>
        <v>2.4013232466562062E-3</v>
      </c>
      <c r="R480" s="21">
        <v>45594</v>
      </c>
      <c r="S480" s="1">
        <v>7.29</v>
      </c>
      <c r="T480" s="1">
        <v>6.8277999999999999</v>
      </c>
      <c r="U480" s="6">
        <f t="shared" si="117"/>
        <v>1.2500926818417746E-2</v>
      </c>
      <c r="V480" s="21">
        <v>45594</v>
      </c>
      <c r="W480" s="1">
        <v>6.25</v>
      </c>
      <c r="X480" s="1">
        <v>5.8689999999999998</v>
      </c>
      <c r="Y480" s="6">
        <f t="shared" si="119"/>
        <v>0</v>
      </c>
      <c r="Z480" s="21">
        <v>45594</v>
      </c>
      <c r="AA480" s="1">
        <v>2.12</v>
      </c>
      <c r="AB480" s="1">
        <v>2.12</v>
      </c>
      <c r="AC480" s="6">
        <f t="shared" si="113"/>
        <v>6.0000000000000053E-2</v>
      </c>
      <c r="AD480" s="21">
        <v>45594</v>
      </c>
      <c r="AE480" s="1">
        <v>8.8000000000000007</v>
      </c>
      <c r="AF480" s="1">
        <v>8.5562000000000005</v>
      </c>
      <c r="AG480" s="6">
        <f t="shared" si="114"/>
        <v>0</v>
      </c>
      <c r="AH480" s="21">
        <v>45594</v>
      </c>
      <c r="AI480" s="1">
        <v>10.220000000000001</v>
      </c>
      <c r="AJ480" s="1">
        <v>9.8930000000000007</v>
      </c>
      <c r="AK480" s="6">
        <f t="shared" si="115"/>
        <v>-9.6944236867069211E-4</v>
      </c>
      <c r="AL480" s="21">
        <v>45594</v>
      </c>
      <c r="AM480" s="1">
        <v>1.68</v>
      </c>
      <c r="AN480" s="1">
        <v>1.68</v>
      </c>
      <c r="AO480" s="6">
        <v>0</v>
      </c>
      <c r="AP480" s="21" t="s">
        <v>483</v>
      </c>
      <c r="AQ480" s="1">
        <v>9841.18</v>
      </c>
      <c r="AR480" s="6">
        <v>1.0762313592251882E-3</v>
      </c>
    </row>
    <row r="481" spans="2:44" x14ac:dyDescent="0.35">
      <c r="B481" s="21">
        <v>45595</v>
      </c>
      <c r="C481" s="1">
        <v>0.68</v>
      </c>
      <c r="D481" s="1">
        <v>0.68</v>
      </c>
      <c r="E481" s="6">
        <f t="shared" si="118"/>
        <v>-4.2253521126760396E-2</v>
      </c>
      <c r="F481" s="21">
        <v>45595</v>
      </c>
      <c r="G481" s="1">
        <v>16.149999999999999</v>
      </c>
      <c r="H481" s="1">
        <v>12.925000000000001</v>
      </c>
      <c r="I481" s="6">
        <f t="shared" si="116"/>
        <v>0</v>
      </c>
      <c r="J481" s="21">
        <v>45595</v>
      </c>
      <c r="K481" s="1">
        <v>50.8</v>
      </c>
      <c r="L481" s="1">
        <v>36.866900000000001</v>
      </c>
      <c r="M481" s="6">
        <f t="shared" si="111"/>
        <v>-3.9203501567058874E-3</v>
      </c>
      <c r="N481" s="21">
        <v>45595</v>
      </c>
      <c r="O481" s="1">
        <v>12.44</v>
      </c>
      <c r="P481" s="1">
        <v>11.881399999999999</v>
      </c>
      <c r="Q481" s="6">
        <f t="shared" si="112"/>
        <v>-4.7995175354101915E-3</v>
      </c>
      <c r="R481" s="21">
        <v>45595</v>
      </c>
      <c r="S481" s="1">
        <v>7.2</v>
      </c>
      <c r="T481" s="1">
        <v>6.7435</v>
      </c>
      <c r="U481" s="6">
        <f t="shared" si="117"/>
        <v>-1.2346583086792151E-2</v>
      </c>
      <c r="V481" s="21">
        <v>45595</v>
      </c>
      <c r="W481" s="1">
        <v>6.2</v>
      </c>
      <c r="X481" s="1">
        <v>5.8220000000000001</v>
      </c>
      <c r="Y481" s="6">
        <f t="shared" si="119"/>
        <v>-8.0081785653433046E-3</v>
      </c>
      <c r="Z481" s="21">
        <v>45595</v>
      </c>
      <c r="AA481" s="1">
        <v>2.2400000000000002</v>
      </c>
      <c r="AB481" s="1">
        <v>2.2400000000000002</v>
      </c>
      <c r="AC481" s="6">
        <f t="shared" si="113"/>
        <v>5.6603773584905648E-2</v>
      </c>
      <c r="AD481" s="21">
        <v>45595</v>
      </c>
      <c r="AE481" s="1">
        <v>8.7899999999999991</v>
      </c>
      <c r="AF481" s="1">
        <v>8.5465</v>
      </c>
      <c r="AG481" s="6">
        <f t="shared" si="114"/>
        <v>-1.133680839625173E-3</v>
      </c>
      <c r="AH481" s="21">
        <v>45595</v>
      </c>
      <c r="AI481" s="1">
        <v>10.11</v>
      </c>
      <c r="AJ481" s="1">
        <v>9.7865000000000002</v>
      </c>
      <c r="AK481" s="6">
        <f t="shared" si="115"/>
        <v>-1.0765187506317608E-2</v>
      </c>
      <c r="AL481" s="21">
        <v>45595</v>
      </c>
      <c r="AM481" s="1">
        <v>1.68</v>
      </c>
      <c r="AN481" s="1">
        <v>1.68</v>
      </c>
      <c r="AO481" s="6">
        <v>0</v>
      </c>
      <c r="AP481" s="21" t="s">
        <v>484</v>
      </c>
      <c r="AQ481" s="1">
        <v>9846.2000000000007</v>
      </c>
      <c r="AR481" s="6">
        <v>5.1010143092611315E-4</v>
      </c>
    </row>
    <row r="482" spans="2:44" x14ac:dyDescent="0.35">
      <c r="B482" s="21">
        <v>45596</v>
      </c>
      <c r="C482" s="1">
        <v>0.71</v>
      </c>
      <c r="D482" s="1">
        <v>0.71</v>
      </c>
      <c r="E482" s="6">
        <f t="shared" si="118"/>
        <v>4.4117647058823373E-2</v>
      </c>
      <c r="F482" s="21">
        <v>45596</v>
      </c>
      <c r="G482" s="1">
        <v>16.149999999999999</v>
      </c>
      <c r="H482" s="1">
        <v>12.925000000000001</v>
      </c>
      <c r="I482" s="6">
        <f t="shared" si="116"/>
        <v>0</v>
      </c>
      <c r="J482" s="21">
        <v>45596</v>
      </c>
      <c r="K482" s="1">
        <v>50.95</v>
      </c>
      <c r="L482" s="1">
        <v>36.975700000000003</v>
      </c>
      <c r="M482" s="6">
        <f t="shared" si="111"/>
        <v>2.9511567286644169E-3</v>
      </c>
      <c r="N482" s="21">
        <v>45596</v>
      </c>
      <c r="O482" s="1">
        <v>12.2</v>
      </c>
      <c r="P482" s="1">
        <v>11.652200000000001</v>
      </c>
      <c r="Q482" s="6">
        <f t="shared" si="112"/>
        <v>-1.9290655983301486E-2</v>
      </c>
      <c r="R482" s="21">
        <v>45596</v>
      </c>
      <c r="S482" s="1">
        <v>7.15</v>
      </c>
      <c r="T482" s="1">
        <v>6.6966999999999999</v>
      </c>
      <c r="U482" s="6">
        <f t="shared" si="117"/>
        <v>-6.940016312004138E-3</v>
      </c>
      <c r="V482" s="21">
        <v>45596</v>
      </c>
      <c r="W482" s="1">
        <v>6.2</v>
      </c>
      <c r="X482" s="1">
        <v>5.8220000000000001</v>
      </c>
      <c r="Y482" s="6">
        <f t="shared" si="119"/>
        <v>0</v>
      </c>
      <c r="Z482" s="21">
        <v>45596</v>
      </c>
      <c r="AA482" s="1">
        <v>2.25</v>
      </c>
      <c r="AB482" s="1">
        <v>2.25</v>
      </c>
      <c r="AC482" s="6">
        <f t="shared" si="113"/>
        <v>4.4642857142855874E-3</v>
      </c>
      <c r="AD482" s="21">
        <v>45596</v>
      </c>
      <c r="AE482" s="1">
        <v>8.85</v>
      </c>
      <c r="AF482" s="1">
        <v>8.6049000000000007</v>
      </c>
      <c r="AG482" s="6">
        <f t="shared" si="114"/>
        <v>6.8332065757912286E-3</v>
      </c>
      <c r="AH482" s="21">
        <v>45596</v>
      </c>
      <c r="AI482" s="1">
        <v>10.15</v>
      </c>
      <c r="AJ482" s="1">
        <v>9.8252000000000006</v>
      </c>
      <c r="AK482" s="6">
        <f t="shared" si="115"/>
        <v>3.9544270168088147E-3</v>
      </c>
      <c r="AL482" s="21">
        <v>45596</v>
      </c>
      <c r="AM482" s="1">
        <v>1.68</v>
      </c>
      <c r="AN482" s="1">
        <v>1.68</v>
      </c>
      <c r="AO482" s="6">
        <v>0</v>
      </c>
      <c r="AP482" s="21" t="s">
        <v>485</v>
      </c>
      <c r="AQ482" s="1">
        <v>9860.67</v>
      </c>
      <c r="AR482" s="6">
        <v>1.4696024862381751E-3</v>
      </c>
    </row>
    <row r="483" spans="2:44" x14ac:dyDescent="0.35">
      <c r="B483" s="21">
        <v>45597</v>
      </c>
      <c r="C483" s="1">
        <v>0.73</v>
      </c>
      <c r="D483" s="1">
        <v>0.73</v>
      </c>
      <c r="E483" s="6">
        <f t="shared" si="118"/>
        <v>2.8169014084507005E-2</v>
      </c>
      <c r="F483" s="21">
        <v>45597</v>
      </c>
      <c r="G483" s="1">
        <v>16.96</v>
      </c>
      <c r="H483" s="1">
        <v>13.5733</v>
      </c>
      <c r="I483" s="6">
        <f t="shared" si="116"/>
        <v>5.0158607350096585E-2</v>
      </c>
      <c r="J483" s="21">
        <v>45597</v>
      </c>
      <c r="K483" s="1">
        <v>50.8</v>
      </c>
      <c r="L483" s="1">
        <v>36.866900000000001</v>
      </c>
      <c r="M483" s="6">
        <f t="shared" si="111"/>
        <v>-2.9424730295843915E-3</v>
      </c>
      <c r="N483" s="21">
        <v>45597</v>
      </c>
      <c r="O483" s="1">
        <v>12.14</v>
      </c>
      <c r="P483" s="1">
        <v>11.594900000000001</v>
      </c>
      <c r="Q483" s="6">
        <f t="shared" si="112"/>
        <v>-4.9175263040455164E-3</v>
      </c>
      <c r="R483" s="21">
        <v>45597</v>
      </c>
      <c r="S483" s="1">
        <v>7.18</v>
      </c>
      <c r="T483" s="1">
        <v>6.7248000000000001</v>
      </c>
      <c r="U483" s="6">
        <f t="shared" si="117"/>
        <v>4.1960965848850673E-3</v>
      </c>
      <c r="V483" s="21">
        <v>45597</v>
      </c>
      <c r="W483" s="1">
        <v>6.2</v>
      </c>
      <c r="X483" s="1">
        <v>5.8220000000000001</v>
      </c>
      <c r="Y483" s="6">
        <f t="shared" si="119"/>
        <v>0</v>
      </c>
      <c r="Z483" s="21">
        <v>45597</v>
      </c>
      <c r="AA483" s="1">
        <v>2.25</v>
      </c>
      <c r="AB483" s="1">
        <v>2.25</v>
      </c>
      <c r="AC483" s="6">
        <f t="shared" si="113"/>
        <v>0</v>
      </c>
      <c r="AD483" s="21">
        <v>45597</v>
      </c>
      <c r="AE483" s="1">
        <v>8.83</v>
      </c>
      <c r="AF483" s="1">
        <v>8.5853999999999999</v>
      </c>
      <c r="AG483" s="6">
        <f t="shared" si="114"/>
        <v>-2.2661506815885302E-3</v>
      </c>
      <c r="AH483" s="21">
        <v>45597</v>
      </c>
      <c r="AI483" s="1">
        <v>10.18</v>
      </c>
      <c r="AJ483" s="1">
        <v>9.8542000000000005</v>
      </c>
      <c r="AK483" s="6">
        <f t="shared" si="115"/>
        <v>2.9515938606847758E-3</v>
      </c>
      <c r="AL483" s="21">
        <v>45597</v>
      </c>
      <c r="AM483" s="1">
        <v>1.68</v>
      </c>
      <c r="AN483" s="1">
        <v>1.68</v>
      </c>
      <c r="AO483" s="6">
        <v>0</v>
      </c>
      <c r="AP483" s="21" t="s">
        <v>486</v>
      </c>
      <c r="AQ483" s="1">
        <v>9857.86</v>
      </c>
      <c r="AR483" s="6">
        <v>-2.8497049389131224E-4</v>
      </c>
    </row>
    <row r="484" spans="2:44" x14ac:dyDescent="0.35">
      <c r="B484" s="21">
        <v>45600</v>
      </c>
      <c r="C484" s="1">
        <v>0.73</v>
      </c>
      <c r="D484" s="1">
        <v>0.73</v>
      </c>
      <c r="E484" s="6">
        <f t="shared" si="118"/>
        <v>0</v>
      </c>
      <c r="F484" s="21">
        <v>45600</v>
      </c>
      <c r="G484" s="1">
        <v>16.89</v>
      </c>
      <c r="H484" s="1">
        <v>13.517300000000001</v>
      </c>
      <c r="I484" s="6">
        <f t="shared" si="116"/>
        <v>-4.1257468706945577E-3</v>
      </c>
      <c r="J484" s="21">
        <v>45600</v>
      </c>
      <c r="K484" s="1">
        <v>50.4</v>
      </c>
      <c r="L484" s="1">
        <v>36.576599999999999</v>
      </c>
      <c r="M484" s="6">
        <f t="shared" si="111"/>
        <v>-7.8742720434862301E-3</v>
      </c>
      <c r="N484" s="21">
        <v>45600</v>
      </c>
      <c r="O484" s="1">
        <v>12.14</v>
      </c>
      <c r="P484" s="1">
        <v>11.594900000000001</v>
      </c>
      <c r="Q484" s="6">
        <f t="shared" si="112"/>
        <v>0</v>
      </c>
      <c r="R484" s="21">
        <v>45600</v>
      </c>
      <c r="S484" s="1">
        <v>7.2</v>
      </c>
      <c r="T484" s="1">
        <v>6.7435</v>
      </c>
      <c r="U484" s="6">
        <f t="shared" si="117"/>
        <v>2.7807518439209034E-3</v>
      </c>
      <c r="V484" s="21">
        <v>45600</v>
      </c>
      <c r="W484" s="1">
        <v>6.15</v>
      </c>
      <c r="X484" s="1">
        <v>5.7750000000000004</v>
      </c>
      <c r="Y484" s="6">
        <f t="shared" si="119"/>
        <v>-8.0728272071453056E-3</v>
      </c>
      <c r="Z484" s="21">
        <v>45600</v>
      </c>
      <c r="AA484" s="1">
        <v>2.27</v>
      </c>
      <c r="AB484" s="1">
        <v>2.27</v>
      </c>
      <c r="AC484" s="6">
        <f t="shared" si="113"/>
        <v>8.8888888888889461E-3</v>
      </c>
      <c r="AD484" s="21">
        <v>45600</v>
      </c>
      <c r="AE484" s="1">
        <v>8.84</v>
      </c>
      <c r="AF484" s="1">
        <v>8.5951000000000004</v>
      </c>
      <c r="AG484" s="6">
        <f t="shared" si="114"/>
        <v>1.1298250518323449E-3</v>
      </c>
      <c r="AH484" s="21">
        <v>45600</v>
      </c>
      <c r="AI484" s="1">
        <v>10.15</v>
      </c>
      <c r="AJ484" s="1">
        <v>9.8252000000000006</v>
      </c>
      <c r="AK484" s="6">
        <f t="shared" si="115"/>
        <v>-2.9429075927015491E-3</v>
      </c>
      <c r="AL484" s="21">
        <v>45600</v>
      </c>
      <c r="AM484" s="1">
        <v>1.68</v>
      </c>
      <c r="AN484" s="1">
        <v>1.68</v>
      </c>
      <c r="AO484" s="6">
        <v>0</v>
      </c>
      <c r="AP484" s="21" t="s">
        <v>487</v>
      </c>
      <c r="AQ484" s="1">
        <v>9879.06</v>
      </c>
      <c r="AR484" s="6">
        <v>2.1505681760543016E-3</v>
      </c>
    </row>
    <row r="485" spans="2:44" x14ac:dyDescent="0.35">
      <c r="B485" s="21">
        <v>45601</v>
      </c>
      <c r="C485" s="1">
        <v>0.72</v>
      </c>
      <c r="D485" s="1">
        <v>0.72</v>
      </c>
      <c r="E485" s="6">
        <f t="shared" si="118"/>
        <v>-1.3698630136986356E-2</v>
      </c>
      <c r="F485" s="21">
        <v>45601</v>
      </c>
      <c r="G485" s="1">
        <v>16.72</v>
      </c>
      <c r="H485" s="1">
        <v>13.3812</v>
      </c>
      <c r="I485" s="6">
        <f t="shared" si="116"/>
        <v>-1.0068578784224735E-2</v>
      </c>
      <c r="J485" s="21">
        <v>45601</v>
      </c>
      <c r="K485" s="1">
        <v>50.2</v>
      </c>
      <c r="L485" s="1">
        <v>36.431399999999996</v>
      </c>
      <c r="M485" s="6">
        <f t="shared" si="111"/>
        <v>-3.9697511523761886E-3</v>
      </c>
      <c r="N485" s="21">
        <v>45601</v>
      </c>
      <c r="O485" s="1">
        <v>12.04</v>
      </c>
      <c r="P485" s="1">
        <v>11.4994</v>
      </c>
      <c r="Q485" s="6">
        <f t="shared" si="112"/>
        <v>-8.2363797876653377E-3</v>
      </c>
      <c r="R485" s="21">
        <v>45601</v>
      </c>
      <c r="S485" s="1">
        <v>7.2</v>
      </c>
      <c r="T485" s="1">
        <v>6.7435</v>
      </c>
      <c r="U485" s="6">
        <f t="shared" si="117"/>
        <v>0</v>
      </c>
      <c r="V485" s="21">
        <v>45601</v>
      </c>
      <c r="W485" s="1">
        <v>6.19</v>
      </c>
      <c r="X485" s="1">
        <v>5.8120000000000003</v>
      </c>
      <c r="Y485" s="6">
        <f t="shared" si="119"/>
        <v>6.4069264069264165E-3</v>
      </c>
      <c r="Z485" s="21">
        <v>45601</v>
      </c>
      <c r="AA485" s="1">
        <v>2.2799999999999998</v>
      </c>
      <c r="AB485" s="1">
        <v>2.2799999999999998</v>
      </c>
      <c r="AC485" s="6">
        <f t="shared" si="113"/>
        <v>4.405286343612147E-3</v>
      </c>
      <c r="AD485" s="21">
        <v>45601</v>
      </c>
      <c r="AE485" s="1">
        <v>8.83</v>
      </c>
      <c r="AF485" s="1">
        <v>8.5853999999999999</v>
      </c>
      <c r="AG485" s="6">
        <f t="shared" si="114"/>
        <v>-1.1285499877837779E-3</v>
      </c>
      <c r="AH485" s="21">
        <v>45601</v>
      </c>
      <c r="AI485" s="1">
        <v>10.119999999999999</v>
      </c>
      <c r="AJ485" s="1">
        <v>9.7962000000000007</v>
      </c>
      <c r="AK485" s="6">
        <f t="shared" si="115"/>
        <v>-2.9515938606847758E-3</v>
      </c>
      <c r="AL485" s="21">
        <v>45601</v>
      </c>
      <c r="AM485" s="1">
        <v>1.61</v>
      </c>
      <c r="AN485" s="1">
        <v>1.61</v>
      </c>
      <c r="AO485" s="6">
        <v>-4.1666666666666519E-2</v>
      </c>
      <c r="AP485" s="21" t="s">
        <v>488</v>
      </c>
      <c r="AQ485" s="1">
        <v>9869.42</v>
      </c>
      <c r="AR485" s="6">
        <v>-9.7580134142316588E-4</v>
      </c>
    </row>
    <row r="486" spans="2:44" x14ac:dyDescent="0.35">
      <c r="B486" s="21">
        <v>45602</v>
      </c>
      <c r="C486" s="1">
        <v>0.7</v>
      </c>
      <c r="D486" s="1">
        <v>0.7</v>
      </c>
      <c r="E486" s="6">
        <f t="shared" si="118"/>
        <v>-2.777777777777779E-2</v>
      </c>
      <c r="F486" s="21">
        <v>45602</v>
      </c>
      <c r="G486" s="1">
        <v>16.7</v>
      </c>
      <c r="H486" s="1">
        <v>13.3652</v>
      </c>
      <c r="I486" s="6">
        <f t="shared" si="116"/>
        <v>-1.1957074103966514E-3</v>
      </c>
      <c r="J486" s="21">
        <v>45602</v>
      </c>
      <c r="K486" s="1">
        <v>50.15</v>
      </c>
      <c r="L486" s="1">
        <v>36.395200000000003</v>
      </c>
      <c r="M486" s="6">
        <f t="shared" si="111"/>
        <v>-9.9364833632509253E-4</v>
      </c>
      <c r="N486" s="21">
        <v>45602</v>
      </c>
      <c r="O486" s="1">
        <v>12.1</v>
      </c>
      <c r="P486" s="1">
        <v>11.556699999999999</v>
      </c>
      <c r="Q486" s="6">
        <f t="shared" si="112"/>
        <v>4.9828686714088466E-3</v>
      </c>
      <c r="R486" s="21">
        <v>45602</v>
      </c>
      <c r="S486" s="1">
        <v>7.19</v>
      </c>
      <c r="T486" s="1">
        <v>6.7342000000000004</v>
      </c>
      <c r="U486" s="6">
        <f t="shared" si="117"/>
        <v>-1.3791058055905303E-3</v>
      </c>
      <c r="V486" s="21">
        <v>45602</v>
      </c>
      <c r="W486" s="1">
        <v>6.17</v>
      </c>
      <c r="X486" s="1">
        <v>5.7939999999999996</v>
      </c>
      <c r="Y486" s="6">
        <f t="shared" si="119"/>
        <v>-3.0970406056436417E-3</v>
      </c>
      <c r="Z486" s="21">
        <v>45602</v>
      </c>
      <c r="AA486" s="1">
        <v>2.2999999999999998</v>
      </c>
      <c r="AB486" s="1">
        <v>2.2999999999999998</v>
      </c>
      <c r="AC486" s="6">
        <f t="shared" si="113"/>
        <v>8.7719298245614308E-3</v>
      </c>
      <c r="AD486" s="21">
        <v>45602</v>
      </c>
      <c r="AE486" s="1">
        <v>8.82</v>
      </c>
      <c r="AF486" s="1">
        <v>8.5756999999999994</v>
      </c>
      <c r="AG486" s="6">
        <f t="shared" si="114"/>
        <v>-1.1298250518322339E-3</v>
      </c>
      <c r="AH486" s="21">
        <v>45602</v>
      </c>
      <c r="AI486" s="1">
        <v>10</v>
      </c>
      <c r="AJ486" s="1">
        <v>9.68</v>
      </c>
      <c r="AK486" s="6">
        <f t="shared" si="115"/>
        <v>-1.1861742308242107E-2</v>
      </c>
      <c r="AL486" s="21">
        <v>45602</v>
      </c>
      <c r="AM486" s="1">
        <v>1.61</v>
      </c>
      <c r="AN486" s="1">
        <v>1.61</v>
      </c>
      <c r="AO486" s="6">
        <v>0</v>
      </c>
      <c r="AP486" s="21" t="s">
        <v>489</v>
      </c>
      <c r="AQ486" s="1">
        <v>9841.25</v>
      </c>
      <c r="AR486" s="6">
        <v>-2.8542710716537023E-3</v>
      </c>
    </row>
    <row r="487" spans="2:44" x14ac:dyDescent="0.35">
      <c r="B487" s="21">
        <v>45603</v>
      </c>
      <c r="C487" s="1">
        <v>0.71</v>
      </c>
      <c r="D487" s="1">
        <v>0.71</v>
      </c>
      <c r="E487" s="6">
        <f t="shared" si="118"/>
        <v>1.4285714285714235E-2</v>
      </c>
      <c r="F487" s="21">
        <v>45603</v>
      </c>
      <c r="G487" s="1">
        <v>16.649999999999999</v>
      </c>
      <c r="H487" s="1">
        <v>13.325200000000001</v>
      </c>
      <c r="I487" s="6">
        <f t="shared" si="116"/>
        <v>-2.9928470954417863E-3</v>
      </c>
      <c r="J487" s="21">
        <v>45603</v>
      </c>
      <c r="K487" s="1">
        <v>49.15</v>
      </c>
      <c r="L487" s="1">
        <v>35.669400000000003</v>
      </c>
      <c r="M487" s="6">
        <f t="shared" si="111"/>
        <v>-1.9942190178924735E-2</v>
      </c>
      <c r="N487" s="21">
        <v>45603</v>
      </c>
      <c r="O487" s="1">
        <v>12.1</v>
      </c>
      <c r="P487" s="1">
        <v>11.556699999999999</v>
      </c>
      <c r="Q487" s="6">
        <f t="shared" si="112"/>
        <v>0</v>
      </c>
      <c r="R487" s="21">
        <v>45603</v>
      </c>
      <c r="S487" s="1">
        <v>7.19</v>
      </c>
      <c r="T487" s="1">
        <v>6.7342000000000004</v>
      </c>
      <c r="U487" s="6">
        <f t="shared" si="117"/>
        <v>0</v>
      </c>
      <c r="V487" s="21">
        <v>45603</v>
      </c>
      <c r="W487" s="1">
        <v>6.09</v>
      </c>
      <c r="X487" s="1">
        <v>5.718</v>
      </c>
      <c r="Y487" s="6">
        <f t="shared" si="119"/>
        <v>-1.3117017604418302E-2</v>
      </c>
      <c r="Z487" s="21">
        <v>45603</v>
      </c>
      <c r="AA487" s="1">
        <v>2.2999999999999998</v>
      </c>
      <c r="AB487" s="1">
        <v>2.2999999999999998</v>
      </c>
      <c r="AC487" s="6">
        <f t="shared" si="113"/>
        <v>0</v>
      </c>
      <c r="AD487" s="21">
        <v>45603</v>
      </c>
      <c r="AE487" s="1">
        <v>8.9</v>
      </c>
      <c r="AF487" s="1">
        <v>8.6534999999999993</v>
      </c>
      <c r="AG487" s="6">
        <f t="shared" si="114"/>
        <v>9.0721457140525708E-3</v>
      </c>
      <c r="AH487" s="21">
        <v>45603</v>
      </c>
      <c r="AI487" s="1">
        <v>10</v>
      </c>
      <c r="AJ487" s="1">
        <v>9.68</v>
      </c>
      <c r="AK487" s="6">
        <f t="shared" si="115"/>
        <v>0</v>
      </c>
      <c r="AL487" s="21">
        <v>45603</v>
      </c>
      <c r="AM487" s="1">
        <v>1.54</v>
      </c>
      <c r="AN487" s="1">
        <v>1.54</v>
      </c>
      <c r="AO487" s="6">
        <v>-4.3478260869565299E-2</v>
      </c>
      <c r="AP487" s="21" t="s">
        <v>490</v>
      </c>
      <c r="AQ487" s="1">
        <v>9833.8799999999992</v>
      </c>
      <c r="AR487" s="6">
        <v>-7.4888860663036017E-4</v>
      </c>
    </row>
    <row r="488" spans="2:44" x14ac:dyDescent="0.35">
      <c r="B488" s="21">
        <v>45604</v>
      </c>
      <c r="C488" s="1">
        <v>0.71</v>
      </c>
      <c r="D488" s="1">
        <v>0.71</v>
      </c>
      <c r="E488" s="6">
        <f t="shared" si="118"/>
        <v>0</v>
      </c>
      <c r="F488" s="21">
        <v>45604</v>
      </c>
      <c r="G488" s="1">
        <v>16.600000000000001</v>
      </c>
      <c r="H488" s="1">
        <v>13.2852</v>
      </c>
      <c r="I488" s="6">
        <f t="shared" si="116"/>
        <v>-3.0018311169813794E-3</v>
      </c>
      <c r="J488" s="21">
        <v>45604</v>
      </c>
      <c r="K488" s="1">
        <v>49.34</v>
      </c>
      <c r="L488" s="1">
        <v>35.807299999999998</v>
      </c>
      <c r="M488" s="6">
        <f t="shared" si="111"/>
        <v>3.8660588627785764E-3</v>
      </c>
      <c r="N488" s="21">
        <v>45604</v>
      </c>
      <c r="O488" s="1">
        <v>12</v>
      </c>
      <c r="P488" s="1">
        <v>11.4612</v>
      </c>
      <c r="Q488" s="6">
        <f t="shared" si="112"/>
        <v>-8.2636046622305281E-3</v>
      </c>
      <c r="R488" s="21">
        <v>45604</v>
      </c>
      <c r="S488" s="1">
        <v>7.3</v>
      </c>
      <c r="T488" s="1">
        <v>6.8372000000000002</v>
      </c>
      <c r="U488" s="6">
        <f t="shared" si="117"/>
        <v>1.529506103174838E-2</v>
      </c>
      <c r="V488" s="21">
        <v>45604</v>
      </c>
      <c r="W488" s="1">
        <v>6.18</v>
      </c>
      <c r="X488" s="1">
        <v>5.8029999999999999</v>
      </c>
      <c r="Y488" s="6">
        <f t="shared" si="119"/>
        <v>1.4865337530605149E-2</v>
      </c>
      <c r="Z488" s="21">
        <v>45604</v>
      </c>
      <c r="AA488" s="1">
        <v>2.29</v>
      </c>
      <c r="AB488" s="1">
        <v>2.29</v>
      </c>
      <c r="AC488" s="6">
        <f t="shared" si="113"/>
        <v>-4.3478260869563856E-3</v>
      </c>
      <c r="AD488" s="21">
        <v>45604</v>
      </c>
      <c r="AE488" s="1">
        <v>8.89</v>
      </c>
      <c r="AF488" s="1">
        <v>8.6437000000000008</v>
      </c>
      <c r="AG488" s="6">
        <f t="shared" si="114"/>
        <v>-1.1324897440340154E-3</v>
      </c>
      <c r="AH488" s="21">
        <v>45604</v>
      </c>
      <c r="AI488" s="1">
        <v>9.98</v>
      </c>
      <c r="AJ488" s="1">
        <v>9.6606000000000005</v>
      </c>
      <c r="AK488" s="6">
        <f t="shared" si="115"/>
        <v>-2.0041322314048315E-3</v>
      </c>
      <c r="AL488" s="21">
        <v>45604</v>
      </c>
      <c r="AM488" s="1">
        <v>1.48</v>
      </c>
      <c r="AN488" s="1">
        <v>1.48</v>
      </c>
      <c r="AO488" s="6">
        <v>-3.8961038961038974E-2</v>
      </c>
      <c r="AP488" s="21" t="s">
        <v>491</v>
      </c>
      <c r="AQ488" s="1">
        <v>9841.4500000000007</v>
      </c>
      <c r="AR488" s="6">
        <v>7.6978771349667241E-4</v>
      </c>
    </row>
    <row r="489" spans="2:44" x14ac:dyDescent="0.35">
      <c r="B489" s="21">
        <v>45607</v>
      </c>
      <c r="C489" s="1">
        <v>0.69</v>
      </c>
      <c r="D489" s="1">
        <v>0.69</v>
      </c>
      <c r="E489" s="6">
        <f t="shared" si="118"/>
        <v>-2.8169014084507116E-2</v>
      </c>
      <c r="F489" s="21">
        <v>45607</v>
      </c>
      <c r="G489" s="1">
        <v>14.25</v>
      </c>
      <c r="H489" s="1">
        <v>13.2981</v>
      </c>
      <c r="I489" s="6">
        <f t="shared" si="116"/>
        <v>9.7100532923866112E-4</v>
      </c>
      <c r="J489" s="21">
        <v>45607</v>
      </c>
      <c r="K489" s="1">
        <v>50.29</v>
      </c>
      <c r="L489" s="1">
        <v>36.4968</v>
      </c>
      <c r="M489" s="6">
        <f t="shared" si="111"/>
        <v>1.9255850064093138E-2</v>
      </c>
      <c r="N489" s="21">
        <v>45607</v>
      </c>
      <c r="O489" s="1">
        <v>11.99</v>
      </c>
      <c r="P489" s="1">
        <v>11.451599999999999</v>
      </c>
      <c r="Q489" s="6">
        <f t="shared" si="112"/>
        <v>-8.3760862736892427E-4</v>
      </c>
      <c r="R489" s="21">
        <v>45607</v>
      </c>
      <c r="S489" s="1">
        <v>7.24</v>
      </c>
      <c r="T489" s="1">
        <v>6.7809999999999997</v>
      </c>
      <c r="U489" s="6">
        <f t="shared" si="117"/>
        <v>-8.2197390744750409E-3</v>
      </c>
      <c r="V489" s="21">
        <v>45607</v>
      </c>
      <c r="W489" s="1">
        <v>6.25</v>
      </c>
      <c r="X489" s="1">
        <v>5.8689999999999998</v>
      </c>
      <c r="Y489" s="6">
        <f t="shared" si="119"/>
        <v>1.1373427537480607E-2</v>
      </c>
      <c r="Z489" s="21">
        <v>45607</v>
      </c>
      <c r="AA489" s="1">
        <v>2.29</v>
      </c>
      <c r="AB489" s="1">
        <v>2.29</v>
      </c>
      <c r="AC489" s="6">
        <f t="shared" si="113"/>
        <v>0</v>
      </c>
      <c r="AD489" s="21">
        <v>45607</v>
      </c>
      <c r="AE489" s="1">
        <v>8.89</v>
      </c>
      <c r="AF489" s="1">
        <v>8.6437000000000008</v>
      </c>
      <c r="AG489" s="6">
        <f t="shared" si="114"/>
        <v>0</v>
      </c>
      <c r="AH489" s="21">
        <v>45607</v>
      </c>
      <c r="AI489" s="1">
        <v>9.9</v>
      </c>
      <c r="AJ489" s="1">
        <v>9.5831999999999997</v>
      </c>
      <c r="AK489" s="6">
        <f t="shared" si="115"/>
        <v>-8.0119247251724257E-3</v>
      </c>
      <c r="AL489" s="21">
        <v>45607</v>
      </c>
      <c r="AM489" s="1">
        <v>1.54</v>
      </c>
      <c r="AN489" s="1">
        <v>1.54</v>
      </c>
      <c r="AO489" s="6">
        <v>4.0540540540540571E-2</v>
      </c>
      <c r="AP489" s="21" t="s">
        <v>492</v>
      </c>
      <c r="AQ489" s="1">
        <v>9840.2800000000007</v>
      </c>
      <c r="AR489" s="6">
        <v>-1.1888492041312038E-4</v>
      </c>
    </row>
    <row r="490" spans="2:44" x14ac:dyDescent="0.35">
      <c r="B490" s="21">
        <v>45608</v>
      </c>
      <c r="C490" s="1">
        <v>0.69</v>
      </c>
      <c r="D490" s="1">
        <v>0.69</v>
      </c>
      <c r="E490" s="6">
        <f t="shared" si="118"/>
        <v>0</v>
      </c>
      <c r="F490" s="21">
        <v>45608</v>
      </c>
      <c r="G490" s="1">
        <v>14.2</v>
      </c>
      <c r="H490" s="1">
        <v>13.2514</v>
      </c>
      <c r="I490" s="6">
        <f t="shared" si="116"/>
        <v>-3.5117798783284027E-3</v>
      </c>
      <c r="J490" s="21">
        <v>45608</v>
      </c>
      <c r="K490" s="1">
        <v>50.19</v>
      </c>
      <c r="L490" s="1">
        <v>36.424199999999999</v>
      </c>
      <c r="M490" s="6">
        <f t="shared" si="111"/>
        <v>-1.9892154928651262E-3</v>
      </c>
      <c r="N490" s="21">
        <v>45608</v>
      </c>
      <c r="O490" s="1">
        <v>11.88</v>
      </c>
      <c r="P490" s="1">
        <v>11.3466</v>
      </c>
      <c r="Q490" s="6">
        <f t="shared" si="112"/>
        <v>-9.1690244158020295E-3</v>
      </c>
      <c r="R490" s="21">
        <v>45608</v>
      </c>
      <c r="S490" s="1">
        <v>7.24</v>
      </c>
      <c r="T490" s="1">
        <v>6.7809999999999997</v>
      </c>
      <c r="U490" s="6">
        <f t="shared" si="117"/>
        <v>0</v>
      </c>
      <c r="V490" s="21">
        <v>45608</v>
      </c>
      <c r="W490" s="1">
        <v>6.22</v>
      </c>
      <c r="X490" s="1">
        <v>5.8410000000000002</v>
      </c>
      <c r="Y490" s="6">
        <f t="shared" si="119"/>
        <v>-4.7708297836087654E-3</v>
      </c>
      <c r="Z490" s="21">
        <v>45608</v>
      </c>
      <c r="AA490" s="1">
        <v>2.27</v>
      </c>
      <c r="AB490" s="1">
        <v>2.27</v>
      </c>
      <c r="AC490" s="6">
        <f t="shared" si="113"/>
        <v>-8.733624454148492E-3</v>
      </c>
      <c r="AD490" s="21">
        <v>45608</v>
      </c>
      <c r="AE490" s="1">
        <v>8.8800000000000008</v>
      </c>
      <c r="AF490" s="1">
        <v>8.6340000000000003</v>
      </c>
      <c r="AG490" s="6">
        <f t="shared" si="114"/>
        <v>-1.122204611451183E-3</v>
      </c>
      <c r="AH490" s="21">
        <v>45608</v>
      </c>
      <c r="AI490" s="1">
        <v>9.9700000000000006</v>
      </c>
      <c r="AJ490" s="1">
        <v>9.6509999999999998</v>
      </c>
      <c r="AK490" s="6">
        <f t="shared" si="115"/>
        <v>7.0748810418232999E-3</v>
      </c>
      <c r="AL490" s="21">
        <v>45608</v>
      </c>
      <c r="AM490" s="1">
        <v>1.48</v>
      </c>
      <c r="AN490" s="1">
        <v>1.48</v>
      </c>
      <c r="AO490" s="6">
        <v>-3.8961038961038974E-2</v>
      </c>
      <c r="AP490" s="21" t="s">
        <v>493</v>
      </c>
      <c r="AQ490" s="1">
        <v>9809</v>
      </c>
      <c r="AR490" s="6">
        <v>-3.1787713357750436E-3</v>
      </c>
    </row>
    <row r="491" spans="2:44" x14ac:dyDescent="0.35">
      <c r="B491" s="21">
        <v>45609</v>
      </c>
      <c r="C491" s="1">
        <v>0.71</v>
      </c>
      <c r="D491" s="1">
        <v>0.71</v>
      </c>
      <c r="E491" s="6">
        <f t="shared" si="118"/>
        <v>2.898550724637694E-2</v>
      </c>
      <c r="F491" s="21">
        <v>45609</v>
      </c>
      <c r="G491" s="1">
        <v>14</v>
      </c>
      <c r="H491" s="1">
        <v>13.0648</v>
      </c>
      <c r="I491" s="6">
        <f t="shared" si="116"/>
        <v>-1.4081531008044434E-2</v>
      </c>
      <c r="J491" s="21">
        <v>45609</v>
      </c>
      <c r="K491" s="1">
        <v>49.42</v>
      </c>
      <c r="L491" s="1">
        <v>35.865400000000001</v>
      </c>
      <c r="M491" s="6">
        <f t="shared" si="111"/>
        <v>-1.5341448816995285E-2</v>
      </c>
      <c r="N491" s="21">
        <v>45609</v>
      </c>
      <c r="O491" s="1">
        <v>11.8</v>
      </c>
      <c r="P491" s="1">
        <v>11.270200000000001</v>
      </c>
      <c r="Q491" s="6">
        <f t="shared" si="112"/>
        <v>-6.7332945551971113E-3</v>
      </c>
      <c r="R491" s="21">
        <v>45609</v>
      </c>
      <c r="S491" s="1">
        <v>7.2</v>
      </c>
      <c r="T491" s="1">
        <v>6.7435</v>
      </c>
      <c r="U491" s="6">
        <f t="shared" si="117"/>
        <v>-5.5301577938356994E-3</v>
      </c>
      <c r="V491" s="21">
        <v>45609</v>
      </c>
      <c r="W491" s="1">
        <v>6.19</v>
      </c>
      <c r="X491" s="1">
        <v>5.8120000000000003</v>
      </c>
      <c r="Y491" s="6">
        <f t="shared" si="119"/>
        <v>-4.9649032699879969E-3</v>
      </c>
      <c r="Z491" s="21">
        <v>45609</v>
      </c>
      <c r="AA491" s="1">
        <v>2.27</v>
      </c>
      <c r="AB491" s="1">
        <v>2.27</v>
      </c>
      <c r="AC491" s="6">
        <f t="shared" si="113"/>
        <v>0</v>
      </c>
      <c r="AD491" s="21">
        <v>45609</v>
      </c>
      <c r="AE491" s="1">
        <v>8.65</v>
      </c>
      <c r="AF491" s="1">
        <v>8.4103999999999992</v>
      </c>
      <c r="AG491" s="6">
        <f t="shared" si="114"/>
        <v>-2.5897614083854603E-2</v>
      </c>
      <c r="AH491" s="21">
        <v>45609</v>
      </c>
      <c r="AI491" s="1">
        <v>10</v>
      </c>
      <c r="AJ491" s="1">
        <v>9.68</v>
      </c>
      <c r="AK491" s="6">
        <f t="shared" si="115"/>
        <v>3.0048699616620489E-3</v>
      </c>
      <c r="AL491" s="21">
        <v>45609</v>
      </c>
      <c r="AM491" s="1">
        <v>1.42</v>
      </c>
      <c r="AN491" s="1">
        <v>1.42</v>
      </c>
      <c r="AO491" s="6">
        <v>-4.0540540540540571E-2</v>
      </c>
      <c r="AP491" s="21" t="s">
        <v>494</v>
      </c>
      <c r="AQ491" s="1">
        <v>9800.7999999999993</v>
      </c>
      <c r="AR491" s="6">
        <v>-8.3596696911003576E-4</v>
      </c>
    </row>
    <row r="492" spans="2:44" x14ac:dyDescent="0.35">
      <c r="B492" s="21">
        <v>45610</v>
      </c>
      <c r="C492" s="1">
        <v>0.72</v>
      </c>
      <c r="D492" s="1">
        <v>0.72</v>
      </c>
      <c r="E492" s="6">
        <f t="shared" si="118"/>
        <v>1.4084507042253502E-2</v>
      </c>
      <c r="F492" s="21">
        <v>45610</v>
      </c>
      <c r="G492" s="1">
        <v>13.79</v>
      </c>
      <c r="H492" s="1">
        <v>12.8688</v>
      </c>
      <c r="I492" s="6">
        <f t="shared" si="116"/>
        <v>-1.5002143163309056E-2</v>
      </c>
      <c r="J492" s="21">
        <v>45610</v>
      </c>
      <c r="K492" s="1">
        <v>49.9</v>
      </c>
      <c r="L492" s="1">
        <v>36.213700000000003</v>
      </c>
      <c r="M492" s="6">
        <f t="shared" si="111"/>
        <v>9.7113095072132172E-3</v>
      </c>
      <c r="N492" s="21">
        <v>45610</v>
      </c>
      <c r="O492" s="1">
        <v>11.98</v>
      </c>
      <c r="P492" s="1">
        <v>11.4421</v>
      </c>
      <c r="Q492" s="6">
        <f t="shared" si="112"/>
        <v>1.5252613085836808E-2</v>
      </c>
      <c r="R492" s="21">
        <v>45610</v>
      </c>
      <c r="S492" s="1">
        <v>7.2</v>
      </c>
      <c r="T492" s="1">
        <v>6.7435</v>
      </c>
      <c r="U492" s="6">
        <f t="shared" si="117"/>
        <v>0</v>
      </c>
      <c r="V492" s="21">
        <v>45610</v>
      </c>
      <c r="W492" s="1">
        <v>6.19</v>
      </c>
      <c r="X492" s="1">
        <v>5.8120000000000003</v>
      </c>
      <c r="Y492" s="6">
        <f t="shared" si="119"/>
        <v>0</v>
      </c>
      <c r="Z492" s="21">
        <v>45610</v>
      </c>
      <c r="AA492" s="1">
        <v>2.27</v>
      </c>
      <c r="AB492" s="1">
        <v>2.27</v>
      </c>
      <c r="AC492" s="6">
        <f t="shared" si="113"/>
        <v>0</v>
      </c>
      <c r="AD492" s="21">
        <v>45610</v>
      </c>
      <c r="AE492" s="1">
        <v>8.7799999999999994</v>
      </c>
      <c r="AF492" s="1">
        <v>8.5367999999999995</v>
      </c>
      <c r="AG492" s="6">
        <f t="shared" si="114"/>
        <v>1.5029011699800199E-2</v>
      </c>
      <c r="AH492" s="21">
        <v>45610</v>
      </c>
      <c r="AI492" s="1">
        <v>10.119999999999999</v>
      </c>
      <c r="AJ492" s="1">
        <v>9.7962000000000007</v>
      </c>
      <c r="AK492" s="6">
        <f t="shared" si="115"/>
        <v>1.2004132231405062E-2</v>
      </c>
      <c r="AL492" s="21">
        <v>45610</v>
      </c>
      <c r="AM492" s="1">
        <v>1.48</v>
      </c>
      <c r="AN492" s="1">
        <v>1.48</v>
      </c>
      <c r="AO492" s="6">
        <v>4.2253521126760507E-2</v>
      </c>
      <c r="AP492" s="21" t="s">
        <v>495</v>
      </c>
      <c r="AQ492" s="1">
        <v>9791.4699999999993</v>
      </c>
      <c r="AR492" s="6">
        <v>-9.5196310505263337E-4</v>
      </c>
    </row>
    <row r="493" spans="2:44" x14ac:dyDescent="0.35">
      <c r="B493" s="21">
        <v>45611</v>
      </c>
      <c r="C493" s="1">
        <v>0.71</v>
      </c>
      <c r="D493" s="1">
        <v>0.71</v>
      </c>
      <c r="E493" s="6">
        <f t="shared" si="118"/>
        <v>-1.3888888888888951E-2</v>
      </c>
      <c r="F493" s="21">
        <v>45611</v>
      </c>
      <c r="G493" s="1">
        <v>13.51</v>
      </c>
      <c r="H493" s="1">
        <v>12.6075</v>
      </c>
      <c r="I493" s="6">
        <f t="shared" si="116"/>
        <v>-2.0304923535994002E-2</v>
      </c>
      <c r="J493" s="21">
        <v>45611</v>
      </c>
      <c r="K493" s="1">
        <v>49.75</v>
      </c>
      <c r="L493" s="1">
        <v>36.104900000000001</v>
      </c>
      <c r="M493" s="6">
        <f t="shared" si="111"/>
        <v>-3.0043878421702752E-3</v>
      </c>
      <c r="N493" s="21">
        <v>45611</v>
      </c>
      <c r="O493" s="1">
        <v>12.2</v>
      </c>
      <c r="P493" s="1">
        <v>11.652200000000001</v>
      </c>
      <c r="Q493" s="6">
        <f t="shared" si="112"/>
        <v>1.8362013965967927E-2</v>
      </c>
      <c r="R493" s="21">
        <v>45611</v>
      </c>
      <c r="S493" s="1">
        <v>7.19</v>
      </c>
      <c r="T493" s="1">
        <v>6.7342000000000004</v>
      </c>
      <c r="U493" s="6">
        <f t="shared" si="117"/>
        <v>-1.3791058055905303E-3</v>
      </c>
      <c r="V493" s="21">
        <v>45611</v>
      </c>
      <c r="W493" s="1">
        <v>6.2</v>
      </c>
      <c r="X493" s="1">
        <v>5.8220000000000001</v>
      </c>
      <c r="Y493" s="6">
        <f t="shared" si="119"/>
        <v>1.7205781142464183E-3</v>
      </c>
      <c r="Z493" s="21">
        <v>45611</v>
      </c>
      <c r="AA493" s="1">
        <v>2.25</v>
      </c>
      <c r="AB493" s="1">
        <v>2.25</v>
      </c>
      <c r="AC493" s="6">
        <f t="shared" si="113"/>
        <v>-8.8105726872246271E-3</v>
      </c>
      <c r="AD493" s="21">
        <v>45611</v>
      </c>
      <c r="AE493" s="1">
        <v>8.75</v>
      </c>
      <c r="AF493" s="1">
        <v>8.5076000000000001</v>
      </c>
      <c r="AG493" s="6">
        <f t="shared" si="114"/>
        <v>-3.4204854277949392E-3</v>
      </c>
      <c r="AH493" s="21">
        <v>45611</v>
      </c>
      <c r="AI493" s="1">
        <v>10.14</v>
      </c>
      <c r="AJ493" s="1">
        <v>9.8155000000000001</v>
      </c>
      <c r="AK493" s="6">
        <f t="shared" si="115"/>
        <v>1.9701516914720774E-3</v>
      </c>
      <c r="AL493" s="21">
        <v>45611</v>
      </c>
      <c r="AM493" s="1">
        <v>1.54</v>
      </c>
      <c r="AN493" s="1">
        <v>1.54</v>
      </c>
      <c r="AO493" s="6">
        <v>4.0540540540540571E-2</v>
      </c>
      <c r="AP493" s="21" t="s">
        <v>496</v>
      </c>
      <c r="AQ493" s="1">
        <v>9794.99</v>
      </c>
      <c r="AR493" s="6">
        <v>3.59496582229335E-4</v>
      </c>
    </row>
    <row r="494" spans="2:44" x14ac:dyDescent="0.35">
      <c r="B494" s="21">
        <v>45614</v>
      </c>
      <c r="C494" s="1">
        <v>0.69</v>
      </c>
      <c r="D494" s="1">
        <v>0.69</v>
      </c>
      <c r="E494" s="6">
        <f t="shared" si="118"/>
        <v>-2.8169014084507116E-2</v>
      </c>
      <c r="F494" s="21">
        <v>45614</v>
      </c>
      <c r="G494" s="1">
        <v>13.55</v>
      </c>
      <c r="H494" s="1">
        <v>12.6449</v>
      </c>
      <c r="I494" s="6">
        <f t="shared" si="116"/>
        <v>2.9664882014672767E-3</v>
      </c>
      <c r="J494" s="21">
        <v>45614</v>
      </c>
      <c r="K494" s="1">
        <v>49.1</v>
      </c>
      <c r="L494" s="1">
        <v>35.633200000000002</v>
      </c>
      <c r="M494" s="6">
        <f t="shared" si="111"/>
        <v>-1.3064708668352409E-2</v>
      </c>
      <c r="N494" s="21">
        <v>45614</v>
      </c>
      <c r="O494" s="1">
        <v>12.2</v>
      </c>
      <c r="P494" s="1">
        <v>11.652200000000001</v>
      </c>
      <c r="Q494" s="6">
        <f t="shared" si="112"/>
        <v>0</v>
      </c>
      <c r="R494" s="21">
        <v>45614</v>
      </c>
      <c r="S494" s="1">
        <v>7.15</v>
      </c>
      <c r="T494" s="1">
        <v>6.6966999999999999</v>
      </c>
      <c r="U494" s="6">
        <f t="shared" si="117"/>
        <v>-5.5685901814618299E-3</v>
      </c>
      <c r="V494" s="21">
        <v>45614</v>
      </c>
      <c r="W494" s="1">
        <v>6.2</v>
      </c>
      <c r="X494" s="1">
        <v>5.8220000000000001</v>
      </c>
      <c r="Y494" s="6">
        <f t="shared" si="119"/>
        <v>0</v>
      </c>
      <c r="Z494" s="21">
        <v>45614</v>
      </c>
      <c r="AA494" s="1">
        <v>2.25</v>
      </c>
      <c r="AB494" s="1">
        <v>2.25</v>
      </c>
      <c r="AC494" s="6">
        <f t="shared" si="113"/>
        <v>0</v>
      </c>
      <c r="AD494" s="21">
        <v>45614</v>
      </c>
      <c r="AE494" s="1">
        <v>8.77</v>
      </c>
      <c r="AF494" s="1">
        <v>8.5271000000000008</v>
      </c>
      <c r="AG494" s="6">
        <f t="shared" si="114"/>
        <v>2.2920682683718052E-3</v>
      </c>
      <c r="AH494" s="21">
        <v>45614</v>
      </c>
      <c r="AI494" s="1">
        <v>10.119999999999999</v>
      </c>
      <c r="AJ494" s="1">
        <v>9.7962000000000007</v>
      </c>
      <c r="AK494" s="6">
        <f t="shared" si="115"/>
        <v>-1.9662778258875413E-3</v>
      </c>
      <c r="AL494" s="21">
        <v>45614</v>
      </c>
      <c r="AM494" s="1">
        <v>1.54</v>
      </c>
      <c r="AN494" s="1">
        <v>1.54</v>
      </c>
      <c r="AO494" s="6">
        <v>0</v>
      </c>
      <c r="AP494" s="21" t="s">
        <v>497</v>
      </c>
      <c r="AQ494" s="1">
        <v>9771.07</v>
      </c>
      <c r="AR494" s="6">
        <v>-2.4420647698466524E-3</v>
      </c>
    </row>
    <row r="495" spans="2:44" x14ac:dyDescent="0.35">
      <c r="B495" s="21">
        <v>45615</v>
      </c>
      <c r="C495" s="1">
        <v>0.69</v>
      </c>
      <c r="D495" s="1">
        <v>0.69</v>
      </c>
      <c r="E495" s="6">
        <f t="shared" si="118"/>
        <v>0</v>
      </c>
      <c r="F495" s="21">
        <v>45615</v>
      </c>
      <c r="G495" s="1">
        <v>14.1</v>
      </c>
      <c r="H495" s="1">
        <v>13.158099999999999</v>
      </c>
      <c r="I495" s="6">
        <f t="shared" si="116"/>
        <v>4.0585532507176669E-2</v>
      </c>
      <c r="J495" s="21">
        <v>45615</v>
      </c>
      <c r="K495" s="1">
        <v>49.75</v>
      </c>
      <c r="L495" s="1">
        <v>36.104900000000001</v>
      </c>
      <c r="M495" s="6">
        <f t="shared" si="111"/>
        <v>1.3237654771392826E-2</v>
      </c>
      <c r="N495" s="21">
        <v>45615</v>
      </c>
      <c r="O495" s="1">
        <v>12.37</v>
      </c>
      <c r="P495" s="1">
        <v>11.8146</v>
      </c>
      <c r="Q495" s="6">
        <f t="shared" si="112"/>
        <v>1.3937282229965042E-2</v>
      </c>
      <c r="R495" s="21">
        <v>45615</v>
      </c>
      <c r="S495" s="1">
        <v>7.15</v>
      </c>
      <c r="T495" s="1">
        <v>6.6966999999999999</v>
      </c>
      <c r="U495" s="6">
        <f t="shared" si="117"/>
        <v>0</v>
      </c>
      <c r="V495" s="21">
        <v>45615</v>
      </c>
      <c r="W495" s="1">
        <v>6.17</v>
      </c>
      <c r="X495" s="1">
        <v>5.7939999999999996</v>
      </c>
      <c r="Y495" s="6">
        <f t="shared" si="119"/>
        <v>-4.8093438680866241E-3</v>
      </c>
      <c r="Z495" s="21">
        <v>45615</v>
      </c>
      <c r="AA495" s="1">
        <v>2.25</v>
      </c>
      <c r="AB495" s="1">
        <v>2.25</v>
      </c>
      <c r="AC495" s="6">
        <f t="shared" si="113"/>
        <v>0</v>
      </c>
      <c r="AD495" s="21">
        <v>45615</v>
      </c>
      <c r="AE495" s="1">
        <v>8.6</v>
      </c>
      <c r="AF495" s="1">
        <v>8.3618000000000006</v>
      </c>
      <c r="AG495" s="6">
        <f t="shared" si="114"/>
        <v>-1.938525407231062E-2</v>
      </c>
      <c r="AH495" s="21">
        <v>45615</v>
      </c>
      <c r="AI495" s="1">
        <v>10.1</v>
      </c>
      <c r="AJ495" s="1">
        <v>9.7767999999999997</v>
      </c>
      <c r="AK495" s="6">
        <f t="shared" si="115"/>
        <v>-1.9803597313244881E-3</v>
      </c>
      <c r="AL495" s="21">
        <v>45615</v>
      </c>
      <c r="AM495" s="1">
        <v>1.48</v>
      </c>
      <c r="AN495" s="1">
        <v>1.48</v>
      </c>
      <c r="AO495" s="6">
        <v>-3.8961038961038974E-2</v>
      </c>
      <c r="AP495" s="21" t="s">
        <v>498</v>
      </c>
      <c r="AQ495" s="1">
        <v>9782.23</v>
      </c>
      <c r="AR495" s="6">
        <v>1.1421471752837142E-3</v>
      </c>
    </row>
    <row r="496" spans="2:44" x14ac:dyDescent="0.35">
      <c r="B496" s="21">
        <v>45616</v>
      </c>
      <c r="C496" s="1">
        <v>0.66</v>
      </c>
      <c r="D496" s="1">
        <v>0.66</v>
      </c>
      <c r="E496" s="6">
        <f t="shared" si="118"/>
        <v>-4.3478260869565077E-2</v>
      </c>
      <c r="F496" s="21">
        <v>45616</v>
      </c>
      <c r="G496" s="1">
        <v>13.78</v>
      </c>
      <c r="H496" s="1">
        <v>12.859500000000001</v>
      </c>
      <c r="I496" s="6">
        <f t="shared" si="116"/>
        <v>-2.2693245985362487E-2</v>
      </c>
      <c r="J496" s="21">
        <v>45616</v>
      </c>
      <c r="K496" s="1">
        <v>49.7</v>
      </c>
      <c r="L496" s="1">
        <v>36.068600000000004</v>
      </c>
      <c r="M496" s="6">
        <f t="shared" si="111"/>
        <v>-1.0054036986668624E-3</v>
      </c>
      <c r="N496" s="21">
        <v>45616</v>
      </c>
      <c r="O496" s="1">
        <v>12.45</v>
      </c>
      <c r="P496" s="1">
        <v>11.891</v>
      </c>
      <c r="Q496" s="6">
        <f t="shared" si="112"/>
        <v>6.4665752543462407E-3</v>
      </c>
      <c r="R496" s="21">
        <v>45616</v>
      </c>
      <c r="S496" s="1">
        <v>7.1</v>
      </c>
      <c r="T496" s="1">
        <v>6.6498999999999997</v>
      </c>
      <c r="U496" s="6">
        <f t="shared" si="117"/>
        <v>-6.9885167321218633E-3</v>
      </c>
      <c r="V496" s="21">
        <v>45616</v>
      </c>
      <c r="W496" s="1">
        <v>6.15</v>
      </c>
      <c r="X496" s="1">
        <v>5.7750000000000004</v>
      </c>
      <c r="Y496" s="6">
        <f t="shared" si="119"/>
        <v>-3.2792544011044367E-3</v>
      </c>
      <c r="Z496" s="21">
        <v>45616</v>
      </c>
      <c r="AA496" s="1">
        <v>2.2599999999999998</v>
      </c>
      <c r="AB496" s="1">
        <v>2.2599999999999998</v>
      </c>
      <c r="AC496" s="6">
        <f t="shared" si="113"/>
        <v>4.444444444444251E-3</v>
      </c>
      <c r="AD496" s="21">
        <v>45616</v>
      </c>
      <c r="AE496" s="1">
        <v>8.5</v>
      </c>
      <c r="AF496" s="1">
        <v>8.2645999999999997</v>
      </c>
      <c r="AG496" s="6">
        <f t="shared" si="114"/>
        <v>-1.1624291420507693E-2</v>
      </c>
      <c r="AH496" s="21">
        <v>45616</v>
      </c>
      <c r="AI496" s="1">
        <v>10.09</v>
      </c>
      <c r="AJ496" s="1">
        <v>9.7670999999999992</v>
      </c>
      <c r="AK496" s="6">
        <f t="shared" si="115"/>
        <v>-9.9214466901242915E-4</v>
      </c>
      <c r="AL496" s="21">
        <v>45616</v>
      </c>
      <c r="AM496" s="1">
        <v>1.43</v>
      </c>
      <c r="AN496" s="1">
        <v>1.43</v>
      </c>
      <c r="AO496" s="6">
        <v>-3.3783783783783772E-2</v>
      </c>
      <c r="AP496" s="21" t="s">
        <v>499</v>
      </c>
      <c r="AQ496" s="1">
        <v>9800.92</v>
      </c>
      <c r="AR496" s="6">
        <v>1.910607295064759E-3</v>
      </c>
    </row>
    <row r="497" spans="2:44" x14ac:dyDescent="0.35">
      <c r="B497" s="21">
        <v>45617</v>
      </c>
      <c r="C497" s="1">
        <v>0.68</v>
      </c>
      <c r="D497" s="1">
        <v>0.68</v>
      </c>
      <c r="E497" s="6">
        <f t="shared" si="118"/>
        <v>3.0303030303030276E-2</v>
      </c>
      <c r="F497" s="21">
        <v>45617</v>
      </c>
      <c r="G497" s="1">
        <v>13.69</v>
      </c>
      <c r="H497" s="1">
        <v>12.775499999999999</v>
      </c>
      <c r="I497" s="6">
        <f t="shared" si="116"/>
        <v>-6.5321357751080278E-3</v>
      </c>
      <c r="J497" s="21">
        <v>45617</v>
      </c>
      <c r="K497" s="1">
        <v>49.49</v>
      </c>
      <c r="L497" s="1">
        <v>35.916200000000003</v>
      </c>
      <c r="M497" s="6">
        <f t="shared" si="111"/>
        <v>-4.225281824079663E-3</v>
      </c>
      <c r="N497" s="21">
        <v>45617</v>
      </c>
      <c r="O497" s="1">
        <v>12.54</v>
      </c>
      <c r="P497" s="1">
        <v>11.977</v>
      </c>
      <c r="Q497" s="6">
        <f t="shared" si="112"/>
        <v>7.232360608863786E-3</v>
      </c>
      <c r="R497" s="21">
        <v>45617</v>
      </c>
      <c r="S497" s="1">
        <v>7.14</v>
      </c>
      <c r="T497" s="1">
        <v>6.6872999999999996</v>
      </c>
      <c r="U497" s="6">
        <f t="shared" si="117"/>
        <v>5.6241447239808728E-3</v>
      </c>
      <c r="V497" s="21">
        <v>45617</v>
      </c>
      <c r="W497" s="1">
        <v>6.18</v>
      </c>
      <c r="X497" s="1">
        <v>5.8029999999999999</v>
      </c>
      <c r="Y497" s="6">
        <f t="shared" si="119"/>
        <v>4.8484848484848797E-3</v>
      </c>
      <c r="Z497" s="21">
        <v>45617</v>
      </c>
      <c r="AA497" s="1">
        <v>2.23</v>
      </c>
      <c r="AB497" s="1">
        <v>2.23</v>
      </c>
      <c r="AC497" s="6">
        <f t="shared" si="113"/>
        <v>-1.327433628318575E-2</v>
      </c>
      <c r="AD497" s="21">
        <v>45617</v>
      </c>
      <c r="AE497" s="1">
        <v>8.74</v>
      </c>
      <c r="AF497" s="1">
        <v>8.4978999999999996</v>
      </c>
      <c r="AG497" s="6">
        <f t="shared" si="114"/>
        <v>2.8228831401398757E-2</v>
      </c>
      <c r="AH497" s="21">
        <v>45617</v>
      </c>
      <c r="AI497" s="1">
        <v>10.050000000000001</v>
      </c>
      <c r="AJ497" s="1">
        <v>9.7284000000000006</v>
      </c>
      <c r="AK497" s="6">
        <f t="shared" si="115"/>
        <v>-3.9622815369965148E-3</v>
      </c>
      <c r="AL497" s="21">
        <v>45617</v>
      </c>
      <c r="AM497" s="1">
        <v>1.49</v>
      </c>
      <c r="AN497" s="1">
        <v>1.49</v>
      </c>
      <c r="AO497" s="6">
        <v>4.1958041958042092E-2</v>
      </c>
      <c r="AP497" s="21" t="s">
        <v>500</v>
      </c>
      <c r="AQ497" s="1">
        <v>9800.24</v>
      </c>
      <c r="AR497" s="6">
        <v>-6.9381241761035106E-5</v>
      </c>
    </row>
    <row r="498" spans="2:44" x14ac:dyDescent="0.35">
      <c r="B498" s="21">
        <v>45618</v>
      </c>
      <c r="C498" s="1">
        <v>0.7</v>
      </c>
      <c r="D498" s="1">
        <v>0.7</v>
      </c>
      <c r="E498" s="6">
        <f t="shared" si="118"/>
        <v>2.9411764705882248E-2</v>
      </c>
      <c r="F498" s="21">
        <v>45618</v>
      </c>
      <c r="G498" s="1">
        <v>13.69</v>
      </c>
      <c r="H498" s="1">
        <v>12.775499999999999</v>
      </c>
      <c r="I498" s="6">
        <f t="shared" si="116"/>
        <v>0</v>
      </c>
      <c r="J498" s="21">
        <v>45618</v>
      </c>
      <c r="K498" s="1">
        <v>49.1</v>
      </c>
      <c r="L498" s="1">
        <v>35.633200000000002</v>
      </c>
      <c r="M498" s="6">
        <f t="shared" si="111"/>
        <v>-7.879452726067937E-3</v>
      </c>
      <c r="N498" s="21">
        <v>45618</v>
      </c>
      <c r="O498" s="1">
        <v>12.4</v>
      </c>
      <c r="P498" s="1">
        <v>11.8432</v>
      </c>
      <c r="Q498" s="6">
        <f t="shared" si="112"/>
        <v>-1.1171411872756165E-2</v>
      </c>
      <c r="R498" s="21">
        <v>45618</v>
      </c>
      <c r="S498" s="1">
        <v>7.15</v>
      </c>
      <c r="T498" s="1">
        <v>6.6966999999999999</v>
      </c>
      <c r="U498" s="6">
        <f t="shared" si="117"/>
        <v>1.4056495147518611E-3</v>
      </c>
      <c r="V498" s="21">
        <v>45618</v>
      </c>
      <c r="W498" s="1">
        <v>6.16</v>
      </c>
      <c r="X498" s="1">
        <v>5.7839999999999998</v>
      </c>
      <c r="Y498" s="6">
        <f t="shared" si="119"/>
        <v>-3.2741685335171411E-3</v>
      </c>
      <c r="Z498" s="21">
        <v>45618</v>
      </c>
      <c r="AA498" s="1">
        <v>2.23</v>
      </c>
      <c r="AB498" s="1">
        <v>2.23</v>
      </c>
      <c r="AC498" s="6">
        <f t="shared" si="113"/>
        <v>0</v>
      </c>
      <c r="AD498" s="21">
        <v>45618</v>
      </c>
      <c r="AE498" s="1">
        <v>8.6</v>
      </c>
      <c r="AF498" s="1">
        <v>8.3618000000000006</v>
      </c>
      <c r="AG498" s="6">
        <f t="shared" si="114"/>
        <v>-1.6015721531201677E-2</v>
      </c>
      <c r="AH498" s="21">
        <v>45618</v>
      </c>
      <c r="AI498" s="1">
        <v>10.07</v>
      </c>
      <c r="AJ498" s="1">
        <v>9.7477999999999998</v>
      </c>
      <c r="AK498" s="6">
        <f t="shared" si="115"/>
        <v>1.994161424283547E-3</v>
      </c>
      <c r="AL498" s="21">
        <v>45618</v>
      </c>
      <c r="AM498" s="1">
        <v>1.43</v>
      </c>
      <c r="AN498" s="1">
        <v>1.43</v>
      </c>
      <c r="AO498" s="6">
        <v>-4.0268456375838979E-2</v>
      </c>
      <c r="AP498" s="21" t="s">
        <v>501</v>
      </c>
      <c r="AQ498" s="1">
        <v>9788.17</v>
      </c>
      <c r="AR498" s="6">
        <v>-1.2316024913675561E-3</v>
      </c>
    </row>
    <row r="499" spans="2:44" x14ac:dyDescent="0.35">
      <c r="B499" s="21">
        <v>45621</v>
      </c>
      <c r="C499" s="1">
        <v>0.7</v>
      </c>
      <c r="D499" s="1">
        <v>0.7</v>
      </c>
      <c r="E499" s="6">
        <f t="shared" si="118"/>
        <v>0</v>
      </c>
      <c r="F499" s="21">
        <v>45621</v>
      </c>
      <c r="G499" s="1">
        <v>13.78</v>
      </c>
      <c r="H499" s="1">
        <v>12.859500000000001</v>
      </c>
      <c r="I499" s="6">
        <f t="shared" si="116"/>
        <v>6.5750851238699504E-3</v>
      </c>
      <c r="J499" s="21">
        <v>45621</v>
      </c>
      <c r="K499" s="1">
        <v>49.12</v>
      </c>
      <c r="L499" s="1">
        <v>35.6477</v>
      </c>
      <c r="M499" s="6">
        <f t="shared" si="111"/>
        <v>4.0692387997709467E-4</v>
      </c>
      <c r="N499" s="21">
        <v>45621</v>
      </c>
      <c r="O499" s="1">
        <v>12.32</v>
      </c>
      <c r="P499" s="1">
        <v>11.7668</v>
      </c>
      <c r="Q499" s="6">
        <f t="shared" si="112"/>
        <v>-6.4509592002160998E-3</v>
      </c>
      <c r="R499" s="21">
        <v>45621</v>
      </c>
      <c r="S499" s="1">
        <v>7.1</v>
      </c>
      <c r="T499" s="1">
        <v>6.6498999999999997</v>
      </c>
      <c r="U499" s="6">
        <f t="shared" si="117"/>
        <v>-6.9885167321218633E-3</v>
      </c>
      <c r="V499" s="21">
        <v>45621</v>
      </c>
      <c r="W499" s="1">
        <v>6.1</v>
      </c>
      <c r="X499" s="1">
        <v>5.7279999999999998</v>
      </c>
      <c r="Y499" s="6">
        <f t="shared" si="119"/>
        <v>-9.6818810511756226E-3</v>
      </c>
      <c r="Z499" s="21">
        <v>45621</v>
      </c>
      <c r="AA499" s="1">
        <v>2.21</v>
      </c>
      <c r="AB499" s="1">
        <v>2.21</v>
      </c>
      <c r="AC499" s="6">
        <f t="shared" si="113"/>
        <v>-8.9686098654708779E-3</v>
      </c>
      <c r="AD499" s="21">
        <v>45621</v>
      </c>
      <c r="AE499" s="1">
        <v>8.59</v>
      </c>
      <c r="AF499" s="1">
        <v>8.3521000000000001</v>
      </c>
      <c r="AG499" s="6">
        <f t="shared" si="114"/>
        <v>-1.1600373125404406E-3</v>
      </c>
      <c r="AH499" s="21">
        <v>45621</v>
      </c>
      <c r="AI499" s="1">
        <v>10.029999999999999</v>
      </c>
      <c r="AJ499" s="1">
        <v>9.7089999999999996</v>
      </c>
      <c r="AK499" s="6">
        <f t="shared" si="115"/>
        <v>-3.9803853177127202E-3</v>
      </c>
      <c r="AL499" s="21">
        <v>45621</v>
      </c>
      <c r="AM499" s="1">
        <v>1.49</v>
      </c>
      <c r="AN499" s="1">
        <v>1.49</v>
      </c>
      <c r="AO499" s="6">
        <v>4.1958041958042092E-2</v>
      </c>
      <c r="AP499" s="21" t="s">
        <v>502</v>
      </c>
      <c r="AQ499" s="1">
        <v>9804.8799999999992</v>
      </c>
      <c r="AR499" s="6">
        <v>1.7071628302327557E-3</v>
      </c>
    </row>
    <row r="500" spans="2:44" x14ac:dyDescent="0.35">
      <c r="B500" s="21">
        <v>45622</v>
      </c>
      <c r="C500" s="1">
        <v>0.7</v>
      </c>
      <c r="D500" s="1">
        <v>0.7</v>
      </c>
      <c r="E500" s="6">
        <f t="shared" si="118"/>
        <v>0</v>
      </c>
      <c r="F500" s="21">
        <v>45622</v>
      </c>
      <c r="G500" s="1">
        <v>13.78</v>
      </c>
      <c r="H500" s="1">
        <v>12.859500000000001</v>
      </c>
      <c r="I500" s="6">
        <f t="shared" si="116"/>
        <v>0</v>
      </c>
      <c r="J500" s="21">
        <v>45622</v>
      </c>
      <c r="K500" s="1">
        <v>49.5</v>
      </c>
      <c r="L500" s="1">
        <v>35.923400000000001</v>
      </c>
      <c r="M500" s="6">
        <f t="shared" si="111"/>
        <v>7.7340193055932538E-3</v>
      </c>
      <c r="N500" s="21">
        <v>45622</v>
      </c>
      <c r="O500" s="1">
        <v>12.25</v>
      </c>
      <c r="P500" s="1">
        <v>11.7</v>
      </c>
      <c r="Q500" s="6">
        <f t="shared" si="112"/>
        <v>-5.6769894958698108E-3</v>
      </c>
      <c r="R500" s="21">
        <v>45622</v>
      </c>
      <c r="S500" s="1">
        <v>7.15</v>
      </c>
      <c r="T500" s="1">
        <v>6.6966999999999999</v>
      </c>
      <c r="U500" s="6">
        <f t="shared" si="117"/>
        <v>7.0376998150347703E-3</v>
      </c>
      <c r="V500" s="21">
        <v>45622</v>
      </c>
      <c r="W500" s="1">
        <v>6</v>
      </c>
      <c r="X500" s="1">
        <v>5.6340000000000003</v>
      </c>
      <c r="Y500" s="6">
        <f t="shared" si="119"/>
        <v>-1.6410614525139589E-2</v>
      </c>
      <c r="Z500" s="21">
        <v>45622</v>
      </c>
      <c r="AA500" s="1">
        <v>2.2200000000000002</v>
      </c>
      <c r="AB500" s="1">
        <v>2.2200000000000002</v>
      </c>
      <c r="AC500" s="6">
        <f t="shared" si="113"/>
        <v>4.5248868778282603E-3</v>
      </c>
      <c r="AD500" s="21">
        <v>45622</v>
      </c>
      <c r="AE500" s="1">
        <v>8.6</v>
      </c>
      <c r="AF500" s="1">
        <v>8.3618000000000006</v>
      </c>
      <c r="AG500" s="6">
        <f t="shared" si="114"/>
        <v>1.1613845619664609E-3</v>
      </c>
      <c r="AH500" s="21">
        <v>45622</v>
      </c>
      <c r="AI500" s="1">
        <v>10.09</v>
      </c>
      <c r="AJ500" s="1">
        <v>9.7670999999999992</v>
      </c>
      <c r="AK500" s="6">
        <f t="shared" si="115"/>
        <v>5.9841384282623977E-3</v>
      </c>
      <c r="AL500" s="21">
        <v>45622</v>
      </c>
      <c r="AM500" s="1">
        <v>1.55</v>
      </c>
      <c r="AN500" s="1">
        <v>1.55</v>
      </c>
      <c r="AO500" s="6">
        <v>4.0268456375838868E-2</v>
      </c>
      <c r="AP500" s="21" t="s">
        <v>503</v>
      </c>
      <c r="AQ500" s="1">
        <v>9804.4599999999991</v>
      </c>
      <c r="AR500" s="6">
        <v>-4.2835812370967119E-5</v>
      </c>
    </row>
    <row r="501" spans="2:44" x14ac:dyDescent="0.35">
      <c r="B501" s="21">
        <v>45623</v>
      </c>
      <c r="C501" s="1">
        <v>0.69</v>
      </c>
      <c r="D501" s="1">
        <v>0.69</v>
      </c>
      <c r="E501" s="6">
        <f t="shared" si="118"/>
        <v>-1.4285714285714346E-2</v>
      </c>
      <c r="F501" s="21">
        <v>45623</v>
      </c>
      <c r="G501" s="1">
        <v>13.78</v>
      </c>
      <c r="H501" s="1">
        <v>12.859500000000001</v>
      </c>
      <c r="I501" s="6">
        <f t="shared" si="116"/>
        <v>0</v>
      </c>
      <c r="J501" s="21">
        <v>45623</v>
      </c>
      <c r="K501" s="1">
        <v>49.6</v>
      </c>
      <c r="L501" s="1">
        <v>35.996000000000002</v>
      </c>
      <c r="M501" s="6">
        <f t="shared" si="111"/>
        <v>2.0209668349877585E-3</v>
      </c>
      <c r="N501" s="21">
        <v>45623</v>
      </c>
      <c r="O501" s="1">
        <v>12.19</v>
      </c>
      <c r="P501" s="1">
        <v>11.6427</v>
      </c>
      <c r="Q501" s="6">
        <f t="shared" si="112"/>
        <v>-4.8974358974358534E-3</v>
      </c>
      <c r="R501" s="21">
        <v>45623</v>
      </c>
      <c r="S501" s="1">
        <v>7.15</v>
      </c>
      <c r="T501" s="1">
        <v>6.6966999999999999</v>
      </c>
      <c r="U501" s="6">
        <f t="shared" si="117"/>
        <v>0</v>
      </c>
      <c r="V501" s="21">
        <v>45623</v>
      </c>
      <c r="W501" s="1">
        <v>6.17</v>
      </c>
      <c r="X501" s="1">
        <v>5.7939999999999996</v>
      </c>
      <c r="Y501" s="6">
        <f t="shared" si="119"/>
        <v>2.8399006034788732E-2</v>
      </c>
      <c r="Z501" s="21">
        <v>45623</v>
      </c>
      <c r="AA501" s="1">
        <v>2.23</v>
      </c>
      <c r="AB501" s="1">
        <v>2.23</v>
      </c>
      <c r="AC501" s="6">
        <f t="shared" si="113"/>
        <v>4.5045045045044585E-3</v>
      </c>
      <c r="AD501" s="21">
        <v>45623</v>
      </c>
      <c r="AE501" s="1">
        <v>8.5</v>
      </c>
      <c r="AF501" s="1">
        <v>8.2645999999999997</v>
      </c>
      <c r="AG501" s="6">
        <f t="shared" si="114"/>
        <v>-1.1624291420507693E-2</v>
      </c>
      <c r="AH501" s="21">
        <v>45623</v>
      </c>
      <c r="AI501" s="1">
        <v>10.08</v>
      </c>
      <c r="AJ501" s="1">
        <v>9.7574000000000005</v>
      </c>
      <c r="AK501" s="6">
        <f t="shared" si="115"/>
        <v>-9.9312999764500365E-4</v>
      </c>
      <c r="AL501" s="21">
        <v>45623</v>
      </c>
      <c r="AM501" s="1">
        <v>1.58</v>
      </c>
      <c r="AN501" s="1">
        <v>1.58</v>
      </c>
      <c r="AO501" s="6">
        <v>1.9354838709677358E-2</v>
      </c>
      <c r="AP501" s="21" t="s">
        <v>504</v>
      </c>
      <c r="AQ501" s="1">
        <v>9814.98</v>
      </c>
      <c r="AR501" s="6">
        <v>1.0729810718794752E-3</v>
      </c>
    </row>
    <row r="502" spans="2:44" x14ac:dyDescent="0.35">
      <c r="B502" s="21">
        <v>45624</v>
      </c>
      <c r="C502" s="1">
        <v>0.69</v>
      </c>
      <c r="D502" s="1">
        <v>0.69</v>
      </c>
      <c r="E502" s="6">
        <f t="shared" si="118"/>
        <v>0</v>
      </c>
      <c r="F502" s="21">
        <v>45624</v>
      </c>
      <c r="G502" s="1">
        <v>13.77</v>
      </c>
      <c r="H502" s="1">
        <v>12.850199999999999</v>
      </c>
      <c r="I502" s="6">
        <f t="shared" si="116"/>
        <v>-7.2320074652987287E-4</v>
      </c>
      <c r="J502" s="21">
        <v>45624</v>
      </c>
      <c r="K502" s="1">
        <v>49.75</v>
      </c>
      <c r="L502" s="1">
        <v>36.104900000000001</v>
      </c>
      <c r="M502" s="6">
        <f t="shared" si="111"/>
        <v>3.0253361484608998E-3</v>
      </c>
      <c r="N502" s="21">
        <v>45624</v>
      </c>
      <c r="O502" s="1">
        <v>12</v>
      </c>
      <c r="P502" s="1">
        <v>11.4612</v>
      </c>
      <c r="Q502" s="6">
        <f t="shared" si="112"/>
        <v>-1.5589167461155906E-2</v>
      </c>
      <c r="R502" s="21">
        <v>45624</v>
      </c>
      <c r="S502" s="1">
        <v>7.15</v>
      </c>
      <c r="T502" s="1">
        <v>6.6966999999999999</v>
      </c>
      <c r="U502" s="6">
        <f t="shared" si="117"/>
        <v>0</v>
      </c>
      <c r="V502" s="21">
        <v>45624</v>
      </c>
      <c r="W502" s="1">
        <v>6.16</v>
      </c>
      <c r="X502" s="1">
        <v>5.7839999999999998</v>
      </c>
      <c r="Y502" s="6">
        <f t="shared" si="119"/>
        <v>-1.7259233690023468E-3</v>
      </c>
      <c r="Z502" s="21">
        <v>45624</v>
      </c>
      <c r="AA502" s="1">
        <v>2.2400000000000002</v>
      </c>
      <c r="AB502" s="1">
        <v>2.2400000000000002</v>
      </c>
      <c r="AC502" s="6">
        <f t="shared" si="113"/>
        <v>4.484304932735439E-3</v>
      </c>
      <c r="AD502" s="21">
        <v>45624</v>
      </c>
      <c r="AE502" s="1">
        <v>8.5500000000000007</v>
      </c>
      <c r="AF502" s="1">
        <v>8.3132000000000001</v>
      </c>
      <c r="AG502" s="6">
        <f t="shared" si="114"/>
        <v>5.8805023836605574E-3</v>
      </c>
      <c r="AH502" s="21">
        <v>45624</v>
      </c>
      <c r="AI502" s="1">
        <v>10.07</v>
      </c>
      <c r="AJ502" s="1">
        <v>9.7477999999999998</v>
      </c>
      <c r="AK502" s="6">
        <f t="shared" si="115"/>
        <v>-9.8386865353483621E-4</v>
      </c>
      <c r="AL502" s="21">
        <v>45624</v>
      </c>
      <c r="AM502" s="1">
        <v>1.53</v>
      </c>
      <c r="AN502" s="1">
        <v>1.53</v>
      </c>
      <c r="AO502" s="6">
        <v>-3.1645569620253222E-2</v>
      </c>
      <c r="AP502" s="21" t="s">
        <v>505</v>
      </c>
      <c r="AQ502" s="1">
        <v>9821.5300000000007</v>
      </c>
      <c r="AR502" s="6">
        <v>6.6734725898576208E-4</v>
      </c>
    </row>
    <row r="503" spans="2:44" x14ac:dyDescent="0.35">
      <c r="B503" s="21">
        <v>45625</v>
      </c>
      <c r="C503" s="1">
        <v>0.67</v>
      </c>
      <c r="D503" s="1">
        <v>0.67</v>
      </c>
      <c r="E503" s="6">
        <f t="shared" si="118"/>
        <v>-2.8985507246376718E-2</v>
      </c>
      <c r="F503" s="21">
        <v>45625</v>
      </c>
      <c r="G503" s="1">
        <v>13.79</v>
      </c>
      <c r="H503" s="1">
        <v>12.8688</v>
      </c>
      <c r="I503" s="6">
        <f t="shared" si="116"/>
        <v>1.4474482887427698E-3</v>
      </c>
      <c r="J503" s="21">
        <v>45625</v>
      </c>
      <c r="K503" s="1">
        <v>50</v>
      </c>
      <c r="L503" s="1">
        <v>36.286299999999997</v>
      </c>
      <c r="M503" s="6">
        <f t="shared" si="111"/>
        <v>5.0242487861758001E-3</v>
      </c>
      <c r="N503" s="21">
        <v>45625</v>
      </c>
      <c r="O503" s="1">
        <v>12.18</v>
      </c>
      <c r="P503" s="1">
        <v>11.633100000000001</v>
      </c>
      <c r="Q503" s="6">
        <f t="shared" si="112"/>
        <v>1.4998429483823683E-2</v>
      </c>
      <c r="R503" s="21">
        <v>45625</v>
      </c>
      <c r="S503" s="1">
        <v>7.1</v>
      </c>
      <c r="T503" s="1">
        <v>6.6498999999999997</v>
      </c>
      <c r="U503" s="6">
        <f t="shared" si="117"/>
        <v>-6.9885167321218633E-3</v>
      </c>
      <c r="V503" s="21">
        <v>45625</v>
      </c>
      <c r="W503" s="1">
        <v>6.2</v>
      </c>
      <c r="X503" s="1">
        <v>5.8220000000000001</v>
      </c>
      <c r="Y503" s="6">
        <f t="shared" si="119"/>
        <v>6.5698478561548868E-3</v>
      </c>
      <c r="Z503" s="21">
        <v>45625</v>
      </c>
      <c r="AA503" s="1">
        <v>2.2200000000000002</v>
      </c>
      <c r="AB503" s="1">
        <v>2.2200000000000002</v>
      </c>
      <c r="AC503" s="6">
        <f t="shared" si="113"/>
        <v>-8.9285714285713969E-3</v>
      </c>
      <c r="AD503" s="21">
        <v>45625</v>
      </c>
      <c r="AE503" s="1">
        <v>8.57</v>
      </c>
      <c r="AF503" s="1">
        <v>8.3325999999999993</v>
      </c>
      <c r="AG503" s="6">
        <f t="shared" si="114"/>
        <v>2.3336380695759829E-3</v>
      </c>
      <c r="AH503" s="21">
        <v>45625</v>
      </c>
      <c r="AI503" s="1">
        <v>10.039999999999999</v>
      </c>
      <c r="AJ503" s="1">
        <v>9.7187000000000001</v>
      </c>
      <c r="AK503" s="6">
        <f t="shared" si="115"/>
        <v>-2.9852889882845401E-3</v>
      </c>
      <c r="AL503" s="21">
        <v>45625</v>
      </c>
      <c r="AM503" s="1">
        <v>1.59</v>
      </c>
      <c r="AN503" s="1">
        <v>1.59</v>
      </c>
      <c r="AO503" s="6">
        <v>3.9215686274509887E-2</v>
      </c>
      <c r="AP503" s="21" t="s">
        <v>506</v>
      </c>
      <c r="AQ503" s="1">
        <v>9865.77</v>
      </c>
      <c r="AR503" s="6">
        <v>4.5043898455738862E-3</v>
      </c>
    </row>
    <row r="504" spans="2:44" x14ac:dyDescent="0.35">
      <c r="B504" s="21">
        <v>45628</v>
      </c>
      <c r="C504" s="1">
        <v>0.68</v>
      </c>
      <c r="D504" s="1">
        <v>0.68</v>
      </c>
      <c r="E504" s="6">
        <f t="shared" si="118"/>
        <v>1.4925373134328401E-2</v>
      </c>
      <c r="F504" s="21">
        <v>45628</v>
      </c>
      <c r="G504" s="1">
        <v>13.69</v>
      </c>
      <c r="H504" s="1">
        <v>12.775499999999999</v>
      </c>
      <c r="I504" s="6">
        <f t="shared" si="116"/>
        <v>-7.2500932487878922E-3</v>
      </c>
      <c r="J504" s="21">
        <v>45628</v>
      </c>
      <c r="K504" s="1">
        <v>49.81</v>
      </c>
      <c r="L504" s="1">
        <v>36.148400000000002</v>
      </c>
      <c r="M504" s="6">
        <f t="shared" si="111"/>
        <v>-3.8003323568397418E-3</v>
      </c>
      <c r="N504" s="21">
        <v>45628</v>
      </c>
      <c r="O504" s="1">
        <v>12.16</v>
      </c>
      <c r="P504" s="1">
        <v>11.614000000000001</v>
      </c>
      <c r="Q504" s="6">
        <f t="shared" si="112"/>
        <v>-1.6418667423129252E-3</v>
      </c>
      <c r="R504" s="21">
        <v>45628</v>
      </c>
      <c r="S504" s="1">
        <v>7.14</v>
      </c>
      <c r="T504" s="1">
        <v>6.6872999999999996</v>
      </c>
      <c r="U504" s="6">
        <f t="shared" si="117"/>
        <v>5.6241447239808728E-3</v>
      </c>
      <c r="V504" s="21">
        <v>45628</v>
      </c>
      <c r="W504" s="1">
        <v>6.3</v>
      </c>
      <c r="X504" s="1">
        <v>5.9160000000000004</v>
      </c>
      <c r="Y504" s="6">
        <f t="shared" si="119"/>
        <v>1.6145654414290611E-2</v>
      </c>
      <c r="Z504" s="21">
        <v>45628</v>
      </c>
      <c r="AA504" s="1">
        <v>2.23</v>
      </c>
      <c r="AB504" s="1">
        <v>2.23</v>
      </c>
      <c r="AC504" s="6">
        <f t="shared" si="113"/>
        <v>4.5045045045044585E-3</v>
      </c>
      <c r="AD504" s="21">
        <v>45628</v>
      </c>
      <c r="AE504" s="1">
        <v>8.5500000000000007</v>
      </c>
      <c r="AF504" s="1">
        <v>8.3132000000000001</v>
      </c>
      <c r="AG504" s="6">
        <f t="shared" si="114"/>
        <v>-2.3282048820295609E-3</v>
      </c>
      <c r="AH504" s="21">
        <v>45628</v>
      </c>
      <c r="AI504" s="1">
        <v>10.050000000000001</v>
      </c>
      <c r="AJ504" s="1">
        <v>9.7284000000000006</v>
      </c>
      <c r="AK504" s="6">
        <f t="shared" si="115"/>
        <v>9.9807587434530554E-4</v>
      </c>
      <c r="AL504" s="21">
        <v>45628</v>
      </c>
      <c r="AM504" s="1">
        <v>1.52</v>
      </c>
      <c r="AN504" s="1">
        <v>1.52</v>
      </c>
      <c r="AO504" s="6">
        <v>-4.4025157232704393E-2</v>
      </c>
      <c r="AP504" s="21" t="s">
        <v>507</v>
      </c>
      <c r="AQ504" s="1">
        <v>9874.65</v>
      </c>
      <c r="AR504" s="6">
        <v>9.0008179797407273E-4</v>
      </c>
    </row>
    <row r="505" spans="2:44" x14ac:dyDescent="0.35">
      <c r="B505" s="21">
        <v>45629</v>
      </c>
      <c r="C505" s="1">
        <v>0.68</v>
      </c>
      <c r="D505" s="1">
        <v>0.68</v>
      </c>
      <c r="E505" s="6">
        <f t="shared" si="118"/>
        <v>0</v>
      </c>
      <c r="F505" s="21">
        <v>45629</v>
      </c>
      <c r="G505" s="1">
        <v>13.8</v>
      </c>
      <c r="H505" s="1">
        <v>12.8782</v>
      </c>
      <c r="I505" s="6">
        <f t="shared" si="116"/>
        <v>8.0388243121600755E-3</v>
      </c>
      <c r="J505" s="21">
        <v>45629</v>
      </c>
      <c r="K505" s="1">
        <v>50</v>
      </c>
      <c r="L505" s="1">
        <v>36.286299999999997</v>
      </c>
      <c r="M505" s="6">
        <f t="shared" si="111"/>
        <v>3.8148299786433526E-3</v>
      </c>
      <c r="N505" s="21">
        <v>45629</v>
      </c>
      <c r="O505" s="1">
        <v>12</v>
      </c>
      <c r="P505" s="1">
        <v>11.4612</v>
      </c>
      <c r="Q505" s="6">
        <f t="shared" si="112"/>
        <v>-1.3156535216118592E-2</v>
      </c>
      <c r="R505" s="21">
        <v>45629</v>
      </c>
      <c r="S505" s="1">
        <v>7.1</v>
      </c>
      <c r="T505" s="1">
        <v>6.6498999999999997</v>
      </c>
      <c r="U505" s="6">
        <f t="shared" si="117"/>
        <v>-5.5926906225233219E-3</v>
      </c>
      <c r="V505" s="21">
        <v>45629</v>
      </c>
      <c r="W505" s="1">
        <v>6.29</v>
      </c>
      <c r="X505" s="1">
        <v>5.9059999999999997</v>
      </c>
      <c r="Y505" s="6">
        <f t="shared" si="119"/>
        <v>-1.6903313049358992E-3</v>
      </c>
      <c r="Z505" s="21">
        <v>45629</v>
      </c>
      <c r="AA505" s="1">
        <v>2.23</v>
      </c>
      <c r="AB505" s="1">
        <v>2.23</v>
      </c>
      <c r="AC505" s="6">
        <f t="shared" si="113"/>
        <v>0</v>
      </c>
      <c r="AD505" s="21">
        <v>45629</v>
      </c>
      <c r="AE505" s="1">
        <v>8.5500000000000007</v>
      </c>
      <c r="AF505" s="1">
        <v>8.3132000000000001</v>
      </c>
      <c r="AG505" s="6">
        <f t="shared" si="114"/>
        <v>0</v>
      </c>
      <c r="AH505" s="21">
        <v>45629</v>
      </c>
      <c r="AI505" s="1">
        <v>10.1</v>
      </c>
      <c r="AJ505" s="1">
        <v>9.7767999999999997</v>
      </c>
      <c r="AK505" s="6">
        <f t="shared" si="115"/>
        <v>4.9751243781093191E-3</v>
      </c>
      <c r="AL505" s="21">
        <v>45629</v>
      </c>
      <c r="AM505" s="1">
        <v>1.49</v>
      </c>
      <c r="AN505" s="1">
        <v>1.49</v>
      </c>
      <c r="AO505" s="6">
        <v>-1.9736842105263164E-2</v>
      </c>
      <c r="AP505" s="21" t="s">
        <v>508</v>
      </c>
      <c r="AQ505" s="1">
        <v>9881.01</v>
      </c>
      <c r="AR505" s="6">
        <v>6.4407346083150685E-4</v>
      </c>
    </row>
    <row r="506" spans="2:44" x14ac:dyDescent="0.35">
      <c r="B506" s="21">
        <v>45630</v>
      </c>
      <c r="C506" s="1">
        <v>0.65</v>
      </c>
      <c r="D506" s="1">
        <v>0.65</v>
      </c>
      <c r="E506" s="6">
        <f t="shared" si="118"/>
        <v>-4.4117647058823595E-2</v>
      </c>
      <c r="F506" s="21">
        <v>45630</v>
      </c>
      <c r="G506" s="1">
        <v>14</v>
      </c>
      <c r="H506" s="1">
        <v>13.0648</v>
      </c>
      <c r="I506" s="6">
        <f t="shared" si="116"/>
        <v>1.4489602584212058E-2</v>
      </c>
      <c r="J506" s="21">
        <v>45630</v>
      </c>
      <c r="K506" s="1">
        <v>49.8</v>
      </c>
      <c r="L506" s="1">
        <v>36.141199999999998</v>
      </c>
      <c r="M506" s="6">
        <f t="shared" si="111"/>
        <v>-3.9987543508155365E-3</v>
      </c>
      <c r="N506" s="21">
        <v>45630</v>
      </c>
      <c r="O506" s="1">
        <v>12.17</v>
      </c>
      <c r="P506" s="1">
        <v>11.6236</v>
      </c>
      <c r="Q506" s="6">
        <f t="shared" si="112"/>
        <v>1.4169545946323137E-2</v>
      </c>
      <c r="R506" s="21">
        <v>45630</v>
      </c>
      <c r="S506" s="1">
        <v>7.3</v>
      </c>
      <c r="T506" s="1">
        <v>6.8372000000000002</v>
      </c>
      <c r="U506" s="6">
        <f t="shared" si="117"/>
        <v>2.8165837080256884E-2</v>
      </c>
      <c r="V506" s="21">
        <v>45630</v>
      </c>
      <c r="W506" s="1">
        <v>6.29</v>
      </c>
      <c r="X506" s="1">
        <v>5.9059999999999997</v>
      </c>
      <c r="Y506" s="6">
        <f t="shared" si="119"/>
        <v>0</v>
      </c>
      <c r="Z506" s="21">
        <v>45630</v>
      </c>
      <c r="AA506" s="1">
        <v>2.23</v>
      </c>
      <c r="AB506" s="1">
        <v>2.23</v>
      </c>
      <c r="AC506" s="6">
        <f t="shared" si="113"/>
        <v>0</v>
      </c>
      <c r="AD506" s="21">
        <v>45630</v>
      </c>
      <c r="AE506" s="1">
        <v>8.5</v>
      </c>
      <c r="AF506" s="1">
        <v>8.2645999999999997</v>
      </c>
      <c r="AG506" s="6">
        <f t="shared" si="114"/>
        <v>-5.846124236154604E-3</v>
      </c>
      <c r="AH506" s="21">
        <v>45630</v>
      </c>
      <c r="AI506" s="1">
        <v>10.08</v>
      </c>
      <c r="AJ506" s="1">
        <v>9.7574000000000005</v>
      </c>
      <c r="AK506" s="6">
        <f t="shared" si="115"/>
        <v>-1.9842893380246363E-3</v>
      </c>
      <c r="AL506" s="21">
        <v>45630</v>
      </c>
      <c r="AM506" s="1">
        <v>1.55</v>
      </c>
      <c r="AN506" s="1">
        <v>1.55</v>
      </c>
      <c r="AO506" s="6">
        <v>4.0268456375838868E-2</v>
      </c>
      <c r="AP506" s="21" t="s">
        <v>509</v>
      </c>
      <c r="AQ506" s="1">
        <v>9900.2099999999991</v>
      </c>
      <c r="AR506" s="6">
        <v>1.9431211991485231E-3</v>
      </c>
    </row>
    <row r="507" spans="2:44" x14ac:dyDescent="0.35">
      <c r="B507" s="21">
        <v>45631</v>
      </c>
      <c r="C507" s="1">
        <v>0.66</v>
      </c>
      <c r="D507" s="1">
        <v>0.66</v>
      </c>
      <c r="E507" s="6">
        <f t="shared" si="118"/>
        <v>1.538461538461533E-2</v>
      </c>
      <c r="F507" s="21">
        <v>45631</v>
      </c>
      <c r="G507" s="1">
        <v>13.9</v>
      </c>
      <c r="H507" s="1">
        <v>12.971500000000001</v>
      </c>
      <c r="I507" s="6">
        <f t="shared" si="116"/>
        <v>-7.1413263119221027E-3</v>
      </c>
      <c r="J507" s="21">
        <v>45631</v>
      </c>
      <c r="K507" s="1">
        <v>50.8</v>
      </c>
      <c r="L507" s="1">
        <v>36.866900000000001</v>
      </c>
      <c r="M507" s="6">
        <f t="shared" si="111"/>
        <v>2.0079576771109053E-2</v>
      </c>
      <c r="N507" s="21">
        <v>45631</v>
      </c>
      <c r="O507" s="1">
        <v>12.1</v>
      </c>
      <c r="P507" s="1">
        <v>11.556699999999999</v>
      </c>
      <c r="Q507" s="6">
        <f t="shared" si="112"/>
        <v>-5.7555318489969087E-3</v>
      </c>
      <c r="R507" s="21">
        <v>45631</v>
      </c>
      <c r="S507" s="1">
        <v>7.24</v>
      </c>
      <c r="T507" s="1">
        <v>6.7809999999999997</v>
      </c>
      <c r="U507" s="6">
        <f t="shared" si="117"/>
        <v>-8.2197390744750409E-3</v>
      </c>
      <c r="V507" s="21">
        <v>45631</v>
      </c>
      <c r="W507" s="1">
        <v>6.32</v>
      </c>
      <c r="X507" s="1">
        <v>5.9340000000000002</v>
      </c>
      <c r="Y507" s="6">
        <f t="shared" si="119"/>
        <v>4.7409414155097362E-3</v>
      </c>
      <c r="Z507" s="21">
        <v>45631</v>
      </c>
      <c r="AA507" s="1">
        <v>2.23</v>
      </c>
      <c r="AB507" s="1">
        <v>2.23</v>
      </c>
      <c r="AC507" s="6">
        <f t="shared" si="113"/>
        <v>0</v>
      </c>
      <c r="AD507" s="21">
        <v>45631</v>
      </c>
      <c r="AE507" s="1">
        <v>8.4</v>
      </c>
      <c r="AF507" s="1">
        <v>8.1672999999999991</v>
      </c>
      <c r="AG507" s="6">
        <f t="shared" si="114"/>
        <v>-1.1773104566464299E-2</v>
      </c>
      <c r="AH507" s="21">
        <v>45631</v>
      </c>
      <c r="AI507" s="1">
        <v>10.050000000000001</v>
      </c>
      <c r="AJ507" s="1">
        <v>9.7284000000000006</v>
      </c>
      <c r="AK507" s="6">
        <f t="shared" si="115"/>
        <v>-2.9721032242195911E-3</v>
      </c>
      <c r="AL507" s="21">
        <v>45631</v>
      </c>
      <c r="AM507" s="1">
        <v>1.55</v>
      </c>
      <c r="AN507" s="1">
        <v>1.55</v>
      </c>
      <c r="AO507" s="6">
        <v>0</v>
      </c>
      <c r="AP507" s="21" t="s">
        <v>510</v>
      </c>
      <c r="AQ507" s="1">
        <v>9927.06</v>
      </c>
      <c r="AR507" s="6">
        <v>2.7120636834976342E-3</v>
      </c>
    </row>
    <row r="508" spans="2:44" x14ac:dyDescent="0.35">
      <c r="B508" s="21">
        <v>45632</v>
      </c>
      <c r="C508" s="1">
        <v>0.68</v>
      </c>
      <c r="D508" s="1">
        <v>0.68</v>
      </c>
      <c r="E508" s="6">
        <f t="shared" si="118"/>
        <v>3.0303030303030276E-2</v>
      </c>
      <c r="F508" s="21">
        <v>45632</v>
      </c>
      <c r="G508" s="1">
        <v>13.8</v>
      </c>
      <c r="H508" s="1">
        <v>12.8782</v>
      </c>
      <c r="I508" s="6">
        <f t="shared" si="116"/>
        <v>-7.1926916702000909E-3</v>
      </c>
      <c r="J508" s="21">
        <v>45632</v>
      </c>
      <c r="K508" s="1">
        <v>50.79</v>
      </c>
      <c r="L508" s="1">
        <v>36.8596</v>
      </c>
      <c r="M508" s="6">
        <f t="shared" si="111"/>
        <v>-1.9800959668425655E-4</v>
      </c>
      <c r="N508" s="21">
        <v>45632</v>
      </c>
      <c r="O508" s="1">
        <v>12.24</v>
      </c>
      <c r="P508" s="1">
        <v>11.6904</v>
      </c>
      <c r="Q508" s="6">
        <f t="shared" si="112"/>
        <v>1.1569046527122984E-2</v>
      </c>
      <c r="R508" s="21">
        <v>45632</v>
      </c>
      <c r="S508" s="1">
        <v>7.23</v>
      </c>
      <c r="T508" s="1">
        <v>6.7716000000000003</v>
      </c>
      <c r="U508" s="6">
        <f t="shared" si="117"/>
        <v>-1.3862262203213627E-3</v>
      </c>
      <c r="V508" s="21">
        <v>45632</v>
      </c>
      <c r="W508" s="1">
        <v>6.28</v>
      </c>
      <c r="X508" s="1">
        <v>5.8970000000000002</v>
      </c>
      <c r="Y508" s="6">
        <f t="shared" si="119"/>
        <v>-6.2352544657903186E-3</v>
      </c>
      <c r="Z508" s="21">
        <v>45632</v>
      </c>
      <c r="AA508" s="1">
        <v>2.2200000000000002</v>
      </c>
      <c r="AB508" s="1">
        <v>2.2200000000000002</v>
      </c>
      <c r="AC508" s="6">
        <f t="shared" si="113"/>
        <v>-4.4843049327353279E-3</v>
      </c>
      <c r="AD508" s="21">
        <v>45632</v>
      </c>
      <c r="AE508" s="1">
        <v>8.59</v>
      </c>
      <c r="AF508" s="1">
        <v>8.3521000000000001</v>
      </c>
      <c r="AG508" s="6">
        <f t="shared" si="114"/>
        <v>2.2626816695848095E-2</v>
      </c>
      <c r="AH508" s="21">
        <v>45632</v>
      </c>
      <c r="AI508" s="1">
        <v>10.06</v>
      </c>
      <c r="AJ508" s="1">
        <v>9.7380999999999993</v>
      </c>
      <c r="AK508" s="6">
        <f t="shared" si="115"/>
        <v>9.9708071214155147E-4</v>
      </c>
      <c r="AL508" s="21">
        <v>45632</v>
      </c>
      <c r="AM508" s="1">
        <v>1.57</v>
      </c>
      <c r="AN508" s="1">
        <v>1.57</v>
      </c>
      <c r="AO508" s="6">
        <v>1.2903225806451646E-2</v>
      </c>
      <c r="AP508" s="21" t="s">
        <v>511</v>
      </c>
      <c r="AQ508" s="1">
        <v>9940.27</v>
      </c>
      <c r="AR508" s="6">
        <v>1.3307061708098811E-3</v>
      </c>
    </row>
    <row r="509" spans="2:44" x14ac:dyDescent="0.35">
      <c r="B509" s="21">
        <v>45635</v>
      </c>
      <c r="C509" s="1">
        <v>0.68</v>
      </c>
      <c r="D509" s="1">
        <v>0.68</v>
      </c>
      <c r="E509" s="6">
        <f t="shared" si="118"/>
        <v>0</v>
      </c>
      <c r="F509" s="21">
        <v>45635</v>
      </c>
      <c r="G509" s="1">
        <v>13.75</v>
      </c>
      <c r="H509" s="1">
        <v>12.8315</v>
      </c>
      <c r="I509" s="6">
        <f t="shared" si="116"/>
        <v>-3.6262831762202685E-3</v>
      </c>
      <c r="J509" s="21">
        <v>45635</v>
      </c>
      <c r="K509" s="1">
        <v>50.32</v>
      </c>
      <c r="L509" s="1">
        <v>36.518500000000003</v>
      </c>
      <c r="M509" s="6">
        <f t="shared" si="111"/>
        <v>-9.2540342271755227E-3</v>
      </c>
      <c r="N509" s="21">
        <v>45635</v>
      </c>
      <c r="O509" s="1">
        <v>12.19</v>
      </c>
      <c r="P509" s="1">
        <v>11.6427</v>
      </c>
      <c r="Q509" s="6">
        <f t="shared" si="112"/>
        <v>-4.0802709915829238E-3</v>
      </c>
      <c r="R509" s="21">
        <v>45635</v>
      </c>
      <c r="S509" s="1">
        <v>7.24</v>
      </c>
      <c r="T509" s="1">
        <v>6.7809999999999997</v>
      </c>
      <c r="U509" s="6">
        <f t="shared" si="117"/>
        <v>1.3881505109574199E-3</v>
      </c>
      <c r="V509" s="21">
        <v>45635</v>
      </c>
      <c r="W509" s="1">
        <v>6.27</v>
      </c>
      <c r="X509" s="1">
        <v>5.8869999999999996</v>
      </c>
      <c r="Y509" s="6">
        <f t="shared" si="119"/>
        <v>-1.6957775139903042E-3</v>
      </c>
      <c r="Z509" s="21">
        <v>45635</v>
      </c>
      <c r="AA509" s="1">
        <v>2.2200000000000002</v>
      </c>
      <c r="AB509" s="1">
        <v>2.2200000000000002</v>
      </c>
      <c r="AC509" s="6">
        <f t="shared" si="113"/>
        <v>0</v>
      </c>
      <c r="AD509" s="21">
        <v>45635</v>
      </c>
      <c r="AE509" s="1">
        <v>8.59</v>
      </c>
      <c r="AF509" s="1">
        <v>8.3521000000000001</v>
      </c>
      <c r="AG509" s="6">
        <f t="shared" si="114"/>
        <v>0</v>
      </c>
      <c r="AH509" s="21">
        <v>45635</v>
      </c>
      <c r="AI509" s="1">
        <v>10</v>
      </c>
      <c r="AJ509" s="1">
        <v>9.68</v>
      </c>
      <c r="AK509" s="6">
        <f t="shared" si="115"/>
        <v>-5.9662562512193817E-3</v>
      </c>
      <c r="AL509" s="21">
        <v>45635</v>
      </c>
      <c r="AM509" s="1">
        <v>1.6</v>
      </c>
      <c r="AN509" s="1">
        <v>1.6</v>
      </c>
      <c r="AO509" s="6">
        <v>1.9108280254777066E-2</v>
      </c>
      <c r="AP509" s="21" t="s">
        <v>512</v>
      </c>
      <c r="AQ509" s="1">
        <v>9924.31</v>
      </c>
      <c r="AR509" s="6">
        <v>-1.6055901902062297E-3</v>
      </c>
    </row>
    <row r="510" spans="2:44" x14ac:dyDescent="0.35">
      <c r="B510" s="21">
        <v>45636</v>
      </c>
      <c r="C510" s="1">
        <v>0.68</v>
      </c>
      <c r="D510" s="1">
        <v>0.68</v>
      </c>
      <c r="E510" s="6">
        <f t="shared" si="118"/>
        <v>0</v>
      </c>
      <c r="F510" s="21">
        <v>45636</v>
      </c>
      <c r="G510" s="1">
        <v>13.75</v>
      </c>
      <c r="H510" s="1">
        <v>12.8315</v>
      </c>
      <c r="I510" s="6">
        <f t="shared" si="116"/>
        <v>0</v>
      </c>
      <c r="J510" s="21">
        <v>45636</v>
      </c>
      <c r="K510" s="1">
        <v>50.99</v>
      </c>
      <c r="L510" s="1">
        <v>37.004800000000003</v>
      </c>
      <c r="M510" s="6">
        <f t="shared" si="111"/>
        <v>1.3316538192970739E-2</v>
      </c>
      <c r="N510" s="21">
        <v>45636</v>
      </c>
      <c r="O510" s="1">
        <v>12.18</v>
      </c>
      <c r="P510" s="1">
        <v>11.633100000000001</v>
      </c>
      <c r="Q510" s="6">
        <f t="shared" si="112"/>
        <v>-8.2455100620981714E-4</v>
      </c>
      <c r="R510" s="21">
        <v>45636</v>
      </c>
      <c r="S510" s="1">
        <v>7.23</v>
      </c>
      <c r="T510" s="1">
        <v>6.7716000000000003</v>
      </c>
      <c r="U510" s="6">
        <f t="shared" si="117"/>
        <v>-1.3862262203213627E-3</v>
      </c>
      <c r="V510" s="21">
        <v>45636</v>
      </c>
      <c r="W510" s="1">
        <v>6.17</v>
      </c>
      <c r="X510" s="1">
        <v>5.7939999999999996</v>
      </c>
      <c r="Y510" s="6">
        <f t="shared" si="119"/>
        <v>-1.5797519959232176E-2</v>
      </c>
      <c r="Z510" s="21">
        <v>45636</v>
      </c>
      <c r="AA510" s="1">
        <v>2.23</v>
      </c>
      <c r="AB510" s="1">
        <v>2.23</v>
      </c>
      <c r="AC510" s="6">
        <f t="shared" si="113"/>
        <v>4.5045045045044585E-3</v>
      </c>
      <c r="AD510" s="21">
        <v>45636</v>
      </c>
      <c r="AE510" s="1">
        <v>8.57</v>
      </c>
      <c r="AF510" s="1">
        <v>8.3325999999999993</v>
      </c>
      <c r="AG510" s="6">
        <f t="shared" si="114"/>
        <v>-2.3347421606543239E-3</v>
      </c>
      <c r="AH510" s="21">
        <v>45636</v>
      </c>
      <c r="AI510" s="1">
        <v>10.02</v>
      </c>
      <c r="AJ510" s="1">
        <v>9.6994000000000007</v>
      </c>
      <c r="AK510" s="6">
        <f t="shared" si="115"/>
        <v>2.0041322314050536E-3</v>
      </c>
      <c r="AL510" s="21">
        <v>45636</v>
      </c>
      <c r="AM510" s="1">
        <v>1.53</v>
      </c>
      <c r="AN510" s="1">
        <v>1.53</v>
      </c>
      <c r="AO510" s="6">
        <v>-4.3750000000000067E-2</v>
      </c>
      <c r="AP510" s="21" t="s">
        <v>513</v>
      </c>
      <c r="AQ510" s="1">
        <v>9945.65</v>
      </c>
      <c r="AR510" s="6">
        <v>2.1502754347657582E-3</v>
      </c>
    </row>
    <row r="511" spans="2:44" x14ac:dyDescent="0.35">
      <c r="B511" s="21">
        <v>45637</v>
      </c>
      <c r="C511" s="1">
        <v>0.66</v>
      </c>
      <c r="D511" s="1">
        <v>0.66</v>
      </c>
      <c r="E511" s="6">
        <f t="shared" si="118"/>
        <v>-2.9411764705882359E-2</v>
      </c>
      <c r="F511" s="21">
        <v>45637</v>
      </c>
      <c r="G511" s="1">
        <v>13.75</v>
      </c>
      <c r="H511" s="1">
        <v>12.8315</v>
      </c>
      <c r="I511" s="6">
        <f t="shared" si="116"/>
        <v>0</v>
      </c>
      <c r="J511" s="21">
        <v>45637</v>
      </c>
      <c r="K511" s="1">
        <v>50.52</v>
      </c>
      <c r="L511" s="1">
        <v>36.663699999999999</v>
      </c>
      <c r="M511" s="6">
        <f t="shared" si="111"/>
        <v>-9.2177231061917331E-3</v>
      </c>
      <c r="N511" s="21">
        <v>45637</v>
      </c>
      <c r="O511" s="1">
        <v>12</v>
      </c>
      <c r="P511" s="1">
        <v>11.4612</v>
      </c>
      <c r="Q511" s="6">
        <f t="shared" si="112"/>
        <v>-1.4776800680815994E-2</v>
      </c>
      <c r="R511" s="21">
        <v>45637</v>
      </c>
      <c r="S511" s="1">
        <v>7.24</v>
      </c>
      <c r="T511" s="1">
        <v>6.7809999999999997</v>
      </c>
      <c r="U511" s="6">
        <f t="shared" si="117"/>
        <v>1.3881505109574199E-3</v>
      </c>
      <c r="V511" s="21">
        <v>45637</v>
      </c>
      <c r="W511" s="1">
        <v>6.19</v>
      </c>
      <c r="X511" s="1">
        <v>5.8120000000000003</v>
      </c>
      <c r="Y511" s="6">
        <f t="shared" si="119"/>
        <v>3.1066620642044018E-3</v>
      </c>
      <c r="Z511" s="21">
        <v>45637</v>
      </c>
      <c r="AA511" s="1">
        <v>2.15</v>
      </c>
      <c r="AB511" s="1">
        <v>2.15</v>
      </c>
      <c r="AC511" s="6">
        <f t="shared" si="113"/>
        <v>-3.5874439461883401E-2</v>
      </c>
      <c r="AD511" s="21">
        <v>45637</v>
      </c>
      <c r="AE511" s="1">
        <v>8.56</v>
      </c>
      <c r="AF511" s="1">
        <v>8.3229000000000006</v>
      </c>
      <c r="AG511" s="6">
        <f t="shared" si="114"/>
        <v>-1.1641024410146139E-3</v>
      </c>
      <c r="AH511" s="21">
        <v>45637</v>
      </c>
      <c r="AI511" s="1">
        <v>10.01</v>
      </c>
      <c r="AJ511" s="1">
        <v>9.6897000000000002</v>
      </c>
      <c r="AK511" s="6">
        <f t="shared" si="115"/>
        <v>-1.000061859496526E-3</v>
      </c>
      <c r="AL511" s="21">
        <v>45637</v>
      </c>
      <c r="AM511" s="1">
        <v>1.51</v>
      </c>
      <c r="AN511" s="1">
        <v>1.51</v>
      </c>
      <c r="AO511" s="6">
        <v>-1.3071895424836666E-2</v>
      </c>
      <c r="AP511" s="21" t="s">
        <v>514</v>
      </c>
      <c r="AQ511" s="1">
        <v>9899.09</v>
      </c>
      <c r="AR511" s="6">
        <v>-4.6814436462171427E-3</v>
      </c>
    </row>
    <row r="512" spans="2:44" x14ac:dyDescent="0.35">
      <c r="B512" s="21">
        <v>45638</v>
      </c>
      <c r="C512" s="1">
        <v>0.67</v>
      </c>
      <c r="D512" s="1">
        <v>0.67</v>
      </c>
      <c r="E512" s="6">
        <f t="shared" si="118"/>
        <v>1.5151515151515138E-2</v>
      </c>
      <c r="F512" s="21">
        <v>45638</v>
      </c>
      <c r="G512" s="1">
        <v>13.95</v>
      </c>
      <c r="H512" s="1">
        <v>13.0181</v>
      </c>
      <c r="I512" s="6">
        <f t="shared" si="116"/>
        <v>1.4542337217005041E-2</v>
      </c>
      <c r="J512" s="21">
        <v>45638</v>
      </c>
      <c r="K512" s="1">
        <v>50.75</v>
      </c>
      <c r="L512" s="1">
        <v>36.830599999999997</v>
      </c>
      <c r="M512" s="6">
        <f t="shared" si="111"/>
        <v>4.5521864950890389E-3</v>
      </c>
      <c r="N512" s="21">
        <v>45638</v>
      </c>
      <c r="O512" s="1">
        <v>12.05</v>
      </c>
      <c r="P512" s="1">
        <v>11.509</v>
      </c>
      <c r="Q512" s="6">
        <f t="shared" si="112"/>
        <v>4.1705929571074218E-3</v>
      </c>
      <c r="R512" s="21">
        <v>45638</v>
      </c>
      <c r="S512" s="1">
        <v>7.13</v>
      </c>
      <c r="T512" s="1">
        <v>6.6779999999999999</v>
      </c>
      <c r="U512" s="6">
        <f t="shared" si="117"/>
        <v>-1.5189500073735429E-2</v>
      </c>
      <c r="V512" s="21">
        <v>45638</v>
      </c>
      <c r="W512" s="1">
        <v>6.19</v>
      </c>
      <c r="X512" s="1">
        <v>5.8120000000000003</v>
      </c>
      <c r="Y512" s="6">
        <f t="shared" si="119"/>
        <v>0</v>
      </c>
      <c r="Z512" s="21">
        <v>45638</v>
      </c>
      <c r="AA512" s="1">
        <v>2.19</v>
      </c>
      <c r="AB512" s="1">
        <v>2.19</v>
      </c>
      <c r="AC512" s="6">
        <f t="shared" si="113"/>
        <v>1.8604651162790642E-2</v>
      </c>
      <c r="AD512" s="21">
        <v>45638</v>
      </c>
      <c r="AE512" s="1">
        <v>8.6</v>
      </c>
      <c r="AF512" s="1">
        <v>8.3618000000000006</v>
      </c>
      <c r="AG512" s="6">
        <f t="shared" si="114"/>
        <v>4.67385166228107E-3</v>
      </c>
      <c r="AH512" s="21">
        <v>45638</v>
      </c>
      <c r="AI512" s="1">
        <v>10.01</v>
      </c>
      <c r="AJ512" s="1">
        <v>9.6897000000000002</v>
      </c>
      <c r="AK512" s="6">
        <f t="shared" si="115"/>
        <v>0</v>
      </c>
      <c r="AL512" s="21">
        <v>45638</v>
      </c>
      <c r="AM512" s="1">
        <v>1.53</v>
      </c>
      <c r="AN512" s="1">
        <v>1.53</v>
      </c>
      <c r="AO512" s="6">
        <v>1.3245033112582849E-2</v>
      </c>
      <c r="AP512" s="21" t="s">
        <v>515</v>
      </c>
      <c r="AQ512" s="1">
        <v>9892.11</v>
      </c>
      <c r="AR512" s="6">
        <v>-7.0511531868078237E-4</v>
      </c>
    </row>
    <row r="513" spans="2:44" x14ac:dyDescent="0.35">
      <c r="B513" s="21">
        <v>45639</v>
      </c>
      <c r="C513" s="1">
        <v>0.66</v>
      </c>
      <c r="D513" s="1">
        <v>0.66</v>
      </c>
      <c r="E513" s="6">
        <f t="shared" si="118"/>
        <v>-1.4925373134328401E-2</v>
      </c>
      <c r="F513" s="21">
        <v>45639</v>
      </c>
      <c r="G513" s="1">
        <v>14.07</v>
      </c>
      <c r="H513" s="1">
        <v>13.130100000000001</v>
      </c>
      <c r="I513" s="6">
        <f t="shared" si="116"/>
        <v>8.6034060269932766E-3</v>
      </c>
      <c r="J513" s="21">
        <v>45639</v>
      </c>
      <c r="K513" s="1">
        <v>50.98</v>
      </c>
      <c r="L513" s="1">
        <v>36.997500000000002</v>
      </c>
      <c r="M513" s="6">
        <f t="shared" si="111"/>
        <v>4.5315579979692266E-3</v>
      </c>
      <c r="N513" s="21">
        <v>45639</v>
      </c>
      <c r="O513" s="1">
        <v>12.05</v>
      </c>
      <c r="P513" s="1">
        <v>11.509</v>
      </c>
      <c r="Q513" s="6">
        <f t="shared" si="112"/>
        <v>0</v>
      </c>
      <c r="R513" s="21">
        <v>45639</v>
      </c>
      <c r="S513" s="1">
        <v>7.2</v>
      </c>
      <c r="T513" s="1">
        <v>6.7435</v>
      </c>
      <c r="U513" s="6">
        <f t="shared" si="117"/>
        <v>9.8083258460617273E-3</v>
      </c>
      <c r="V513" s="21">
        <v>45639</v>
      </c>
      <c r="W513" s="1">
        <v>6.19</v>
      </c>
      <c r="X513" s="1">
        <v>5.8120000000000003</v>
      </c>
      <c r="Y513" s="6">
        <f t="shared" si="119"/>
        <v>0</v>
      </c>
      <c r="Z513" s="21">
        <v>45639</v>
      </c>
      <c r="AA513" s="1">
        <v>2.2000000000000002</v>
      </c>
      <c r="AB513" s="1">
        <v>2.2000000000000002</v>
      </c>
      <c r="AC513" s="6">
        <f t="shared" si="113"/>
        <v>4.5662100456622667E-3</v>
      </c>
      <c r="AD513" s="21">
        <v>45639</v>
      </c>
      <c r="AE513" s="1">
        <v>8.89</v>
      </c>
      <c r="AF513" s="1">
        <v>8.6437000000000008</v>
      </c>
      <c r="AG513" s="6">
        <f t="shared" si="114"/>
        <v>3.3712836948982305E-2</v>
      </c>
      <c r="AH513" s="21">
        <v>45639</v>
      </c>
      <c r="AI513" s="1">
        <v>10.07</v>
      </c>
      <c r="AJ513" s="1">
        <v>9.7477999999999998</v>
      </c>
      <c r="AK513" s="6">
        <f t="shared" si="115"/>
        <v>5.9960576694839673E-3</v>
      </c>
      <c r="AL513" s="21">
        <v>45639</v>
      </c>
      <c r="AM513" s="1">
        <v>1.52</v>
      </c>
      <c r="AN513" s="1">
        <v>1.52</v>
      </c>
      <c r="AO513" s="6">
        <v>-6.5359477124182774E-3</v>
      </c>
      <c r="AP513" s="21" t="s">
        <v>516</v>
      </c>
      <c r="AQ513" s="1">
        <v>9911.7199999999993</v>
      </c>
      <c r="AR513" s="6">
        <v>1.9823879839588887E-3</v>
      </c>
    </row>
    <row r="514" spans="2:44" x14ac:dyDescent="0.35">
      <c r="B514" s="21">
        <v>45642</v>
      </c>
      <c r="C514" s="1">
        <v>0.65</v>
      </c>
      <c r="D514" s="1">
        <v>0.65</v>
      </c>
      <c r="E514" s="6">
        <f t="shared" si="118"/>
        <v>-1.5151515151515138E-2</v>
      </c>
      <c r="F514" s="21">
        <v>45642</v>
      </c>
      <c r="G514" s="1">
        <v>13.8</v>
      </c>
      <c r="H514" s="1">
        <v>12.8782</v>
      </c>
      <c r="I514" s="6">
        <f t="shared" si="116"/>
        <v>-1.9184926238185573E-2</v>
      </c>
      <c r="J514" s="21">
        <v>45642</v>
      </c>
      <c r="K514" s="1">
        <v>51</v>
      </c>
      <c r="L514" s="1">
        <v>37.012</v>
      </c>
      <c r="M514" s="6">
        <f t="shared" si="111"/>
        <v>3.9191837286289832E-4</v>
      </c>
      <c r="N514" s="21">
        <v>45642</v>
      </c>
      <c r="O514" s="1">
        <v>12</v>
      </c>
      <c r="P514" s="1">
        <v>11.4612</v>
      </c>
      <c r="Q514" s="6">
        <f t="shared" si="112"/>
        <v>-4.1532713528543708E-3</v>
      </c>
      <c r="R514" s="21">
        <v>45642</v>
      </c>
      <c r="S514" s="1">
        <v>7.2</v>
      </c>
      <c r="T514" s="1">
        <v>6.7435</v>
      </c>
      <c r="U514" s="6">
        <f t="shared" si="117"/>
        <v>0</v>
      </c>
      <c r="V514" s="21">
        <v>45642</v>
      </c>
      <c r="W514" s="1">
        <v>6.16</v>
      </c>
      <c r="X514" s="1">
        <v>5.7839999999999998</v>
      </c>
      <c r="Y514" s="6">
        <f t="shared" si="119"/>
        <v>-4.8176187198899489E-3</v>
      </c>
      <c r="Z514" s="21">
        <v>45642</v>
      </c>
      <c r="AA514" s="1">
        <v>2.16</v>
      </c>
      <c r="AB514" s="1">
        <v>2.16</v>
      </c>
      <c r="AC514" s="6">
        <f t="shared" si="113"/>
        <v>-1.8181818181818188E-2</v>
      </c>
      <c r="AD514" s="21">
        <v>45642</v>
      </c>
      <c r="AE514" s="1">
        <v>8.8000000000000007</v>
      </c>
      <c r="AF514" s="1">
        <v>8.5562000000000005</v>
      </c>
      <c r="AG514" s="6">
        <f t="shared" si="114"/>
        <v>-1.012297974247145E-2</v>
      </c>
      <c r="AH514" s="21">
        <v>45642</v>
      </c>
      <c r="AI514" s="1">
        <v>10.199999999999999</v>
      </c>
      <c r="AJ514" s="1">
        <v>9.8735999999999997</v>
      </c>
      <c r="AK514" s="6">
        <f t="shared" si="115"/>
        <v>1.2905476107429426E-2</v>
      </c>
      <c r="AL514" s="21">
        <v>45642</v>
      </c>
      <c r="AM514" s="1">
        <v>1.52</v>
      </c>
      <c r="AN514" s="1">
        <v>1.52</v>
      </c>
      <c r="AO514" s="6">
        <v>0</v>
      </c>
      <c r="AP514" s="21" t="s">
        <v>517</v>
      </c>
      <c r="AQ514" s="1">
        <v>9902.2000000000007</v>
      </c>
      <c r="AR514" s="6">
        <v>-9.6047910957919314E-4</v>
      </c>
    </row>
    <row r="515" spans="2:44" x14ac:dyDescent="0.35">
      <c r="B515" s="21">
        <v>45644</v>
      </c>
      <c r="C515" s="1">
        <v>0.67</v>
      </c>
      <c r="D515" s="1">
        <v>0.67</v>
      </c>
      <c r="E515" s="6">
        <f t="shared" si="118"/>
        <v>3.0769230769230882E-2</v>
      </c>
      <c r="F515" s="21">
        <v>45644</v>
      </c>
      <c r="G515" s="1">
        <v>13.76</v>
      </c>
      <c r="H515" s="1">
        <v>12.8408</v>
      </c>
      <c r="I515" s="6">
        <f t="shared" si="116"/>
        <v>-2.904132565110018E-3</v>
      </c>
      <c r="J515" s="21">
        <v>45644</v>
      </c>
      <c r="K515" s="1">
        <v>50</v>
      </c>
      <c r="L515" s="1">
        <v>36.286299999999997</v>
      </c>
      <c r="M515" s="6">
        <f t="shared" ref="M515:M578" si="120">(L515/L514)-1</f>
        <v>-1.9607154436399044E-2</v>
      </c>
      <c r="N515" s="21">
        <v>45644</v>
      </c>
      <c r="O515" s="1">
        <v>12</v>
      </c>
      <c r="P515" s="1">
        <v>11.4612</v>
      </c>
      <c r="Q515" s="6">
        <f t="shared" ref="Q515:Q578" si="121">(P515/P514)-1</f>
        <v>0</v>
      </c>
      <c r="R515" s="21">
        <v>45644</v>
      </c>
      <c r="S515" s="1">
        <v>7.2</v>
      </c>
      <c r="T515" s="1">
        <v>6.7435</v>
      </c>
      <c r="U515" s="6">
        <f t="shared" si="117"/>
        <v>0</v>
      </c>
      <c r="V515" s="21">
        <v>45644</v>
      </c>
      <c r="W515" s="1">
        <v>6.17</v>
      </c>
      <c r="X515" s="1">
        <v>5.7939999999999996</v>
      </c>
      <c r="Y515" s="6">
        <f t="shared" si="119"/>
        <v>1.7289073305670755E-3</v>
      </c>
      <c r="Z515" s="21">
        <v>45644</v>
      </c>
      <c r="AA515" s="1">
        <v>2.1800000000000002</v>
      </c>
      <c r="AB515" s="1">
        <v>2.1800000000000002</v>
      </c>
      <c r="AC515" s="6">
        <f t="shared" ref="AC515:AC578" si="122">(AB515/AB514)-1</f>
        <v>9.2592592592593004E-3</v>
      </c>
      <c r="AD515" s="21">
        <v>45644</v>
      </c>
      <c r="AE515" s="1">
        <v>8.9</v>
      </c>
      <c r="AF515" s="1">
        <v>8.6534999999999993</v>
      </c>
      <c r="AG515" s="6">
        <f t="shared" ref="AG515:AG578" si="123">(AF515/AF514)-1</f>
        <v>1.1371870690259467E-2</v>
      </c>
      <c r="AH515" s="21">
        <v>45644</v>
      </c>
      <c r="AI515" s="1">
        <v>10.11</v>
      </c>
      <c r="AJ515" s="1">
        <v>9.7865000000000002</v>
      </c>
      <c r="AK515" s="6">
        <f t="shared" ref="AK515:AK578" si="124">(AJ515/AJ514)-1</f>
        <v>-8.8215038081347341E-3</v>
      </c>
      <c r="AL515" s="21">
        <v>45644</v>
      </c>
      <c r="AM515" s="1">
        <v>1.53</v>
      </c>
      <c r="AN515" s="1">
        <v>1.53</v>
      </c>
      <c r="AO515" s="6">
        <v>6.5789473684210176E-3</v>
      </c>
      <c r="AP515" s="21" t="s">
        <v>518</v>
      </c>
      <c r="AQ515" s="1">
        <v>9865.9699999999993</v>
      </c>
      <c r="AR515" s="6">
        <v>-3.6587828967301617E-3</v>
      </c>
    </row>
    <row r="516" spans="2:44" x14ac:dyDescent="0.35">
      <c r="B516" s="21">
        <v>45645</v>
      </c>
      <c r="C516" s="1">
        <v>0.67</v>
      </c>
      <c r="D516" s="1">
        <v>0.67</v>
      </c>
      <c r="E516" s="6">
        <f t="shared" si="118"/>
        <v>0</v>
      </c>
      <c r="F516" s="21">
        <v>45645</v>
      </c>
      <c r="G516" s="1">
        <v>14.03</v>
      </c>
      <c r="H516" s="1">
        <v>13.0928</v>
      </c>
      <c r="I516" s="6">
        <f t="shared" si="116"/>
        <v>1.9624945486262479E-2</v>
      </c>
      <c r="J516" s="21">
        <v>45645</v>
      </c>
      <c r="K516" s="1">
        <v>50.9</v>
      </c>
      <c r="L516" s="1">
        <v>36.939500000000002</v>
      </c>
      <c r="M516" s="6">
        <f t="shared" si="120"/>
        <v>1.8001284231238923E-2</v>
      </c>
      <c r="N516" s="21">
        <v>45645</v>
      </c>
      <c r="O516" s="1">
        <v>12</v>
      </c>
      <c r="P516" s="1">
        <v>11.4612</v>
      </c>
      <c r="Q516" s="6">
        <f t="shared" si="121"/>
        <v>0</v>
      </c>
      <c r="R516" s="21">
        <v>45645</v>
      </c>
      <c r="S516" s="1">
        <v>7.05</v>
      </c>
      <c r="T516" s="1">
        <v>6.6029999999999998</v>
      </c>
      <c r="U516" s="6">
        <f t="shared" si="117"/>
        <v>-2.083487803069628E-2</v>
      </c>
      <c r="V516" s="21">
        <v>45645</v>
      </c>
      <c r="W516" s="1">
        <v>6.16</v>
      </c>
      <c r="X516" s="1">
        <v>5.7839999999999998</v>
      </c>
      <c r="Y516" s="6">
        <f t="shared" si="119"/>
        <v>-1.7259233690023468E-3</v>
      </c>
      <c r="Z516" s="21">
        <v>45645</v>
      </c>
      <c r="AA516" s="1">
        <v>2.16</v>
      </c>
      <c r="AB516" s="1">
        <v>2.16</v>
      </c>
      <c r="AC516" s="6">
        <f t="shared" si="122"/>
        <v>-9.1743119266055606E-3</v>
      </c>
      <c r="AD516" s="21">
        <v>45645</v>
      </c>
      <c r="AE516" s="1">
        <v>8.8000000000000007</v>
      </c>
      <c r="AF516" s="1">
        <v>8.5562000000000005</v>
      </c>
      <c r="AG516" s="6">
        <f t="shared" si="123"/>
        <v>-1.124400531576808E-2</v>
      </c>
      <c r="AH516" s="21">
        <v>45645</v>
      </c>
      <c r="AI516" s="1">
        <v>10.11</v>
      </c>
      <c r="AJ516" s="1">
        <v>9.7865000000000002</v>
      </c>
      <c r="AK516" s="6">
        <f t="shared" si="124"/>
        <v>0</v>
      </c>
      <c r="AL516" s="21">
        <v>45645</v>
      </c>
      <c r="AM516" s="1">
        <v>1.58</v>
      </c>
      <c r="AN516" s="1">
        <v>1.58</v>
      </c>
      <c r="AO516" s="6">
        <v>3.2679738562091609E-2</v>
      </c>
      <c r="AP516" s="21" t="s">
        <v>519</v>
      </c>
      <c r="AQ516" s="1">
        <v>9892.58</v>
      </c>
      <c r="AR516" s="6">
        <v>2.6971499001111621E-3</v>
      </c>
    </row>
    <row r="517" spans="2:44" x14ac:dyDescent="0.35">
      <c r="B517" s="21">
        <v>45646</v>
      </c>
      <c r="C517" s="1">
        <v>0.66</v>
      </c>
      <c r="D517" s="1">
        <v>0.66</v>
      </c>
      <c r="E517" s="6">
        <f t="shared" si="118"/>
        <v>-1.4925373134328401E-2</v>
      </c>
      <c r="F517" s="21">
        <v>45646</v>
      </c>
      <c r="G517" s="1">
        <v>13.48</v>
      </c>
      <c r="H517" s="1">
        <v>12.579499999999999</v>
      </c>
      <c r="I517" s="6">
        <f t="shared" si="116"/>
        <v>-3.9204753757790645E-2</v>
      </c>
      <c r="J517" s="21">
        <v>45646</v>
      </c>
      <c r="K517" s="1">
        <v>50.89</v>
      </c>
      <c r="L517" s="1">
        <v>36.932200000000002</v>
      </c>
      <c r="M517" s="6">
        <f t="shared" si="120"/>
        <v>-1.9762043341142732E-4</v>
      </c>
      <c r="N517" s="21">
        <v>45646</v>
      </c>
      <c r="O517" s="1">
        <v>11.86</v>
      </c>
      <c r="P517" s="1">
        <v>11.327500000000001</v>
      </c>
      <c r="Q517" s="6">
        <f t="shared" si="121"/>
        <v>-1.1665445154085075E-2</v>
      </c>
      <c r="R517" s="21">
        <v>45646</v>
      </c>
      <c r="S517" s="1">
        <v>7.05</v>
      </c>
      <c r="T517" s="1">
        <v>6.6029999999999998</v>
      </c>
      <c r="U517" s="6">
        <f t="shared" si="117"/>
        <v>0</v>
      </c>
      <c r="V517" s="21">
        <v>45646</v>
      </c>
      <c r="W517" s="1">
        <v>6.15</v>
      </c>
      <c r="X517" s="1">
        <v>5.7750000000000004</v>
      </c>
      <c r="Y517" s="6">
        <f t="shared" si="119"/>
        <v>-1.5560165975102569E-3</v>
      </c>
      <c r="Z517" s="21">
        <v>45646</v>
      </c>
      <c r="AA517" s="1">
        <v>2.17</v>
      </c>
      <c r="AB517" s="1">
        <v>2.17</v>
      </c>
      <c r="AC517" s="6">
        <f t="shared" si="122"/>
        <v>4.6296296296295392E-3</v>
      </c>
      <c r="AD517" s="21">
        <v>45646</v>
      </c>
      <c r="AE517" s="1">
        <v>8.75</v>
      </c>
      <c r="AF517" s="1">
        <v>8.5076000000000001</v>
      </c>
      <c r="AG517" s="6">
        <f t="shared" si="123"/>
        <v>-5.6800916294617032E-3</v>
      </c>
      <c r="AH517" s="21">
        <v>45646</v>
      </c>
      <c r="AI517" s="1">
        <v>10.1</v>
      </c>
      <c r="AJ517" s="1">
        <v>9.7767999999999997</v>
      </c>
      <c r="AK517" s="6">
        <f t="shared" si="124"/>
        <v>-9.911612936187586E-4</v>
      </c>
      <c r="AL517" s="21">
        <v>45646</v>
      </c>
      <c r="AM517" s="1">
        <v>1.58</v>
      </c>
      <c r="AN517" s="1">
        <v>1.58</v>
      </c>
      <c r="AO517" s="6">
        <v>0</v>
      </c>
      <c r="AP517" s="21" t="s">
        <v>520</v>
      </c>
      <c r="AQ517" s="1">
        <v>9884.5</v>
      </c>
      <c r="AR517" s="6">
        <v>-8.1677378398758993E-4</v>
      </c>
    </row>
    <row r="518" spans="2:44" x14ac:dyDescent="0.35">
      <c r="B518" s="21">
        <v>45649</v>
      </c>
      <c r="C518" s="1">
        <v>0.64</v>
      </c>
      <c r="D518" s="1">
        <v>0.64</v>
      </c>
      <c r="E518" s="6">
        <f t="shared" si="118"/>
        <v>-3.0303030303030276E-2</v>
      </c>
      <c r="F518" s="21">
        <v>45649</v>
      </c>
      <c r="G518" s="1">
        <v>13.95</v>
      </c>
      <c r="H518" s="1">
        <v>13.0181</v>
      </c>
      <c r="I518" s="6">
        <f t="shared" si="116"/>
        <v>3.4866250645892105E-2</v>
      </c>
      <c r="J518" s="21">
        <v>45649</v>
      </c>
      <c r="K518" s="1">
        <v>50.89</v>
      </c>
      <c r="L518" s="1">
        <v>36.932200000000002</v>
      </c>
      <c r="M518" s="6">
        <f t="shared" si="120"/>
        <v>0</v>
      </c>
      <c r="N518" s="21">
        <v>45649</v>
      </c>
      <c r="O518" s="1">
        <v>11.9</v>
      </c>
      <c r="P518" s="1">
        <v>11.3657</v>
      </c>
      <c r="Q518" s="6">
        <f t="shared" si="121"/>
        <v>3.3723239902891944E-3</v>
      </c>
      <c r="R518" s="21">
        <v>45649</v>
      </c>
      <c r="S518" s="1">
        <v>7.05</v>
      </c>
      <c r="T518" s="1">
        <v>6.6029999999999998</v>
      </c>
      <c r="U518" s="6">
        <f t="shared" si="117"/>
        <v>0</v>
      </c>
      <c r="V518" s="21">
        <v>45649</v>
      </c>
      <c r="W518" s="1">
        <v>6.15</v>
      </c>
      <c r="X518" s="1">
        <v>5.7750000000000004</v>
      </c>
      <c r="Y518" s="6">
        <f t="shared" si="119"/>
        <v>0</v>
      </c>
      <c r="Z518" s="21">
        <v>45649</v>
      </c>
      <c r="AA518" s="1">
        <v>2.15</v>
      </c>
      <c r="AB518" s="1">
        <v>2.15</v>
      </c>
      <c r="AC518" s="6">
        <f t="shared" si="122"/>
        <v>-9.2165898617511122E-3</v>
      </c>
      <c r="AD518" s="21">
        <v>45649</v>
      </c>
      <c r="AE518" s="1">
        <v>8.75</v>
      </c>
      <c r="AF518" s="1">
        <v>8.5076000000000001</v>
      </c>
      <c r="AG518" s="6">
        <f t="shared" si="123"/>
        <v>0</v>
      </c>
      <c r="AH518" s="21">
        <v>45649</v>
      </c>
      <c r="AI518" s="1">
        <v>10.1</v>
      </c>
      <c r="AJ518" s="1">
        <v>9.7767999999999997</v>
      </c>
      <c r="AK518" s="6">
        <f t="shared" si="124"/>
        <v>0</v>
      </c>
      <c r="AL518" s="21">
        <v>45649</v>
      </c>
      <c r="AM518" s="1">
        <v>1.58</v>
      </c>
      <c r="AN518" s="1">
        <v>1.58</v>
      </c>
      <c r="AO518" s="6">
        <v>0</v>
      </c>
      <c r="AP518" s="21" t="s">
        <v>521</v>
      </c>
      <c r="AQ518" s="1">
        <v>9888.19</v>
      </c>
      <c r="AR518" s="6">
        <v>3.7331175072097267E-4</v>
      </c>
    </row>
    <row r="519" spans="2:44" x14ac:dyDescent="0.35">
      <c r="B519" s="21">
        <v>45650</v>
      </c>
      <c r="C519" s="1">
        <v>0.64</v>
      </c>
      <c r="D519" s="1">
        <v>0.64</v>
      </c>
      <c r="E519" s="6">
        <f t="shared" si="118"/>
        <v>0</v>
      </c>
      <c r="F519" s="21">
        <v>45650</v>
      </c>
      <c r="G519" s="1">
        <v>13.5</v>
      </c>
      <c r="H519" s="1">
        <v>12.5982</v>
      </c>
      <c r="I519" s="6">
        <f t="shared" ref="I519:I582" si="125">(H519/H518)-1</f>
        <v>-3.2255090988700386E-2</v>
      </c>
      <c r="J519" s="21">
        <v>45650</v>
      </c>
      <c r="K519" s="1">
        <v>50.6</v>
      </c>
      <c r="L519" s="1">
        <v>36.721699999999998</v>
      </c>
      <c r="M519" s="6">
        <f t="shared" si="120"/>
        <v>-5.6996333822518785E-3</v>
      </c>
      <c r="N519" s="21">
        <v>45650</v>
      </c>
      <c r="O519" s="1">
        <v>11.89</v>
      </c>
      <c r="P519" s="1">
        <v>11.3561</v>
      </c>
      <c r="Q519" s="6">
        <f t="shared" si="121"/>
        <v>-8.4464661217531489E-4</v>
      </c>
      <c r="R519" s="21">
        <v>45650</v>
      </c>
      <c r="S519" s="1">
        <v>7.04</v>
      </c>
      <c r="T519" s="1">
        <v>6.5937000000000001</v>
      </c>
      <c r="U519" s="6">
        <f t="shared" si="117"/>
        <v>-1.4084507042253502E-3</v>
      </c>
      <c r="V519" s="21">
        <v>45650</v>
      </c>
      <c r="W519" s="1">
        <v>6.15</v>
      </c>
      <c r="X519" s="1">
        <v>5.7750000000000004</v>
      </c>
      <c r="Y519" s="6">
        <f t="shared" si="119"/>
        <v>0</v>
      </c>
      <c r="Z519" s="21">
        <v>45650</v>
      </c>
      <c r="AA519" s="1">
        <v>2.15</v>
      </c>
      <c r="AB519" s="1">
        <v>2.15</v>
      </c>
      <c r="AC519" s="6">
        <f t="shared" si="122"/>
        <v>0</v>
      </c>
      <c r="AD519" s="21">
        <v>45650</v>
      </c>
      <c r="AE519" s="1">
        <v>8.75</v>
      </c>
      <c r="AF519" s="1">
        <v>8.5076000000000001</v>
      </c>
      <c r="AG519" s="6">
        <f t="shared" si="123"/>
        <v>0</v>
      </c>
      <c r="AH519" s="21">
        <v>45650</v>
      </c>
      <c r="AI519" s="1">
        <v>10.09</v>
      </c>
      <c r="AJ519" s="1">
        <v>9.7670999999999992</v>
      </c>
      <c r="AK519" s="6">
        <f t="shared" si="124"/>
        <v>-9.9214466901242915E-4</v>
      </c>
      <c r="AL519" s="21">
        <v>45650</v>
      </c>
      <c r="AM519" s="1">
        <v>1.58</v>
      </c>
      <c r="AN519" s="1">
        <v>1.58</v>
      </c>
      <c r="AO519" s="6">
        <v>0</v>
      </c>
      <c r="AP519" s="21" t="s">
        <v>522</v>
      </c>
      <c r="AQ519" s="1">
        <v>9884.51</v>
      </c>
      <c r="AR519" s="6">
        <v>-3.721611336352515E-4</v>
      </c>
    </row>
    <row r="520" spans="2:44" x14ac:dyDescent="0.35">
      <c r="B520" s="21">
        <v>45651</v>
      </c>
      <c r="C520" s="1">
        <v>0.64</v>
      </c>
      <c r="D520" s="1">
        <v>0.64</v>
      </c>
      <c r="E520" s="6">
        <f t="shared" si="118"/>
        <v>0</v>
      </c>
      <c r="F520" s="21">
        <v>45651</v>
      </c>
      <c r="G520" s="1">
        <v>13.66</v>
      </c>
      <c r="H520" s="1">
        <v>12.7475</v>
      </c>
      <c r="I520" s="6">
        <f t="shared" si="125"/>
        <v>1.1850899334825638E-2</v>
      </c>
      <c r="J520" s="21">
        <v>45651</v>
      </c>
      <c r="K520" s="1">
        <v>50.6</v>
      </c>
      <c r="L520" s="1">
        <v>36.721699999999998</v>
      </c>
      <c r="M520" s="6">
        <f t="shared" si="120"/>
        <v>0</v>
      </c>
      <c r="N520" s="21">
        <v>45651</v>
      </c>
      <c r="O520" s="1">
        <v>11.88</v>
      </c>
      <c r="P520" s="1">
        <v>11.3466</v>
      </c>
      <c r="Q520" s="6">
        <f t="shared" si="121"/>
        <v>-8.3655480314537289E-4</v>
      </c>
      <c r="R520" s="21">
        <v>45651</v>
      </c>
      <c r="S520" s="1">
        <v>6.97</v>
      </c>
      <c r="T520" s="1">
        <v>6.5281000000000002</v>
      </c>
      <c r="U520" s="6">
        <f t="shared" si="117"/>
        <v>-9.9488906077013217E-3</v>
      </c>
      <c r="V520" s="21">
        <v>45651</v>
      </c>
      <c r="W520" s="1">
        <v>6.15</v>
      </c>
      <c r="X520" s="1">
        <v>5.7750000000000004</v>
      </c>
      <c r="Y520" s="6">
        <f t="shared" si="119"/>
        <v>0</v>
      </c>
      <c r="Z520" s="21">
        <v>45651</v>
      </c>
      <c r="AA520" s="1">
        <v>2.15</v>
      </c>
      <c r="AB520" s="1">
        <v>2.15</v>
      </c>
      <c r="AC520" s="6">
        <f t="shared" si="122"/>
        <v>0</v>
      </c>
      <c r="AD520" s="21">
        <v>45651</v>
      </c>
      <c r="AE520" s="1">
        <v>8.75</v>
      </c>
      <c r="AF520" s="1">
        <v>8.5076000000000001</v>
      </c>
      <c r="AG520" s="6">
        <f t="shared" si="123"/>
        <v>0</v>
      </c>
      <c r="AH520" s="21">
        <v>45651</v>
      </c>
      <c r="AI520" s="1">
        <v>10.09</v>
      </c>
      <c r="AJ520" s="1">
        <v>9.7670999999999992</v>
      </c>
      <c r="AK520" s="6">
        <f t="shared" si="124"/>
        <v>0</v>
      </c>
      <c r="AL520" s="21">
        <v>45651</v>
      </c>
      <c r="AM520" s="1">
        <v>1.58</v>
      </c>
      <c r="AN520" s="1">
        <v>1.58</v>
      </c>
      <c r="AO520" s="6">
        <v>0</v>
      </c>
      <c r="AP520" s="21" t="s">
        <v>523</v>
      </c>
      <c r="AQ520" s="1">
        <v>9897.51</v>
      </c>
      <c r="AR520" s="6">
        <v>1.3151891191369725E-3</v>
      </c>
    </row>
    <row r="521" spans="2:44" x14ac:dyDescent="0.35">
      <c r="B521" s="21">
        <v>45652</v>
      </c>
      <c r="C521" s="1">
        <v>0.63</v>
      </c>
      <c r="D521" s="1">
        <v>0.63</v>
      </c>
      <c r="E521" s="6">
        <f t="shared" si="118"/>
        <v>-1.5625E-2</v>
      </c>
      <c r="F521" s="21">
        <v>45652</v>
      </c>
      <c r="G521" s="1">
        <v>13.65</v>
      </c>
      <c r="H521" s="1">
        <v>12.738200000000001</v>
      </c>
      <c r="I521" s="6">
        <f t="shared" si="125"/>
        <v>-7.2955481466951966E-4</v>
      </c>
      <c r="J521" s="21">
        <v>45652</v>
      </c>
      <c r="K521" s="1">
        <v>50.9</v>
      </c>
      <c r="L521" s="1">
        <v>36.939500000000002</v>
      </c>
      <c r="M521" s="6">
        <f t="shared" si="120"/>
        <v>5.9310979611510994E-3</v>
      </c>
      <c r="N521" s="21">
        <v>45652</v>
      </c>
      <c r="O521" s="1">
        <v>11.9</v>
      </c>
      <c r="P521" s="1">
        <v>11.3657</v>
      </c>
      <c r="Q521" s="6">
        <f t="shared" si="121"/>
        <v>1.6833236387991946E-3</v>
      </c>
      <c r="R521" s="21">
        <v>45652</v>
      </c>
      <c r="S521" s="1">
        <v>7.12</v>
      </c>
      <c r="T521" s="1">
        <v>6.6685999999999996</v>
      </c>
      <c r="U521" s="6">
        <f t="shared" ref="U521:U584" si="126">(T521/T520)-1</f>
        <v>2.1522341875890305E-2</v>
      </c>
      <c r="V521" s="21">
        <v>45652</v>
      </c>
      <c r="W521" s="1">
        <v>6.15</v>
      </c>
      <c r="X521" s="1">
        <v>5.7750000000000004</v>
      </c>
      <c r="Y521" s="6">
        <f t="shared" si="119"/>
        <v>0</v>
      </c>
      <c r="Z521" s="21">
        <v>45652</v>
      </c>
      <c r="AA521" s="1">
        <v>2.16</v>
      </c>
      <c r="AB521" s="1">
        <v>2.16</v>
      </c>
      <c r="AC521" s="6">
        <f t="shared" si="122"/>
        <v>4.6511627906977715E-3</v>
      </c>
      <c r="AD521" s="21">
        <v>45652</v>
      </c>
      <c r="AE521" s="1">
        <v>8.73</v>
      </c>
      <c r="AF521" s="1">
        <v>8.4882000000000009</v>
      </c>
      <c r="AG521" s="6">
        <f t="shared" si="123"/>
        <v>-2.2803140721237014E-3</v>
      </c>
      <c r="AH521" s="21">
        <v>45652</v>
      </c>
      <c r="AI521" s="1">
        <v>10.09</v>
      </c>
      <c r="AJ521" s="1">
        <v>9.7670999999999992</v>
      </c>
      <c r="AK521" s="6">
        <f t="shared" si="124"/>
        <v>0</v>
      </c>
      <c r="AL521" s="21">
        <v>45652</v>
      </c>
      <c r="AM521" s="1">
        <v>1.51</v>
      </c>
      <c r="AN521" s="1">
        <v>1.51</v>
      </c>
      <c r="AO521" s="6">
        <v>-4.4303797468354444E-2</v>
      </c>
      <c r="AP521" s="21" t="s">
        <v>524</v>
      </c>
      <c r="AQ521" s="1">
        <v>9899.4699999999993</v>
      </c>
      <c r="AR521" s="6">
        <v>1.980296054260311E-4</v>
      </c>
    </row>
    <row r="522" spans="2:44" x14ac:dyDescent="0.35">
      <c r="B522" s="21">
        <v>45653</v>
      </c>
      <c r="C522" s="1">
        <v>0.63</v>
      </c>
      <c r="D522" s="1">
        <v>0.63</v>
      </c>
      <c r="E522" s="6">
        <f t="shared" si="118"/>
        <v>0</v>
      </c>
      <c r="F522" s="21">
        <v>45653</v>
      </c>
      <c r="G522" s="1">
        <v>13.5</v>
      </c>
      <c r="H522" s="1">
        <v>12.5982</v>
      </c>
      <c r="I522" s="6">
        <f t="shared" si="125"/>
        <v>-1.0990563815923782E-2</v>
      </c>
      <c r="J522" s="21">
        <v>45653</v>
      </c>
      <c r="K522" s="1">
        <v>50.8</v>
      </c>
      <c r="L522" s="1">
        <v>36.866900000000001</v>
      </c>
      <c r="M522" s="6">
        <f t="shared" si="120"/>
        <v>-1.9653758172146762E-3</v>
      </c>
      <c r="N522" s="21">
        <v>45653</v>
      </c>
      <c r="O522" s="1">
        <v>11.83</v>
      </c>
      <c r="P522" s="1">
        <v>11.2988</v>
      </c>
      <c r="Q522" s="6">
        <f t="shared" si="121"/>
        <v>-5.8861310785961463E-3</v>
      </c>
      <c r="R522" s="21">
        <v>45653</v>
      </c>
      <c r="S522" s="1">
        <v>7.1</v>
      </c>
      <c r="T522" s="1">
        <v>6.6498999999999997</v>
      </c>
      <c r="U522" s="6">
        <f t="shared" si="126"/>
        <v>-2.8041867858320524E-3</v>
      </c>
      <c r="V522" s="21">
        <v>45653</v>
      </c>
      <c r="W522" s="1">
        <v>6.09</v>
      </c>
      <c r="X522" s="1">
        <v>5.718</v>
      </c>
      <c r="Y522" s="6">
        <f t="shared" si="119"/>
        <v>-9.8701298701299178E-3</v>
      </c>
      <c r="Z522" s="21">
        <v>45653</v>
      </c>
      <c r="AA522" s="1">
        <v>2.15</v>
      </c>
      <c r="AB522" s="1">
        <v>2.15</v>
      </c>
      <c r="AC522" s="6">
        <f t="shared" si="122"/>
        <v>-4.6296296296297612E-3</v>
      </c>
      <c r="AD522" s="21">
        <v>45653</v>
      </c>
      <c r="AE522" s="1">
        <v>8.7200000000000006</v>
      </c>
      <c r="AF522" s="1">
        <v>8.4785000000000004</v>
      </c>
      <c r="AG522" s="6">
        <f t="shared" si="123"/>
        <v>-1.1427628943710966E-3</v>
      </c>
      <c r="AH522" s="21">
        <v>45653</v>
      </c>
      <c r="AI522" s="1">
        <v>10.050000000000001</v>
      </c>
      <c r="AJ522" s="1">
        <v>9.7284000000000006</v>
      </c>
      <c r="AK522" s="6">
        <f t="shared" si="124"/>
        <v>-3.9622815369965148E-3</v>
      </c>
      <c r="AL522" s="21">
        <v>45653</v>
      </c>
      <c r="AM522" s="1">
        <v>1.51</v>
      </c>
      <c r="AN522" s="1">
        <v>1.51</v>
      </c>
      <c r="AO522" s="6">
        <v>0</v>
      </c>
      <c r="AP522" s="21" t="s">
        <v>525</v>
      </c>
      <c r="AQ522" s="1">
        <v>9886.98</v>
      </c>
      <c r="AR522" s="6">
        <v>-1.2616837062994213E-3</v>
      </c>
    </row>
    <row r="523" spans="2:44" x14ac:dyDescent="0.35">
      <c r="B523" s="21">
        <v>45656</v>
      </c>
      <c r="C523" s="1">
        <v>0.62</v>
      </c>
      <c r="D523" s="1">
        <v>0.62</v>
      </c>
      <c r="E523" s="6">
        <f t="shared" si="118"/>
        <v>-1.5873015873015928E-2</v>
      </c>
      <c r="F523" s="21">
        <v>45656</v>
      </c>
      <c r="G523" s="1">
        <v>13.65</v>
      </c>
      <c r="H523" s="1">
        <v>12.738200000000001</v>
      </c>
      <c r="I523" s="6">
        <f t="shared" si="125"/>
        <v>1.1112698639488272E-2</v>
      </c>
      <c r="J523" s="21">
        <v>45656</v>
      </c>
      <c r="K523" s="1">
        <v>50.9</v>
      </c>
      <c r="L523" s="1">
        <v>36.939500000000002</v>
      </c>
      <c r="M523" s="6">
        <f t="shared" si="120"/>
        <v>1.9692461259286365E-3</v>
      </c>
      <c r="N523" s="21">
        <v>45656</v>
      </c>
      <c r="O523" s="1">
        <v>11.72</v>
      </c>
      <c r="P523" s="1">
        <v>11.1938</v>
      </c>
      <c r="Q523" s="6">
        <f t="shared" si="121"/>
        <v>-9.2930222678514474E-3</v>
      </c>
      <c r="R523" s="21">
        <v>45656</v>
      </c>
      <c r="S523" s="1">
        <v>7.1</v>
      </c>
      <c r="T523" s="1">
        <v>6.6498999999999997</v>
      </c>
      <c r="U523" s="6">
        <f t="shared" si="126"/>
        <v>0</v>
      </c>
      <c r="V523" s="21">
        <v>45656</v>
      </c>
      <c r="W523" s="1">
        <v>6.07</v>
      </c>
      <c r="X523" s="1">
        <v>5.7</v>
      </c>
      <c r="Y523" s="6">
        <f t="shared" si="119"/>
        <v>-3.1479538300104304E-3</v>
      </c>
      <c r="Z523" s="21">
        <v>45656</v>
      </c>
      <c r="AA523" s="1">
        <v>2.12</v>
      </c>
      <c r="AB523" s="1">
        <v>2.12</v>
      </c>
      <c r="AC523" s="6">
        <f t="shared" si="122"/>
        <v>-1.3953488372092981E-2</v>
      </c>
      <c r="AD523" s="21">
        <v>45656</v>
      </c>
      <c r="AE523" s="1">
        <v>8.6999999999999993</v>
      </c>
      <c r="AF523" s="1">
        <v>8.4589999999999996</v>
      </c>
      <c r="AG523" s="6">
        <f t="shared" si="123"/>
        <v>-2.2999351300349025E-3</v>
      </c>
      <c r="AH523" s="21">
        <v>45656</v>
      </c>
      <c r="AI523" s="1">
        <v>10.1</v>
      </c>
      <c r="AJ523" s="1">
        <v>9.7767999999999997</v>
      </c>
      <c r="AK523" s="6">
        <f t="shared" si="124"/>
        <v>4.9751243781093191E-3</v>
      </c>
      <c r="AL523" s="21">
        <v>45656</v>
      </c>
      <c r="AM523" s="1">
        <v>1.56</v>
      </c>
      <c r="AN523" s="1">
        <v>1.56</v>
      </c>
      <c r="AO523" s="6">
        <v>3.3112582781456901E-2</v>
      </c>
      <c r="AP523" s="21" t="s">
        <v>526</v>
      </c>
      <c r="AQ523" s="1">
        <v>9890.11</v>
      </c>
      <c r="AR523" s="6">
        <v>3.1657796415096584E-4</v>
      </c>
    </row>
    <row r="524" spans="2:44" x14ac:dyDescent="0.35">
      <c r="B524" s="21">
        <v>45657</v>
      </c>
      <c r="C524" s="1">
        <v>0.64</v>
      </c>
      <c r="D524" s="1">
        <v>0.64</v>
      </c>
      <c r="E524" s="6">
        <f t="shared" si="118"/>
        <v>3.2258064516129004E-2</v>
      </c>
      <c r="F524" s="21">
        <v>45657</v>
      </c>
      <c r="G524" s="1">
        <v>13.65</v>
      </c>
      <c r="H524" s="1">
        <v>12.738200000000001</v>
      </c>
      <c r="I524" s="6">
        <f t="shared" si="125"/>
        <v>0</v>
      </c>
      <c r="J524" s="21">
        <v>45657</v>
      </c>
      <c r="K524" s="1">
        <v>51.5</v>
      </c>
      <c r="L524" s="1">
        <v>37.374899999999997</v>
      </c>
      <c r="M524" s="6">
        <f t="shared" si="120"/>
        <v>1.1786840644838037E-2</v>
      </c>
      <c r="N524" s="21">
        <v>45657</v>
      </c>
      <c r="O524" s="1">
        <v>11.8</v>
      </c>
      <c r="P524" s="1">
        <v>11.270200000000001</v>
      </c>
      <c r="Q524" s="6">
        <f t="shared" si="121"/>
        <v>6.8252068109133646E-3</v>
      </c>
      <c r="R524" s="21">
        <v>45657</v>
      </c>
      <c r="S524" s="1">
        <v>7.13</v>
      </c>
      <c r="T524" s="1">
        <v>6.6779999999999999</v>
      </c>
      <c r="U524" s="6">
        <f t="shared" si="126"/>
        <v>4.2256274530443338E-3</v>
      </c>
      <c r="V524" s="21">
        <v>45657</v>
      </c>
      <c r="W524" s="1">
        <v>6.19</v>
      </c>
      <c r="X524" s="1">
        <v>5.8120000000000003</v>
      </c>
      <c r="Y524" s="6">
        <f t="shared" si="119"/>
        <v>1.9649122807017472E-2</v>
      </c>
      <c r="Z524" s="21">
        <v>45657</v>
      </c>
      <c r="AA524" s="1">
        <v>2.19</v>
      </c>
      <c r="AB524" s="1">
        <v>2.19</v>
      </c>
      <c r="AC524" s="6">
        <f t="shared" si="122"/>
        <v>3.3018867924528239E-2</v>
      </c>
      <c r="AD524" s="21">
        <v>45657</v>
      </c>
      <c r="AE524" s="1">
        <v>8.68</v>
      </c>
      <c r="AF524" s="1">
        <v>8.4396000000000004</v>
      </c>
      <c r="AG524" s="6">
        <f t="shared" si="123"/>
        <v>-2.2934152973164146E-3</v>
      </c>
      <c r="AH524" s="21">
        <v>45657</v>
      </c>
      <c r="AI524" s="1">
        <v>10.220000000000001</v>
      </c>
      <c r="AJ524" s="1">
        <v>9.8930000000000007</v>
      </c>
      <c r="AK524" s="6">
        <f t="shared" si="124"/>
        <v>1.1885279437034768E-2</v>
      </c>
      <c r="AL524" s="21">
        <v>45657</v>
      </c>
      <c r="AM524" s="1">
        <v>1.56</v>
      </c>
      <c r="AN524" s="1">
        <v>1.56</v>
      </c>
      <c r="AO524" s="6">
        <v>0</v>
      </c>
      <c r="AP524" s="21" t="s">
        <v>527</v>
      </c>
      <c r="AQ524" s="1">
        <v>9953.7099999999991</v>
      </c>
      <c r="AR524" s="6">
        <v>6.4306665952147402E-3</v>
      </c>
    </row>
    <row r="525" spans="2:44" x14ac:dyDescent="0.35">
      <c r="B525" s="21">
        <v>45659</v>
      </c>
      <c r="C525" s="1">
        <v>0.65</v>
      </c>
      <c r="D525" s="1">
        <v>0.65</v>
      </c>
      <c r="E525" s="6">
        <f t="shared" si="118"/>
        <v>1.5625E-2</v>
      </c>
      <c r="F525" s="21">
        <v>45659</v>
      </c>
      <c r="G525" s="1">
        <v>13.65</v>
      </c>
      <c r="H525" s="1">
        <v>12.738200000000001</v>
      </c>
      <c r="I525" s="6">
        <f t="shared" si="125"/>
        <v>0</v>
      </c>
      <c r="J525" s="21">
        <v>45659</v>
      </c>
      <c r="K525" s="1">
        <v>51.4</v>
      </c>
      <c r="L525" s="1">
        <v>37.302300000000002</v>
      </c>
      <c r="M525" s="6">
        <f t="shared" si="120"/>
        <v>-1.9424801136590508E-3</v>
      </c>
      <c r="N525" s="21">
        <v>45659</v>
      </c>
      <c r="O525" s="1">
        <v>11.6</v>
      </c>
      <c r="P525" s="1">
        <v>11.0792</v>
      </c>
      <c r="Q525" s="6">
        <f t="shared" si="121"/>
        <v>-1.6947347873152219E-2</v>
      </c>
      <c r="R525" s="21">
        <v>45659</v>
      </c>
      <c r="S525" s="1">
        <v>6.99</v>
      </c>
      <c r="T525" s="1">
        <v>6.5468000000000002</v>
      </c>
      <c r="U525" s="6">
        <f t="shared" si="126"/>
        <v>-1.9646600778676193E-2</v>
      </c>
      <c r="V525" s="21">
        <v>45659</v>
      </c>
      <c r="W525" s="1">
        <v>6.19</v>
      </c>
      <c r="X525" s="1">
        <v>5.8120000000000003</v>
      </c>
      <c r="Y525" s="6">
        <f t="shared" si="119"/>
        <v>0</v>
      </c>
      <c r="Z525" s="21">
        <v>45659</v>
      </c>
      <c r="AA525" s="1">
        <v>2.15</v>
      </c>
      <c r="AB525" s="1">
        <v>2.15</v>
      </c>
      <c r="AC525" s="6">
        <f t="shared" si="122"/>
        <v>-1.8264840182648401E-2</v>
      </c>
      <c r="AD525" s="21">
        <v>45659</v>
      </c>
      <c r="AE525" s="1">
        <v>8.61</v>
      </c>
      <c r="AF525" s="1">
        <v>8.3714999999999993</v>
      </c>
      <c r="AG525" s="6">
        <f t="shared" si="123"/>
        <v>-8.069102801080752E-3</v>
      </c>
      <c r="AH525" s="21">
        <v>45659</v>
      </c>
      <c r="AI525" s="1">
        <v>10.14</v>
      </c>
      <c r="AJ525" s="1">
        <v>9.8155000000000001</v>
      </c>
      <c r="AK525" s="6">
        <f t="shared" si="124"/>
        <v>-7.8338218942687332E-3</v>
      </c>
      <c r="AL525" s="21">
        <v>45659</v>
      </c>
      <c r="AM525" s="1">
        <v>1.49</v>
      </c>
      <c r="AN525" s="1">
        <v>1.49</v>
      </c>
      <c r="AO525" s="6">
        <v>-4.4871794871794934E-2</v>
      </c>
      <c r="AP525" s="21" t="s">
        <v>528</v>
      </c>
      <c r="AQ525" s="1">
        <v>9905.32</v>
      </c>
      <c r="AR525" s="6">
        <v>-4.8615039015602601E-3</v>
      </c>
    </row>
    <row r="526" spans="2:44" x14ac:dyDescent="0.35">
      <c r="B526" s="21">
        <v>45660</v>
      </c>
      <c r="C526" s="1">
        <v>0.65</v>
      </c>
      <c r="D526" s="1">
        <v>0.65</v>
      </c>
      <c r="E526" s="6">
        <f t="shared" si="118"/>
        <v>0</v>
      </c>
      <c r="F526" s="21">
        <v>45660</v>
      </c>
      <c r="G526" s="1">
        <v>13.62</v>
      </c>
      <c r="H526" s="1">
        <v>12.7102</v>
      </c>
      <c r="I526" s="6">
        <f t="shared" si="125"/>
        <v>-2.198112763184823E-3</v>
      </c>
      <c r="J526" s="21">
        <v>45660</v>
      </c>
      <c r="K526" s="1">
        <v>51.9</v>
      </c>
      <c r="L526" s="1">
        <v>37.665199999999999</v>
      </c>
      <c r="M526" s="6">
        <f t="shared" si="120"/>
        <v>9.7286226318482605E-3</v>
      </c>
      <c r="N526" s="21">
        <v>45660</v>
      </c>
      <c r="O526" s="1">
        <v>11.55</v>
      </c>
      <c r="P526" s="1">
        <v>11.0314</v>
      </c>
      <c r="Q526" s="6">
        <f t="shared" si="121"/>
        <v>-4.3143909307531425E-3</v>
      </c>
      <c r="R526" s="21">
        <v>45660</v>
      </c>
      <c r="S526" s="1">
        <v>7.05</v>
      </c>
      <c r="T526" s="1">
        <v>6.6029999999999998</v>
      </c>
      <c r="U526" s="6">
        <f t="shared" si="126"/>
        <v>8.5843465509867212E-3</v>
      </c>
      <c r="V526" s="21">
        <v>45660</v>
      </c>
      <c r="W526" s="1">
        <v>6.18</v>
      </c>
      <c r="X526" s="1">
        <v>5.8029999999999999</v>
      </c>
      <c r="Y526" s="6">
        <f t="shared" si="119"/>
        <v>-1.5485203028218208E-3</v>
      </c>
      <c r="Z526" s="21">
        <v>45660</v>
      </c>
      <c r="AA526" s="1">
        <v>2.15</v>
      </c>
      <c r="AB526" s="1">
        <v>2.15</v>
      </c>
      <c r="AC526" s="6">
        <f t="shared" si="122"/>
        <v>0</v>
      </c>
      <c r="AD526" s="21">
        <v>45660</v>
      </c>
      <c r="AE526" s="1">
        <v>8.5399999999999991</v>
      </c>
      <c r="AF526" s="1">
        <v>8.3033999999999999</v>
      </c>
      <c r="AG526" s="6">
        <f t="shared" si="123"/>
        <v>-8.1347428776203934E-3</v>
      </c>
      <c r="AH526" s="21">
        <v>45660</v>
      </c>
      <c r="AI526" s="1">
        <v>10.08</v>
      </c>
      <c r="AJ526" s="1">
        <v>9.7574000000000005</v>
      </c>
      <c r="AK526" s="6">
        <f t="shared" si="124"/>
        <v>-5.9192094136824025E-3</v>
      </c>
      <c r="AL526" s="21">
        <v>45660</v>
      </c>
      <c r="AM526" s="1">
        <v>1.53</v>
      </c>
      <c r="AN526" s="1">
        <v>1.53</v>
      </c>
      <c r="AO526" s="6">
        <v>2.6845637583892579E-2</v>
      </c>
      <c r="AP526" s="21" t="s">
        <v>529</v>
      </c>
      <c r="AQ526" s="1">
        <v>9893.27</v>
      </c>
      <c r="AR526" s="6">
        <v>-1.2165179923515623E-3</v>
      </c>
    </row>
    <row r="527" spans="2:44" x14ac:dyDescent="0.35">
      <c r="B527" s="21">
        <v>45663</v>
      </c>
      <c r="C527" s="1">
        <v>0.65</v>
      </c>
      <c r="D527" s="1">
        <v>0.65</v>
      </c>
      <c r="E527" s="6">
        <f t="shared" si="118"/>
        <v>0</v>
      </c>
      <c r="F527" s="21">
        <v>45663</v>
      </c>
      <c r="G527" s="1">
        <v>13.41</v>
      </c>
      <c r="H527" s="1">
        <v>12.514200000000001</v>
      </c>
      <c r="I527" s="6">
        <f t="shared" si="125"/>
        <v>-1.5420685748454011E-2</v>
      </c>
      <c r="J527" s="21">
        <v>45663</v>
      </c>
      <c r="K527" s="1">
        <v>52.85</v>
      </c>
      <c r="L527" s="1">
        <v>38.354599999999998</v>
      </c>
      <c r="M527" s="6">
        <f t="shared" si="120"/>
        <v>1.8303367564754813E-2</v>
      </c>
      <c r="N527" s="21">
        <v>45663</v>
      </c>
      <c r="O527" s="1">
        <v>11.4</v>
      </c>
      <c r="P527" s="1">
        <v>10.8881</v>
      </c>
      <c r="Q527" s="6">
        <f t="shared" si="121"/>
        <v>-1.2990191634787984E-2</v>
      </c>
      <c r="R527" s="21">
        <v>45663</v>
      </c>
      <c r="S527" s="1">
        <v>6.93</v>
      </c>
      <c r="T527" s="1">
        <v>6.4905999999999997</v>
      </c>
      <c r="U527" s="6">
        <f t="shared" si="126"/>
        <v>-1.7022565500530051E-2</v>
      </c>
      <c r="V527" s="21">
        <v>45663</v>
      </c>
      <c r="W527" s="1">
        <v>6.18</v>
      </c>
      <c r="X527" s="1">
        <v>5.8029999999999999</v>
      </c>
      <c r="Y527" s="6">
        <f t="shared" si="119"/>
        <v>0</v>
      </c>
      <c r="Z527" s="21">
        <v>45663</v>
      </c>
      <c r="AA527" s="1">
        <v>2.17</v>
      </c>
      <c r="AB527" s="1">
        <v>2.17</v>
      </c>
      <c r="AC527" s="6">
        <f t="shared" si="122"/>
        <v>9.302325581395321E-3</v>
      </c>
      <c r="AD527" s="21">
        <v>45663</v>
      </c>
      <c r="AE527" s="1">
        <v>8.73</v>
      </c>
      <c r="AF527" s="1">
        <v>8.4882000000000009</v>
      </c>
      <c r="AG527" s="6">
        <f t="shared" si="123"/>
        <v>2.2255943348507889E-2</v>
      </c>
      <c r="AH527" s="21">
        <v>45663</v>
      </c>
      <c r="AI527" s="1">
        <v>10.1</v>
      </c>
      <c r="AJ527" s="1">
        <v>9.7767999999999997</v>
      </c>
      <c r="AK527" s="6">
        <f t="shared" si="124"/>
        <v>1.9882345706847548E-3</v>
      </c>
      <c r="AL527" s="21">
        <v>45663</v>
      </c>
      <c r="AM527" s="1">
        <v>1.47</v>
      </c>
      <c r="AN527" s="1">
        <v>1.47</v>
      </c>
      <c r="AO527" s="6">
        <v>-3.9215686274509887E-2</v>
      </c>
      <c r="AP527" s="21" t="s">
        <v>530</v>
      </c>
      <c r="AQ527" s="1">
        <v>9903.9</v>
      </c>
      <c r="AR527" s="6">
        <v>1.0744677947736037E-3</v>
      </c>
    </row>
    <row r="528" spans="2:44" x14ac:dyDescent="0.35">
      <c r="B528" s="21">
        <v>45664</v>
      </c>
      <c r="C528" s="1">
        <v>0.63</v>
      </c>
      <c r="D528" s="1">
        <v>0.63</v>
      </c>
      <c r="E528" s="6">
        <f t="shared" si="118"/>
        <v>-3.0769230769230771E-2</v>
      </c>
      <c r="F528" s="21">
        <v>45664</v>
      </c>
      <c r="G528" s="1">
        <v>13.4</v>
      </c>
      <c r="H528" s="1">
        <v>12.504899999999999</v>
      </c>
      <c r="I528" s="6">
        <f t="shared" si="125"/>
        <v>-7.4315577503969443E-4</v>
      </c>
      <c r="J528" s="21">
        <v>45664</v>
      </c>
      <c r="K528" s="1">
        <v>52.6</v>
      </c>
      <c r="L528" s="1">
        <v>38.173200000000001</v>
      </c>
      <c r="M528" s="6">
        <f t="shared" si="120"/>
        <v>-4.7295500409336722E-3</v>
      </c>
      <c r="N528" s="21">
        <v>45664</v>
      </c>
      <c r="O528" s="1">
        <v>11.25</v>
      </c>
      <c r="P528" s="1">
        <v>10.744899999999999</v>
      </c>
      <c r="Q528" s="6">
        <f t="shared" si="121"/>
        <v>-1.3151973255205229E-2</v>
      </c>
      <c r="R528" s="21">
        <v>45664</v>
      </c>
      <c r="S528" s="1">
        <v>6.93</v>
      </c>
      <c r="T528" s="1">
        <v>6.4905999999999997</v>
      </c>
      <c r="U528" s="6">
        <f t="shared" si="126"/>
        <v>0</v>
      </c>
      <c r="V528" s="21">
        <v>45664</v>
      </c>
      <c r="W528" s="1">
        <v>6.18</v>
      </c>
      <c r="X528" s="1">
        <v>5.8029999999999999</v>
      </c>
      <c r="Y528" s="6">
        <f t="shared" si="119"/>
        <v>0</v>
      </c>
      <c r="Z528" s="21">
        <v>45664</v>
      </c>
      <c r="AA528" s="1">
        <v>2.16</v>
      </c>
      <c r="AB528" s="1">
        <v>2.16</v>
      </c>
      <c r="AC528" s="6">
        <f t="shared" si="122"/>
        <v>-4.6082949308754451E-3</v>
      </c>
      <c r="AD528" s="21">
        <v>45664</v>
      </c>
      <c r="AE528" s="1">
        <v>8.6999999999999993</v>
      </c>
      <c r="AF528" s="1">
        <v>8.4589999999999996</v>
      </c>
      <c r="AG528" s="6">
        <f t="shared" si="123"/>
        <v>-3.4400697438798922E-3</v>
      </c>
      <c r="AH528" s="21">
        <v>45664</v>
      </c>
      <c r="AI528" s="1">
        <v>10.08</v>
      </c>
      <c r="AJ528" s="1">
        <v>9.7574000000000005</v>
      </c>
      <c r="AK528" s="6">
        <f t="shared" si="124"/>
        <v>-1.9842893380246363E-3</v>
      </c>
      <c r="AL528" s="21">
        <v>45664</v>
      </c>
      <c r="AM528" s="1">
        <v>1.53</v>
      </c>
      <c r="AN528" s="1">
        <v>1.53</v>
      </c>
      <c r="AO528" s="6">
        <v>4.081632653061229E-2</v>
      </c>
      <c r="AP528" s="21" t="s">
        <v>531</v>
      </c>
      <c r="AQ528" s="1">
        <v>9858.69</v>
      </c>
      <c r="AR528" s="6">
        <v>-4.564868385181553E-3</v>
      </c>
    </row>
    <row r="529" spans="2:44" x14ac:dyDescent="0.35">
      <c r="B529" s="21">
        <v>45665</v>
      </c>
      <c r="C529" s="1">
        <v>0.63</v>
      </c>
      <c r="D529" s="1">
        <v>0.63</v>
      </c>
      <c r="E529" s="6">
        <f t="shared" ref="E529:E592" si="127">(D529/D528)-1</f>
        <v>0</v>
      </c>
      <c r="F529" s="21">
        <v>45665</v>
      </c>
      <c r="G529" s="1">
        <v>13.3</v>
      </c>
      <c r="H529" s="1">
        <v>12.4116</v>
      </c>
      <c r="I529" s="6">
        <f t="shared" si="125"/>
        <v>-7.4610752584985951E-3</v>
      </c>
      <c r="J529" s="21">
        <v>45665</v>
      </c>
      <c r="K529" s="1">
        <v>52.59</v>
      </c>
      <c r="L529" s="1">
        <v>38.165900000000001</v>
      </c>
      <c r="M529" s="6">
        <f t="shared" si="120"/>
        <v>-1.9123364035500412E-4</v>
      </c>
      <c r="N529" s="21">
        <v>45665</v>
      </c>
      <c r="O529" s="1">
        <v>11.25</v>
      </c>
      <c r="P529" s="1">
        <v>10.744899999999999</v>
      </c>
      <c r="Q529" s="6">
        <f t="shared" si="121"/>
        <v>0</v>
      </c>
      <c r="R529" s="21">
        <v>45665</v>
      </c>
      <c r="S529" s="1">
        <v>6.95</v>
      </c>
      <c r="T529" s="1">
        <v>6.5094000000000003</v>
      </c>
      <c r="U529" s="6">
        <f t="shared" si="126"/>
        <v>2.8964964718207753E-3</v>
      </c>
      <c r="V529" s="21">
        <v>45665</v>
      </c>
      <c r="W529" s="1">
        <v>6.17</v>
      </c>
      <c r="X529" s="1">
        <v>5.7939999999999996</v>
      </c>
      <c r="Y529" s="6">
        <f t="shared" si="119"/>
        <v>-1.5509219369291838E-3</v>
      </c>
      <c r="Z529" s="21">
        <v>45665</v>
      </c>
      <c r="AA529" s="1">
        <v>2.14</v>
      </c>
      <c r="AB529" s="1">
        <v>2.14</v>
      </c>
      <c r="AC529" s="6">
        <f t="shared" si="122"/>
        <v>-9.2592592592593004E-3</v>
      </c>
      <c r="AD529" s="21">
        <v>45665</v>
      </c>
      <c r="AE529" s="1">
        <v>8.67</v>
      </c>
      <c r="AF529" s="1">
        <v>8.4298000000000002</v>
      </c>
      <c r="AG529" s="6">
        <f t="shared" si="123"/>
        <v>-3.4519446743113136E-3</v>
      </c>
      <c r="AH529" s="21">
        <v>45665</v>
      </c>
      <c r="AI529" s="1">
        <v>10.07</v>
      </c>
      <c r="AJ529" s="1">
        <v>9.7477999999999998</v>
      </c>
      <c r="AK529" s="6">
        <f t="shared" si="124"/>
        <v>-9.8386865353483621E-4</v>
      </c>
      <c r="AL529" s="21">
        <v>45665</v>
      </c>
      <c r="AM529" s="1">
        <v>1.47</v>
      </c>
      <c r="AN529" s="1">
        <v>1.47</v>
      </c>
      <c r="AO529" s="6">
        <v>-3.9215686274509887E-2</v>
      </c>
      <c r="AP529" s="21" t="s">
        <v>532</v>
      </c>
      <c r="AQ529" s="1">
        <v>9852.65</v>
      </c>
      <c r="AR529" s="6">
        <v>-6.1265746260419363E-4</v>
      </c>
    </row>
    <row r="530" spans="2:44" x14ac:dyDescent="0.35">
      <c r="B530" s="21">
        <v>45666</v>
      </c>
      <c r="C530" s="1">
        <v>0.65</v>
      </c>
      <c r="D530" s="1">
        <v>0.65</v>
      </c>
      <c r="E530" s="6">
        <f t="shared" si="127"/>
        <v>3.1746031746031855E-2</v>
      </c>
      <c r="F530" s="21">
        <v>45666</v>
      </c>
      <c r="G530" s="1">
        <v>13.3</v>
      </c>
      <c r="H530" s="1">
        <v>12.4116</v>
      </c>
      <c r="I530" s="6">
        <f t="shared" si="125"/>
        <v>0</v>
      </c>
      <c r="J530" s="21">
        <v>45666</v>
      </c>
      <c r="K530" s="1">
        <v>52.5</v>
      </c>
      <c r="L530" s="1">
        <v>38.1006</v>
      </c>
      <c r="M530" s="6">
        <f t="shared" si="120"/>
        <v>-1.7109513990237746E-3</v>
      </c>
      <c r="N530" s="21">
        <v>45666</v>
      </c>
      <c r="O530" s="1">
        <v>11.3</v>
      </c>
      <c r="P530" s="1">
        <v>10.7926</v>
      </c>
      <c r="Q530" s="6">
        <f t="shared" si="121"/>
        <v>4.4393153961415077E-3</v>
      </c>
      <c r="R530" s="21">
        <v>45666</v>
      </c>
      <c r="S530" s="1">
        <v>6.88</v>
      </c>
      <c r="T530" s="1">
        <v>6.4438000000000004</v>
      </c>
      <c r="U530" s="6">
        <f t="shared" si="126"/>
        <v>-1.0077733738900641E-2</v>
      </c>
      <c r="V530" s="21">
        <v>45666</v>
      </c>
      <c r="W530" s="1">
        <v>6.17</v>
      </c>
      <c r="X530" s="1">
        <v>5.7939999999999996</v>
      </c>
      <c r="Y530" s="6">
        <f t="shared" si="119"/>
        <v>0</v>
      </c>
      <c r="Z530" s="21">
        <v>45666</v>
      </c>
      <c r="AA530" s="1">
        <v>2.17</v>
      </c>
      <c r="AB530" s="1">
        <v>2.17</v>
      </c>
      <c r="AC530" s="6">
        <f t="shared" si="122"/>
        <v>1.4018691588784993E-2</v>
      </c>
      <c r="AD530" s="21">
        <v>45666</v>
      </c>
      <c r="AE530" s="1">
        <v>8.68</v>
      </c>
      <c r="AF530" s="1">
        <v>8.4396000000000004</v>
      </c>
      <c r="AG530" s="6">
        <f t="shared" si="123"/>
        <v>1.1625424090726533E-3</v>
      </c>
      <c r="AH530" s="21">
        <v>45666</v>
      </c>
      <c r="AI530" s="1">
        <v>10.050000000000001</v>
      </c>
      <c r="AJ530" s="1">
        <v>9.7284000000000006</v>
      </c>
      <c r="AK530" s="6">
        <f t="shared" si="124"/>
        <v>-1.9901926588562491E-3</v>
      </c>
      <c r="AL530" s="21">
        <v>45666</v>
      </c>
      <c r="AM530" s="1">
        <v>1.41</v>
      </c>
      <c r="AN530" s="1">
        <v>1.41</v>
      </c>
      <c r="AO530" s="6">
        <v>-4.081632653061229E-2</v>
      </c>
      <c r="AP530" s="21" t="s">
        <v>533</v>
      </c>
      <c r="AQ530" s="1">
        <v>9880.66</v>
      </c>
      <c r="AR530" s="6">
        <v>2.8428899839130217E-3</v>
      </c>
    </row>
    <row r="531" spans="2:44" x14ac:dyDescent="0.35">
      <c r="B531" s="21">
        <v>45667</v>
      </c>
      <c r="C531" s="1">
        <v>0.65</v>
      </c>
      <c r="D531" s="1">
        <v>0.65</v>
      </c>
      <c r="E531" s="6">
        <f t="shared" si="127"/>
        <v>0</v>
      </c>
      <c r="F531" s="21">
        <v>45667</v>
      </c>
      <c r="G531" s="1">
        <v>13.2</v>
      </c>
      <c r="H531" s="1">
        <v>12.318199999999999</v>
      </c>
      <c r="I531" s="6">
        <f t="shared" si="125"/>
        <v>-7.5252183441297804E-3</v>
      </c>
      <c r="J531" s="21">
        <v>45667</v>
      </c>
      <c r="K531" s="1">
        <v>53</v>
      </c>
      <c r="L531" s="1">
        <v>38.463500000000003</v>
      </c>
      <c r="M531" s="6">
        <f t="shared" si="120"/>
        <v>9.5247843865977622E-3</v>
      </c>
      <c r="N531" s="21">
        <v>45667</v>
      </c>
      <c r="O531" s="1">
        <v>11.44</v>
      </c>
      <c r="P531" s="1">
        <v>10.926299999999999</v>
      </c>
      <c r="Q531" s="6">
        <f t="shared" si="121"/>
        <v>1.2388117784407848E-2</v>
      </c>
      <c r="R531" s="21">
        <v>45667</v>
      </c>
      <c r="S531" s="1">
        <v>7</v>
      </c>
      <c r="T531" s="1">
        <v>6.5561999999999996</v>
      </c>
      <c r="U531" s="6">
        <f t="shared" si="126"/>
        <v>1.7443123622707057E-2</v>
      </c>
      <c r="V531" s="21">
        <v>45667</v>
      </c>
      <c r="W531" s="1">
        <v>6.16</v>
      </c>
      <c r="X531" s="1">
        <v>5.7839999999999998</v>
      </c>
      <c r="Y531" s="6">
        <f t="shared" si="119"/>
        <v>-1.7259233690023468E-3</v>
      </c>
      <c r="Z531" s="21">
        <v>45667</v>
      </c>
      <c r="AA531" s="1">
        <v>2.2200000000000002</v>
      </c>
      <c r="AB531" s="1">
        <v>2.2200000000000002</v>
      </c>
      <c r="AC531" s="6">
        <f t="shared" si="122"/>
        <v>2.3041474654378113E-2</v>
      </c>
      <c r="AD531" s="21">
        <v>45667</v>
      </c>
      <c r="AE531" s="1">
        <v>8.66</v>
      </c>
      <c r="AF531" s="1">
        <v>8.4200999999999997</v>
      </c>
      <c r="AG531" s="6">
        <f t="shared" si="123"/>
        <v>-2.3105360443623768E-3</v>
      </c>
      <c r="AH531" s="21">
        <v>45667</v>
      </c>
      <c r="AI531" s="1">
        <v>10.039999999999999</v>
      </c>
      <c r="AJ531" s="1">
        <v>9.7187000000000001</v>
      </c>
      <c r="AK531" s="6">
        <f t="shared" si="124"/>
        <v>-9.9708071214177352E-4</v>
      </c>
      <c r="AL531" s="21">
        <v>45667</v>
      </c>
      <c r="AM531" s="1">
        <v>1.47</v>
      </c>
      <c r="AN531" s="1">
        <v>1.47</v>
      </c>
      <c r="AO531" s="6">
        <v>4.2553191489361764E-2</v>
      </c>
      <c r="AP531" s="21" t="s">
        <v>534</v>
      </c>
      <c r="AQ531" s="1">
        <v>9924.49</v>
      </c>
      <c r="AR531" s="6">
        <v>4.4359384899388399E-3</v>
      </c>
    </row>
    <row r="532" spans="2:44" x14ac:dyDescent="0.35">
      <c r="B532" s="21">
        <v>45670</v>
      </c>
      <c r="C532" s="1">
        <v>0.65</v>
      </c>
      <c r="D532" s="1">
        <v>0.65</v>
      </c>
      <c r="E532" s="6">
        <f t="shared" si="127"/>
        <v>0</v>
      </c>
      <c r="F532" s="21">
        <v>45670</v>
      </c>
      <c r="G532" s="1">
        <v>13.15</v>
      </c>
      <c r="H532" s="1">
        <v>12.271599999999999</v>
      </c>
      <c r="I532" s="6">
        <f t="shared" si="125"/>
        <v>-3.7830202464645968E-3</v>
      </c>
      <c r="J532" s="21">
        <v>45670</v>
      </c>
      <c r="K532" s="1">
        <v>53.3</v>
      </c>
      <c r="L532" s="1">
        <v>38.681199999999997</v>
      </c>
      <c r="M532" s="6">
        <f t="shared" si="120"/>
        <v>5.6599113445212623E-3</v>
      </c>
      <c r="N532" s="21">
        <v>45670</v>
      </c>
      <c r="O532" s="1">
        <v>11.56</v>
      </c>
      <c r="P532" s="1">
        <v>11.041</v>
      </c>
      <c r="Q532" s="6">
        <f t="shared" si="121"/>
        <v>1.0497606692109862E-2</v>
      </c>
      <c r="R532" s="21">
        <v>45670</v>
      </c>
      <c r="S532" s="1">
        <v>6.94</v>
      </c>
      <c r="T532" s="1">
        <v>6.5</v>
      </c>
      <c r="U532" s="6">
        <f t="shared" si="126"/>
        <v>-8.5720386809431393E-3</v>
      </c>
      <c r="V532" s="21">
        <v>45670</v>
      </c>
      <c r="W532" s="1">
        <v>6.16</v>
      </c>
      <c r="X532" s="1">
        <v>5.7839999999999998</v>
      </c>
      <c r="Y532" s="6">
        <f t="shared" si="119"/>
        <v>0</v>
      </c>
      <c r="Z532" s="21">
        <v>45670</v>
      </c>
      <c r="AA532" s="1">
        <v>2.2599999999999998</v>
      </c>
      <c r="AB532" s="1">
        <v>2.2599999999999998</v>
      </c>
      <c r="AC532" s="6">
        <f t="shared" si="122"/>
        <v>1.8018018018017834E-2</v>
      </c>
      <c r="AD532" s="21">
        <v>45670</v>
      </c>
      <c r="AE532" s="1">
        <v>8.52</v>
      </c>
      <c r="AF532" s="1">
        <v>8.2840000000000007</v>
      </c>
      <c r="AG532" s="6">
        <f t="shared" si="123"/>
        <v>-1.6163703518960459E-2</v>
      </c>
      <c r="AH532" s="21">
        <v>45670</v>
      </c>
      <c r="AI532" s="1">
        <v>10</v>
      </c>
      <c r="AJ532" s="1">
        <v>9.68</v>
      </c>
      <c r="AK532" s="6">
        <f t="shared" si="124"/>
        <v>-3.9820140553777916E-3</v>
      </c>
      <c r="AL532" s="21">
        <v>45670</v>
      </c>
      <c r="AM532" s="1">
        <v>1.47</v>
      </c>
      <c r="AN532" s="1">
        <v>1.47</v>
      </c>
      <c r="AO532" s="6">
        <v>0</v>
      </c>
      <c r="AP532" s="21" t="s">
        <v>535</v>
      </c>
      <c r="AQ532" s="1">
        <v>9928.4699999999993</v>
      </c>
      <c r="AR532" s="6">
        <v>4.0102816366371918E-4</v>
      </c>
    </row>
    <row r="533" spans="2:44" x14ac:dyDescent="0.35">
      <c r="B533" s="21">
        <v>45671</v>
      </c>
      <c r="C533" s="1">
        <v>0.64</v>
      </c>
      <c r="D533" s="1">
        <v>0.64</v>
      </c>
      <c r="E533" s="6">
        <f t="shared" si="127"/>
        <v>-1.5384615384615441E-2</v>
      </c>
      <c r="F533" s="21">
        <v>45671</v>
      </c>
      <c r="G533" s="1">
        <v>13.34</v>
      </c>
      <c r="H533" s="1">
        <v>12.4489</v>
      </c>
      <c r="I533" s="6">
        <f t="shared" si="125"/>
        <v>1.4447993741647513E-2</v>
      </c>
      <c r="J533" s="21">
        <v>45671</v>
      </c>
      <c r="K533" s="1">
        <v>54</v>
      </c>
      <c r="L533" s="1">
        <v>39.1892</v>
      </c>
      <c r="M533" s="6">
        <f t="shared" si="120"/>
        <v>1.3132994839870626E-2</v>
      </c>
      <c r="N533" s="21">
        <v>45671</v>
      </c>
      <c r="O533" s="1">
        <v>11.69</v>
      </c>
      <c r="P533" s="1">
        <v>11.165100000000001</v>
      </c>
      <c r="Q533" s="6">
        <f t="shared" si="121"/>
        <v>1.123992391993478E-2</v>
      </c>
      <c r="R533" s="21">
        <v>45671</v>
      </c>
      <c r="S533" s="1">
        <v>7</v>
      </c>
      <c r="T533" s="1">
        <v>6.5561999999999996</v>
      </c>
      <c r="U533" s="6">
        <f t="shared" si="126"/>
        <v>8.6461538461537479E-3</v>
      </c>
      <c r="V533" s="21">
        <v>45671</v>
      </c>
      <c r="W533" s="1">
        <v>6.13</v>
      </c>
      <c r="X533" s="1">
        <v>5.7560000000000002</v>
      </c>
      <c r="Y533" s="6">
        <f t="shared" ref="Y533:Y596" si="128">(X533/X532)-1</f>
        <v>-4.8409405255878113E-3</v>
      </c>
      <c r="Z533" s="21">
        <v>45671</v>
      </c>
      <c r="AA533" s="1">
        <v>2.31</v>
      </c>
      <c r="AB533" s="1">
        <v>2.31</v>
      </c>
      <c r="AC533" s="6">
        <f t="shared" si="122"/>
        <v>2.212389380530988E-2</v>
      </c>
      <c r="AD533" s="21">
        <v>45671</v>
      </c>
      <c r="AE533" s="1">
        <v>8.6</v>
      </c>
      <c r="AF533" s="1">
        <v>8.3618000000000006</v>
      </c>
      <c r="AG533" s="6">
        <f t="shared" si="123"/>
        <v>9.3915982617092109E-3</v>
      </c>
      <c r="AH533" s="21">
        <v>45671</v>
      </c>
      <c r="AI533" s="1">
        <v>9.98</v>
      </c>
      <c r="AJ533" s="1">
        <v>9.6606000000000005</v>
      </c>
      <c r="AK533" s="6">
        <f t="shared" si="124"/>
        <v>-2.0041322314048315E-3</v>
      </c>
      <c r="AL533" s="21">
        <v>45671</v>
      </c>
      <c r="AM533" s="1">
        <v>1.41</v>
      </c>
      <c r="AN533" s="1">
        <v>1.41</v>
      </c>
      <c r="AO533" s="6">
        <v>-4.081632653061229E-2</v>
      </c>
      <c r="AP533" s="21" t="s">
        <v>536</v>
      </c>
      <c r="AQ533" s="1">
        <v>9989.0300000000007</v>
      </c>
      <c r="AR533" s="6">
        <v>6.099630658097599E-3</v>
      </c>
    </row>
    <row r="534" spans="2:44" x14ac:dyDescent="0.35">
      <c r="B534" s="21">
        <v>45672</v>
      </c>
      <c r="C534" s="1">
        <v>0.62</v>
      </c>
      <c r="D534" s="1">
        <v>0.62</v>
      </c>
      <c r="E534" s="6">
        <f t="shared" si="127"/>
        <v>-3.125E-2</v>
      </c>
      <c r="F534" s="21">
        <v>45672</v>
      </c>
      <c r="G534" s="1">
        <v>13.2</v>
      </c>
      <c r="H534" s="1">
        <v>12.318199999999999</v>
      </c>
      <c r="I534" s="6">
        <f t="shared" si="125"/>
        <v>-1.0498919583256439E-2</v>
      </c>
      <c r="J534" s="21">
        <v>45672</v>
      </c>
      <c r="K534" s="1">
        <v>55.98</v>
      </c>
      <c r="L534" s="1">
        <v>40.626100000000001</v>
      </c>
      <c r="M534" s="6">
        <f t="shared" si="120"/>
        <v>3.6665714023251361E-2</v>
      </c>
      <c r="N534" s="21">
        <v>45672</v>
      </c>
      <c r="O534" s="1">
        <v>11.7</v>
      </c>
      <c r="P534" s="1">
        <v>11.1747</v>
      </c>
      <c r="Q534" s="6">
        <f t="shared" si="121"/>
        <v>8.5982212429791538E-4</v>
      </c>
      <c r="R534" s="21">
        <v>45672</v>
      </c>
      <c r="S534" s="1">
        <v>7.05</v>
      </c>
      <c r="T534" s="1">
        <v>6.6029999999999998</v>
      </c>
      <c r="U534" s="6">
        <f t="shared" si="126"/>
        <v>7.1382813214972973E-3</v>
      </c>
      <c r="V534" s="21">
        <v>45672</v>
      </c>
      <c r="W534" s="1">
        <v>6.13</v>
      </c>
      <c r="X534" s="1">
        <v>5.7560000000000002</v>
      </c>
      <c r="Y534" s="6">
        <f t="shared" si="128"/>
        <v>0</v>
      </c>
      <c r="Z534" s="21">
        <v>45672</v>
      </c>
      <c r="AA534" s="1">
        <v>2.29</v>
      </c>
      <c r="AB534" s="1">
        <v>2.29</v>
      </c>
      <c r="AC534" s="6">
        <f t="shared" si="122"/>
        <v>-8.6580086580086979E-3</v>
      </c>
      <c r="AD534" s="21">
        <v>45672</v>
      </c>
      <c r="AE534" s="1">
        <v>8.89</v>
      </c>
      <c r="AF534" s="1">
        <v>8.6437000000000008</v>
      </c>
      <c r="AG534" s="6">
        <f t="shared" si="123"/>
        <v>3.3712836948982305E-2</v>
      </c>
      <c r="AH534" s="21">
        <v>45672</v>
      </c>
      <c r="AI534" s="1">
        <v>10.050000000000001</v>
      </c>
      <c r="AJ534" s="1">
        <v>9.7284000000000006</v>
      </c>
      <c r="AK534" s="6">
        <f t="shared" si="124"/>
        <v>7.0181976274765745E-3</v>
      </c>
      <c r="AL534" s="21">
        <v>45672</v>
      </c>
      <c r="AM534" s="1">
        <v>1.39</v>
      </c>
      <c r="AN534" s="1">
        <v>1.39</v>
      </c>
      <c r="AO534" s="6">
        <v>-1.4184397163120588E-2</v>
      </c>
      <c r="AP534" s="21" t="s">
        <v>537</v>
      </c>
      <c r="AQ534" s="1">
        <v>10099.59</v>
      </c>
      <c r="AR534" s="6">
        <v>1.1068141751501281E-2</v>
      </c>
    </row>
    <row r="535" spans="2:44" x14ac:dyDescent="0.35">
      <c r="B535" s="21">
        <v>45673</v>
      </c>
      <c r="C535" s="1">
        <v>0.6</v>
      </c>
      <c r="D535" s="1">
        <v>0.6</v>
      </c>
      <c r="E535" s="6">
        <f t="shared" si="127"/>
        <v>-3.2258064516129115E-2</v>
      </c>
      <c r="F535" s="21">
        <v>45673</v>
      </c>
      <c r="G535" s="1">
        <v>13.1</v>
      </c>
      <c r="H535" s="1">
        <v>12.2249</v>
      </c>
      <c r="I535" s="6">
        <f t="shared" si="125"/>
        <v>-7.5741585621275087E-3</v>
      </c>
      <c r="J535" s="21">
        <v>45673</v>
      </c>
      <c r="K535" s="1">
        <v>54.99</v>
      </c>
      <c r="L535" s="1">
        <v>39.907699999999998</v>
      </c>
      <c r="M535" s="6">
        <f t="shared" si="120"/>
        <v>-1.7683213500680695E-2</v>
      </c>
      <c r="N535" s="21">
        <v>45673</v>
      </c>
      <c r="O535" s="1">
        <v>11.66</v>
      </c>
      <c r="P535" s="1">
        <v>11.1365</v>
      </c>
      <c r="Q535" s="6">
        <f t="shared" si="121"/>
        <v>-3.4184362891173103E-3</v>
      </c>
      <c r="R535" s="21">
        <v>45673</v>
      </c>
      <c r="S535" s="1">
        <v>7.05</v>
      </c>
      <c r="T535" s="1">
        <v>6.6029999999999998</v>
      </c>
      <c r="U535" s="6">
        <f t="shared" si="126"/>
        <v>0</v>
      </c>
      <c r="V535" s="21">
        <v>45673</v>
      </c>
      <c r="W535" s="1">
        <v>6.1</v>
      </c>
      <c r="X535" s="1">
        <v>5.7279999999999998</v>
      </c>
      <c r="Y535" s="6">
        <f t="shared" si="128"/>
        <v>-4.8644892286310304E-3</v>
      </c>
      <c r="Z535" s="21">
        <v>45673</v>
      </c>
      <c r="AA535" s="1">
        <v>2.2599999999999998</v>
      </c>
      <c r="AB535" s="1">
        <v>2.2599999999999998</v>
      </c>
      <c r="AC535" s="6">
        <f t="shared" si="122"/>
        <v>-1.3100436681222849E-2</v>
      </c>
      <c r="AD535" s="21">
        <v>45673</v>
      </c>
      <c r="AE535" s="1">
        <v>8.89</v>
      </c>
      <c r="AF535" s="1">
        <v>8.6437000000000008</v>
      </c>
      <c r="AG535" s="6">
        <f t="shared" si="123"/>
        <v>0</v>
      </c>
      <c r="AH535" s="21">
        <v>45673</v>
      </c>
      <c r="AI535" s="1">
        <v>10.050000000000001</v>
      </c>
      <c r="AJ535" s="1">
        <v>9.7284000000000006</v>
      </c>
      <c r="AK535" s="6">
        <f t="shared" si="124"/>
        <v>0</v>
      </c>
      <c r="AL535" s="21">
        <v>45673</v>
      </c>
      <c r="AM535" s="1">
        <v>1.39</v>
      </c>
      <c r="AN535" s="1">
        <v>1.39</v>
      </c>
      <c r="AO535" s="6">
        <v>0</v>
      </c>
      <c r="AP535" s="21" t="s">
        <v>538</v>
      </c>
      <c r="AQ535" s="1">
        <v>10061.44</v>
      </c>
      <c r="AR535" s="6">
        <v>-3.7773810620034265E-3</v>
      </c>
    </row>
    <row r="536" spans="2:44" x14ac:dyDescent="0.35">
      <c r="B536" s="21">
        <v>45674</v>
      </c>
      <c r="C536" s="1">
        <v>0.61</v>
      </c>
      <c r="D536" s="1">
        <v>0.61</v>
      </c>
      <c r="E536" s="6">
        <f t="shared" si="127"/>
        <v>1.6666666666666607E-2</v>
      </c>
      <c r="F536" s="21">
        <v>45674</v>
      </c>
      <c r="G536" s="1">
        <v>13.1</v>
      </c>
      <c r="H536" s="1">
        <v>12.2249</v>
      </c>
      <c r="I536" s="6">
        <f t="shared" si="125"/>
        <v>0</v>
      </c>
      <c r="J536" s="21">
        <v>45674</v>
      </c>
      <c r="K536" s="1">
        <v>55.7</v>
      </c>
      <c r="L536" s="1">
        <v>40.422899999999998</v>
      </c>
      <c r="M536" s="6">
        <f t="shared" si="120"/>
        <v>1.2909789338899413E-2</v>
      </c>
      <c r="N536" s="21">
        <v>45674</v>
      </c>
      <c r="O536" s="1">
        <v>11.5</v>
      </c>
      <c r="P536" s="1">
        <v>10.983599999999999</v>
      </c>
      <c r="Q536" s="6">
        <f t="shared" si="121"/>
        <v>-1.372962780047593E-2</v>
      </c>
      <c r="R536" s="21">
        <v>45674</v>
      </c>
      <c r="S536" s="1">
        <v>6.98</v>
      </c>
      <c r="T536" s="1">
        <v>6.5374999999999996</v>
      </c>
      <c r="U536" s="6">
        <f t="shared" si="126"/>
        <v>-9.9197334544903759E-3</v>
      </c>
      <c r="V536" s="21">
        <v>45674</v>
      </c>
      <c r="W536" s="1">
        <v>6.1</v>
      </c>
      <c r="X536" s="1">
        <v>5.7279999999999998</v>
      </c>
      <c r="Y536" s="6">
        <f t="shared" si="128"/>
        <v>0</v>
      </c>
      <c r="Z536" s="21">
        <v>45674</v>
      </c>
      <c r="AA536" s="1">
        <v>2.25</v>
      </c>
      <c r="AB536" s="1">
        <v>2.25</v>
      </c>
      <c r="AC536" s="6">
        <f t="shared" si="122"/>
        <v>-4.4247787610618428E-3</v>
      </c>
      <c r="AD536" s="21">
        <v>45674</v>
      </c>
      <c r="AE536" s="1">
        <v>8.8800000000000008</v>
      </c>
      <c r="AF536" s="1">
        <v>8.6340000000000003</v>
      </c>
      <c r="AG536" s="6">
        <f t="shared" si="123"/>
        <v>-1.122204611451183E-3</v>
      </c>
      <c r="AH536" s="21">
        <v>45674</v>
      </c>
      <c r="AI536" s="1">
        <v>10.050000000000001</v>
      </c>
      <c r="AJ536" s="1">
        <v>9.7284000000000006</v>
      </c>
      <c r="AK536" s="6">
        <f t="shared" si="124"/>
        <v>0</v>
      </c>
      <c r="AL536" s="21">
        <v>45674</v>
      </c>
      <c r="AM536" s="1">
        <v>1.33</v>
      </c>
      <c r="AN536" s="1">
        <v>1.33</v>
      </c>
      <c r="AO536" s="6">
        <v>-4.3165467625899123E-2</v>
      </c>
      <c r="AP536" s="21" t="s">
        <v>539</v>
      </c>
      <c r="AQ536" s="1">
        <v>10085.5</v>
      </c>
      <c r="AR536" s="6">
        <v>2.391307804846976E-3</v>
      </c>
    </row>
    <row r="537" spans="2:44" x14ac:dyDescent="0.35">
      <c r="B537" s="21">
        <v>45677</v>
      </c>
      <c r="C537" s="1">
        <v>0.62</v>
      </c>
      <c r="D537" s="1">
        <v>0.62</v>
      </c>
      <c r="E537" s="6">
        <f t="shared" si="127"/>
        <v>1.6393442622950838E-2</v>
      </c>
      <c r="F537" s="21">
        <v>45677</v>
      </c>
      <c r="G537" s="1">
        <v>13.18</v>
      </c>
      <c r="H537" s="1">
        <v>12.2996</v>
      </c>
      <c r="I537" s="6">
        <f t="shared" si="125"/>
        <v>6.1104794313247002E-3</v>
      </c>
      <c r="J537" s="21">
        <v>45677</v>
      </c>
      <c r="K537" s="1">
        <v>55.69</v>
      </c>
      <c r="L537" s="1">
        <v>40.415700000000001</v>
      </c>
      <c r="M537" s="6">
        <f t="shared" si="120"/>
        <v>-1.7811685950286371E-4</v>
      </c>
      <c r="N537" s="21">
        <v>45677</v>
      </c>
      <c r="O537" s="1">
        <v>11.76</v>
      </c>
      <c r="P537" s="1">
        <v>11.231999999999999</v>
      </c>
      <c r="Q537" s="6">
        <f t="shared" si="121"/>
        <v>2.2615535889872085E-2</v>
      </c>
      <c r="R537" s="21">
        <v>45677</v>
      </c>
      <c r="S537" s="1">
        <v>6.98</v>
      </c>
      <c r="T537" s="1">
        <v>6.5374999999999996</v>
      </c>
      <c r="U537" s="6">
        <f t="shared" si="126"/>
        <v>0</v>
      </c>
      <c r="V537" s="21">
        <v>45677</v>
      </c>
      <c r="W537" s="1">
        <v>6.13</v>
      </c>
      <c r="X537" s="1">
        <v>5.7560000000000002</v>
      </c>
      <c r="Y537" s="6">
        <f t="shared" si="128"/>
        <v>4.8882681564246244E-3</v>
      </c>
      <c r="Z537" s="21">
        <v>45677</v>
      </c>
      <c r="AA537" s="1">
        <v>2.27</v>
      </c>
      <c r="AB537" s="1">
        <v>2.27</v>
      </c>
      <c r="AC537" s="6">
        <f t="shared" si="122"/>
        <v>8.8888888888889461E-3</v>
      </c>
      <c r="AD537" s="21">
        <v>45677</v>
      </c>
      <c r="AE537" s="1">
        <v>8.76</v>
      </c>
      <c r="AF537" s="1">
        <v>8.5173000000000005</v>
      </c>
      <c r="AG537" s="6">
        <f t="shared" si="123"/>
        <v>-1.3516330785267483E-2</v>
      </c>
      <c r="AH537" s="21">
        <v>45677</v>
      </c>
      <c r="AI537" s="1">
        <v>10.039999999999999</v>
      </c>
      <c r="AJ537" s="1">
        <v>9.7187000000000001</v>
      </c>
      <c r="AK537" s="6">
        <f t="shared" si="124"/>
        <v>-9.9708071214177352E-4</v>
      </c>
      <c r="AL537" s="21">
        <v>45677</v>
      </c>
      <c r="AM537" s="1">
        <v>1.33</v>
      </c>
      <c r="AN537" s="1">
        <v>1.33</v>
      </c>
      <c r="AO537" s="6">
        <v>0</v>
      </c>
      <c r="AP537" s="21" t="s">
        <v>540</v>
      </c>
      <c r="AQ537" s="1">
        <v>10080.98</v>
      </c>
      <c r="AR537" s="6">
        <v>-4.4816816221315836E-4</v>
      </c>
    </row>
    <row r="538" spans="2:44" x14ac:dyDescent="0.35">
      <c r="B538" s="21">
        <v>45678</v>
      </c>
      <c r="C538" s="1">
        <v>0.62</v>
      </c>
      <c r="D538" s="1">
        <v>0.62</v>
      </c>
      <c r="E538" s="6">
        <f t="shared" si="127"/>
        <v>0</v>
      </c>
      <c r="F538" s="21">
        <v>45678</v>
      </c>
      <c r="G538" s="1">
        <v>13.28</v>
      </c>
      <c r="H538" s="1">
        <v>12.392899999999999</v>
      </c>
      <c r="I538" s="6">
        <f t="shared" si="125"/>
        <v>7.5856125402451458E-3</v>
      </c>
      <c r="J538" s="21">
        <v>45678</v>
      </c>
      <c r="K538" s="1">
        <v>55.79</v>
      </c>
      <c r="L538" s="1">
        <v>40.488300000000002</v>
      </c>
      <c r="M538" s="6">
        <f t="shared" si="120"/>
        <v>1.7963316236018212E-3</v>
      </c>
      <c r="N538" s="21">
        <v>45678</v>
      </c>
      <c r="O538" s="1">
        <v>12</v>
      </c>
      <c r="P538" s="1">
        <v>11.4612</v>
      </c>
      <c r="Q538" s="6">
        <f t="shared" si="121"/>
        <v>2.0405982905983056E-2</v>
      </c>
      <c r="R538" s="21">
        <v>45678</v>
      </c>
      <c r="S538" s="1">
        <v>7.04</v>
      </c>
      <c r="T538" s="1">
        <v>6.5937000000000001</v>
      </c>
      <c r="U538" s="6">
        <f t="shared" si="126"/>
        <v>8.596558317399694E-3</v>
      </c>
      <c r="V538" s="21">
        <v>45678</v>
      </c>
      <c r="W538" s="1">
        <v>6.13</v>
      </c>
      <c r="X538" s="1">
        <v>5.7560000000000002</v>
      </c>
      <c r="Y538" s="6">
        <f t="shared" si="128"/>
        <v>0</v>
      </c>
      <c r="Z538" s="21">
        <v>45678</v>
      </c>
      <c r="AA538" s="1">
        <v>2.25</v>
      </c>
      <c r="AB538" s="1">
        <v>2.25</v>
      </c>
      <c r="AC538" s="6">
        <f t="shared" si="122"/>
        <v>-8.8105726872246271E-3</v>
      </c>
      <c r="AD538" s="21">
        <v>45678</v>
      </c>
      <c r="AE538" s="1">
        <v>8.58</v>
      </c>
      <c r="AF538" s="1">
        <v>8.3422999999999998</v>
      </c>
      <c r="AG538" s="6">
        <f t="shared" si="123"/>
        <v>-2.0546417291864905E-2</v>
      </c>
      <c r="AH538" s="21">
        <v>45678</v>
      </c>
      <c r="AI538" s="1">
        <v>9.9600000000000009</v>
      </c>
      <c r="AJ538" s="1">
        <v>9.6412999999999993</v>
      </c>
      <c r="AK538" s="6">
        <f t="shared" si="124"/>
        <v>-7.9640281107555833E-3</v>
      </c>
      <c r="AL538" s="21">
        <v>45678</v>
      </c>
      <c r="AM538" s="1">
        <v>1.34</v>
      </c>
      <c r="AN538" s="1">
        <v>1.34</v>
      </c>
      <c r="AO538" s="6">
        <v>7.5187969924812581E-3</v>
      </c>
      <c r="AP538" s="21" t="s">
        <v>541</v>
      </c>
      <c r="AQ538" s="1">
        <v>10065.780000000001</v>
      </c>
      <c r="AR538" s="6">
        <v>-1.5077899172499798E-3</v>
      </c>
    </row>
    <row r="539" spans="2:44" x14ac:dyDescent="0.35">
      <c r="B539" s="21">
        <v>45679</v>
      </c>
      <c r="C539" s="1">
        <v>0.62</v>
      </c>
      <c r="D539" s="1">
        <v>0.62</v>
      </c>
      <c r="E539" s="6">
        <f t="shared" si="127"/>
        <v>0</v>
      </c>
      <c r="F539" s="21">
        <v>45679</v>
      </c>
      <c r="G539" s="1">
        <v>13.7</v>
      </c>
      <c r="H539" s="1">
        <v>12.784800000000001</v>
      </c>
      <c r="I539" s="6">
        <f t="shared" si="125"/>
        <v>3.1622945396154289E-2</v>
      </c>
      <c r="J539" s="21">
        <v>45679</v>
      </c>
      <c r="K539" s="1">
        <v>57.75</v>
      </c>
      <c r="L539" s="1">
        <v>41.910699999999999</v>
      </c>
      <c r="M539" s="6">
        <f t="shared" si="120"/>
        <v>3.5131136649352968E-2</v>
      </c>
      <c r="N539" s="21">
        <v>45679</v>
      </c>
      <c r="O539" s="1">
        <v>12</v>
      </c>
      <c r="P539" s="1">
        <v>11.4612</v>
      </c>
      <c r="Q539" s="6">
        <f t="shared" si="121"/>
        <v>0</v>
      </c>
      <c r="R539" s="21">
        <v>45679</v>
      </c>
      <c r="S539" s="1">
        <v>7.17</v>
      </c>
      <c r="T539" s="1">
        <v>6.7153999999999998</v>
      </c>
      <c r="U539" s="6">
        <f t="shared" si="126"/>
        <v>1.8457011996299455E-2</v>
      </c>
      <c r="V539" s="21">
        <v>45679</v>
      </c>
      <c r="W539" s="1">
        <v>6.13</v>
      </c>
      <c r="X539" s="1">
        <v>5.7560000000000002</v>
      </c>
      <c r="Y539" s="6">
        <f t="shared" si="128"/>
        <v>0</v>
      </c>
      <c r="Z539" s="21">
        <v>45679</v>
      </c>
      <c r="AA539" s="1">
        <v>2.2400000000000002</v>
      </c>
      <c r="AB539" s="1">
        <v>2.2400000000000002</v>
      </c>
      <c r="AC539" s="6">
        <f t="shared" si="122"/>
        <v>-4.444444444444362E-3</v>
      </c>
      <c r="AD539" s="21">
        <v>45679</v>
      </c>
      <c r="AE539" s="1">
        <v>8.64</v>
      </c>
      <c r="AF539" s="1">
        <v>8.4007000000000005</v>
      </c>
      <c r="AG539" s="6">
        <f t="shared" si="123"/>
        <v>7.0004674969732505E-3</v>
      </c>
      <c r="AH539" s="21">
        <v>45679</v>
      </c>
      <c r="AI539" s="1">
        <v>10.02</v>
      </c>
      <c r="AJ539" s="1">
        <v>9.6994000000000007</v>
      </c>
      <c r="AK539" s="6">
        <f t="shared" si="124"/>
        <v>6.0261582981548933E-3</v>
      </c>
      <c r="AL539" s="21">
        <v>45679</v>
      </c>
      <c r="AM539" s="1">
        <v>1.4</v>
      </c>
      <c r="AN539" s="1">
        <v>1.4</v>
      </c>
      <c r="AO539" s="6">
        <v>4.4776119402984982E-2</v>
      </c>
      <c r="AP539" s="21" t="s">
        <v>542</v>
      </c>
      <c r="AQ539" s="1">
        <v>10111.43</v>
      </c>
      <c r="AR539" s="6">
        <v>4.5351676670859487E-3</v>
      </c>
    </row>
    <row r="540" spans="2:44" x14ac:dyDescent="0.35">
      <c r="B540" s="21">
        <v>45680</v>
      </c>
      <c r="C540" s="1">
        <v>0.62</v>
      </c>
      <c r="D540" s="1">
        <v>0.62</v>
      </c>
      <c r="E540" s="6">
        <f t="shared" si="127"/>
        <v>0</v>
      </c>
      <c r="F540" s="21">
        <v>45680</v>
      </c>
      <c r="G540" s="1">
        <v>13.81</v>
      </c>
      <c r="H540" s="1">
        <v>12.887499999999999</v>
      </c>
      <c r="I540" s="6">
        <f t="shared" si="125"/>
        <v>8.0329766597833085E-3</v>
      </c>
      <c r="J540" s="21">
        <v>45680</v>
      </c>
      <c r="K540" s="1">
        <v>59.94</v>
      </c>
      <c r="L540" s="1">
        <v>43.5</v>
      </c>
      <c r="M540" s="6">
        <f t="shared" si="120"/>
        <v>3.792110367996715E-2</v>
      </c>
      <c r="N540" s="21">
        <v>45680</v>
      </c>
      <c r="O540" s="1">
        <v>12.44</v>
      </c>
      <c r="P540" s="1">
        <v>11.881399999999999</v>
      </c>
      <c r="Q540" s="6">
        <f t="shared" si="121"/>
        <v>3.6662827627124583E-2</v>
      </c>
      <c r="R540" s="21">
        <v>45680</v>
      </c>
      <c r="S540" s="1">
        <v>7.09</v>
      </c>
      <c r="T540" s="1">
        <v>6.6405000000000003</v>
      </c>
      <c r="U540" s="6">
        <f t="shared" si="126"/>
        <v>-1.1153468147839241E-2</v>
      </c>
      <c r="V540" s="21">
        <v>45680</v>
      </c>
      <c r="W540" s="1">
        <v>6.12</v>
      </c>
      <c r="X540" s="1">
        <v>5.7469999999999999</v>
      </c>
      <c r="Y540" s="6">
        <f t="shared" si="128"/>
        <v>-1.5635858234885891E-3</v>
      </c>
      <c r="Z540" s="21">
        <v>45680</v>
      </c>
      <c r="AA540" s="1">
        <v>2.2400000000000002</v>
      </c>
      <c r="AB540" s="1">
        <v>2.2400000000000002</v>
      </c>
      <c r="AC540" s="6">
        <f t="shared" si="122"/>
        <v>0</v>
      </c>
      <c r="AD540" s="21">
        <v>45680</v>
      </c>
      <c r="AE540" s="1">
        <v>8.6</v>
      </c>
      <c r="AF540" s="1">
        <v>8.3618000000000006</v>
      </c>
      <c r="AG540" s="6">
        <f t="shared" si="123"/>
        <v>-4.6305665004107155E-3</v>
      </c>
      <c r="AH540" s="21">
        <v>45680</v>
      </c>
      <c r="AI540" s="1">
        <v>10</v>
      </c>
      <c r="AJ540" s="1">
        <v>9.68</v>
      </c>
      <c r="AK540" s="6">
        <f t="shared" si="124"/>
        <v>-2.0001237189930521E-3</v>
      </c>
      <c r="AL540" s="21">
        <v>45680</v>
      </c>
      <c r="AM540" s="1">
        <v>1.45</v>
      </c>
      <c r="AN540" s="1">
        <v>1.45</v>
      </c>
      <c r="AO540" s="6">
        <v>3.5714285714285809E-2</v>
      </c>
      <c r="AP540" s="21" t="s">
        <v>543</v>
      </c>
      <c r="AQ540" s="1">
        <v>10203.56</v>
      </c>
      <c r="AR540" s="6">
        <v>9.111470879984207E-3</v>
      </c>
    </row>
    <row r="541" spans="2:44" x14ac:dyDescent="0.35">
      <c r="B541" s="21">
        <v>45681</v>
      </c>
      <c r="C541" s="1">
        <v>0.6</v>
      </c>
      <c r="D541" s="1">
        <v>0.6</v>
      </c>
      <c r="E541" s="6">
        <f t="shared" si="127"/>
        <v>-3.2258064516129115E-2</v>
      </c>
      <c r="F541" s="21">
        <v>45681</v>
      </c>
      <c r="G541" s="1">
        <v>13.78</v>
      </c>
      <c r="H541" s="1">
        <v>12.859500000000001</v>
      </c>
      <c r="I541" s="6">
        <f t="shared" si="125"/>
        <v>-2.1726479146458866E-3</v>
      </c>
      <c r="J541" s="21">
        <v>45681</v>
      </c>
      <c r="K541" s="1">
        <v>60.2</v>
      </c>
      <c r="L541" s="1">
        <v>43.688699999999997</v>
      </c>
      <c r="M541" s="6">
        <f t="shared" si="120"/>
        <v>4.337931034482656E-3</v>
      </c>
      <c r="N541" s="21">
        <v>45681</v>
      </c>
      <c r="O541" s="1">
        <v>12.6</v>
      </c>
      <c r="P541" s="1">
        <v>12.0343</v>
      </c>
      <c r="Q541" s="6">
        <f t="shared" si="121"/>
        <v>1.2868853838773342E-2</v>
      </c>
      <c r="R541" s="21">
        <v>45681</v>
      </c>
      <c r="S541" s="1">
        <v>7.05</v>
      </c>
      <c r="T541" s="1">
        <v>6.6029999999999998</v>
      </c>
      <c r="U541" s="6">
        <f t="shared" si="126"/>
        <v>-5.6471651231082554E-3</v>
      </c>
      <c r="V541" s="21">
        <v>45681</v>
      </c>
      <c r="W541" s="1">
        <v>6.12</v>
      </c>
      <c r="X541" s="1">
        <v>5.7469999999999999</v>
      </c>
      <c r="Y541" s="6">
        <f t="shared" si="128"/>
        <v>0</v>
      </c>
      <c r="Z541" s="21">
        <v>45681</v>
      </c>
      <c r="AA541" s="1">
        <v>2.25</v>
      </c>
      <c r="AB541" s="1">
        <v>2.25</v>
      </c>
      <c r="AC541" s="6">
        <f t="shared" si="122"/>
        <v>4.4642857142855874E-3</v>
      </c>
      <c r="AD541" s="21">
        <v>45681</v>
      </c>
      <c r="AE541" s="1">
        <v>8.6</v>
      </c>
      <c r="AF541" s="1">
        <v>8.3618000000000006</v>
      </c>
      <c r="AG541" s="6">
        <f t="shared" si="123"/>
        <v>0</v>
      </c>
      <c r="AH541" s="21">
        <v>45681</v>
      </c>
      <c r="AI541" s="1">
        <v>10.050000000000001</v>
      </c>
      <c r="AJ541" s="1">
        <v>9.7284000000000006</v>
      </c>
      <c r="AK541" s="6">
        <f t="shared" si="124"/>
        <v>5.0000000000001155E-3</v>
      </c>
      <c r="AL541" s="21">
        <v>45681</v>
      </c>
      <c r="AM541" s="1">
        <v>1.51</v>
      </c>
      <c r="AN541" s="1">
        <v>1.51</v>
      </c>
      <c r="AO541" s="6">
        <v>4.1379310344827669E-2</v>
      </c>
      <c r="AP541" s="21" t="s">
        <v>544</v>
      </c>
      <c r="AQ541" s="1">
        <v>10247.379999999999</v>
      </c>
      <c r="AR541" s="6">
        <v>4.294579538905996E-3</v>
      </c>
    </row>
    <row r="542" spans="2:44" x14ac:dyDescent="0.35">
      <c r="B542" s="21">
        <v>45684</v>
      </c>
      <c r="C542" s="1">
        <v>0.6</v>
      </c>
      <c r="D542" s="1">
        <v>0.6</v>
      </c>
      <c r="E542" s="6">
        <f t="shared" si="127"/>
        <v>0</v>
      </c>
      <c r="F542" s="21">
        <v>45684</v>
      </c>
      <c r="G542" s="1">
        <v>13.61</v>
      </c>
      <c r="H542" s="1">
        <v>12.700900000000001</v>
      </c>
      <c r="I542" s="6">
        <f t="shared" si="125"/>
        <v>-1.2333294451572718E-2</v>
      </c>
      <c r="J542" s="21">
        <v>45684</v>
      </c>
      <c r="K542" s="1">
        <v>58.4</v>
      </c>
      <c r="L542" s="1">
        <v>42.382399999999997</v>
      </c>
      <c r="M542" s="6">
        <f t="shared" si="120"/>
        <v>-2.9900180138113575E-2</v>
      </c>
      <c r="N542" s="21">
        <v>45684</v>
      </c>
      <c r="O542" s="1">
        <v>12.52</v>
      </c>
      <c r="P542" s="1">
        <v>11.9579</v>
      </c>
      <c r="Q542" s="6">
        <f t="shared" si="121"/>
        <v>-6.3485204789642813E-3</v>
      </c>
      <c r="R542" s="21">
        <v>45684</v>
      </c>
      <c r="S542" s="1">
        <v>7.05</v>
      </c>
      <c r="T542" s="1">
        <v>6.6029999999999998</v>
      </c>
      <c r="U542" s="6">
        <f t="shared" si="126"/>
        <v>0</v>
      </c>
      <c r="V542" s="21">
        <v>45684</v>
      </c>
      <c r="W542" s="1">
        <v>6.19</v>
      </c>
      <c r="X542" s="1">
        <v>5.8120000000000003</v>
      </c>
      <c r="Y542" s="6">
        <f t="shared" si="128"/>
        <v>1.1310248825474156E-2</v>
      </c>
      <c r="Z542" s="21">
        <v>45684</v>
      </c>
      <c r="AA542" s="1">
        <v>2.2400000000000002</v>
      </c>
      <c r="AB542" s="1">
        <v>2.2400000000000002</v>
      </c>
      <c r="AC542" s="6">
        <f t="shared" si="122"/>
        <v>-4.444444444444362E-3</v>
      </c>
      <c r="AD542" s="21">
        <v>45684</v>
      </c>
      <c r="AE542" s="1">
        <v>8.5</v>
      </c>
      <c r="AF542" s="1">
        <v>8.2645999999999997</v>
      </c>
      <c r="AG542" s="6">
        <f t="shared" si="123"/>
        <v>-1.1624291420507693E-2</v>
      </c>
      <c r="AH542" s="21">
        <v>45684</v>
      </c>
      <c r="AI542" s="1">
        <v>10</v>
      </c>
      <c r="AJ542" s="1">
        <v>9.68</v>
      </c>
      <c r="AK542" s="6">
        <f t="shared" si="124"/>
        <v>-4.9751243781095411E-3</v>
      </c>
      <c r="AL542" s="21">
        <v>45684</v>
      </c>
      <c r="AM542" s="1">
        <v>1.48</v>
      </c>
      <c r="AN542" s="1">
        <v>1.48</v>
      </c>
      <c r="AO542" s="6">
        <v>-1.9867549668874163E-2</v>
      </c>
      <c r="AP542" s="21" t="s">
        <v>545</v>
      </c>
      <c r="AQ542" s="1">
        <v>10207.879999999999</v>
      </c>
      <c r="AR542" s="6">
        <v>-3.8546438211523038E-3</v>
      </c>
    </row>
    <row r="543" spans="2:44" x14ac:dyDescent="0.35">
      <c r="B543" s="21">
        <v>45685</v>
      </c>
      <c r="C543" s="1">
        <v>0.62</v>
      </c>
      <c r="D543" s="1">
        <v>0.62</v>
      </c>
      <c r="E543" s="6">
        <f t="shared" si="127"/>
        <v>3.3333333333333437E-2</v>
      </c>
      <c r="F543" s="21">
        <v>45685</v>
      </c>
      <c r="G543" s="1">
        <v>13.52</v>
      </c>
      <c r="H543" s="1">
        <v>12.616899999999999</v>
      </c>
      <c r="I543" s="6">
        <f t="shared" si="125"/>
        <v>-6.6137045406232664E-3</v>
      </c>
      <c r="J543" s="21">
        <v>45685</v>
      </c>
      <c r="K543" s="1">
        <v>58.29</v>
      </c>
      <c r="L543" s="1">
        <v>42.302599999999998</v>
      </c>
      <c r="M543" s="6">
        <f t="shared" si="120"/>
        <v>-1.8828570349955775E-3</v>
      </c>
      <c r="N543" s="21">
        <v>45685</v>
      </c>
      <c r="O543" s="1">
        <v>12.47</v>
      </c>
      <c r="P543" s="1">
        <v>11.9101</v>
      </c>
      <c r="Q543" s="6">
        <f t="shared" si="121"/>
        <v>-3.9973573955293107E-3</v>
      </c>
      <c r="R543" s="21">
        <v>45685</v>
      </c>
      <c r="S543" s="1">
        <v>6.96</v>
      </c>
      <c r="T543" s="1">
        <v>6.5186999999999999</v>
      </c>
      <c r="U543" s="6">
        <f t="shared" si="126"/>
        <v>-1.2766924125397483E-2</v>
      </c>
      <c r="V543" s="21">
        <v>45685</v>
      </c>
      <c r="W543" s="1">
        <v>6.19</v>
      </c>
      <c r="X543" s="1">
        <v>5.8120000000000003</v>
      </c>
      <c r="Y543" s="6">
        <f t="shared" si="128"/>
        <v>0</v>
      </c>
      <c r="Z543" s="21">
        <v>45685</v>
      </c>
      <c r="AA543" s="1">
        <v>2.2400000000000002</v>
      </c>
      <c r="AB543" s="1">
        <v>2.2400000000000002</v>
      </c>
      <c r="AC543" s="6">
        <f t="shared" si="122"/>
        <v>0</v>
      </c>
      <c r="AD543" s="21">
        <v>45685</v>
      </c>
      <c r="AE543" s="1">
        <v>8.5</v>
      </c>
      <c r="AF543" s="1">
        <v>8.2645999999999997</v>
      </c>
      <c r="AG543" s="6">
        <f t="shared" si="123"/>
        <v>0</v>
      </c>
      <c r="AH543" s="21">
        <v>45685</v>
      </c>
      <c r="AI543" s="1">
        <v>9.9600000000000009</v>
      </c>
      <c r="AJ543" s="1">
        <v>9.6412999999999993</v>
      </c>
      <c r="AK543" s="6">
        <f t="shared" si="124"/>
        <v>-3.9979338842975887E-3</v>
      </c>
      <c r="AL543" s="21">
        <v>45685</v>
      </c>
      <c r="AM543" s="1">
        <v>1.42</v>
      </c>
      <c r="AN543" s="1">
        <v>1.42</v>
      </c>
      <c r="AO543" s="6">
        <v>-4.0540540540540571E-2</v>
      </c>
      <c r="AP543" s="21" t="s">
        <v>546</v>
      </c>
      <c r="AQ543" s="1">
        <v>10190.36</v>
      </c>
      <c r="AR543" s="6">
        <v>-1.7163211166274506E-3</v>
      </c>
    </row>
    <row r="544" spans="2:44" x14ac:dyDescent="0.35">
      <c r="B544" s="21">
        <v>45686</v>
      </c>
      <c r="C544" s="1">
        <v>0.64</v>
      </c>
      <c r="D544" s="1">
        <v>0.64</v>
      </c>
      <c r="E544" s="6">
        <f t="shared" si="127"/>
        <v>3.2258064516129004E-2</v>
      </c>
      <c r="F544" s="21">
        <v>45686</v>
      </c>
      <c r="G544" s="1">
        <v>13.68</v>
      </c>
      <c r="H544" s="1">
        <v>12.7662</v>
      </c>
      <c r="I544" s="6">
        <f t="shared" si="125"/>
        <v>1.183333465431291E-2</v>
      </c>
      <c r="J544" s="21">
        <v>45686</v>
      </c>
      <c r="K544" s="1">
        <v>58.79</v>
      </c>
      <c r="L544" s="1">
        <v>42.665399999999998</v>
      </c>
      <c r="M544" s="6">
        <f t="shared" si="120"/>
        <v>8.5763050025293719E-3</v>
      </c>
      <c r="N544" s="21">
        <v>45686</v>
      </c>
      <c r="O544" s="1">
        <v>12.58</v>
      </c>
      <c r="P544" s="1">
        <v>12.0152</v>
      </c>
      <c r="Q544" s="6">
        <f t="shared" si="121"/>
        <v>8.8244431197050943E-3</v>
      </c>
      <c r="R544" s="21">
        <v>45686</v>
      </c>
      <c r="S544" s="1">
        <v>7.08</v>
      </c>
      <c r="T544" s="1">
        <v>6.6311</v>
      </c>
      <c r="U544" s="6">
        <f t="shared" si="126"/>
        <v>1.7242701765689539E-2</v>
      </c>
      <c r="V544" s="21">
        <v>45686</v>
      </c>
      <c r="W544" s="1">
        <v>6.19</v>
      </c>
      <c r="X544" s="1">
        <v>5.8120000000000003</v>
      </c>
      <c r="Y544" s="6">
        <f t="shared" si="128"/>
        <v>0</v>
      </c>
      <c r="Z544" s="21">
        <v>45686</v>
      </c>
      <c r="AA544" s="1">
        <v>2.23</v>
      </c>
      <c r="AB544" s="1">
        <v>2.23</v>
      </c>
      <c r="AC544" s="6">
        <f t="shared" si="122"/>
        <v>-4.4642857142858094E-3</v>
      </c>
      <c r="AD544" s="21">
        <v>45686</v>
      </c>
      <c r="AE544" s="1">
        <v>8.59</v>
      </c>
      <c r="AF544" s="1">
        <v>8.3521000000000001</v>
      </c>
      <c r="AG544" s="6">
        <f t="shared" si="123"/>
        <v>1.0587324250417529E-2</v>
      </c>
      <c r="AH544" s="21">
        <v>45686</v>
      </c>
      <c r="AI544" s="1">
        <v>9.99</v>
      </c>
      <c r="AJ544" s="1">
        <v>9.6702999999999992</v>
      </c>
      <c r="AK544" s="6">
        <f t="shared" si="124"/>
        <v>3.007893126445671E-3</v>
      </c>
      <c r="AL544" s="21">
        <v>45686</v>
      </c>
      <c r="AM544" s="1">
        <v>1.48</v>
      </c>
      <c r="AN544" s="1">
        <v>1.48</v>
      </c>
      <c r="AO544" s="6">
        <v>4.2253521126760507E-2</v>
      </c>
      <c r="AP544" s="21" t="s">
        <v>547</v>
      </c>
      <c r="AQ544" s="1">
        <v>10226.66</v>
      </c>
      <c r="AR544" s="6">
        <v>3.5621901483362528E-3</v>
      </c>
    </row>
    <row r="545" spans="2:44" x14ac:dyDescent="0.35">
      <c r="B545" s="21">
        <v>45687</v>
      </c>
      <c r="C545" s="1">
        <v>0.62</v>
      </c>
      <c r="D545" s="1">
        <v>0.62</v>
      </c>
      <c r="E545" s="6">
        <f t="shared" si="127"/>
        <v>-3.125E-2</v>
      </c>
      <c r="F545" s="21">
        <v>45687</v>
      </c>
      <c r="G545" s="1">
        <v>13.68</v>
      </c>
      <c r="H545" s="1">
        <v>12.7662</v>
      </c>
      <c r="I545" s="6">
        <f t="shared" si="125"/>
        <v>0</v>
      </c>
      <c r="J545" s="21">
        <v>45687</v>
      </c>
      <c r="K545" s="1">
        <v>58.7</v>
      </c>
      <c r="L545" s="1">
        <v>42.600099999999998</v>
      </c>
      <c r="M545" s="6">
        <f t="shared" si="120"/>
        <v>-1.5305141871398975E-3</v>
      </c>
      <c r="N545" s="21">
        <v>45687</v>
      </c>
      <c r="O545" s="1">
        <v>12.57</v>
      </c>
      <c r="P545" s="1">
        <v>12.005599999999999</v>
      </c>
      <c r="Q545" s="6">
        <f t="shared" si="121"/>
        <v>-7.9898794859845079E-4</v>
      </c>
      <c r="R545" s="21">
        <v>45687</v>
      </c>
      <c r="S545" s="1">
        <v>7</v>
      </c>
      <c r="T545" s="1">
        <v>6.5561999999999996</v>
      </c>
      <c r="U545" s="6">
        <f t="shared" si="126"/>
        <v>-1.1295260213237679E-2</v>
      </c>
      <c r="V545" s="21">
        <v>45687</v>
      </c>
      <c r="W545" s="1">
        <v>6.19</v>
      </c>
      <c r="X545" s="1">
        <v>5.8120000000000003</v>
      </c>
      <c r="Y545" s="6">
        <f t="shared" si="128"/>
        <v>0</v>
      </c>
      <c r="Z545" s="21">
        <v>45687</v>
      </c>
      <c r="AA545" s="1">
        <v>2.2400000000000002</v>
      </c>
      <c r="AB545" s="1">
        <v>2.2400000000000002</v>
      </c>
      <c r="AC545" s="6">
        <f t="shared" si="122"/>
        <v>4.484304932735439E-3</v>
      </c>
      <c r="AD545" s="21">
        <v>45687</v>
      </c>
      <c r="AE545" s="1">
        <v>8.5</v>
      </c>
      <c r="AF545" s="1">
        <v>8.2645999999999997</v>
      </c>
      <c r="AG545" s="6">
        <f t="shared" si="123"/>
        <v>-1.047640713114073E-2</v>
      </c>
      <c r="AH545" s="21">
        <v>45687</v>
      </c>
      <c r="AI545" s="1">
        <v>9.98</v>
      </c>
      <c r="AJ545" s="1">
        <v>9.6606000000000005</v>
      </c>
      <c r="AK545" s="6">
        <f t="shared" si="124"/>
        <v>-1.0030712594230051E-3</v>
      </c>
      <c r="AL545" s="21">
        <v>45687</v>
      </c>
      <c r="AM545" s="1">
        <v>1.53</v>
      </c>
      <c r="AN545" s="1">
        <v>1.53</v>
      </c>
      <c r="AO545" s="6">
        <v>3.3783783783783772E-2</v>
      </c>
      <c r="AP545" s="21" t="s">
        <v>548</v>
      </c>
      <c r="AQ545" s="1">
        <v>10232.67</v>
      </c>
      <c r="AR545" s="6">
        <v>5.8767965298556213E-4</v>
      </c>
    </row>
    <row r="546" spans="2:44" x14ac:dyDescent="0.35">
      <c r="B546" s="21">
        <v>45688</v>
      </c>
      <c r="C546" s="1">
        <v>0.6</v>
      </c>
      <c r="D546" s="1">
        <v>0.6</v>
      </c>
      <c r="E546" s="6">
        <f t="shared" si="127"/>
        <v>-3.2258064516129115E-2</v>
      </c>
      <c r="F546" s="21">
        <v>45688</v>
      </c>
      <c r="G546" s="1">
        <v>13.67</v>
      </c>
      <c r="H546" s="1">
        <v>12.7568</v>
      </c>
      <c r="I546" s="6">
        <f t="shared" si="125"/>
        <v>-7.3631934326578996E-4</v>
      </c>
      <c r="J546" s="21">
        <v>45688</v>
      </c>
      <c r="K546" s="1">
        <v>58.63</v>
      </c>
      <c r="L546" s="1">
        <v>42.549300000000002</v>
      </c>
      <c r="M546" s="6">
        <f t="shared" si="120"/>
        <v>-1.192485463649029E-3</v>
      </c>
      <c r="N546" s="21">
        <v>45688</v>
      </c>
      <c r="O546" s="1">
        <v>12.5</v>
      </c>
      <c r="P546" s="1">
        <v>11.938700000000001</v>
      </c>
      <c r="Q546" s="6">
        <f t="shared" si="121"/>
        <v>-5.5723995468780485E-3</v>
      </c>
      <c r="R546" s="21">
        <v>45688</v>
      </c>
      <c r="S546" s="1">
        <v>7</v>
      </c>
      <c r="T546" s="1">
        <v>6.5561999999999996</v>
      </c>
      <c r="U546" s="6">
        <f t="shared" si="126"/>
        <v>0</v>
      </c>
      <c r="V546" s="21">
        <v>45688</v>
      </c>
      <c r="W546" s="1">
        <v>6.12</v>
      </c>
      <c r="X546" s="1">
        <v>5.7469999999999999</v>
      </c>
      <c r="Y546" s="6">
        <f t="shared" si="128"/>
        <v>-1.1183757742601608E-2</v>
      </c>
      <c r="Z546" s="21">
        <v>45688</v>
      </c>
      <c r="AA546" s="1">
        <v>2.2400000000000002</v>
      </c>
      <c r="AB546" s="1">
        <v>2.2400000000000002</v>
      </c>
      <c r="AC546" s="6">
        <f t="shared" si="122"/>
        <v>0</v>
      </c>
      <c r="AD546" s="21">
        <v>45688</v>
      </c>
      <c r="AE546" s="1">
        <v>8.64</v>
      </c>
      <c r="AF546" s="1">
        <v>8.4007000000000005</v>
      </c>
      <c r="AG546" s="6">
        <f t="shared" si="123"/>
        <v>1.6467826634077865E-2</v>
      </c>
      <c r="AH546" s="21">
        <v>45688</v>
      </c>
      <c r="AI546" s="1">
        <v>9.91</v>
      </c>
      <c r="AJ546" s="1">
        <v>9.5929000000000002</v>
      </c>
      <c r="AK546" s="6">
        <f t="shared" si="124"/>
        <v>-7.0078463035422311E-3</v>
      </c>
      <c r="AL546" s="21">
        <v>45688</v>
      </c>
      <c r="AM546" s="1">
        <v>1.53</v>
      </c>
      <c r="AN546" s="1">
        <v>1.53</v>
      </c>
      <c r="AO546" s="6">
        <v>0</v>
      </c>
      <c r="AP546" s="21" t="s">
        <v>549</v>
      </c>
      <c r="AQ546" s="1">
        <v>10221.629999999999</v>
      </c>
      <c r="AR546" s="6">
        <v>-1.0788972966000454E-3</v>
      </c>
    </row>
    <row r="547" spans="2:44" x14ac:dyDescent="0.35">
      <c r="B547" s="21">
        <v>45691</v>
      </c>
      <c r="C547" s="1">
        <v>0.62</v>
      </c>
      <c r="D547" s="1">
        <v>0.62</v>
      </c>
      <c r="E547" s="6">
        <f t="shared" si="127"/>
        <v>3.3333333333333437E-2</v>
      </c>
      <c r="F547" s="21">
        <v>45691</v>
      </c>
      <c r="G547" s="1">
        <v>13.49</v>
      </c>
      <c r="H547" s="1">
        <v>12.588900000000001</v>
      </c>
      <c r="I547" s="6">
        <f t="shared" si="125"/>
        <v>-1.3161607926752805E-2</v>
      </c>
      <c r="J547" s="21">
        <v>45691</v>
      </c>
      <c r="K547" s="1">
        <v>58.58</v>
      </c>
      <c r="L547" s="1">
        <v>42.512999999999998</v>
      </c>
      <c r="M547" s="6">
        <f t="shared" si="120"/>
        <v>-8.5312801855741416E-4</v>
      </c>
      <c r="N547" s="21">
        <v>45691</v>
      </c>
      <c r="O547" s="1">
        <v>12.54</v>
      </c>
      <c r="P547" s="1">
        <v>11.977</v>
      </c>
      <c r="Q547" s="6">
        <f t="shared" si="121"/>
        <v>3.2080544782933096E-3</v>
      </c>
      <c r="R547" s="21">
        <v>45691</v>
      </c>
      <c r="S547" s="1">
        <v>7.05</v>
      </c>
      <c r="T547" s="1">
        <v>6.6029999999999998</v>
      </c>
      <c r="U547" s="6">
        <f t="shared" si="126"/>
        <v>7.1382813214972973E-3</v>
      </c>
      <c r="V547" s="21">
        <v>45691</v>
      </c>
      <c r="W547" s="1">
        <v>6.05</v>
      </c>
      <c r="X547" s="1">
        <v>5.681</v>
      </c>
      <c r="Y547" s="6">
        <f t="shared" si="128"/>
        <v>-1.1484252653558347E-2</v>
      </c>
      <c r="Z547" s="21">
        <v>45691</v>
      </c>
      <c r="AA547" s="1">
        <v>2.2599999999999998</v>
      </c>
      <c r="AB547" s="1">
        <v>2.2599999999999998</v>
      </c>
      <c r="AC547" s="6">
        <f t="shared" si="122"/>
        <v>8.9285714285711748E-3</v>
      </c>
      <c r="AD547" s="21">
        <v>45691</v>
      </c>
      <c r="AE547" s="1">
        <v>8.49</v>
      </c>
      <c r="AF547" s="1">
        <v>8.2547999999999995</v>
      </c>
      <c r="AG547" s="6">
        <f t="shared" si="123"/>
        <v>-1.7367600319021181E-2</v>
      </c>
      <c r="AH547" s="21">
        <v>45691</v>
      </c>
      <c r="AI547" s="1">
        <v>9.9</v>
      </c>
      <c r="AJ547" s="1">
        <v>9.5831999999999997</v>
      </c>
      <c r="AK547" s="6">
        <f t="shared" si="124"/>
        <v>-1.0111645070833841E-3</v>
      </c>
      <c r="AL547" s="21">
        <v>45691</v>
      </c>
      <c r="AM547" s="1">
        <v>1.53</v>
      </c>
      <c r="AN547" s="1">
        <v>1.53</v>
      </c>
      <c r="AO547" s="6">
        <v>0</v>
      </c>
      <c r="AP547" s="21" t="s">
        <v>550</v>
      </c>
      <c r="AQ547" s="1">
        <v>10200.040000000001</v>
      </c>
      <c r="AR547" s="6">
        <v>-2.1121875865197648E-3</v>
      </c>
    </row>
    <row r="548" spans="2:44" x14ac:dyDescent="0.35">
      <c r="B548" s="21">
        <v>45692</v>
      </c>
      <c r="C548" s="1">
        <v>0.6</v>
      </c>
      <c r="D548" s="1">
        <v>0.6</v>
      </c>
      <c r="E548" s="6">
        <f t="shared" si="127"/>
        <v>-3.2258064516129115E-2</v>
      </c>
      <c r="F548" s="21">
        <v>45692</v>
      </c>
      <c r="G548" s="1">
        <v>13.33</v>
      </c>
      <c r="H548" s="1">
        <v>12.4396</v>
      </c>
      <c r="I548" s="6">
        <f t="shared" si="125"/>
        <v>-1.1859654139758091E-2</v>
      </c>
      <c r="J548" s="21">
        <v>45692</v>
      </c>
      <c r="K548" s="1">
        <v>58.5</v>
      </c>
      <c r="L548" s="1">
        <v>42.454999999999998</v>
      </c>
      <c r="M548" s="6">
        <f t="shared" si="120"/>
        <v>-1.3642885705549279E-3</v>
      </c>
      <c r="N548" s="21">
        <v>45692</v>
      </c>
      <c r="O548" s="1">
        <v>12.55</v>
      </c>
      <c r="P548" s="1">
        <v>11.986499999999999</v>
      </c>
      <c r="Q548" s="6">
        <f t="shared" si="121"/>
        <v>7.9318694163799108E-4</v>
      </c>
      <c r="R548" s="21">
        <v>45692</v>
      </c>
      <c r="S548" s="1">
        <v>7.05</v>
      </c>
      <c r="T548" s="1">
        <v>6.6029999999999998</v>
      </c>
      <c r="U548" s="6">
        <f t="shared" si="126"/>
        <v>0</v>
      </c>
      <c r="V548" s="21">
        <v>45692</v>
      </c>
      <c r="W548" s="1">
        <v>6.09</v>
      </c>
      <c r="X548" s="1">
        <v>5.718</v>
      </c>
      <c r="Y548" s="6">
        <f t="shared" si="128"/>
        <v>6.5129378630521817E-3</v>
      </c>
      <c r="Z548" s="21">
        <v>45692</v>
      </c>
      <c r="AA548" s="1">
        <v>2.2599999999999998</v>
      </c>
      <c r="AB548" s="1">
        <v>2.2599999999999998</v>
      </c>
      <c r="AC548" s="6">
        <f t="shared" si="122"/>
        <v>0</v>
      </c>
      <c r="AD548" s="21">
        <v>45692</v>
      </c>
      <c r="AE548" s="1">
        <v>8.58</v>
      </c>
      <c r="AF548" s="1">
        <v>8.3422999999999998</v>
      </c>
      <c r="AG548" s="6">
        <f t="shared" si="123"/>
        <v>1.059989339535794E-2</v>
      </c>
      <c r="AH548" s="21">
        <v>45692</v>
      </c>
      <c r="AI548" s="1">
        <v>9.86</v>
      </c>
      <c r="AJ548" s="1">
        <v>9.5444999999999993</v>
      </c>
      <c r="AK548" s="6">
        <f t="shared" si="124"/>
        <v>-4.0383170548460301E-3</v>
      </c>
      <c r="AL548" s="21">
        <v>45692</v>
      </c>
      <c r="AM548" s="1">
        <v>1.53</v>
      </c>
      <c r="AN548" s="1">
        <v>1.53</v>
      </c>
      <c r="AO548" s="6">
        <v>0</v>
      </c>
      <c r="AP548" s="21" t="s">
        <v>551</v>
      </c>
      <c r="AQ548" s="1">
        <v>10183.43</v>
      </c>
      <c r="AR548" s="6">
        <v>-1.6284249865687883E-3</v>
      </c>
    </row>
    <row r="549" spans="2:44" x14ac:dyDescent="0.35">
      <c r="B549" s="21">
        <v>45693</v>
      </c>
      <c r="C549" s="1">
        <v>0.6</v>
      </c>
      <c r="D549" s="1">
        <v>0.6</v>
      </c>
      <c r="E549" s="6">
        <f t="shared" si="127"/>
        <v>0</v>
      </c>
      <c r="F549" s="21">
        <v>45693</v>
      </c>
      <c r="G549" s="1">
        <v>13.55</v>
      </c>
      <c r="H549" s="1">
        <v>12.6449</v>
      </c>
      <c r="I549" s="6">
        <f t="shared" si="125"/>
        <v>1.6503746101160788E-2</v>
      </c>
      <c r="J549" s="21">
        <v>45693</v>
      </c>
      <c r="K549" s="1">
        <v>58.34</v>
      </c>
      <c r="L549" s="1">
        <v>42.338900000000002</v>
      </c>
      <c r="M549" s="6">
        <f t="shared" si="120"/>
        <v>-2.734660228477126E-3</v>
      </c>
      <c r="N549" s="21">
        <v>45693</v>
      </c>
      <c r="O549" s="1">
        <v>12.61</v>
      </c>
      <c r="P549" s="1">
        <v>12.043799999999999</v>
      </c>
      <c r="Q549" s="6">
        <f t="shared" si="121"/>
        <v>4.7803779251658352E-3</v>
      </c>
      <c r="R549" s="21">
        <v>45693</v>
      </c>
      <c r="S549" s="1">
        <v>7</v>
      </c>
      <c r="T549" s="1">
        <v>6.5561999999999996</v>
      </c>
      <c r="U549" s="6">
        <f t="shared" si="126"/>
        <v>-7.0876874148114721E-3</v>
      </c>
      <c r="V549" s="21">
        <v>45693</v>
      </c>
      <c r="W549" s="1">
        <v>6.09</v>
      </c>
      <c r="X549" s="1">
        <v>5.718</v>
      </c>
      <c r="Y549" s="6">
        <f t="shared" si="128"/>
        <v>0</v>
      </c>
      <c r="Z549" s="21">
        <v>45693</v>
      </c>
      <c r="AA549" s="1">
        <v>2.27</v>
      </c>
      <c r="AB549" s="1">
        <v>2.27</v>
      </c>
      <c r="AC549" s="6">
        <f t="shared" si="122"/>
        <v>4.4247787610620648E-3</v>
      </c>
      <c r="AD549" s="21">
        <v>45693</v>
      </c>
      <c r="AE549" s="1">
        <v>8.5500000000000007</v>
      </c>
      <c r="AF549" s="1">
        <v>8.3132000000000001</v>
      </c>
      <c r="AG549" s="6">
        <f t="shared" si="123"/>
        <v>-3.4882466466081841E-3</v>
      </c>
      <c r="AH549" s="21">
        <v>45693</v>
      </c>
      <c r="AI549" s="1">
        <v>9.94</v>
      </c>
      <c r="AJ549" s="1">
        <v>9.6219000000000001</v>
      </c>
      <c r="AK549" s="6">
        <f t="shared" si="124"/>
        <v>8.1093823668081377E-3</v>
      </c>
      <c r="AL549" s="21">
        <v>45693</v>
      </c>
      <c r="AM549" s="1">
        <v>1.53</v>
      </c>
      <c r="AN549" s="1">
        <v>1.53</v>
      </c>
      <c r="AO549" s="6">
        <v>0</v>
      </c>
      <c r="AP549" s="21" t="s">
        <v>552</v>
      </c>
      <c r="AQ549" s="1">
        <v>10186.469999999999</v>
      </c>
      <c r="AR549" s="6">
        <v>2.9852417112885554E-4</v>
      </c>
    </row>
    <row r="550" spans="2:44" x14ac:dyDescent="0.35">
      <c r="B550" s="21">
        <v>45694</v>
      </c>
      <c r="C550" s="1">
        <v>0.62</v>
      </c>
      <c r="D550" s="1">
        <v>0.62</v>
      </c>
      <c r="E550" s="6">
        <f t="shared" si="127"/>
        <v>3.3333333333333437E-2</v>
      </c>
      <c r="F550" s="21">
        <v>45694</v>
      </c>
      <c r="G550" s="1">
        <v>13.4</v>
      </c>
      <c r="H550" s="1">
        <v>12.504899999999999</v>
      </c>
      <c r="I550" s="6">
        <f t="shared" si="125"/>
        <v>-1.1071657348021735E-2</v>
      </c>
      <c r="J550" s="21">
        <v>45694</v>
      </c>
      <c r="K550" s="1">
        <v>58.34</v>
      </c>
      <c r="L550" s="1">
        <v>42.338900000000002</v>
      </c>
      <c r="M550" s="6">
        <f t="shared" si="120"/>
        <v>0</v>
      </c>
      <c r="N550" s="21">
        <v>45694</v>
      </c>
      <c r="O550" s="1">
        <v>12.6</v>
      </c>
      <c r="P550" s="1">
        <v>12.0343</v>
      </c>
      <c r="Q550" s="6">
        <f t="shared" si="121"/>
        <v>-7.8878759195599724E-4</v>
      </c>
      <c r="R550" s="21">
        <v>45694</v>
      </c>
      <c r="S550" s="1">
        <v>7</v>
      </c>
      <c r="T550" s="1">
        <v>6.5561999999999996</v>
      </c>
      <c r="U550" s="6">
        <f t="shared" si="126"/>
        <v>0</v>
      </c>
      <c r="V550" s="21">
        <v>45694</v>
      </c>
      <c r="W550" s="1">
        <v>6.05</v>
      </c>
      <c r="X550" s="1">
        <v>5.681</v>
      </c>
      <c r="Y550" s="6">
        <f t="shared" si="128"/>
        <v>-6.4707939839104833E-3</v>
      </c>
      <c r="Z550" s="21">
        <v>45694</v>
      </c>
      <c r="AA550" s="1">
        <v>2.27</v>
      </c>
      <c r="AB550" s="1">
        <v>2.27</v>
      </c>
      <c r="AC550" s="6">
        <f t="shared" si="122"/>
        <v>0</v>
      </c>
      <c r="AD550" s="21">
        <v>45694</v>
      </c>
      <c r="AE550" s="1">
        <v>8.49</v>
      </c>
      <c r="AF550" s="1">
        <v>8.2547999999999995</v>
      </c>
      <c r="AG550" s="6">
        <f t="shared" si="123"/>
        <v>-7.0249723331570202E-3</v>
      </c>
      <c r="AH550" s="21">
        <v>45694</v>
      </c>
      <c r="AI550" s="1">
        <v>9.9499999999999993</v>
      </c>
      <c r="AJ550" s="1">
        <v>9.6316000000000006</v>
      </c>
      <c r="AK550" s="6">
        <f t="shared" si="124"/>
        <v>1.008116899988698E-3</v>
      </c>
      <c r="AL550" s="21">
        <v>45694</v>
      </c>
      <c r="AM550" s="1">
        <v>1.47</v>
      </c>
      <c r="AN550" s="1">
        <v>1.47</v>
      </c>
      <c r="AO550" s="6">
        <v>-3.9215686274509887E-2</v>
      </c>
      <c r="AP550" s="21" t="s">
        <v>553</v>
      </c>
      <c r="AQ550" s="1">
        <v>10170.64</v>
      </c>
      <c r="AR550" s="6">
        <v>-1.5540221489878103E-3</v>
      </c>
    </row>
    <row r="551" spans="2:44" x14ac:dyDescent="0.35">
      <c r="B551" s="21">
        <v>45695</v>
      </c>
      <c r="C551" s="1">
        <v>0.62</v>
      </c>
      <c r="D551" s="1">
        <v>0.62</v>
      </c>
      <c r="E551" s="6">
        <f t="shared" si="127"/>
        <v>0</v>
      </c>
      <c r="F551" s="21">
        <v>45695</v>
      </c>
      <c r="G551" s="1">
        <v>13.49</v>
      </c>
      <c r="H551" s="1">
        <v>12.588900000000001</v>
      </c>
      <c r="I551" s="6">
        <f t="shared" si="125"/>
        <v>6.7173667922175717E-3</v>
      </c>
      <c r="J551" s="21">
        <v>45695</v>
      </c>
      <c r="K551" s="1">
        <v>58.97</v>
      </c>
      <c r="L551" s="1">
        <v>42.796100000000003</v>
      </c>
      <c r="M551" s="6">
        <f t="shared" si="120"/>
        <v>1.0798580029240279E-2</v>
      </c>
      <c r="N551" s="21">
        <v>45695</v>
      </c>
      <c r="O551" s="1">
        <v>12.6</v>
      </c>
      <c r="P551" s="1">
        <v>12.0343</v>
      </c>
      <c r="Q551" s="6">
        <f t="shared" si="121"/>
        <v>0</v>
      </c>
      <c r="R551" s="21">
        <v>45695</v>
      </c>
      <c r="S551" s="1">
        <v>7</v>
      </c>
      <c r="T551" s="1">
        <v>6.5561999999999996</v>
      </c>
      <c r="U551" s="6">
        <f t="shared" si="126"/>
        <v>0</v>
      </c>
      <c r="V551" s="21">
        <v>45695</v>
      </c>
      <c r="W551" s="1">
        <v>6.05</v>
      </c>
      <c r="X551" s="1">
        <v>5.681</v>
      </c>
      <c r="Y551" s="6">
        <f t="shared" si="128"/>
        <v>0</v>
      </c>
      <c r="Z551" s="21">
        <v>45695</v>
      </c>
      <c r="AA551" s="1">
        <v>2.2599999999999998</v>
      </c>
      <c r="AB551" s="1">
        <v>2.2599999999999998</v>
      </c>
      <c r="AC551" s="6">
        <f t="shared" si="122"/>
        <v>-4.4052863436124801E-3</v>
      </c>
      <c r="AD551" s="21">
        <v>45695</v>
      </c>
      <c r="AE551" s="1">
        <v>8.5</v>
      </c>
      <c r="AF551" s="1">
        <v>8.2645999999999997</v>
      </c>
      <c r="AG551" s="6">
        <f t="shared" si="123"/>
        <v>1.1871880602800644E-3</v>
      </c>
      <c r="AH551" s="21">
        <v>45695</v>
      </c>
      <c r="AI551" s="1">
        <v>9.9499999999999993</v>
      </c>
      <c r="AJ551" s="1">
        <v>9.6316000000000006</v>
      </c>
      <c r="AK551" s="6">
        <f t="shared" si="124"/>
        <v>0</v>
      </c>
      <c r="AL551" s="21">
        <v>45695</v>
      </c>
      <c r="AM551" s="1">
        <v>1.5</v>
      </c>
      <c r="AN551" s="1">
        <v>1.5</v>
      </c>
      <c r="AO551" s="6">
        <v>2.0408163265306145E-2</v>
      </c>
      <c r="AP551" s="21" t="s">
        <v>554</v>
      </c>
      <c r="AQ551" s="1">
        <v>10197.69</v>
      </c>
      <c r="AR551" s="6">
        <v>2.6596163073318024E-3</v>
      </c>
    </row>
    <row r="552" spans="2:44" x14ac:dyDescent="0.35">
      <c r="B552" s="21">
        <v>45698</v>
      </c>
      <c r="C552" s="1">
        <v>0.62</v>
      </c>
      <c r="D552" s="1">
        <v>0.62</v>
      </c>
      <c r="E552" s="6">
        <f t="shared" si="127"/>
        <v>0</v>
      </c>
      <c r="F552" s="21">
        <v>45698</v>
      </c>
      <c r="G552" s="1">
        <v>13.49</v>
      </c>
      <c r="H552" s="1">
        <v>12.588900000000001</v>
      </c>
      <c r="I552" s="6">
        <f t="shared" si="125"/>
        <v>0</v>
      </c>
      <c r="J552" s="21">
        <v>45698</v>
      </c>
      <c r="K552" s="1">
        <v>58.97</v>
      </c>
      <c r="L552" s="1">
        <v>42.796100000000003</v>
      </c>
      <c r="M552" s="6">
        <f t="shared" si="120"/>
        <v>0</v>
      </c>
      <c r="N552" s="21">
        <v>45698</v>
      </c>
      <c r="O552" s="1">
        <v>13.19</v>
      </c>
      <c r="P552" s="1">
        <v>12.597799999999999</v>
      </c>
      <c r="Q552" s="6">
        <f t="shared" si="121"/>
        <v>4.6824493323250893E-2</v>
      </c>
      <c r="R552" s="21">
        <v>45698</v>
      </c>
      <c r="S552" s="1">
        <v>7.04</v>
      </c>
      <c r="T552" s="1">
        <v>6.5937000000000001</v>
      </c>
      <c r="U552" s="6">
        <f t="shared" si="126"/>
        <v>5.7197766999177446E-3</v>
      </c>
      <c r="V552" s="21">
        <v>45698</v>
      </c>
      <c r="W552" s="1">
        <v>6.05</v>
      </c>
      <c r="X552" s="1">
        <v>5.681</v>
      </c>
      <c r="Y552" s="6">
        <f t="shared" si="128"/>
        <v>0</v>
      </c>
      <c r="Z552" s="21">
        <v>45698</v>
      </c>
      <c r="AA552" s="1">
        <v>2.2400000000000002</v>
      </c>
      <c r="AB552" s="1">
        <v>2.2400000000000002</v>
      </c>
      <c r="AC552" s="6">
        <f t="shared" si="122"/>
        <v>-8.8495575221236855E-3</v>
      </c>
      <c r="AD552" s="21">
        <v>45698</v>
      </c>
      <c r="AE552" s="1">
        <v>8.4600000000000009</v>
      </c>
      <c r="AF552" s="1">
        <v>8.2256999999999998</v>
      </c>
      <c r="AG552" s="6">
        <f t="shared" si="123"/>
        <v>-4.7068218667569717E-3</v>
      </c>
      <c r="AH552" s="21">
        <v>45698</v>
      </c>
      <c r="AI552" s="1">
        <v>9.99</v>
      </c>
      <c r="AJ552" s="1">
        <v>9.6702999999999992</v>
      </c>
      <c r="AK552" s="6">
        <f t="shared" si="124"/>
        <v>4.018024004319054E-3</v>
      </c>
      <c r="AL552" s="21">
        <v>45698</v>
      </c>
      <c r="AM552" s="1">
        <v>1.5</v>
      </c>
      <c r="AN552" s="1">
        <v>1.5</v>
      </c>
      <c r="AO552" s="6">
        <v>0</v>
      </c>
      <c r="AP552" s="21" t="s">
        <v>555</v>
      </c>
      <c r="AQ552" s="1">
        <v>10193.11</v>
      </c>
      <c r="AR552" s="6">
        <v>-4.4912132061281085E-4</v>
      </c>
    </row>
    <row r="553" spans="2:44" x14ac:dyDescent="0.35">
      <c r="B553" s="21">
        <v>45699</v>
      </c>
      <c r="C553" s="1">
        <v>0.62</v>
      </c>
      <c r="D553" s="1">
        <v>0.62</v>
      </c>
      <c r="E553" s="6">
        <f t="shared" si="127"/>
        <v>0</v>
      </c>
      <c r="F553" s="21">
        <v>45699</v>
      </c>
      <c r="G553" s="1">
        <v>13.47</v>
      </c>
      <c r="H553" s="1">
        <v>12.5702</v>
      </c>
      <c r="I553" s="6">
        <f t="shared" si="125"/>
        <v>-1.4854355821398713E-3</v>
      </c>
      <c r="J553" s="21">
        <v>45699</v>
      </c>
      <c r="K553" s="1">
        <v>60</v>
      </c>
      <c r="L553" s="1">
        <v>43.543599999999998</v>
      </c>
      <c r="M553" s="6">
        <f t="shared" si="120"/>
        <v>1.7466544848712795E-2</v>
      </c>
      <c r="N553" s="21">
        <v>45699</v>
      </c>
      <c r="O553" s="1">
        <v>13.58</v>
      </c>
      <c r="P553" s="1">
        <v>12.9703</v>
      </c>
      <c r="Q553" s="6">
        <f t="shared" si="121"/>
        <v>2.9568654844496667E-2</v>
      </c>
      <c r="R553" s="21">
        <v>45699</v>
      </c>
      <c r="S553" s="1">
        <v>7</v>
      </c>
      <c r="T553" s="1">
        <v>6.5561999999999996</v>
      </c>
      <c r="U553" s="6">
        <f t="shared" si="126"/>
        <v>-5.687246917512212E-3</v>
      </c>
      <c r="V553" s="21">
        <v>45699</v>
      </c>
      <c r="W553" s="1">
        <v>6.05</v>
      </c>
      <c r="X553" s="1">
        <v>5.681</v>
      </c>
      <c r="Y553" s="6">
        <f t="shared" si="128"/>
        <v>0</v>
      </c>
      <c r="Z553" s="21">
        <v>45699</v>
      </c>
      <c r="AA553" s="1">
        <v>2.2400000000000002</v>
      </c>
      <c r="AB553" s="1">
        <v>2.2400000000000002</v>
      </c>
      <c r="AC553" s="6">
        <f t="shared" si="122"/>
        <v>0</v>
      </c>
      <c r="AD553" s="21">
        <v>45699</v>
      </c>
      <c r="AE553" s="1">
        <v>8.57</v>
      </c>
      <c r="AF553" s="1">
        <v>8.3325999999999993</v>
      </c>
      <c r="AG553" s="6">
        <f t="shared" si="123"/>
        <v>1.2995854456155698E-2</v>
      </c>
      <c r="AH553" s="21">
        <v>45699</v>
      </c>
      <c r="AI553" s="1">
        <v>9.9499999999999993</v>
      </c>
      <c r="AJ553" s="1">
        <v>9.6316000000000006</v>
      </c>
      <c r="AK553" s="6">
        <f t="shared" si="124"/>
        <v>-4.0019440968738218E-3</v>
      </c>
      <c r="AL553" s="21">
        <v>45699</v>
      </c>
      <c r="AM553" s="1">
        <v>1.5</v>
      </c>
      <c r="AN553" s="1">
        <v>1.5</v>
      </c>
      <c r="AO553" s="6">
        <v>0</v>
      </c>
      <c r="AP553" s="21" t="s">
        <v>556</v>
      </c>
      <c r="AQ553" s="1">
        <v>10222.459999999999</v>
      </c>
      <c r="AR553" s="6">
        <v>2.8793959841499905E-3</v>
      </c>
    </row>
    <row r="554" spans="2:44" x14ac:dyDescent="0.35">
      <c r="B554" s="21">
        <v>45700</v>
      </c>
      <c r="C554" s="1">
        <v>0.64</v>
      </c>
      <c r="D554" s="1">
        <v>0.64</v>
      </c>
      <c r="E554" s="6">
        <f t="shared" si="127"/>
        <v>3.2258064516129004E-2</v>
      </c>
      <c r="F554" s="21">
        <v>45700</v>
      </c>
      <c r="G554" s="1">
        <v>13.4</v>
      </c>
      <c r="H554" s="1">
        <v>12.504899999999999</v>
      </c>
      <c r="I554" s="6">
        <f t="shared" si="125"/>
        <v>-5.1948258579815887E-3</v>
      </c>
      <c r="J554" s="21">
        <v>45700</v>
      </c>
      <c r="K554" s="1">
        <v>60.49</v>
      </c>
      <c r="L554" s="1">
        <v>43.8992</v>
      </c>
      <c r="M554" s="6">
        <f t="shared" si="120"/>
        <v>8.1665273427093954E-3</v>
      </c>
      <c r="N554" s="21">
        <v>45700</v>
      </c>
      <c r="O554" s="1">
        <v>13.58</v>
      </c>
      <c r="P554" s="1">
        <v>12.9703</v>
      </c>
      <c r="Q554" s="6">
        <f t="shared" si="121"/>
        <v>0</v>
      </c>
      <c r="R554" s="21">
        <v>45700</v>
      </c>
      <c r="S554" s="1">
        <v>7</v>
      </c>
      <c r="T554" s="1">
        <v>6.5561999999999996</v>
      </c>
      <c r="U554" s="6">
        <f t="shared" si="126"/>
        <v>0</v>
      </c>
      <c r="V554" s="21">
        <v>45700</v>
      </c>
      <c r="W554" s="1">
        <v>6.05</v>
      </c>
      <c r="X554" s="1">
        <v>5.681</v>
      </c>
      <c r="Y554" s="6">
        <f t="shared" si="128"/>
        <v>0</v>
      </c>
      <c r="Z554" s="21">
        <v>45700</v>
      </c>
      <c r="AA554" s="1">
        <v>2.25</v>
      </c>
      <c r="AB554" s="1">
        <v>2.25</v>
      </c>
      <c r="AC554" s="6">
        <f t="shared" si="122"/>
        <v>4.4642857142855874E-3</v>
      </c>
      <c r="AD554" s="21">
        <v>45700</v>
      </c>
      <c r="AE554" s="1">
        <v>8.5399999999999991</v>
      </c>
      <c r="AF554" s="1">
        <v>8.3033999999999999</v>
      </c>
      <c r="AG554" s="6">
        <f t="shared" si="123"/>
        <v>-3.5043083791372887E-3</v>
      </c>
      <c r="AH554" s="21">
        <v>45700</v>
      </c>
      <c r="AI554" s="1">
        <v>9.9600000000000009</v>
      </c>
      <c r="AJ554" s="1">
        <v>9.6412999999999993</v>
      </c>
      <c r="AK554" s="6">
        <f t="shared" si="124"/>
        <v>1.0071016238215602E-3</v>
      </c>
      <c r="AL554" s="21">
        <v>45700</v>
      </c>
      <c r="AM554" s="1">
        <v>1.5</v>
      </c>
      <c r="AN554" s="1">
        <v>1.5</v>
      </c>
      <c r="AO554" s="6">
        <v>0</v>
      </c>
      <c r="AP554" s="21" t="s">
        <v>557</v>
      </c>
      <c r="AQ554" s="1">
        <v>10248.5</v>
      </c>
      <c r="AR554" s="6">
        <v>2.5473320511892883E-3</v>
      </c>
    </row>
    <row r="555" spans="2:44" x14ac:dyDescent="0.35">
      <c r="B555" s="21">
        <v>45701</v>
      </c>
      <c r="C555" s="1">
        <v>0.66</v>
      </c>
      <c r="D555" s="1">
        <v>0.66</v>
      </c>
      <c r="E555" s="6">
        <f t="shared" si="127"/>
        <v>3.125E-2</v>
      </c>
      <c r="F555" s="21">
        <v>45701</v>
      </c>
      <c r="G555" s="1">
        <v>13.2</v>
      </c>
      <c r="H555" s="1">
        <v>12.318199999999999</v>
      </c>
      <c r="I555" s="6">
        <f t="shared" si="125"/>
        <v>-1.49301473822262E-2</v>
      </c>
      <c r="J555" s="21">
        <v>45701</v>
      </c>
      <c r="K555" s="1">
        <v>60.5</v>
      </c>
      <c r="L555" s="1">
        <v>43.906399999999998</v>
      </c>
      <c r="M555" s="6">
        <f t="shared" si="120"/>
        <v>1.6401210044825199E-4</v>
      </c>
      <c r="N555" s="21">
        <v>45701</v>
      </c>
      <c r="O555" s="1">
        <v>13.58</v>
      </c>
      <c r="P555" s="1">
        <v>12.9703</v>
      </c>
      <c r="Q555" s="6">
        <f t="shared" si="121"/>
        <v>0</v>
      </c>
      <c r="R555" s="21">
        <v>45701</v>
      </c>
      <c r="S555" s="1">
        <v>6.98</v>
      </c>
      <c r="T555" s="1">
        <v>6.5374999999999996</v>
      </c>
      <c r="U555" s="6">
        <f t="shared" si="126"/>
        <v>-2.8522619810256167E-3</v>
      </c>
      <c r="V555" s="21">
        <v>45701</v>
      </c>
      <c r="W555" s="1">
        <v>6.04</v>
      </c>
      <c r="X555" s="1">
        <v>5.6719999999999997</v>
      </c>
      <c r="Y555" s="6">
        <f t="shared" si="128"/>
        <v>-1.5842281288506177E-3</v>
      </c>
      <c r="Z555" s="21">
        <v>45701</v>
      </c>
      <c r="AA555" s="1">
        <v>2.2400000000000002</v>
      </c>
      <c r="AB555" s="1">
        <v>2.2400000000000002</v>
      </c>
      <c r="AC555" s="6">
        <f t="shared" si="122"/>
        <v>-4.444444444444362E-3</v>
      </c>
      <c r="AD555" s="21">
        <v>45701</v>
      </c>
      <c r="AE555" s="1">
        <v>8.52</v>
      </c>
      <c r="AF555" s="1">
        <v>8.2840000000000007</v>
      </c>
      <c r="AG555" s="6">
        <f t="shared" si="123"/>
        <v>-2.3363923212177395E-3</v>
      </c>
      <c r="AH555" s="21">
        <v>45701</v>
      </c>
      <c r="AI555" s="1">
        <v>9.9600000000000009</v>
      </c>
      <c r="AJ555" s="1">
        <v>9.6412999999999993</v>
      </c>
      <c r="AK555" s="6">
        <f t="shared" si="124"/>
        <v>0</v>
      </c>
      <c r="AL555" s="21">
        <v>45701</v>
      </c>
      <c r="AM555" s="1">
        <v>1.5</v>
      </c>
      <c r="AN555" s="1">
        <v>1.5</v>
      </c>
      <c r="AO555" s="6">
        <v>0</v>
      </c>
      <c r="AP555" s="21" t="s">
        <v>558</v>
      </c>
      <c r="AQ555" s="1">
        <v>10298.41</v>
      </c>
      <c r="AR555" s="6">
        <v>4.8699809728252053E-3</v>
      </c>
    </row>
    <row r="556" spans="2:44" x14ac:dyDescent="0.35">
      <c r="B556" s="21">
        <v>45702</v>
      </c>
      <c r="C556" s="1">
        <v>0.68</v>
      </c>
      <c r="D556" s="1">
        <v>0.68</v>
      </c>
      <c r="E556" s="6">
        <f t="shared" si="127"/>
        <v>3.0303030303030276E-2</v>
      </c>
      <c r="F556" s="21">
        <v>45702</v>
      </c>
      <c r="G556" s="1">
        <v>13.17</v>
      </c>
      <c r="H556" s="1">
        <v>12.2902</v>
      </c>
      <c r="I556" s="6">
        <f t="shared" si="125"/>
        <v>-2.2730593755579953E-3</v>
      </c>
      <c r="J556" s="21">
        <v>45702</v>
      </c>
      <c r="K556" s="1">
        <v>60.95</v>
      </c>
      <c r="L556" s="1">
        <v>44.232999999999997</v>
      </c>
      <c r="M556" s="6">
        <f t="shared" si="120"/>
        <v>7.4385510996117787E-3</v>
      </c>
      <c r="N556" s="21">
        <v>45702</v>
      </c>
      <c r="O556" s="1">
        <v>13.54</v>
      </c>
      <c r="P556" s="1">
        <v>12.9321</v>
      </c>
      <c r="Q556" s="6">
        <f t="shared" si="121"/>
        <v>-2.9451901652236545E-3</v>
      </c>
      <c r="R556" s="21">
        <v>45702</v>
      </c>
      <c r="S556" s="1">
        <v>6.93</v>
      </c>
      <c r="T556" s="1">
        <v>6.4905999999999997</v>
      </c>
      <c r="U556" s="6">
        <f t="shared" si="126"/>
        <v>-7.1739961759081927E-3</v>
      </c>
      <c r="V556" s="21">
        <v>45702</v>
      </c>
      <c r="W556" s="1">
        <v>6</v>
      </c>
      <c r="X556" s="1">
        <v>5.6340000000000003</v>
      </c>
      <c r="Y556" s="6">
        <f t="shared" si="128"/>
        <v>-6.6995768688292712E-3</v>
      </c>
      <c r="Z556" s="21">
        <v>45702</v>
      </c>
      <c r="AA556" s="1">
        <v>2.2799999999999998</v>
      </c>
      <c r="AB556" s="1">
        <v>2.2799999999999998</v>
      </c>
      <c r="AC556" s="6">
        <f t="shared" si="122"/>
        <v>1.7857142857142572E-2</v>
      </c>
      <c r="AD556" s="21">
        <v>45702</v>
      </c>
      <c r="AE556" s="1">
        <v>8.5</v>
      </c>
      <c r="AF556" s="1">
        <v>8.2645999999999997</v>
      </c>
      <c r="AG556" s="6">
        <f t="shared" si="123"/>
        <v>-2.3418638338967845E-3</v>
      </c>
      <c r="AH556" s="21">
        <v>45702</v>
      </c>
      <c r="AI556" s="1">
        <v>9.9499999999999993</v>
      </c>
      <c r="AJ556" s="1">
        <v>9.6316000000000006</v>
      </c>
      <c r="AK556" s="6">
        <f t="shared" si="124"/>
        <v>-1.0060883905695928E-3</v>
      </c>
      <c r="AL556" s="21">
        <v>45702</v>
      </c>
      <c r="AM556" s="1">
        <v>1.53</v>
      </c>
      <c r="AN556" s="1">
        <v>1.53</v>
      </c>
      <c r="AO556" s="6">
        <v>2.0000000000000018E-2</v>
      </c>
      <c r="AP556" s="21" t="s">
        <v>559</v>
      </c>
      <c r="AQ556" s="1">
        <v>10323.469999999999</v>
      </c>
      <c r="AR556" s="6">
        <v>2.4333853478351042E-3</v>
      </c>
    </row>
    <row r="557" spans="2:44" x14ac:dyDescent="0.35">
      <c r="B557" s="21">
        <v>45705</v>
      </c>
      <c r="C557" s="1">
        <v>0.68</v>
      </c>
      <c r="D557" s="1">
        <v>0.68</v>
      </c>
      <c r="E557" s="6">
        <f t="shared" si="127"/>
        <v>0</v>
      </c>
      <c r="F557" s="21">
        <v>45705</v>
      </c>
      <c r="G557" s="1">
        <v>13.65</v>
      </c>
      <c r="H557" s="1">
        <v>12.738200000000001</v>
      </c>
      <c r="I557" s="6">
        <f t="shared" si="125"/>
        <v>3.6451807130884806E-2</v>
      </c>
      <c r="J557" s="21">
        <v>45705</v>
      </c>
      <c r="K557" s="1">
        <v>60.9</v>
      </c>
      <c r="L557" s="1">
        <v>44.1967</v>
      </c>
      <c r="M557" s="6">
        <f t="shared" si="120"/>
        <v>-8.20654262654541E-4</v>
      </c>
      <c r="N557" s="21">
        <v>45705</v>
      </c>
      <c r="O557" s="1">
        <v>13.28</v>
      </c>
      <c r="P557" s="1">
        <v>12.6837</v>
      </c>
      <c r="Q557" s="6">
        <f t="shared" si="121"/>
        <v>-1.9208017259377819E-2</v>
      </c>
      <c r="R557" s="21">
        <v>45705</v>
      </c>
      <c r="S557" s="1">
        <v>6.97</v>
      </c>
      <c r="T557" s="1">
        <v>6.5281000000000002</v>
      </c>
      <c r="U557" s="6">
        <f t="shared" si="126"/>
        <v>5.7775860475148821E-3</v>
      </c>
      <c r="V557" s="21">
        <v>45705</v>
      </c>
      <c r="W557" s="1">
        <v>5.99</v>
      </c>
      <c r="X557" s="1">
        <v>5.625</v>
      </c>
      <c r="Y557" s="6">
        <f t="shared" si="128"/>
        <v>-1.5974440894569453E-3</v>
      </c>
      <c r="Z557" s="21">
        <v>45705</v>
      </c>
      <c r="AA557" s="1">
        <v>2.2599999999999998</v>
      </c>
      <c r="AB557" s="1">
        <v>2.2599999999999998</v>
      </c>
      <c r="AC557" s="6">
        <f t="shared" si="122"/>
        <v>-8.7719298245614308E-3</v>
      </c>
      <c r="AD557" s="21">
        <v>45705</v>
      </c>
      <c r="AE557" s="1">
        <v>8.4</v>
      </c>
      <c r="AF557" s="1">
        <v>8.1672999999999991</v>
      </c>
      <c r="AG557" s="6">
        <f t="shared" si="123"/>
        <v>-1.1773104566464299E-2</v>
      </c>
      <c r="AH557" s="21">
        <v>45705</v>
      </c>
      <c r="AI557" s="1">
        <v>10.23</v>
      </c>
      <c r="AJ557" s="1">
        <v>9.9025999999999996</v>
      </c>
      <c r="AK557" s="6">
        <f t="shared" si="124"/>
        <v>2.8136550521201009E-2</v>
      </c>
      <c r="AL557" s="21">
        <v>45705</v>
      </c>
      <c r="AM557" s="1">
        <v>1.56</v>
      </c>
      <c r="AN557" s="1">
        <v>1.56</v>
      </c>
      <c r="AO557" s="6">
        <v>1.9607843137254832E-2</v>
      </c>
      <c r="AP557" s="21" t="s">
        <v>560</v>
      </c>
      <c r="AQ557" s="1">
        <v>10339.31</v>
      </c>
      <c r="AR557" s="6">
        <v>1.534367804623793E-3</v>
      </c>
    </row>
    <row r="558" spans="2:44" x14ac:dyDescent="0.35">
      <c r="B558" s="21">
        <v>45706</v>
      </c>
      <c r="C558" s="1">
        <v>0.71</v>
      </c>
      <c r="D558" s="1">
        <v>0.71</v>
      </c>
      <c r="E558" s="6">
        <f t="shared" si="127"/>
        <v>4.4117647058823373E-2</v>
      </c>
      <c r="F558" s="21">
        <v>45706</v>
      </c>
      <c r="G558" s="1">
        <v>13.3</v>
      </c>
      <c r="H558" s="1">
        <v>12.4116</v>
      </c>
      <c r="I558" s="6">
        <f t="shared" si="125"/>
        <v>-2.5639415302005086E-2</v>
      </c>
      <c r="J558" s="21">
        <v>45706</v>
      </c>
      <c r="K558" s="1">
        <v>62</v>
      </c>
      <c r="L558" s="1">
        <v>44.994999999999997</v>
      </c>
      <c r="M558" s="6">
        <f t="shared" si="120"/>
        <v>1.8062434525654592E-2</v>
      </c>
      <c r="N558" s="21">
        <v>45706</v>
      </c>
      <c r="O558" s="1">
        <v>13.2</v>
      </c>
      <c r="P558" s="1">
        <v>12.6073</v>
      </c>
      <c r="Q558" s="6">
        <f t="shared" si="121"/>
        <v>-6.0234789533022415E-3</v>
      </c>
      <c r="R558" s="21">
        <v>45706</v>
      </c>
      <c r="S558" s="1">
        <v>6.95</v>
      </c>
      <c r="T558" s="1">
        <v>6.5094000000000003</v>
      </c>
      <c r="U558" s="6">
        <f t="shared" si="126"/>
        <v>-2.8645394525206314E-3</v>
      </c>
      <c r="V558" s="21">
        <v>45706</v>
      </c>
      <c r="W558" s="1">
        <v>6</v>
      </c>
      <c r="X558" s="1">
        <v>5.6340000000000003</v>
      </c>
      <c r="Y558" s="6">
        <f t="shared" si="128"/>
        <v>1.6000000000000458E-3</v>
      </c>
      <c r="Z558" s="21">
        <v>45706</v>
      </c>
      <c r="AA558" s="1">
        <v>2.25</v>
      </c>
      <c r="AB558" s="1">
        <v>2.25</v>
      </c>
      <c r="AC558" s="6">
        <f t="shared" si="122"/>
        <v>-4.4247787610618428E-3</v>
      </c>
      <c r="AD558" s="21">
        <v>45706</v>
      </c>
      <c r="AE558" s="1">
        <v>8.48</v>
      </c>
      <c r="AF558" s="1">
        <v>8.2451000000000008</v>
      </c>
      <c r="AG558" s="6">
        <f t="shared" si="123"/>
        <v>9.5257918773647976E-3</v>
      </c>
      <c r="AH558" s="21">
        <v>45706</v>
      </c>
      <c r="AI558" s="1">
        <v>10.74</v>
      </c>
      <c r="AJ558" s="1">
        <v>10.3963</v>
      </c>
      <c r="AK558" s="6">
        <f t="shared" si="124"/>
        <v>4.985559348050006E-2</v>
      </c>
      <c r="AL558" s="21">
        <v>45706</v>
      </c>
      <c r="AM558" s="1">
        <v>1.59</v>
      </c>
      <c r="AN558" s="1">
        <v>1.59</v>
      </c>
      <c r="AO558" s="6">
        <v>1.9230769230769162E-2</v>
      </c>
      <c r="AP558" s="21" t="s">
        <v>561</v>
      </c>
      <c r="AQ558" s="1">
        <v>10387.700000000001</v>
      </c>
      <c r="AR558" s="6">
        <v>4.6801962606790593E-3</v>
      </c>
    </row>
    <row r="559" spans="2:44" x14ac:dyDescent="0.35">
      <c r="B559" s="21">
        <v>45707</v>
      </c>
      <c r="C559" s="1">
        <v>0.71</v>
      </c>
      <c r="D559" s="1">
        <v>0.71</v>
      </c>
      <c r="E559" s="6">
        <f t="shared" si="127"/>
        <v>0</v>
      </c>
      <c r="F559" s="21">
        <v>45707</v>
      </c>
      <c r="G559" s="1">
        <v>13.3</v>
      </c>
      <c r="H559" s="1">
        <v>12.4116</v>
      </c>
      <c r="I559" s="6">
        <f t="shared" si="125"/>
        <v>0</v>
      </c>
      <c r="J559" s="21">
        <v>45707</v>
      </c>
      <c r="K559" s="1">
        <v>62.89</v>
      </c>
      <c r="L559" s="1">
        <v>45.640900000000002</v>
      </c>
      <c r="M559" s="6">
        <f t="shared" si="120"/>
        <v>1.4354928325369665E-2</v>
      </c>
      <c r="N559" s="21">
        <v>45707</v>
      </c>
      <c r="O559" s="1">
        <v>13.43</v>
      </c>
      <c r="P559" s="1">
        <v>12.827</v>
      </c>
      <c r="Q559" s="6">
        <f t="shared" si="121"/>
        <v>1.7426411682120557E-2</v>
      </c>
      <c r="R559" s="21">
        <v>45707</v>
      </c>
      <c r="S559" s="1">
        <v>6.93</v>
      </c>
      <c r="T559" s="1">
        <v>6.4905999999999997</v>
      </c>
      <c r="U559" s="6">
        <f t="shared" si="126"/>
        <v>-2.8881310105386415E-3</v>
      </c>
      <c r="V559" s="21">
        <v>45707</v>
      </c>
      <c r="W559" s="1">
        <v>6</v>
      </c>
      <c r="X559" s="1">
        <v>5.6340000000000003</v>
      </c>
      <c r="Y559" s="6">
        <f t="shared" si="128"/>
        <v>0</v>
      </c>
      <c r="Z559" s="21">
        <v>45707</v>
      </c>
      <c r="AA559" s="1">
        <v>2.23</v>
      </c>
      <c r="AB559" s="1">
        <v>2.23</v>
      </c>
      <c r="AC559" s="6">
        <f t="shared" si="122"/>
        <v>-8.8888888888889461E-3</v>
      </c>
      <c r="AD559" s="21">
        <v>45707</v>
      </c>
      <c r="AE559" s="1">
        <v>8.4700000000000006</v>
      </c>
      <c r="AF559" s="1">
        <v>8.2354000000000003</v>
      </c>
      <c r="AG559" s="6">
        <f t="shared" si="123"/>
        <v>-1.1764563195110211E-3</v>
      </c>
      <c r="AH559" s="21">
        <v>45707</v>
      </c>
      <c r="AI559" s="1">
        <v>10.61</v>
      </c>
      <c r="AJ559" s="1">
        <v>10.2705</v>
      </c>
      <c r="AK559" s="6">
        <f t="shared" si="124"/>
        <v>-1.2100458817079107E-2</v>
      </c>
      <c r="AL559" s="21">
        <v>45707</v>
      </c>
      <c r="AM559" s="1">
        <v>1.62</v>
      </c>
      <c r="AN559" s="1">
        <v>1.62</v>
      </c>
      <c r="AO559" s="6">
        <v>1.8867924528301883E-2</v>
      </c>
      <c r="AP559" s="21" t="s">
        <v>562</v>
      </c>
      <c r="AQ559" s="1">
        <v>10412.68</v>
      </c>
      <c r="AR559" s="6">
        <v>2.4047671765645706E-3</v>
      </c>
    </row>
    <row r="560" spans="2:44" x14ac:dyDescent="0.35">
      <c r="B560" s="21">
        <v>45708</v>
      </c>
      <c r="C560" s="1">
        <v>0.71</v>
      </c>
      <c r="D560" s="1">
        <v>0.71</v>
      </c>
      <c r="E560" s="6">
        <f t="shared" si="127"/>
        <v>0</v>
      </c>
      <c r="F560" s="21">
        <v>45708</v>
      </c>
      <c r="G560" s="1">
        <v>13.3</v>
      </c>
      <c r="H560" s="1">
        <v>12.4116</v>
      </c>
      <c r="I560" s="6">
        <f t="shared" si="125"/>
        <v>0</v>
      </c>
      <c r="J560" s="21">
        <v>45708</v>
      </c>
      <c r="K560" s="1">
        <v>63.38</v>
      </c>
      <c r="L560" s="1">
        <v>45.996499999999997</v>
      </c>
      <c r="M560" s="6">
        <f t="shared" si="120"/>
        <v>7.7912574028995429E-3</v>
      </c>
      <c r="N560" s="21">
        <v>45708</v>
      </c>
      <c r="O560" s="1">
        <v>13.94</v>
      </c>
      <c r="P560" s="1">
        <v>13.3141</v>
      </c>
      <c r="Q560" s="6">
        <f t="shared" si="121"/>
        <v>3.7974584860060778E-2</v>
      </c>
      <c r="R560" s="21">
        <v>45708</v>
      </c>
      <c r="S560" s="1">
        <v>6.92</v>
      </c>
      <c r="T560" s="1">
        <v>6.4813000000000001</v>
      </c>
      <c r="U560" s="6">
        <f t="shared" si="126"/>
        <v>-1.4328413397836082E-3</v>
      </c>
      <c r="V560" s="21">
        <v>45708</v>
      </c>
      <c r="W560" s="1">
        <v>5.89</v>
      </c>
      <c r="X560" s="1">
        <v>5.5309999999999997</v>
      </c>
      <c r="Y560" s="6">
        <f t="shared" si="128"/>
        <v>-1.8281860134895411E-2</v>
      </c>
      <c r="Z560" s="21">
        <v>45708</v>
      </c>
      <c r="AA560" s="1">
        <v>2.2400000000000002</v>
      </c>
      <c r="AB560" s="1">
        <v>2.2400000000000002</v>
      </c>
      <c r="AC560" s="6">
        <f t="shared" si="122"/>
        <v>4.484304932735439E-3</v>
      </c>
      <c r="AD560" s="21">
        <v>45708</v>
      </c>
      <c r="AE560" s="1">
        <v>8.4700000000000006</v>
      </c>
      <c r="AF560" s="1">
        <v>8.2354000000000003</v>
      </c>
      <c r="AG560" s="6">
        <f t="shared" si="123"/>
        <v>0</v>
      </c>
      <c r="AH560" s="21">
        <v>45708</v>
      </c>
      <c r="AI560" s="1">
        <v>10.66</v>
      </c>
      <c r="AJ560" s="1">
        <v>10.318899999999999</v>
      </c>
      <c r="AK560" s="6">
        <f t="shared" si="124"/>
        <v>4.7125261671776553E-3</v>
      </c>
      <c r="AL560" s="21">
        <v>45708</v>
      </c>
      <c r="AM560" s="1">
        <v>1.6</v>
      </c>
      <c r="AN560" s="1">
        <v>1.6</v>
      </c>
      <c r="AO560" s="6">
        <v>-1.2345679012345734E-2</v>
      </c>
      <c r="AP560" s="21" t="s">
        <v>563</v>
      </c>
      <c r="AQ560" s="1">
        <v>10424.93</v>
      </c>
      <c r="AR560" s="6">
        <v>1.1764502510400732E-3</v>
      </c>
    </row>
    <row r="561" spans="2:44" x14ac:dyDescent="0.35">
      <c r="B561" s="21">
        <v>45709</v>
      </c>
      <c r="C561" s="1">
        <v>0.71</v>
      </c>
      <c r="D561" s="1">
        <v>0.71</v>
      </c>
      <c r="E561" s="6">
        <f t="shared" si="127"/>
        <v>0</v>
      </c>
      <c r="F561" s="21">
        <v>45709</v>
      </c>
      <c r="G561" s="1">
        <v>13.32</v>
      </c>
      <c r="H561" s="1">
        <v>12.430199999999999</v>
      </c>
      <c r="I561" s="6">
        <f t="shared" si="125"/>
        <v>1.4985980856616621E-3</v>
      </c>
      <c r="J561" s="21">
        <v>45709</v>
      </c>
      <c r="K561" s="1">
        <v>64.88</v>
      </c>
      <c r="L561" s="1">
        <v>47.085099999999997</v>
      </c>
      <c r="M561" s="6">
        <f t="shared" si="120"/>
        <v>2.3667018142684793E-2</v>
      </c>
      <c r="N561" s="21">
        <v>45709</v>
      </c>
      <c r="O561" s="1">
        <v>13.9</v>
      </c>
      <c r="P561" s="1">
        <v>13.2759</v>
      </c>
      <c r="Q561" s="6">
        <f t="shared" si="121"/>
        <v>-2.8691387326218454E-3</v>
      </c>
      <c r="R561" s="21">
        <v>45709</v>
      </c>
      <c r="S561" s="1">
        <v>6.93</v>
      </c>
      <c r="T561" s="1">
        <v>6.4905999999999997</v>
      </c>
      <c r="U561" s="6">
        <f t="shared" si="126"/>
        <v>1.4348973199820314E-3</v>
      </c>
      <c r="V561" s="21">
        <v>45709</v>
      </c>
      <c r="W561" s="1">
        <v>5.89</v>
      </c>
      <c r="X561" s="1">
        <v>5.5309999999999997</v>
      </c>
      <c r="Y561" s="6">
        <f t="shared" si="128"/>
        <v>0</v>
      </c>
      <c r="Z561" s="21">
        <v>45709</v>
      </c>
      <c r="AA561" s="1">
        <v>2.23</v>
      </c>
      <c r="AB561" s="1">
        <v>2.23</v>
      </c>
      <c r="AC561" s="6">
        <f t="shared" si="122"/>
        <v>-4.4642857142858094E-3</v>
      </c>
      <c r="AD561" s="21">
        <v>45709</v>
      </c>
      <c r="AE561" s="1">
        <v>8.5</v>
      </c>
      <c r="AF561" s="1">
        <v>8.2645999999999997</v>
      </c>
      <c r="AG561" s="6">
        <f t="shared" si="123"/>
        <v>3.5456686985453345E-3</v>
      </c>
      <c r="AH561" s="21">
        <v>45709</v>
      </c>
      <c r="AI561" s="1">
        <v>10.66</v>
      </c>
      <c r="AJ561" s="1">
        <v>10.318899999999999</v>
      </c>
      <c r="AK561" s="6">
        <f t="shared" si="124"/>
        <v>0</v>
      </c>
      <c r="AL561" s="21">
        <v>45709</v>
      </c>
      <c r="AM561" s="1">
        <v>1.61</v>
      </c>
      <c r="AN561" s="1">
        <v>1.61</v>
      </c>
      <c r="AO561" s="6">
        <v>6.2500000000000888E-3</v>
      </c>
      <c r="AP561" s="21" t="s">
        <v>564</v>
      </c>
      <c r="AQ561" s="1">
        <v>10511.21</v>
      </c>
      <c r="AR561" s="6">
        <v>8.2763145651816306E-3</v>
      </c>
    </row>
    <row r="562" spans="2:44" x14ac:dyDescent="0.35">
      <c r="B562" s="21">
        <v>45712</v>
      </c>
      <c r="C562" s="1">
        <v>0.69</v>
      </c>
      <c r="D562" s="1">
        <v>0.69</v>
      </c>
      <c r="E562" s="6">
        <f t="shared" si="127"/>
        <v>-2.8169014084507116E-2</v>
      </c>
      <c r="F562" s="21">
        <v>45712</v>
      </c>
      <c r="G562" s="1">
        <v>13.2</v>
      </c>
      <c r="H562" s="1">
        <v>12.318199999999999</v>
      </c>
      <c r="I562" s="6">
        <f t="shared" si="125"/>
        <v>-9.0103135910927223E-3</v>
      </c>
      <c r="J562" s="21">
        <v>45712</v>
      </c>
      <c r="K562" s="1">
        <v>66.8</v>
      </c>
      <c r="L562" s="1">
        <v>48.478499999999997</v>
      </c>
      <c r="M562" s="6">
        <f t="shared" si="120"/>
        <v>2.9593225882497798E-2</v>
      </c>
      <c r="N562" s="21">
        <v>45712</v>
      </c>
      <c r="O562" s="1">
        <v>13.9</v>
      </c>
      <c r="P562" s="1">
        <v>13.2759</v>
      </c>
      <c r="Q562" s="6">
        <f t="shared" si="121"/>
        <v>0</v>
      </c>
      <c r="R562" s="21">
        <v>45712</v>
      </c>
      <c r="S562" s="1">
        <v>6.94</v>
      </c>
      <c r="T562" s="1">
        <v>6.5</v>
      </c>
      <c r="U562" s="6">
        <f t="shared" si="126"/>
        <v>1.4482482359103876E-3</v>
      </c>
      <c r="V562" s="21">
        <v>45712</v>
      </c>
      <c r="W562" s="1">
        <v>5.8</v>
      </c>
      <c r="X562" s="1">
        <v>5.4459999999999997</v>
      </c>
      <c r="Y562" s="6">
        <f t="shared" si="128"/>
        <v>-1.536792623395411E-2</v>
      </c>
      <c r="Z562" s="21">
        <v>45712</v>
      </c>
      <c r="AA562" s="1">
        <v>2.2000000000000002</v>
      </c>
      <c r="AB562" s="1">
        <v>2.2000000000000002</v>
      </c>
      <c r="AC562" s="6">
        <f t="shared" si="122"/>
        <v>-1.3452914798206206E-2</v>
      </c>
      <c r="AD562" s="21">
        <v>45712</v>
      </c>
      <c r="AE562" s="1">
        <v>8.5</v>
      </c>
      <c r="AF562" s="1">
        <v>8.2645999999999997</v>
      </c>
      <c r="AG562" s="6">
        <f t="shared" si="123"/>
        <v>0</v>
      </c>
      <c r="AH562" s="21">
        <v>45712</v>
      </c>
      <c r="AI562" s="1">
        <v>10.61</v>
      </c>
      <c r="AJ562" s="1">
        <v>10.2705</v>
      </c>
      <c r="AK562" s="6">
        <f t="shared" si="124"/>
        <v>-4.6904224287471763E-3</v>
      </c>
      <c r="AL562" s="21">
        <v>45712</v>
      </c>
      <c r="AM562" s="1">
        <v>1.64</v>
      </c>
      <c r="AN562" s="1">
        <v>1.64</v>
      </c>
      <c r="AO562" s="6">
        <v>1.8633540372670732E-2</v>
      </c>
      <c r="AP562" s="21" t="s">
        <v>565</v>
      </c>
      <c r="AQ562" s="1">
        <v>10530.14</v>
      </c>
      <c r="AR562" s="6">
        <v>1.8009344309550812E-3</v>
      </c>
    </row>
    <row r="563" spans="2:44" x14ac:dyDescent="0.35">
      <c r="B563" s="21">
        <v>45713</v>
      </c>
      <c r="C563" s="1">
        <v>0.68</v>
      </c>
      <c r="D563" s="1">
        <v>0.68</v>
      </c>
      <c r="E563" s="6">
        <f t="shared" si="127"/>
        <v>-1.4492753623188248E-2</v>
      </c>
      <c r="F563" s="21">
        <v>45713</v>
      </c>
      <c r="G563" s="1">
        <v>13.4</v>
      </c>
      <c r="H563" s="1">
        <v>12.504899999999999</v>
      </c>
      <c r="I563" s="6">
        <f t="shared" si="125"/>
        <v>1.5156435193453666E-2</v>
      </c>
      <c r="J563" s="21">
        <v>45713</v>
      </c>
      <c r="K563" s="1">
        <v>67.400000000000006</v>
      </c>
      <c r="L563" s="1">
        <v>48.913899999999998</v>
      </c>
      <c r="M563" s="6">
        <f t="shared" si="120"/>
        <v>8.9813009890982176E-3</v>
      </c>
      <c r="N563" s="21">
        <v>45713</v>
      </c>
      <c r="O563" s="1">
        <v>14.39</v>
      </c>
      <c r="P563" s="1">
        <v>13.7439</v>
      </c>
      <c r="Q563" s="6">
        <f t="shared" si="121"/>
        <v>3.5251847332384179E-2</v>
      </c>
      <c r="R563" s="21">
        <v>45713</v>
      </c>
      <c r="S563" s="1">
        <v>6.92</v>
      </c>
      <c r="T563" s="1">
        <v>6.4813000000000001</v>
      </c>
      <c r="U563" s="6">
        <f t="shared" si="126"/>
        <v>-2.8769230769231102E-3</v>
      </c>
      <c r="V563" s="21">
        <v>45713</v>
      </c>
      <c r="W563" s="1">
        <v>5.8</v>
      </c>
      <c r="X563" s="1">
        <v>5.4459999999999997</v>
      </c>
      <c r="Y563" s="6">
        <f t="shared" si="128"/>
        <v>0</v>
      </c>
      <c r="Z563" s="21">
        <v>45713</v>
      </c>
      <c r="AA563" s="1">
        <v>2.2000000000000002</v>
      </c>
      <c r="AB563" s="1">
        <v>2.2000000000000002</v>
      </c>
      <c r="AC563" s="6">
        <f t="shared" si="122"/>
        <v>0</v>
      </c>
      <c r="AD563" s="21">
        <v>45713</v>
      </c>
      <c r="AE563" s="1">
        <v>8.4700000000000006</v>
      </c>
      <c r="AF563" s="1">
        <v>8.2354000000000003</v>
      </c>
      <c r="AG563" s="6">
        <f t="shared" si="123"/>
        <v>-3.5331413498534969E-3</v>
      </c>
      <c r="AH563" s="21">
        <v>45713</v>
      </c>
      <c r="AI563" s="1">
        <v>10.65</v>
      </c>
      <c r="AJ563" s="1">
        <v>10.309200000000001</v>
      </c>
      <c r="AK563" s="6">
        <f t="shared" si="124"/>
        <v>3.7680736088798739E-3</v>
      </c>
      <c r="AL563" s="21">
        <v>45713</v>
      </c>
      <c r="AM563" s="1">
        <v>1.66</v>
      </c>
      <c r="AN563" s="1">
        <v>1.66</v>
      </c>
      <c r="AO563" s="6">
        <v>1.2195121951219523E-2</v>
      </c>
      <c r="AP563" s="21" t="s">
        <v>566</v>
      </c>
      <c r="AQ563" s="1">
        <v>10531.66</v>
      </c>
      <c r="AR563" s="6">
        <v>1.4434755853209857E-4</v>
      </c>
    </row>
    <row r="564" spans="2:44" x14ac:dyDescent="0.35">
      <c r="B564" s="21">
        <v>45714</v>
      </c>
      <c r="C564" s="1">
        <v>0.66</v>
      </c>
      <c r="D564" s="1">
        <v>0.66</v>
      </c>
      <c r="E564" s="6">
        <f t="shared" si="127"/>
        <v>-2.9411764705882359E-2</v>
      </c>
      <c r="F564" s="21">
        <v>45714</v>
      </c>
      <c r="G564" s="1">
        <v>13.25</v>
      </c>
      <c r="H564" s="1">
        <v>12.3649</v>
      </c>
      <c r="I564" s="6">
        <f t="shared" si="125"/>
        <v>-1.1195611320362286E-2</v>
      </c>
      <c r="J564" s="21">
        <v>45714</v>
      </c>
      <c r="K564" s="1">
        <v>70</v>
      </c>
      <c r="L564" s="1">
        <v>50.800800000000002</v>
      </c>
      <c r="M564" s="6">
        <f t="shared" si="120"/>
        <v>3.8575946714533238E-2</v>
      </c>
      <c r="N564" s="21">
        <v>45714</v>
      </c>
      <c r="O564" s="1">
        <v>14.6</v>
      </c>
      <c r="P564" s="1">
        <v>13.9445</v>
      </c>
      <c r="Q564" s="6">
        <f t="shared" si="121"/>
        <v>1.4595566032930885E-2</v>
      </c>
      <c r="R564" s="21">
        <v>45714</v>
      </c>
      <c r="S564" s="1">
        <v>6.94</v>
      </c>
      <c r="T564" s="1">
        <v>6.5</v>
      </c>
      <c r="U564" s="6">
        <f t="shared" si="126"/>
        <v>2.8852236434049328E-3</v>
      </c>
      <c r="V564" s="21">
        <v>45714</v>
      </c>
      <c r="W564" s="1">
        <v>5.95</v>
      </c>
      <c r="X564" s="1">
        <v>5.5869999999999997</v>
      </c>
      <c r="Y564" s="6">
        <f t="shared" si="128"/>
        <v>2.5890561880279161E-2</v>
      </c>
      <c r="Z564" s="21">
        <v>45714</v>
      </c>
      <c r="AA564" s="1">
        <v>2.23</v>
      </c>
      <c r="AB564" s="1">
        <v>2.23</v>
      </c>
      <c r="AC564" s="6">
        <f t="shared" si="122"/>
        <v>1.3636363636363447E-2</v>
      </c>
      <c r="AD564" s="21">
        <v>45714</v>
      </c>
      <c r="AE564" s="1">
        <v>8.44</v>
      </c>
      <c r="AF564" s="1">
        <v>8.2062000000000008</v>
      </c>
      <c r="AG564" s="6">
        <f t="shared" si="123"/>
        <v>-3.5456686985452235E-3</v>
      </c>
      <c r="AH564" s="21">
        <v>45714</v>
      </c>
      <c r="AI564" s="1">
        <v>10.75</v>
      </c>
      <c r="AJ564" s="1">
        <v>10.406000000000001</v>
      </c>
      <c r="AK564" s="6">
        <f t="shared" si="124"/>
        <v>9.3896713615022609E-3</v>
      </c>
      <c r="AL564" s="21">
        <v>45714</v>
      </c>
      <c r="AM564" s="1">
        <v>1.72</v>
      </c>
      <c r="AN564" s="1">
        <v>1.72</v>
      </c>
      <c r="AO564" s="6">
        <v>3.6144578313253017E-2</v>
      </c>
      <c r="AP564" s="21" t="s">
        <v>567</v>
      </c>
      <c r="AQ564" s="1">
        <v>10613.6</v>
      </c>
      <c r="AR564" s="6">
        <v>7.7803499163475731E-3</v>
      </c>
    </row>
    <row r="565" spans="2:44" x14ac:dyDescent="0.35">
      <c r="B565" s="21">
        <v>45715</v>
      </c>
      <c r="C565" s="1">
        <v>0.64</v>
      </c>
      <c r="D565" s="1">
        <v>0.64</v>
      </c>
      <c r="E565" s="6">
        <f t="shared" si="127"/>
        <v>-3.0303030303030276E-2</v>
      </c>
      <c r="F565" s="21">
        <v>45715</v>
      </c>
      <c r="G565" s="1">
        <v>13.25</v>
      </c>
      <c r="H565" s="1">
        <v>12.3649</v>
      </c>
      <c r="I565" s="6">
        <f t="shared" si="125"/>
        <v>0</v>
      </c>
      <c r="J565" s="21">
        <v>45715</v>
      </c>
      <c r="K565" s="1">
        <v>71.83</v>
      </c>
      <c r="L565" s="1">
        <v>52.128900000000002</v>
      </c>
      <c r="M565" s="6">
        <f t="shared" si="120"/>
        <v>2.6143289082061649E-2</v>
      </c>
      <c r="N565" s="21">
        <v>45715</v>
      </c>
      <c r="O565" s="1">
        <v>14.8</v>
      </c>
      <c r="P565" s="1">
        <v>14.1355</v>
      </c>
      <c r="Q565" s="6">
        <f t="shared" si="121"/>
        <v>1.3697156585033676E-2</v>
      </c>
      <c r="R565" s="21">
        <v>45715</v>
      </c>
      <c r="S565" s="1">
        <v>7.1</v>
      </c>
      <c r="T565" s="1">
        <v>6.6498999999999997</v>
      </c>
      <c r="U565" s="6">
        <f t="shared" si="126"/>
        <v>2.3061538461538467E-2</v>
      </c>
      <c r="V565" s="21">
        <v>45715</v>
      </c>
      <c r="W565" s="1">
        <v>5.96</v>
      </c>
      <c r="X565" s="1">
        <v>5.5960000000000001</v>
      </c>
      <c r="Y565" s="6">
        <f t="shared" si="128"/>
        <v>1.6108824055844906E-3</v>
      </c>
      <c r="Z565" s="21">
        <v>45715</v>
      </c>
      <c r="AA565" s="1">
        <v>2.2200000000000002</v>
      </c>
      <c r="AB565" s="1">
        <v>2.2200000000000002</v>
      </c>
      <c r="AC565" s="6">
        <f t="shared" si="122"/>
        <v>-4.4843049327353279E-3</v>
      </c>
      <c r="AD565" s="21">
        <v>45715</v>
      </c>
      <c r="AE565" s="1">
        <v>8.73</v>
      </c>
      <c r="AF565" s="1">
        <v>8.4882000000000009</v>
      </c>
      <c r="AG565" s="6">
        <f t="shared" si="123"/>
        <v>3.436426116838498E-2</v>
      </c>
      <c r="AH565" s="21">
        <v>45715</v>
      </c>
      <c r="AI565" s="1">
        <v>10.66</v>
      </c>
      <c r="AJ565" s="1">
        <v>10.318899999999999</v>
      </c>
      <c r="AK565" s="6">
        <f t="shared" si="124"/>
        <v>-8.3701710551605801E-3</v>
      </c>
      <c r="AL565" s="21">
        <v>45715</v>
      </c>
      <c r="AM565" s="1">
        <v>1.74</v>
      </c>
      <c r="AN565" s="1">
        <v>1.74</v>
      </c>
      <c r="AO565" s="6">
        <v>1.1627906976744207E-2</v>
      </c>
      <c r="AP565" s="21" t="s">
        <v>568</v>
      </c>
      <c r="AQ565" s="1">
        <v>10690.92</v>
      </c>
      <c r="AR565" s="6">
        <v>7.2849928393758923E-3</v>
      </c>
    </row>
    <row r="566" spans="2:44" x14ac:dyDescent="0.35">
      <c r="B566" s="21">
        <v>45716</v>
      </c>
      <c r="C566" s="1">
        <v>0.66</v>
      </c>
      <c r="D566" s="1">
        <v>0.66</v>
      </c>
      <c r="E566" s="6">
        <f t="shared" si="127"/>
        <v>3.125E-2</v>
      </c>
      <c r="F566" s="21">
        <v>45716</v>
      </c>
      <c r="G566" s="1">
        <v>13.19</v>
      </c>
      <c r="H566" s="1">
        <v>12.3089</v>
      </c>
      <c r="I566" s="6">
        <f t="shared" si="125"/>
        <v>-4.5289488794896249E-3</v>
      </c>
      <c r="J566" s="21">
        <v>45716</v>
      </c>
      <c r="K566" s="1">
        <v>69.05</v>
      </c>
      <c r="L566" s="1">
        <v>50.111400000000003</v>
      </c>
      <c r="M566" s="6">
        <f t="shared" si="120"/>
        <v>-3.8702140271519192E-2</v>
      </c>
      <c r="N566" s="21">
        <v>45716</v>
      </c>
      <c r="O566" s="1">
        <v>14.7</v>
      </c>
      <c r="P566" s="1">
        <v>14.04</v>
      </c>
      <c r="Q566" s="6">
        <f t="shared" si="121"/>
        <v>-6.7560397580560538E-3</v>
      </c>
      <c r="R566" s="21">
        <v>45716</v>
      </c>
      <c r="S566" s="1">
        <v>7.03</v>
      </c>
      <c r="T566" s="1">
        <v>6.5842999999999998</v>
      </c>
      <c r="U566" s="6">
        <f t="shared" si="126"/>
        <v>-9.8648099971427872E-3</v>
      </c>
      <c r="V566" s="21">
        <v>45716</v>
      </c>
      <c r="W566" s="1">
        <v>5.95</v>
      </c>
      <c r="X566" s="1">
        <v>5.5869999999999997</v>
      </c>
      <c r="Y566" s="6">
        <f t="shared" si="128"/>
        <v>-1.6082916368835853E-3</v>
      </c>
      <c r="Z566" s="21">
        <v>45716</v>
      </c>
      <c r="AA566" s="1">
        <v>2.2000000000000002</v>
      </c>
      <c r="AB566" s="1">
        <v>2.2000000000000002</v>
      </c>
      <c r="AC566" s="6">
        <f t="shared" si="122"/>
        <v>-9.009009009009028E-3</v>
      </c>
      <c r="AD566" s="21">
        <v>45716</v>
      </c>
      <c r="AE566" s="1">
        <v>8.84</v>
      </c>
      <c r="AF566" s="1">
        <v>8.5951000000000004</v>
      </c>
      <c r="AG566" s="6">
        <f t="shared" si="123"/>
        <v>1.259395395961449E-2</v>
      </c>
      <c r="AH566" s="21">
        <v>45716</v>
      </c>
      <c r="AI566" s="1">
        <v>10.65</v>
      </c>
      <c r="AJ566" s="1">
        <v>10.309200000000001</v>
      </c>
      <c r="AK566" s="6">
        <f t="shared" si="124"/>
        <v>-9.4002267683557239E-4</v>
      </c>
      <c r="AL566" s="21">
        <v>45716</v>
      </c>
      <c r="AM566" s="1">
        <v>1.75</v>
      </c>
      <c r="AN566" s="1">
        <v>1.75</v>
      </c>
      <c r="AO566" s="6">
        <v>5.7471264367816577E-3</v>
      </c>
      <c r="AP566" s="21" t="s">
        <v>569</v>
      </c>
      <c r="AQ566" s="1">
        <v>10627.53</v>
      </c>
      <c r="AR566" s="6">
        <v>-5.9293306843564153E-3</v>
      </c>
    </row>
    <row r="567" spans="2:44" x14ac:dyDescent="0.35">
      <c r="B567" s="21">
        <v>45719</v>
      </c>
      <c r="C567" s="1">
        <v>0.64</v>
      </c>
      <c r="D567" s="1">
        <v>0.64</v>
      </c>
      <c r="E567" s="6">
        <f t="shared" si="127"/>
        <v>-3.0303030303030276E-2</v>
      </c>
      <c r="F567" s="21">
        <v>45719</v>
      </c>
      <c r="G567" s="1">
        <v>13.17</v>
      </c>
      <c r="H567" s="1">
        <v>12.2902</v>
      </c>
      <c r="I567" s="6">
        <f t="shared" si="125"/>
        <v>-1.5192259259559915E-3</v>
      </c>
      <c r="J567" s="21">
        <v>45719</v>
      </c>
      <c r="K567" s="1">
        <v>68</v>
      </c>
      <c r="L567" s="1">
        <v>49.349400000000003</v>
      </c>
      <c r="M567" s="6">
        <f t="shared" si="120"/>
        <v>-1.5206120762940145E-2</v>
      </c>
      <c r="N567" s="21">
        <v>45719</v>
      </c>
      <c r="O567" s="1">
        <v>14.83</v>
      </c>
      <c r="P567" s="1">
        <v>14.164099999999999</v>
      </c>
      <c r="Q567" s="6">
        <f t="shared" si="121"/>
        <v>8.8390313390314112E-3</v>
      </c>
      <c r="R567" s="21">
        <v>45719</v>
      </c>
      <c r="S567" s="1">
        <v>7.03</v>
      </c>
      <c r="T567" s="1">
        <v>6.5842999999999998</v>
      </c>
      <c r="U567" s="6">
        <f t="shared" si="126"/>
        <v>0</v>
      </c>
      <c r="V567" s="21">
        <v>45719</v>
      </c>
      <c r="W567" s="1">
        <v>5.95</v>
      </c>
      <c r="X567" s="1">
        <v>5.5869999999999997</v>
      </c>
      <c r="Y567" s="6">
        <f t="shared" si="128"/>
        <v>0</v>
      </c>
      <c r="Z567" s="21">
        <v>45719</v>
      </c>
      <c r="AA567" s="1">
        <v>2.19</v>
      </c>
      <c r="AB567" s="1">
        <v>2.19</v>
      </c>
      <c r="AC567" s="6">
        <f t="shared" si="122"/>
        <v>-4.5454545454546302E-3</v>
      </c>
      <c r="AD567" s="21">
        <v>45719</v>
      </c>
      <c r="AE567" s="1">
        <v>8.8699999999999992</v>
      </c>
      <c r="AF567" s="1">
        <v>8.6242999999999999</v>
      </c>
      <c r="AG567" s="6">
        <f t="shared" si="123"/>
        <v>3.3972844993077622E-3</v>
      </c>
      <c r="AH567" s="21">
        <v>45719</v>
      </c>
      <c r="AI567" s="1">
        <v>10.75</v>
      </c>
      <c r="AJ567" s="1">
        <v>10.406000000000001</v>
      </c>
      <c r="AK567" s="6">
        <f t="shared" si="124"/>
        <v>9.3896713615022609E-3</v>
      </c>
      <c r="AL567" s="21">
        <v>45719</v>
      </c>
      <c r="AM567" s="1">
        <v>1.76</v>
      </c>
      <c r="AN567" s="1">
        <v>1.76</v>
      </c>
      <c r="AO567" s="6">
        <v>5.7142857142857828E-3</v>
      </c>
      <c r="AP567" s="21" t="s">
        <v>570</v>
      </c>
      <c r="AQ567" s="1">
        <v>10650.63</v>
      </c>
      <c r="AR567" s="6">
        <v>2.1736000745233852E-3</v>
      </c>
    </row>
    <row r="568" spans="2:44" x14ac:dyDescent="0.35">
      <c r="B568" s="21">
        <v>45720</v>
      </c>
      <c r="C568" s="1">
        <v>0.66</v>
      </c>
      <c r="D568" s="1">
        <v>0.66</v>
      </c>
      <c r="E568" s="6">
        <f t="shared" si="127"/>
        <v>3.125E-2</v>
      </c>
      <c r="F568" s="21">
        <v>45720</v>
      </c>
      <c r="G568" s="1">
        <v>13.2</v>
      </c>
      <c r="H568" s="1">
        <v>12.318199999999999</v>
      </c>
      <c r="I568" s="6">
        <f t="shared" si="125"/>
        <v>2.2782379456802726E-3</v>
      </c>
      <c r="J568" s="21">
        <v>45720</v>
      </c>
      <c r="K568" s="1">
        <v>68.97</v>
      </c>
      <c r="L568" s="1">
        <v>50.0533</v>
      </c>
      <c r="M568" s="6">
        <f t="shared" si="120"/>
        <v>1.4263597936347683E-2</v>
      </c>
      <c r="N568" s="21">
        <v>45720</v>
      </c>
      <c r="O568" s="1">
        <v>15.44</v>
      </c>
      <c r="P568" s="1">
        <v>14.746700000000001</v>
      </c>
      <c r="Q568" s="6">
        <f t="shared" si="121"/>
        <v>4.1132158061578217E-2</v>
      </c>
      <c r="R568" s="21">
        <v>45720</v>
      </c>
      <c r="S568" s="1">
        <v>7.1</v>
      </c>
      <c r="T568" s="1">
        <v>6.6498999999999997</v>
      </c>
      <c r="U568" s="6">
        <f t="shared" si="126"/>
        <v>9.9630940266999257E-3</v>
      </c>
      <c r="V568" s="21">
        <v>45720</v>
      </c>
      <c r="W568" s="1">
        <v>5.85</v>
      </c>
      <c r="X568" s="1">
        <v>5.4930000000000003</v>
      </c>
      <c r="Y568" s="6">
        <f t="shared" si="128"/>
        <v>-1.6824771791659088E-2</v>
      </c>
      <c r="Z568" s="21">
        <v>45720</v>
      </c>
      <c r="AA568" s="1">
        <v>2.21</v>
      </c>
      <c r="AB568" s="1">
        <v>2.21</v>
      </c>
      <c r="AC568" s="6">
        <f t="shared" si="122"/>
        <v>9.1324200913243114E-3</v>
      </c>
      <c r="AD568" s="21">
        <v>45720</v>
      </c>
      <c r="AE568" s="1">
        <v>8.85</v>
      </c>
      <c r="AF568" s="1">
        <v>8.6049000000000007</v>
      </c>
      <c r="AG568" s="6">
        <f t="shared" si="123"/>
        <v>-2.2494579270200266E-3</v>
      </c>
      <c r="AH568" s="21">
        <v>45720</v>
      </c>
      <c r="AI568" s="1">
        <v>10.85</v>
      </c>
      <c r="AJ568" s="1">
        <v>10.502800000000001</v>
      </c>
      <c r="AK568" s="6">
        <f t="shared" si="124"/>
        <v>9.302325581395321E-3</v>
      </c>
      <c r="AL568" s="21">
        <v>45720</v>
      </c>
      <c r="AM568" s="1">
        <v>1.77</v>
      </c>
      <c r="AN568" s="1">
        <v>1.77</v>
      </c>
      <c r="AO568" s="6">
        <v>5.6818181818181213E-3</v>
      </c>
      <c r="AP568" s="21" t="s">
        <v>571</v>
      </c>
      <c r="AQ568" s="1">
        <v>10712.39</v>
      </c>
      <c r="AR568" s="6">
        <v>5.7987180101084501E-3</v>
      </c>
    </row>
    <row r="569" spans="2:44" x14ac:dyDescent="0.35">
      <c r="B569" s="21">
        <v>45721</v>
      </c>
      <c r="C569" s="1">
        <v>0.64</v>
      </c>
      <c r="D569" s="1">
        <v>0.64</v>
      </c>
      <c r="E569" s="6">
        <f t="shared" si="127"/>
        <v>-3.0303030303030276E-2</v>
      </c>
      <c r="F569" s="21">
        <v>45721</v>
      </c>
      <c r="G569" s="1">
        <v>13.44</v>
      </c>
      <c r="H569" s="1">
        <v>12.542199999999999</v>
      </c>
      <c r="I569" s="6">
        <f t="shared" si="125"/>
        <v>1.8184475004464851E-2</v>
      </c>
      <c r="J569" s="21">
        <v>45721</v>
      </c>
      <c r="K569" s="1">
        <v>69.89</v>
      </c>
      <c r="L569" s="1">
        <v>50.720999999999997</v>
      </c>
      <c r="M569" s="6">
        <f t="shared" si="120"/>
        <v>1.3339779794738771E-2</v>
      </c>
      <c r="N569" s="21">
        <v>45721</v>
      </c>
      <c r="O569" s="1">
        <v>14.9</v>
      </c>
      <c r="P569" s="1">
        <v>14.231</v>
      </c>
      <c r="Q569" s="6">
        <f t="shared" si="121"/>
        <v>-3.4970535780886602E-2</v>
      </c>
      <c r="R569" s="21">
        <v>45721</v>
      </c>
      <c r="S569" s="1">
        <v>7.18</v>
      </c>
      <c r="T569" s="1">
        <v>6.7248000000000001</v>
      </c>
      <c r="U569" s="6">
        <f t="shared" si="126"/>
        <v>1.1263327268079326E-2</v>
      </c>
      <c r="V569" s="21">
        <v>45721</v>
      </c>
      <c r="W569" s="1">
        <v>5.82</v>
      </c>
      <c r="X569" s="1">
        <v>5.4649999999999999</v>
      </c>
      <c r="Y569" s="6">
        <f t="shared" si="128"/>
        <v>-5.0973966866922904E-3</v>
      </c>
      <c r="Z569" s="21">
        <v>45721</v>
      </c>
      <c r="AA569" s="1">
        <v>2.2200000000000002</v>
      </c>
      <c r="AB569" s="1">
        <v>2.2200000000000002</v>
      </c>
      <c r="AC569" s="6">
        <f t="shared" si="122"/>
        <v>4.5248868778282603E-3</v>
      </c>
      <c r="AD569" s="21">
        <v>45721</v>
      </c>
      <c r="AE569" s="1">
        <v>8.83</v>
      </c>
      <c r="AF569" s="1">
        <v>8.5853999999999999</v>
      </c>
      <c r="AG569" s="6">
        <f t="shared" si="123"/>
        <v>-2.2661506815885302E-3</v>
      </c>
      <c r="AH569" s="21">
        <v>45721</v>
      </c>
      <c r="AI569" s="1">
        <v>10.8</v>
      </c>
      <c r="AJ569" s="1">
        <v>10.4544</v>
      </c>
      <c r="AK569" s="6">
        <f t="shared" si="124"/>
        <v>-4.6082949308756671E-3</v>
      </c>
      <c r="AL569" s="21">
        <v>45721</v>
      </c>
      <c r="AM569" s="1">
        <v>1.77</v>
      </c>
      <c r="AN569" s="1">
        <v>1.77</v>
      </c>
      <c r="AO569" s="6">
        <v>0</v>
      </c>
      <c r="AP569" s="21" t="s">
        <v>572</v>
      </c>
      <c r="AQ569" s="1">
        <v>10725.13</v>
      </c>
      <c r="AR569" s="6">
        <v>1.1892770894263993E-3</v>
      </c>
    </row>
    <row r="570" spans="2:44" x14ac:dyDescent="0.35">
      <c r="B570" s="21">
        <v>45722</v>
      </c>
      <c r="C570" s="1">
        <v>0.66</v>
      </c>
      <c r="D570" s="1">
        <v>0.66</v>
      </c>
      <c r="E570" s="6">
        <f t="shared" si="127"/>
        <v>3.125E-2</v>
      </c>
      <c r="F570" s="21">
        <v>45722</v>
      </c>
      <c r="G570" s="1">
        <v>13.44</v>
      </c>
      <c r="H570" s="1">
        <v>12.542199999999999</v>
      </c>
      <c r="I570" s="6">
        <f t="shared" si="125"/>
        <v>0</v>
      </c>
      <c r="J570" s="21">
        <v>45722</v>
      </c>
      <c r="K570" s="1">
        <v>70.5</v>
      </c>
      <c r="L570" s="1">
        <v>51.163699999999999</v>
      </c>
      <c r="M570" s="6">
        <f t="shared" si="120"/>
        <v>8.72814021805568E-3</v>
      </c>
      <c r="N570" s="21">
        <v>45722</v>
      </c>
      <c r="O570" s="1">
        <v>14.68</v>
      </c>
      <c r="P570" s="1">
        <v>14.020899999999999</v>
      </c>
      <c r="Q570" s="6">
        <f t="shared" si="121"/>
        <v>-1.4763544374956084E-2</v>
      </c>
      <c r="R570" s="21">
        <v>45722</v>
      </c>
      <c r="S570" s="1">
        <v>7.15</v>
      </c>
      <c r="T570" s="1">
        <v>6.6966999999999999</v>
      </c>
      <c r="U570" s="6">
        <f t="shared" si="126"/>
        <v>-4.1785629312396377E-3</v>
      </c>
      <c r="V570" s="21">
        <v>45722</v>
      </c>
      <c r="W570" s="1">
        <v>5.77</v>
      </c>
      <c r="X570" s="1">
        <v>5.4180000000000001</v>
      </c>
      <c r="Y570" s="6">
        <f t="shared" si="128"/>
        <v>-8.6001829826165554E-3</v>
      </c>
      <c r="Z570" s="21">
        <v>45722</v>
      </c>
      <c r="AA570" s="1">
        <v>2.2400000000000002</v>
      </c>
      <c r="AB570" s="1">
        <v>2.2400000000000002</v>
      </c>
      <c r="AC570" s="6">
        <f t="shared" si="122"/>
        <v>9.009009009008917E-3</v>
      </c>
      <c r="AD570" s="21">
        <v>45722</v>
      </c>
      <c r="AE570" s="1">
        <v>8.83</v>
      </c>
      <c r="AF570" s="1">
        <v>8.5853999999999999</v>
      </c>
      <c r="AG570" s="6">
        <f t="shared" si="123"/>
        <v>0</v>
      </c>
      <c r="AH570" s="21">
        <v>45722</v>
      </c>
      <c r="AI570" s="1">
        <v>10.6</v>
      </c>
      <c r="AJ570" s="1">
        <v>10.2608</v>
      </c>
      <c r="AK570" s="6">
        <f t="shared" si="124"/>
        <v>-1.851851851851849E-2</v>
      </c>
      <c r="AL570" s="21">
        <v>45722</v>
      </c>
      <c r="AM570" s="1">
        <v>1.77</v>
      </c>
      <c r="AN570" s="1">
        <v>1.77</v>
      </c>
      <c r="AO570" s="6">
        <v>0</v>
      </c>
      <c r="AP570" s="21" t="s">
        <v>573</v>
      </c>
      <c r="AQ570" s="1">
        <v>10739.61</v>
      </c>
      <c r="AR570" s="6">
        <v>1.3501001852660455E-3</v>
      </c>
    </row>
    <row r="571" spans="2:44" x14ac:dyDescent="0.35">
      <c r="B571" s="21">
        <v>45723</v>
      </c>
      <c r="C571" s="1">
        <v>0.65</v>
      </c>
      <c r="D571" s="1">
        <v>0.65</v>
      </c>
      <c r="E571" s="6">
        <f t="shared" si="127"/>
        <v>-1.5151515151515138E-2</v>
      </c>
      <c r="F571" s="21">
        <v>45723</v>
      </c>
      <c r="G571" s="1">
        <v>13.28</v>
      </c>
      <c r="H571" s="1">
        <v>12.392899999999999</v>
      </c>
      <c r="I571" s="6">
        <f t="shared" si="125"/>
        <v>-1.190381272822949E-2</v>
      </c>
      <c r="J571" s="21">
        <v>45723</v>
      </c>
      <c r="K571" s="1">
        <v>68.400000000000006</v>
      </c>
      <c r="L571" s="1">
        <v>49.639699999999998</v>
      </c>
      <c r="M571" s="6">
        <f t="shared" si="120"/>
        <v>-2.9786743335607047E-2</v>
      </c>
      <c r="N571" s="21">
        <v>45723</v>
      </c>
      <c r="O571" s="1">
        <v>14.2</v>
      </c>
      <c r="P571" s="1">
        <v>13.5624</v>
      </c>
      <c r="Q571" s="6">
        <f t="shared" si="121"/>
        <v>-3.2701181807159196E-2</v>
      </c>
      <c r="R571" s="21">
        <v>45723</v>
      </c>
      <c r="S571" s="1">
        <v>7.18</v>
      </c>
      <c r="T571" s="1">
        <v>6.7248000000000001</v>
      </c>
      <c r="U571" s="6">
        <f t="shared" si="126"/>
        <v>4.1960965848850673E-3</v>
      </c>
      <c r="V571" s="21">
        <v>45723</v>
      </c>
      <c r="W571" s="1">
        <v>5.77</v>
      </c>
      <c r="X571" s="1">
        <v>5.4180000000000001</v>
      </c>
      <c r="Y571" s="6">
        <f t="shared" si="128"/>
        <v>0</v>
      </c>
      <c r="Z571" s="21">
        <v>45723</v>
      </c>
      <c r="AA571" s="1">
        <v>2.2200000000000002</v>
      </c>
      <c r="AB571" s="1">
        <v>2.2200000000000002</v>
      </c>
      <c r="AC571" s="6">
        <f t="shared" si="122"/>
        <v>-8.9285714285713969E-3</v>
      </c>
      <c r="AD571" s="21">
        <v>45723</v>
      </c>
      <c r="AE571" s="1">
        <v>8.8000000000000007</v>
      </c>
      <c r="AF571" s="1">
        <v>8.5562000000000005</v>
      </c>
      <c r="AG571" s="6">
        <f t="shared" si="123"/>
        <v>-3.4011228364432267E-3</v>
      </c>
      <c r="AH571" s="21">
        <v>45723</v>
      </c>
      <c r="AI571" s="1">
        <v>10.6</v>
      </c>
      <c r="AJ571" s="1">
        <v>10.2608</v>
      </c>
      <c r="AK571" s="6">
        <f t="shared" si="124"/>
        <v>0</v>
      </c>
      <c r="AL571" s="21">
        <v>45723</v>
      </c>
      <c r="AM571" s="1">
        <v>1.77</v>
      </c>
      <c r="AN571" s="1">
        <v>1.77</v>
      </c>
      <c r="AO571" s="6">
        <v>0</v>
      </c>
      <c r="AP571" s="21" t="s">
        <v>574</v>
      </c>
      <c r="AQ571" s="1">
        <v>10658.33</v>
      </c>
      <c r="AR571" s="6">
        <v>-7.5682450293819148E-3</v>
      </c>
    </row>
    <row r="572" spans="2:44" x14ac:dyDescent="0.35">
      <c r="B572" s="21">
        <v>45726</v>
      </c>
      <c r="C572" s="1">
        <v>0.67</v>
      </c>
      <c r="D572" s="1">
        <v>0.67</v>
      </c>
      <c r="E572" s="6">
        <f t="shared" si="127"/>
        <v>3.0769230769230882E-2</v>
      </c>
      <c r="F572" s="21">
        <v>45726</v>
      </c>
      <c r="G572" s="1">
        <v>13.35</v>
      </c>
      <c r="H572" s="1">
        <v>12.4582</v>
      </c>
      <c r="I572" s="6">
        <f t="shared" si="125"/>
        <v>5.2691460432989778E-3</v>
      </c>
      <c r="J572" s="21">
        <v>45726</v>
      </c>
      <c r="K572" s="1">
        <v>68.98</v>
      </c>
      <c r="L572" s="1">
        <v>50.060600000000001</v>
      </c>
      <c r="M572" s="6">
        <f t="shared" si="120"/>
        <v>8.4791003974642454E-3</v>
      </c>
      <c r="N572" s="21">
        <v>45726</v>
      </c>
      <c r="O572" s="1">
        <v>14.79</v>
      </c>
      <c r="P572" s="1">
        <v>14.1259</v>
      </c>
      <c r="Q572" s="6">
        <f t="shared" si="121"/>
        <v>4.1548693446587626E-2</v>
      </c>
      <c r="R572" s="21">
        <v>45726</v>
      </c>
      <c r="S572" s="1">
        <v>7.34</v>
      </c>
      <c r="T572" s="1">
        <v>6.8746</v>
      </c>
      <c r="U572" s="6">
        <f t="shared" si="126"/>
        <v>2.2275755412800358E-2</v>
      </c>
      <c r="V572" s="21">
        <v>45726</v>
      </c>
      <c r="W572" s="1">
        <v>5.77</v>
      </c>
      <c r="X572" s="1">
        <v>5.4180000000000001</v>
      </c>
      <c r="Y572" s="6">
        <f t="shared" si="128"/>
        <v>0</v>
      </c>
      <c r="Z572" s="21">
        <v>45726</v>
      </c>
      <c r="AA572" s="1">
        <v>2.1800000000000002</v>
      </c>
      <c r="AB572" s="1">
        <v>2.1800000000000002</v>
      </c>
      <c r="AC572" s="6">
        <f t="shared" si="122"/>
        <v>-1.8018018018018056E-2</v>
      </c>
      <c r="AD572" s="21">
        <v>45726</v>
      </c>
      <c r="AE572" s="1">
        <v>9.1999999999999993</v>
      </c>
      <c r="AF572" s="1">
        <v>8.9451999999999998</v>
      </c>
      <c r="AG572" s="6">
        <f t="shared" si="123"/>
        <v>4.5464107898365969E-2</v>
      </c>
      <c r="AH572" s="21">
        <v>45726</v>
      </c>
      <c r="AI572" s="1">
        <v>10.75</v>
      </c>
      <c r="AJ572" s="1">
        <v>10.406000000000001</v>
      </c>
      <c r="AK572" s="6">
        <f t="shared" si="124"/>
        <v>1.4150943396226578E-2</v>
      </c>
      <c r="AL572" s="21">
        <v>45726</v>
      </c>
      <c r="AM572" s="1">
        <v>1.7</v>
      </c>
      <c r="AN572" s="1">
        <v>1.7</v>
      </c>
      <c r="AO572" s="6">
        <v>-3.9548022598870136E-2</v>
      </c>
      <c r="AP572" s="21" t="s">
        <v>575</v>
      </c>
      <c r="AQ572" s="1">
        <v>10697.54</v>
      </c>
      <c r="AR572" s="6">
        <v>3.6788127220681588E-3</v>
      </c>
    </row>
    <row r="573" spans="2:44" x14ac:dyDescent="0.35">
      <c r="B573" s="21">
        <v>45727</v>
      </c>
      <c r="C573" s="1">
        <v>0.7</v>
      </c>
      <c r="D573" s="1">
        <v>0.7</v>
      </c>
      <c r="E573" s="6">
        <f t="shared" si="127"/>
        <v>4.4776119402984982E-2</v>
      </c>
      <c r="F573" s="21">
        <v>45727</v>
      </c>
      <c r="G573" s="1">
        <v>13.2</v>
      </c>
      <c r="H573" s="1">
        <v>12.318199999999999</v>
      </c>
      <c r="I573" s="6">
        <f t="shared" si="125"/>
        <v>-1.1237578462378273E-2</v>
      </c>
      <c r="J573" s="21">
        <v>45727</v>
      </c>
      <c r="K573" s="1">
        <v>68.489999999999995</v>
      </c>
      <c r="L573" s="1">
        <v>49.704999999999998</v>
      </c>
      <c r="M573" s="6">
        <f t="shared" si="120"/>
        <v>-7.1033906904831579E-3</v>
      </c>
      <c r="N573" s="21">
        <v>45727</v>
      </c>
      <c r="O573" s="1">
        <v>14.55</v>
      </c>
      <c r="P573" s="1">
        <v>13.896699999999999</v>
      </c>
      <c r="Q573" s="6">
        <f t="shared" si="121"/>
        <v>-1.6225514834453114E-2</v>
      </c>
      <c r="R573" s="21">
        <v>45727</v>
      </c>
      <c r="S573" s="1">
        <v>7.35</v>
      </c>
      <c r="T573" s="1">
        <v>6.8840000000000003</v>
      </c>
      <c r="U573" s="6">
        <f t="shared" si="126"/>
        <v>1.367352282314549E-3</v>
      </c>
      <c r="V573" s="21">
        <v>45727</v>
      </c>
      <c r="W573" s="1">
        <v>5.9</v>
      </c>
      <c r="X573" s="1">
        <v>5.54</v>
      </c>
      <c r="Y573" s="6">
        <f t="shared" si="128"/>
        <v>2.2517534145441109E-2</v>
      </c>
      <c r="Z573" s="21">
        <v>45727</v>
      </c>
      <c r="AA573" s="1">
        <v>2.17</v>
      </c>
      <c r="AB573" s="1">
        <v>2.17</v>
      </c>
      <c r="AC573" s="6">
        <f t="shared" si="122"/>
        <v>-4.5871559633028358E-3</v>
      </c>
      <c r="AD573" s="21">
        <v>45727</v>
      </c>
      <c r="AE573" s="1">
        <v>9.1999999999999993</v>
      </c>
      <c r="AF573" s="1">
        <v>8.9451999999999998</v>
      </c>
      <c r="AG573" s="6">
        <f t="shared" si="123"/>
        <v>0</v>
      </c>
      <c r="AH573" s="21">
        <v>45727</v>
      </c>
      <c r="AI573" s="1">
        <v>10.78</v>
      </c>
      <c r="AJ573" s="1">
        <v>10.435</v>
      </c>
      <c r="AK573" s="6">
        <f t="shared" si="124"/>
        <v>2.7868537382278458E-3</v>
      </c>
      <c r="AL573" s="21">
        <v>45727</v>
      </c>
      <c r="AM573" s="1">
        <v>1.64</v>
      </c>
      <c r="AN573" s="1">
        <v>1.64</v>
      </c>
      <c r="AO573" s="6">
        <v>-3.5294117647058809E-2</v>
      </c>
      <c r="AP573" s="21" t="s">
        <v>576</v>
      </c>
      <c r="AQ573" s="1">
        <v>10651.03</v>
      </c>
      <c r="AR573" s="6">
        <v>-4.3477285431977597E-3</v>
      </c>
    </row>
    <row r="574" spans="2:44" x14ac:dyDescent="0.35">
      <c r="B574" s="21">
        <v>45728</v>
      </c>
      <c r="C574" s="1">
        <v>0.73</v>
      </c>
      <c r="D574" s="1">
        <v>0.73</v>
      </c>
      <c r="E574" s="6">
        <f t="shared" si="127"/>
        <v>4.2857142857142927E-2</v>
      </c>
      <c r="F574" s="21">
        <v>45728</v>
      </c>
      <c r="G574" s="1">
        <v>13.2</v>
      </c>
      <c r="H574" s="1">
        <v>12.318199999999999</v>
      </c>
      <c r="I574" s="6">
        <f t="shared" si="125"/>
        <v>0</v>
      </c>
      <c r="J574" s="21">
        <v>45728</v>
      </c>
      <c r="K574" s="1">
        <v>72.48</v>
      </c>
      <c r="L574" s="1">
        <v>52.6006</v>
      </c>
      <c r="M574" s="6">
        <f t="shared" si="120"/>
        <v>5.8255708681219209E-2</v>
      </c>
      <c r="N574" s="21">
        <v>45728</v>
      </c>
      <c r="O574" s="1">
        <v>14.75</v>
      </c>
      <c r="P574" s="1">
        <v>14.0877</v>
      </c>
      <c r="Q574" s="6">
        <f t="shared" si="121"/>
        <v>1.3744270222426858E-2</v>
      </c>
      <c r="R574" s="21">
        <v>45728</v>
      </c>
      <c r="S574" s="1">
        <v>7.36</v>
      </c>
      <c r="T574" s="1">
        <v>6.8933999999999997</v>
      </c>
      <c r="U574" s="6">
        <f t="shared" si="126"/>
        <v>1.3654851830331438E-3</v>
      </c>
      <c r="V574" s="21">
        <v>45728</v>
      </c>
      <c r="W574" s="1">
        <v>5.77</v>
      </c>
      <c r="X574" s="1">
        <v>5.4180000000000001</v>
      </c>
      <c r="Y574" s="6">
        <f t="shared" si="128"/>
        <v>-2.2021660649819474E-2</v>
      </c>
      <c r="Z574" s="21">
        <v>45728</v>
      </c>
      <c r="AA574" s="1">
        <v>2.2200000000000002</v>
      </c>
      <c r="AB574" s="1">
        <v>2.2200000000000002</v>
      </c>
      <c r="AC574" s="6">
        <f t="shared" si="122"/>
        <v>2.3041474654378113E-2</v>
      </c>
      <c r="AD574" s="21">
        <v>45728</v>
      </c>
      <c r="AE574" s="1">
        <v>9.59</v>
      </c>
      <c r="AF574" s="1">
        <v>9.3244000000000007</v>
      </c>
      <c r="AG574" s="6">
        <f t="shared" si="123"/>
        <v>4.2391450163216104E-2</v>
      </c>
      <c r="AH574" s="21">
        <v>45728</v>
      </c>
      <c r="AI574" s="1">
        <v>11.15</v>
      </c>
      <c r="AJ574" s="1">
        <v>10.793200000000001</v>
      </c>
      <c r="AK574" s="6">
        <f t="shared" si="124"/>
        <v>3.4326784858648818E-2</v>
      </c>
      <c r="AL574" s="21">
        <v>45728</v>
      </c>
      <c r="AM574" s="1">
        <v>1.64</v>
      </c>
      <c r="AN574" s="1">
        <v>1.64</v>
      </c>
      <c r="AO574" s="6">
        <v>0</v>
      </c>
      <c r="AP574" s="21" t="s">
        <v>577</v>
      </c>
      <c r="AQ574" s="1">
        <v>10805.13</v>
      </c>
      <c r="AR574" s="6">
        <v>1.4468084307339257E-2</v>
      </c>
    </row>
    <row r="575" spans="2:44" x14ac:dyDescent="0.35">
      <c r="B575" s="21">
        <v>45729</v>
      </c>
      <c r="C575" s="1">
        <v>0.73</v>
      </c>
      <c r="D575" s="1">
        <v>0.73</v>
      </c>
      <c r="E575" s="6">
        <f t="shared" si="127"/>
        <v>0</v>
      </c>
      <c r="F575" s="21">
        <v>45729</v>
      </c>
      <c r="G575" s="1">
        <v>13.8</v>
      </c>
      <c r="H575" s="1">
        <v>12.8782</v>
      </c>
      <c r="I575" s="6">
        <f t="shared" si="125"/>
        <v>4.5461187511162349E-2</v>
      </c>
      <c r="J575" s="21">
        <v>45729</v>
      </c>
      <c r="K575" s="1">
        <v>72.3</v>
      </c>
      <c r="L575" s="1">
        <v>52.47</v>
      </c>
      <c r="M575" s="6">
        <f t="shared" si="120"/>
        <v>-2.4828614122273107E-3</v>
      </c>
      <c r="N575" s="21">
        <v>45729</v>
      </c>
      <c r="O575" s="1">
        <v>14.65</v>
      </c>
      <c r="P575" s="1">
        <v>13.9922</v>
      </c>
      <c r="Q575" s="6">
        <f t="shared" si="121"/>
        <v>-6.7789632090404783E-3</v>
      </c>
      <c r="R575" s="21">
        <v>45729</v>
      </c>
      <c r="S575" s="1">
        <v>7.34</v>
      </c>
      <c r="T575" s="1">
        <v>6.8746</v>
      </c>
      <c r="U575" s="6">
        <f t="shared" si="126"/>
        <v>-2.7272463515826129E-3</v>
      </c>
      <c r="V575" s="21">
        <v>45729</v>
      </c>
      <c r="W575" s="1">
        <v>5.8</v>
      </c>
      <c r="X575" s="1">
        <v>5.4459999999999997</v>
      </c>
      <c r="Y575" s="6">
        <f t="shared" si="128"/>
        <v>5.1679586563306845E-3</v>
      </c>
      <c r="Z575" s="21">
        <v>45729</v>
      </c>
      <c r="AA575" s="1">
        <v>2.2000000000000002</v>
      </c>
      <c r="AB575" s="1">
        <v>2.2000000000000002</v>
      </c>
      <c r="AC575" s="6">
        <f t="shared" si="122"/>
        <v>-9.009009009009028E-3</v>
      </c>
      <c r="AD575" s="21">
        <v>45729</v>
      </c>
      <c r="AE575" s="1">
        <v>9.57</v>
      </c>
      <c r="AF575" s="1">
        <v>9.3048999999999999</v>
      </c>
      <c r="AG575" s="6">
        <f t="shared" si="123"/>
        <v>-2.0912873750590366E-3</v>
      </c>
      <c r="AH575" s="21">
        <v>45729</v>
      </c>
      <c r="AI575" s="1">
        <v>11.39</v>
      </c>
      <c r="AJ575" s="1">
        <v>11.025499999999999</v>
      </c>
      <c r="AK575" s="6">
        <f t="shared" si="124"/>
        <v>2.1522810658562763E-2</v>
      </c>
      <c r="AL575" s="21">
        <v>45729</v>
      </c>
      <c r="AM575" s="1">
        <v>1.6</v>
      </c>
      <c r="AN575" s="1">
        <v>1.6</v>
      </c>
      <c r="AO575" s="6">
        <v>-2.4390243902438935E-2</v>
      </c>
      <c r="AP575" s="21" t="s">
        <v>578</v>
      </c>
      <c r="AQ575" s="1">
        <v>10819.91</v>
      </c>
      <c r="AR575" s="6">
        <v>1.3678687808476031E-3</v>
      </c>
    </row>
    <row r="576" spans="2:44" x14ac:dyDescent="0.35">
      <c r="B576" s="21">
        <v>45730</v>
      </c>
      <c r="C576" s="1">
        <v>0.73</v>
      </c>
      <c r="D576" s="1">
        <v>0.73</v>
      </c>
      <c r="E576" s="6">
        <f t="shared" si="127"/>
        <v>0</v>
      </c>
      <c r="F576" s="21">
        <v>45730</v>
      </c>
      <c r="G576" s="1">
        <v>13.8</v>
      </c>
      <c r="H576" s="1">
        <v>12.8782</v>
      </c>
      <c r="I576" s="6">
        <f t="shared" si="125"/>
        <v>0</v>
      </c>
      <c r="J576" s="21">
        <v>45730</v>
      </c>
      <c r="K576" s="1">
        <v>69.599999999999994</v>
      </c>
      <c r="L576" s="1">
        <v>50.5105</v>
      </c>
      <c r="M576" s="6">
        <f t="shared" si="120"/>
        <v>-3.7345149609300576E-2</v>
      </c>
      <c r="N576" s="21">
        <v>45730</v>
      </c>
      <c r="O576" s="1">
        <v>14.79</v>
      </c>
      <c r="P576" s="1">
        <v>14.1259</v>
      </c>
      <c r="Q576" s="6">
        <f t="shared" si="121"/>
        <v>9.5553236803360697E-3</v>
      </c>
      <c r="R576" s="21">
        <v>45730</v>
      </c>
      <c r="S576" s="1">
        <v>7.32</v>
      </c>
      <c r="T576" s="1">
        <v>6.8559000000000001</v>
      </c>
      <c r="U576" s="6">
        <f t="shared" si="126"/>
        <v>-2.7201582637534916E-3</v>
      </c>
      <c r="V576" s="21">
        <v>45730</v>
      </c>
      <c r="W576" s="1">
        <v>5.75</v>
      </c>
      <c r="X576" s="1">
        <v>5.399</v>
      </c>
      <c r="Y576" s="6">
        <f t="shared" si="128"/>
        <v>-8.6301872934263502E-3</v>
      </c>
      <c r="Z576" s="21">
        <v>45730</v>
      </c>
      <c r="AA576" s="1">
        <v>2.19</v>
      </c>
      <c r="AB576" s="1">
        <v>2.19</v>
      </c>
      <c r="AC576" s="6">
        <f t="shared" si="122"/>
        <v>-4.5454545454546302E-3</v>
      </c>
      <c r="AD576" s="21">
        <v>45730</v>
      </c>
      <c r="AE576" s="1">
        <v>10</v>
      </c>
      <c r="AF576" s="1">
        <v>9.7230000000000008</v>
      </c>
      <c r="AG576" s="6">
        <f t="shared" si="123"/>
        <v>4.4933314705155381E-2</v>
      </c>
      <c r="AH576" s="21">
        <v>45730</v>
      </c>
      <c r="AI576" s="1">
        <v>11.4</v>
      </c>
      <c r="AJ576" s="1">
        <v>11.0352</v>
      </c>
      <c r="AK576" s="6">
        <f t="shared" si="124"/>
        <v>8.7977869484379134E-4</v>
      </c>
      <c r="AL576" s="21">
        <v>45730</v>
      </c>
      <c r="AM576" s="1">
        <v>1.56</v>
      </c>
      <c r="AN576" s="1">
        <v>1.56</v>
      </c>
      <c r="AO576" s="6">
        <v>-2.5000000000000022E-2</v>
      </c>
      <c r="AP576" s="21" t="s">
        <v>579</v>
      </c>
      <c r="AQ576" s="1">
        <v>10795.68</v>
      </c>
      <c r="AR576" s="6">
        <v>-2.2393901612859368E-3</v>
      </c>
    </row>
    <row r="577" spans="2:44" x14ac:dyDescent="0.35">
      <c r="B577" s="21">
        <v>45733</v>
      </c>
      <c r="C577" s="1">
        <v>0.73</v>
      </c>
      <c r="D577" s="1">
        <v>0.73</v>
      </c>
      <c r="E577" s="6">
        <f t="shared" si="127"/>
        <v>0</v>
      </c>
      <c r="F577" s="21">
        <v>45733</v>
      </c>
      <c r="G577" s="1">
        <v>13.77</v>
      </c>
      <c r="H577" s="1">
        <v>12.850199999999999</v>
      </c>
      <c r="I577" s="6">
        <f t="shared" si="125"/>
        <v>-2.1742168936652595E-3</v>
      </c>
      <c r="J577" s="21">
        <v>45733</v>
      </c>
      <c r="K577" s="1">
        <v>71.94</v>
      </c>
      <c r="L577" s="1">
        <v>52.2087</v>
      </c>
      <c r="M577" s="6">
        <f t="shared" si="120"/>
        <v>3.3620732322982239E-2</v>
      </c>
      <c r="N577" s="21">
        <v>45733</v>
      </c>
      <c r="O577" s="1">
        <v>14.32</v>
      </c>
      <c r="P577" s="1">
        <v>13.677</v>
      </c>
      <c r="Q577" s="6">
        <f t="shared" si="121"/>
        <v>-3.1778506148280816E-2</v>
      </c>
      <c r="R577" s="21">
        <v>45733</v>
      </c>
      <c r="S577" s="1">
        <v>7.35</v>
      </c>
      <c r="T577" s="1">
        <v>6.8840000000000003</v>
      </c>
      <c r="U577" s="6">
        <f t="shared" si="126"/>
        <v>4.0986595487098043E-3</v>
      </c>
      <c r="V577" s="21">
        <v>45733</v>
      </c>
      <c r="W577" s="1">
        <v>5.74</v>
      </c>
      <c r="X577" s="1">
        <v>5.39</v>
      </c>
      <c r="Y577" s="6">
        <f t="shared" si="128"/>
        <v>-1.6669753658085096E-3</v>
      </c>
      <c r="Z577" s="21">
        <v>45733</v>
      </c>
      <c r="AA577" s="1">
        <v>2.17</v>
      </c>
      <c r="AB577" s="1">
        <v>2.17</v>
      </c>
      <c r="AC577" s="6">
        <f t="shared" si="122"/>
        <v>-9.1324200913242004E-3</v>
      </c>
      <c r="AD577" s="21">
        <v>45733</v>
      </c>
      <c r="AE577" s="1">
        <v>10.32</v>
      </c>
      <c r="AF577" s="1">
        <v>10.0341</v>
      </c>
      <c r="AG577" s="6">
        <f t="shared" si="123"/>
        <v>3.199629743906196E-2</v>
      </c>
      <c r="AH577" s="21">
        <v>45733</v>
      </c>
      <c r="AI577" s="1">
        <v>11.31</v>
      </c>
      <c r="AJ577" s="1">
        <v>10.9481</v>
      </c>
      <c r="AK577" s="6">
        <f t="shared" si="124"/>
        <v>-7.8929244599100779E-3</v>
      </c>
      <c r="AL577" s="21">
        <v>45733</v>
      </c>
      <c r="AM577" s="1">
        <v>1.56</v>
      </c>
      <c r="AN577" s="1">
        <v>1.56</v>
      </c>
      <c r="AO577" s="6">
        <v>0</v>
      </c>
      <c r="AP577" s="21" t="s">
        <v>580</v>
      </c>
      <c r="AQ577" s="1">
        <v>10841.74</v>
      </c>
      <c r="AR577" s="6">
        <v>4.2665214233841287E-3</v>
      </c>
    </row>
    <row r="578" spans="2:44" x14ac:dyDescent="0.35">
      <c r="B578" s="21">
        <v>45734</v>
      </c>
      <c r="C578" s="1">
        <v>0.73</v>
      </c>
      <c r="D578" s="1">
        <v>0.73</v>
      </c>
      <c r="E578" s="6">
        <f t="shared" si="127"/>
        <v>0</v>
      </c>
      <c r="F578" s="21">
        <v>45734</v>
      </c>
      <c r="G578" s="1">
        <v>13.8</v>
      </c>
      <c r="H578" s="1">
        <v>12.8782</v>
      </c>
      <c r="I578" s="6">
        <f t="shared" si="125"/>
        <v>2.1789544131609606E-3</v>
      </c>
      <c r="J578" s="21">
        <v>45734</v>
      </c>
      <c r="K578" s="1">
        <v>72.400000000000006</v>
      </c>
      <c r="L578" s="1">
        <v>52.5426</v>
      </c>
      <c r="M578" s="6">
        <f t="shared" si="120"/>
        <v>6.3954858098362877E-3</v>
      </c>
      <c r="N578" s="21">
        <v>45734</v>
      </c>
      <c r="O578" s="1">
        <v>14.79</v>
      </c>
      <c r="P578" s="1">
        <v>14.1259</v>
      </c>
      <c r="Q578" s="6">
        <f t="shared" si="121"/>
        <v>3.2821525188272194E-2</v>
      </c>
      <c r="R578" s="21">
        <v>45734</v>
      </c>
      <c r="S578" s="1">
        <v>7.38</v>
      </c>
      <c r="T578" s="1">
        <v>6.9120999999999997</v>
      </c>
      <c r="U578" s="6">
        <f t="shared" si="126"/>
        <v>4.08192911098193E-3</v>
      </c>
      <c r="V578" s="21">
        <v>45734</v>
      </c>
      <c r="W578" s="1">
        <v>5.76</v>
      </c>
      <c r="X578" s="1">
        <v>5.4089999999999998</v>
      </c>
      <c r="Y578" s="6">
        <f t="shared" si="128"/>
        <v>3.5250463821892009E-3</v>
      </c>
      <c r="Z578" s="21">
        <v>45734</v>
      </c>
      <c r="AA578" s="1">
        <v>2.17</v>
      </c>
      <c r="AB578" s="1">
        <v>2.17</v>
      </c>
      <c r="AC578" s="6">
        <f t="shared" si="122"/>
        <v>0</v>
      </c>
      <c r="AD578" s="21">
        <v>45734</v>
      </c>
      <c r="AE578" s="1">
        <v>10.4</v>
      </c>
      <c r="AF578" s="1">
        <v>10.1119</v>
      </c>
      <c r="AG578" s="6">
        <f t="shared" si="123"/>
        <v>7.7535603591751823E-3</v>
      </c>
      <c r="AH578" s="21">
        <v>45734</v>
      </c>
      <c r="AI578" s="1">
        <v>11.38</v>
      </c>
      <c r="AJ578" s="1">
        <v>11.0158</v>
      </c>
      <c r="AK578" s="6">
        <f t="shared" si="124"/>
        <v>6.1837213763118459E-3</v>
      </c>
      <c r="AL578" s="21">
        <v>45734</v>
      </c>
      <c r="AM578" s="1">
        <v>1.63</v>
      </c>
      <c r="AN578" s="1">
        <v>1.63</v>
      </c>
      <c r="AO578" s="6">
        <v>4.4871794871794712E-2</v>
      </c>
      <c r="AP578" s="21" t="s">
        <v>581</v>
      </c>
      <c r="AQ578" s="1">
        <v>10882.2</v>
      </c>
      <c r="AR578" s="6">
        <v>3.7318732970907931E-3</v>
      </c>
    </row>
    <row r="579" spans="2:44" x14ac:dyDescent="0.35">
      <c r="B579" s="21">
        <v>45735</v>
      </c>
      <c r="C579" s="1">
        <v>0.73</v>
      </c>
      <c r="D579" s="1">
        <v>0.73</v>
      </c>
      <c r="E579" s="6">
        <f t="shared" si="127"/>
        <v>0</v>
      </c>
      <c r="F579" s="21">
        <v>45735</v>
      </c>
      <c r="G579" s="1">
        <v>13.75</v>
      </c>
      <c r="H579" s="1">
        <v>12.8315</v>
      </c>
      <c r="I579" s="6">
        <f t="shared" si="125"/>
        <v>-3.6262831762202685E-3</v>
      </c>
      <c r="J579" s="21">
        <v>45735</v>
      </c>
      <c r="K579" s="1">
        <v>71.599999999999994</v>
      </c>
      <c r="L579" s="1">
        <v>51.962000000000003</v>
      </c>
      <c r="M579" s="6">
        <f t="shared" ref="M579:M642" si="129">(L579/L578)-1</f>
        <v>-1.1050081267390599E-2</v>
      </c>
      <c r="N579" s="21">
        <v>45735</v>
      </c>
      <c r="O579" s="1">
        <v>14.45</v>
      </c>
      <c r="P579" s="1">
        <v>13.8012</v>
      </c>
      <c r="Q579" s="6">
        <f t="shared" ref="Q579:Q642" si="130">(P579/P578)-1</f>
        <v>-2.2986146015475106E-2</v>
      </c>
      <c r="R579" s="21">
        <v>45735</v>
      </c>
      <c r="S579" s="1">
        <v>7.34</v>
      </c>
      <c r="T579" s="1">
        <v>6.8746</v>
      </c>
      <c r="U579" s="6">
        <f t="shared" si="126"/>
        <v>-5.4252687316445058E-3</v>
      </c>
      <c r="V579" s="21">
        <v>45735</v>
      </c>
      <c r="W579" s="1">
        <v>5.9</v>
      </c>
      <c r="X579" s="1">
        <v>5.54</v>
      </c>
      <c r="Y579" s="6">
        <f t="shared" si="128"/>
        <v>2.4218894435200644E-2</v>
      </c>
      <c r="Z579" s="21">
        <v>45735</v>
      </c>
      <c r="AA579" s="1">
        <v>2.16</v>
      </c>
      <c r="AB579" s="1">
        <v>2.16</v>
      </c>
      <c r="AC579" s="6">
        <f t="shared" ref="AC579:AC642" si="131">(AB579/AB578)-1</f>
        <v>-4.6082949308754451E-3</v>
      </c>
      <c r="AD579" s="21">
        <v>45735</v>
      </c>
      <c r="AE579" s="1">
        <v>10.59</v>
      </c>
      <c r="AF579" s="1">
        <v>10.2967</v>
      </c>
      <c r="AG579" s="6">
        <f t="shared" ref="AG579:AG642" si="132">(AF579/AF578)-1</f>
        <v>1.8275497186483136E-2</v>
      </c>
      <c r="AH579" s="21">
        <v>45735</v>
      </c>
      <c r="AI579" s="1">
        <v>11.7</v>
      </c>
      <c r="AJ579" s="1">
        <v>11.3256</v>
      </c>
      <c r="AK579" s="6">
        <f t="shared" ref="AK579:AK642" si="133">(AJ579/AJ578)-1</f>
        <v>2.8123241162693491E-2</v>
      </c>
      <c r="AL579" s="21">
        <v>45735</v>
      </c>
      <c r="AM579" s="1">
        <v>1.63</v>
      </c>
      <c r="AN579" s="1">
        <v>1.63</v>
      </c>
      <c r="AO579" s="6">
        <v>0</v>
      </c>
      <c r="AP579" s="21" t="s">
        <v>582</v>
      </c>
      <c r="AQ579" s="1">
        <v>10877.06</v>
      </c>
      <c r="AR579" s="6">
        <v>-4.7233096248933126E-4</v>
      </c>
    </row>
    <row r="580" spans="2:44" x14ac:dyDescent="0.35">
      <c r="B580" s="21">
        <v>45737</v>
      </c>
      <c r="C580" s="1">
        <v>0.7</v>
      </c>
      <c r="D580" s="1">
        <v>0.7</v>
      </c>
      <c r="E580" s="6">
        <f t="shared" si="127"/>
        <v>-4.1095890410958957E-2</v>
      </c>
      <c r="F580" s="21">
        <v>45737</v>
      </c>
      <c r="G580" s="1">
        <v>13.31</v>
      </c>
      <c r="H580" s="1">
        <v>12.4209</v>
      </c>
      <c r="I580" s="6">
        <f t="shared" si="125"/>
        <v>-3.1999376534310175E-2</v>
      </c>
      <c r="J580" s="21">
        <v>45737</v>
      </c>
      <c r="K580" s="1">
        <v>71.97</v>
      </c>
      <c r="L580" s="1">
        <v>52.230499999999999</v>
      </c>
      <c r="M580" s="6">
        <f t="shared" si="129"/>
        <v>5.1672375967051209E-3</v>
      </c>
      <c r="N580" s="21">
        <v>45737</v>
      </c>
      <c r="O580" s="1">
        <v>14.79</v>
      </c>
      <c r="P580" s="1">
        <v>14.1259</v>
      </c>
      <c r="Q580" s="6">
        <f t="shared" si="130"/>
        <v>2.352693968640418E-2</v>
      </c>
      <c r="R580" s="21">
        <v>45737</v>
      </c>
      <c r="S580" s="1">
        <v>7.45</v>
      </c>
      <c r="T580" s="1">
        <v>6.9776999999999996</v>
      </c>
      <c r="U580" s="6">
        <f t="shared" si="126"/>
        <v>1.4997236202833442E-2</v>
      </c>
      <c r="V580" s="21">
        <v>45737</v>
      </c>
      <c r="W580" s="1">
        <v>5.8</v>
      </c>
      <c r="X580" s="1">
        <v>5.4459999999999997</v>
      </c>
      <c r="Y580" s="6">
        <f t="shared" si="128"/>
        <v>-1.6967509025270777E-2</v>
      </c>
      <c r="Z580" s="21">
        <v>45737</v>
      </c>
      <c r="AA580" s="1">
        <v>2.16</v>
      </c>
      <c r="AB580" s="1">
        <v>2.16</v>
      </c>
      <c r="AC580" s="6">
        <f t="shared" si="131"/>
        <v>0</v>
      </c>
      <c r="AD580" s="21">
        <v>45737</v>
      </c>
      <c r="AE580" s="1">
        <v>10.64</v>
      </c>
      <c r="AF580" s="1">
        <v>10.3453</v>
      </c>
      <c r="AG580" s="6">
        <f t="shared" si="132"/>
        <v>4.7199588217585742E-3</v>
      </c>
      <c r="AH580" s="21">
        <v>45737</v>
      </c>
      <c r="AI580" s="1">
        <v>11.99</v>
      </c>
      <c r="AJ580" s="1">
        <v>11.606299999999999</v>
      </c>
      <c r="AK580" s="6">
        <f t="shared" si="133"/>
        <v>2.4784558875467821E-2</v>
      </c>
      <c r="AL580" s="21">
        <v>45737</v>
      </c>
      <c r="AM580" s="1">
        <v>1.69</v>
      </c>
      <c r="AN580" s="1">
        <v>1.69</v>
      </c>
      <c r="AO580" s="6">
        <v>3.6809815950920255E-2</v>
      </c>
      <c r="AP580" s="21" t="s">
        <v>583</v>
      </c>
      <c r="AQ580" s="1">
        <v>10884</v>
      </c>
      <c r="AR580" s="6">
        <v>6.3804005861878288E-4</v>
      </c>
    </row>
    <row r="581" spans="2:44" x14ac:dyDescent="0.35">
      <c r="B581" s="21">
        <v>45740</v>
      </c>
      <c r="C581" s="1">
        <v>0.72</v>
      </c>
      <c r="D581" s="1">
        <v>0.72</v>
      </c>
      <c r="E581" s="6">
        <f t="shared" si="127"/>
        <v>2.8571428571428692E-2</v>
      </c>
      <c r="F581" s="21">
        <v>45740</v>
      </c>
      <c r="G581" s="1">
        <v>13.67</v>
      </c>
      <c r="H581" s="1">
        <v>12.7568</v>
      </c>
      <c r="I581" s="6">
        <f t="shared" si="125"/>
        <v>2.7043128919804538E-2</v>
      </c>
      <c r="J581" s="21">
        <v>45740</v>
      </c>
      <c r="K581" s="1">
        <v>71.97</v>
      </c>
      <c r="L581" s="1">
        <v>52.230499999999999</v>
      </c>
      <c r="M581" s="6">
        <f t="shared" si="129"/>
        <v>0</v>
      </c>
      <c r="N581" s="21">
        <v>45740</v>
      </c>
      <c r="O581" s="1">
        <v>14.51</v>
      </c>
      <c r="P581" s="1">
        <v>13.858499999999999</v>
      </c>
      <c r="Q581" s="6">
        <f t="shared" si="130"/>
        <v>-1.8929767306861911E-2</v>
      </c>
      <c r="R581" s="21">
        <v>45740</v>
      </c>
      <c r="S581" s="1">
        <v>7.5</v>
      </c>
      <c r="T581" s="1">
        <v>7.0244999999999997</v>
      </c>
      <c r="U581" s="6">
        <f t="shared" si="126"/>
        <v>6.7070811298852728E-3</v>
      </c>
      <c r="V581" s="21">
        <v>45740</v>
      </c>
      <c r="W581" s="1">
        <v>5.76</v>
      </c>
      <c r="X581" s="1">
        <v>5.4089999999999998</v>
      </c>
      <c r="Y581" s="6">
        <f t="shared" si="128"/>
        <v>-6.793977230995174E-3</v>
      </c>
      <c r="Z581" s="21">
        <v>45740</v>
      </c>
      <c r="AA581" s="1">
        <v>2.19</v>
      </c>
      <c r="AB581" s="1">
        <v>2.19</v>
      </c>
      <c r="AC581" s="6">
        <f t="shared" si="131"/>
        <v>1.388888888888884E-2</v>
      </c>
      <c r="AD581" s="21">
        <v>45740</v>
      </c>
      <c r="AE581" s="1">
        <v>10.64</v>
      </c>
      <c r="AF581" s="1">
        <v>10.3453</v>
      </c>
      <c r="AG581" s="6">
        <f t="shared" si="132"/>
        <v>0</v>
      </c>
      <c r="AH581" s="21">
        <v>45740</v>
      </c>
      <c r="AI581" s="1">
        <v>11.7</v>
      </c>
      <c r="AJ581" s="1">
        <v>11.3256</v>
      </c>
      <c r="AK581" s="6">
        <f t="shared" si="133"/>
        <v>-2.4185140828687834E-2</v>
      </c>
      <c r="AL581" s="21">
        <v>45740</v>
      </c>
      <c r="AM581" s="1">
        <v>1.63</v>
      </c>
      <c r="AN581" s="1">
        <v>1.63</v>
      </c>
      <c r="AO581" s="6">
        <v>-3.5502958579881727E-2</v>
      </c>
      <c r="AP581" s="21" t="s">
        <v>584</v>
      </c>
      <c r="AQ581" s="1">
        <v>10877.62</v>
      </c>
      <c r="AR581" s="6">
        <v>-5.8618155090028878E-4</v>
      </c>
    </row>
    <row r="582" spans="2:44" x14ac:dyDescent="0.35">
      <c r="B582" s="21">
        <v>45741</v>
      </c>
      <c r="C582" s="1">
        <v>0.73</v>
      </c>
      <c r="D582" s="1">
        <v>0.73</v>
      </c>
      <c r="E582" s="6">
        <f t="shared" si="127"/>
        <v>1.388888888888884E-2</v>
      </c>
      <c r="F582" s="21">
        <v>45741</v>
      </c>
      <c r="G582" s="1">
        <v>13.7</v>
      </c>
      <c r="H582" s="1">
        <v>12.784800000000001</v>
      </c>
      <c r="I582" s="6">
        <f t="shared" si="125"/>
        <v>2.1949078138718825E-3</v>
      </c>
      <c r="J582" s="21">
        <v>45741</v>
      </c>
      <c r="K582" s="1">
        <v>71.959999999999994</v>
      </c>
      <c r="L582" s="1">
        <v>52.223199999999999</v>
      </c>
      <c r="M582" s="6">
        <f t="shared" si="129"/>
        <v>-1.3976507979052144E-4</v>
      </c>
      <c r="N582" s="21">
        <v>45741</v>
      </c>
      <c r="O582" s="1">
        <v>14.6</v>
      </c>
      <c r="P582" s="1">
        <v>13.9445</v>
      </c>
      <c r="Q582" s="6">
        <f t="shared" si="130"/>
        <v>6.2055778042355847E-3</v>
      </c>
      <c r="R582" s="21">
        <v>45741</v>
      </c>
      <c r="S582" s="1">
        <v>7.55</v>
      </c>
      <c r="T582" s="1">
        <v>7.0712999999999999</v>
      </c>
      <c r="U582" s="6">
        <f t="shared" si="126"/>
        <v>6.6623959000640109E-3</v>
      </c>
      <c r="V582" s="21">
        <v>45741</v>
      </c>
      <c r="W582" s="1">
        <v>5.8</v>
      </c>
      <c r="X582" s="1">
        <v>5.4459999999999997</v>
      </c>
      <c r="Y582" s="6">
        <f t="shared" si="128"/>
        <v>6.8404511000184076E-3</v>
      </c>
      <c r="Z582" s="21">
        <v>45741</v>
      </c>
      <c r="AA582" s="1">
        <v>2.17</v>
      </c>
      <c r="AB582" s="1">
        <v>2.17</v>
      </c>
      <c r="AC582" s="6">
        <f t="shared" si="131"/>
        <v>-9.1324200913242004E-3</v>
      </c>
      <c r="AD582" s="21">
        <v>45741</v>
      </c>
      <c r="AE582" s="1">
        <v>10.7</v>
      </c>
      <c r="AF582" s="1">
        <v>10.403600000000001</v>
      </c>
      <c r="AG582" s="6">
        <f t="shared" si="132"/>
        <v>5.6354093163080154E-3</v>
      </c>
      <c r="AH582" s="21">
        <v>45741</v>
      </c>
      <c r="AI582" s="1">
        <v>11.75</v>
      </c>
      <c r="AJ582" s="1">
        <v>11.374000000000001</v>
      </c>
      <c r="AK582" s="6">
        <f t="shared" si="133"/>
        <v>4.2735042735042583E-3</v>
      </c>
      <c r="AL582" s="21">
        <v>45741</v>
      </c>
      <c r="AM582" s="1">
        <v>1.68</v>
      </c>
      <c r="AN582" s="1">
        <v>1.68</v>
      </c>
      <c r="AO582" s="6">
        <v>3.0674846625766916E-2</v>
      </c>
      <c r="AP582" s="21" t="s">
        <v>585</v>
      </c>
      <c r="AQ582" s="1">
        <v>10863.78</v>
      </c>
      <c r="AR582" s="6">
        <v>-1.2723371472803668E-3</v>
      </c>
    </row>
    <row r="583" spans="2:44" x14ac:dyDescent="0.35">
      <c r="B583" s="21">
        <v>45742</v>
      </c>
      <c r="C583" s="1">
        <v>0.76</v>
      </c>
      <c r="D583" s="1">
        <v>0.76</v>
      </c>
      <c r="E583" s="6">
        <f t="shared" si="127"/>
        <v>4.1095890410958846E-2</v>
      </c>
      <c r="F583" s="21">
        <v>45742</v>
      </c>
      <c r="G583" s="1">
        <v>13.33</v>
      </c>
      <c r="H583" s="1">
        <v>12.4396</v>
      </c>
      <c r="I583" s="6">
        <f t="shared" ref="I583:I646" si="134">(H583/H582)-1</f>
        <v>-2.7000813465990925E-2</v>
      </c>
      <c r="J583" s="21">
        <v>45742</v>
      </c>
      <c r="K583" s="1">
        <v>73.7</v>
      </c>
      <c r="L583" s="1">
        <v>53.485999999999997</v>
      </c>
      <c r="M583" s="6">
        <f t="shared" si="129"/>
        <v>2.4180823848404476E-2</v>
      </c>
      <c r="N583" s="21">
        <v>45742</v>
      </c>
      <c r="O583" s="1">
        <v>14.54</v>
      </c>
      <c r="P583" s="1">
        <v>13.8872</v>
      </c>
      <c r="Q583" s="6">
        <f t="shared" si="130"/>
        <v>-4.1091469755100141E-3</v>
      </c>
      <c r="R583" s="21">
        <v>45742</v>
      </c>
      <c r="S583" s="1">
        <v>7.58</v>
      </c>
      <c r="T583" s="1">
        <v>7.0994000000000002</v>
      </c>
      <c r="U583" s="6">
        <f t="shared" si="126"/>
        <v>3.9738096248214116E-3</v>
      </c>
      <c r="V583" s="21">
        <v>45742</v>
      </c>
      <c r="W583" s="1">
        <v>5.78</v>
      </c>
      <c r="X583" s="1">
        <v>5.4269999999999996</v>
      </c>
      <c r="Y583" s="6">
        <f t="shared" si="128"/>
        <v>-3.4887991186192124E-3</v>
      </c>
      <c r="Z583" s="21">
        <v>45742</v>
      </c>
      <c r="AA583" s="1">
        <v>2.17</v>
      </c>
      <c r="AB583" s="1">
        <v>2.17</v>
      </c>
      <c r="AC583" s="6">
        <f t="shared" si="131"/>
        <v>0</v>
      </c>
      <c r="AD583" s="21">
        <v>45742</v>
      </c>
      <c r="AE583" s="1">
        <v>10.89</v>
      </c>
      <c r="AF583" s="1">
        <v>10.5883</v>
      </c>
      <c r="AG583" s="6">
        <f t="shared" si="132"/>
        <v>1.7753469952708656E-2</v>
      </c>
      <c r="AH583" s="21">
        <v>45742</v>
      </c>
      <c r="AI583" s="1">
        <v>11.8</v>
      </c>
      <c r="AJ583" s="1">
        <v>11.4224</v>
      </c>
      <c r="AK583" s="6">
        <f t="shared" si="133"/>
        <v>4.2553191489360653E-3</v>
      </c>
      <c r="AL583" s="21">
        <v>45742</v>
      </c>
      <c r="AM583" s="1">
        <v>1.74</v>
      </c>
      <c r="AN583" s="1">
        <v>1.74</v>
      </c>
      <c r="AO583" s="6">
        <v>3.5714285714285809E-2</v>
      </c>
      <c r="AP583" s="21" t="s">
        <v>586</v>
      </c>
      <c r="AQ583" s="1">
        <v>10927.74</v>
      </c>
      <c r="AR583" s="6">
        <v>5.8874535382711368E-3</v>
      </c>
    </row>
    <row r="584" spans="2:44" x14ac:dyDescent="0.35">
      <c r="B584" s="21">
        <v>45743</v>
      </c>
      <c r="C584" s="1">
        <v>0.79</v>
      </c>
      <c r="D584" s="1">
        <v>0.79</v>
      </c>
      <c r="E584" s="6">
        <f t="shared" si="127"/>
        <v>3.9473684210526327E-2</v>
      </c>
      <c r="F584" s="21">
        <v>45743</v>
      </c>
      <c r="G584" s="1">
        <v>13.66</v>
      </c>
      <c r="H584" s="1">
        <v>12.7475</v>
      </c>
      <c r="I584" s="6">
        <f t="shared" si="134"/>
        <v>2.4751599729894824E-2</v>
      </c>
      <c r="J584" s="21">
        <v>45743</v>
      </c>
      <c r="K584" s="1">
        <v>73.69</v>
      </c>
      <c r="L584" s="1">
        <v>53.4788</v>
      </c>
      <c r="M584" s="6">
        <f t="shared" si="129"/>
        <v>-1.3461466551989432E-4</v>
      </c>
      <c r="N584" s="21">
        <v>45743</v>
      </c>
      <c r="O584" s="1">
        <v>14.5</v>
      </c>
      <c r="P584" s="1">
        <v>13.8489</v>
      </c>
      <c r="Q584" s="6">
        <f t="shared" si="130"/>
        <v>-2.7579353649402893E-3</v>
      </c>
      <c r="R584" s="21">
        <v>45743</v>
      </c>
      <c r="S584" s="1">
        <v>7.57</v>
      </c>
      <c r="T584" s="1">
        <v>7.0900999999999996</v>
      </c>
      <c r="U584" s="6">
        <f t="shared" si="126"/>
        <v>-1.3099698566076956E-3</v>
      </c>
      <c r="V584" s="21">
        <v>45743</v>
      </c>
      <c r="W584" s="1">
        <v>5.85</v>
      </c>
      <c r="X584" s="1">
        <v>5.4930000000000003</v>
      </c>
      <c r="Y584" s="6">
        <f t="shared" si="128"/>
        <v>1.216141514648994E-2</v>
      </c>
      <c r="Z584" s="21">
        <v>45743</v>
      </c>
      <c r="AA584" s="1">
        <v>2.1800000000000002</v>
      </c>
      <c r="AB584" s="1">
        <v>2.1800000000000002</v>
      </c>
      <c r="AC584" s="6">
        <f t="shared" si="131"/>
        <v>4.6082949308756671E-3</v>
      </c>
      <c r="AD584" s="21">
        <v>45743</v>
      </c>
      <c r="AE584" s="1">
        <v>11</v>
      </c>
      <c r="AF584" s="1">
        <v>10.6953</v>
      </c>
      <c r="AG584" s="6">
        <f t="shared" si="132"/>
        <v>1.0105493799760001E-2</v>
      </c>
      <c r="AH584" s="21">
        <v>45743</v>
      </c>
      <c r="AI584" s="1">
        <v>11.83</v>
      </c>
      <c r="AJ584" s="1">
        <v>11.4514</v>
      </c>
      <c r="AK584" s="6">
        <f t="shared" si="133"/>
        <v>2.538870990334674E-3</v>
      </c>
      <c r="AL584" s="21">
        <v>45743</v>
      </c>
      <c r="AM584" s="1">
        <v>1.67</v>
      </c>
      <c r="AN584" s="1">
        <v>1.67</v>
      </c>
      <c r="AO584" s="6">
        <v>-4.0229885057471271E-2</v>
      </c>
      <c r="AP584" s="21" t="s">
        <v>587</v>
      </c>
      <c r="AQ584" s="1">
        <v>10959.74</v>
      </c>
      <c r="AR584" s="6">
        <v>2.9283273577154212E-3</v>
      </c>
    </row>
    <row r="585" spans="2:44" x14ac:dyDescent="0.35">
      <c r="B585" s="21">
        <v>45744</v>
      </c>
      <c r="C585" s="1">
        <v>0.81</v>
      </c>
      <c r="D585" s="1">
        <v>0.81</v>
      </c>
      <c r="E585" s="6">
        <f t="shared" si="127"/>
        <v>2.5316455696202445E-2</v>
      </c>
      <c r="F585" s="21">
        <v>45744</v>
      </c>
      <c r="G585" s="1">
        <v>13.48</v>
      </c>
      <c r="H585" s="1">
        <v>12.579499999999999</v>
      </c>
      <c r="I585" s="6">
        <f t="shared" si="134"/>
        <v>-1.3179054716611183E-2</v>
      </c>
      <c r="J585" s="21">
        <v>45744</v>
      </c>
      <c r="K585" s="1">
        <v>73.849999999999994</v>
      </c>
      <c r="L585" s="1">
        <v>53.594900000000003</v>
      </c>
      <c r="M585" s="6">
        <f t="shared" si="129"/>
        <v>2.1709537237186716E-3</v>
      </c>
      <c r="N585" s="21">
        <v>45744</v>
      </c>
      <c r="O585" s="1">
        <v>14.44</v>
      </c>
      <c r="P585" s="1">
        <v>13.791600000000001</v>
      </c>
      <c r="Q585" s="6">
        <f t="shared" si="130"/>
        <v>-4.1375127266425338E-3</v>
      </c>
      <c r="R585" s="21">
        <v>45744</v>
      </c>
      <c r="S585" s="1">
        <v>7.55</v>
      </c>
      <c r="T585" s="1">
        <v>7.0712999999999999</v>
      </c>
      <c r="U585" s="6">
        <f t="shared" ref="U585:U648" si="135">(T585/T584)-1</f>
        <v>-2.6515846038842605E-3</v>
      </c>
      <c r="V585" s="21">
        <v>45744</v>
      </c>
      <c r="W585" s="1">
        <v>5.85</v>
      </c>
      <c r="X585" s="1">
        <v>5.4930000000000003</v>
      </c>
      <c r="Y585" s="6">
        <f t="shared" si="128"/>
        <v>0</v>
      </c>
      <c r="Z585" s="21">
        <v>45744</v>
      </c>
      <c r="AA585" s="1">
        <v>2.16</v>
      </c>
      <c r="AB585" s="1">
        <v>2.16</v>
      </c>
      <c r="AC585" s="6">
        <f t="shared" si="131"/>
        <v>-9.1743119266055606E-3</v>
      </c>
      <c r="AD585" s="21">
        <v>45744</v>
      </c>
      <c r="AE585" s="1">
        <v>11</v>
      </c>
      <c r="AF585" s="1">
        <v>10.6953</v>
      </c>
      <c r="AG585" s="6">
        <f t="shared" si="132"/>
        <v>0</v>
      </c>
      <c r="AH585" s="21">
        <v>45744</v>
      </c>
      <c r="AI585" s="1">
        <v>11.96</v>
      </c>
      <c r="AJ585" s="1">
        <v>11.577299999999999</v>
      </c>
      <c r="AK585" s="6">
        <f t="shared" si="133"/>
        <v>1.0994288907906435E-2</v>
      </c>
      <c r="AL585" s="21">
        <v>45744</v>
      </c>
      <c r="AM585" s="1">
        <v>1.7</v>
      </c>
      <c r="AN585" s="1">
        <v>1.7</v>
      </c>
      <c r="AO585" s="6">
        <v>1.7964071856287456E-2</v>
      </c>
      <c r="AP585" s="21" t="s">
        <v>588</v>
      </c>
      <c r="AQ585" s="1">
        <v>10973.67</v>
      </c>
      <c r="AR585" s="6">
        <v>1.2710155532886791E-3</v>
      </c>
    </row>
    <row r="586" spans="2:44" x14ac:dyDescent="0.35">
      <c r="B586" s="21">
        <v>45749</v>
      </c>
      <c r="C586" s="1">
        <v>0.78</v>
      </c>
      <c r="D586" s="1">
        <v>0.78</v>
      </c>
      <c r="E586" s="6">
        <f t="shared" si="127"/>
        <v>-3.703703703703709E-2</v>
      </c>
      <c r="F586" s="21">
        <v>45749</v>
      </c>
      <c r="G586" s="1">
        <v>13.54</v>
      </c>
      <c r="H586" s="1">
        <v>12.6355</v>
      </c>
      <c r="I586" s="6">
        <f t="shared" si="134"/>
        <v>4.4516872689694953E-3</v>
      </c>
      <c r="J586" s="21">
        <v>45749</v>
      </c>
      <c r="K586" s="1">
        <v>74</v>
      </c>
      <c r="L586" s="1">
        <v>53.703699999999998</v>
      </c>
      <c r="M586" s="6">
        <f t="shared" si="129"/>
        <v>2.0300439034310891E-3</v>
      </c>
      <c r="N586" s="21">
        <v>45749</v>
      </c>
      <c r="O586" s="1">
        <v>14</v>
      </c>
      <c r="P586" s="1">
        <v>13.3714</v>
      </c>
      <c r="Q586" s="6">
        <f t="shared" si="130"/>
        <v>-3.0467820992488237E-2</v>
      </c>
      <c r="R586" s="21">
        <v>45749</v>
      </c>
      <c r="S586" s="1">
        <v>7.55</v>
      </c>
      <c r="T586" s="1">
        <v>7.0712999999999999</v>
      </c>
      <c r="U586" s="6">
        <f t="shared" si="135"/>
        <v>0</v>
      </c>
      <c r="V586" s="21">
        <v>45749</v>
      </c>
      <c r="W586" s="1">
        <v>5.75</v>
      </c>
      <c r="X586" s="1">
        <v>5.399</v>
      </c>
      <c r="Y586" s="6">
        <f t="shared" si="128"/>
        <v>-1.7112688876752324E-2</v>
      </c>
      <c r="Z586" s="21">
        <v>45749</v>
      </c>
      <c r="AA586" s="1">
        <v>2.17</v>
      </c>
      <c r="AB586" s="1">
        <v>2.17</v>
      </c>
      <c r="AC586" s="6">
        <f t="shared" si="131"/>
        <v>4.6296296296295392E-3</v>
      </c>
      <c r="AD586" s="21">
        <v>45749</v>
      </c>
      <c r="AE586" s="1">
        <v>11.3</v>
      </c>
      <c r="AF586" s="1">
        <v>10.987</v>
      </c>
      <c r="AG586" s="6">
        <f t="shared" si="132"/>
        <v>2.7273662262863096E-2</v>
      </c>
      <c r="AH586" s="21">
        <v>45749</v>
      </c>
      <c r="AI586" s="1">
        <v>11.94</v>
      </c>
      <c r="AJ586" s="1">
        <v>11.5579</v>
      </c>
      <c r="AK586" s="6">
        <f t="shared" si="133"/>
        <v>-1.6756929508606744E-3</v>
      </c>
      <c r="AL586" s="21">
        <v>45749</v>
      </c>
      <c r="AM586" s="1">
        <v>1.74</v>
      </c>
      <c r="AN586" s="1">
        <v>1.74</v>
      </c>
      <c r="AO586" s="6">
        <v>2.3529411764705799E-2</v>
      </c>
      <c r="AP586" s="21" t="s">
        <v>589</v>
      </c>
      <c r="AQ586" s="1">
        <v>10984.1</v>
      </c>
      <c r="AR586" s="6">
        <v>9.5045686629902093E-4</v>
      </c>
    </row>
    <row r="587" spans="2:44" x14ac:dyDescent="0.35">
      <c r="B587" s="21">
        <v>45750</v>
      </c>
      <c r="C587" s="1">
        <v>0.78</v>
      </c>
      <c r="D587" s="1">
        <v>0.78</v>
      </c>
      <c r="E587" s="6">
        <f t="shared" si="127"/>
        <v>0</v>
      </c>
      <c r="F587" s="21">
        <v>45750</v>
      </c>
      <c r="G587" s="1">
        <v>13.25</v>
      </c>
      <c r="H587" s="1">
        <v>12.3649</v>
      </c>
      <c r="I587" s="6">
        <f t="shared" si="134"/>
        <v>-2.1415852162557814E-2</v>
      </c>
      <c r="J587" s="21">
        <v>45750</v>
      </c>
      <c r="K587" s="1">
        <v>75.5</v>
      </c>
      <c r="L587" s="1">
        <v>54.792299999999997</v>
      </c>
      <c r="M587" s="6">
        <f t="shared" si="129"/>
        <v>2.0270484156585056E-2</v>
      </c>
      <c r="N587" s="21">
        <v>45750</v>
      </c>
      <c r="O587" s="1">
        <v>14.29</v>
      </c>
      <c r="P587" s="1">
        <v>13.648400000000001</v>
      </c>
      <c r="Q587" s="6">
        <f t="shared" si="130"/>
        <v>2.0715856230462126E-2</v>
      </c>
      <c r="R587" s="21">
        <v>45750</v>
      </c>
      <c r="S587" s="1">
        <v>7.55</v>
      </c>
      <c r="T587" s="1">
        <v>7.0712999999999999</v>
      </c>
      <c r="U587" s="6">
        <f t="shared" si="135"/>
        <v>0</v>
      </c>
      <c r="V587" s="21">
        <v>45750</v>
      </c>
      <c r="W587" s="1">
        <v>5.78</v>
      </c>
      <c r="X587" s="1">
        <v>5.4269999999999996</v>
      </c>
      <c r="Y587" s="6">
        <f t="shared" si="128"/>
        <v>5.1861455825152891E-3</v>
      </c>
      <c r="Z587" s="21">
        <v>45750</v>
      </c>
      <c r="AA587" s="1">
        <v>2.15</v>
      </c>
      <c r="AB587" s="1">
        <v>2.15</v>
      </c>
      <c r="AC587" s="6">
        <f t="shared" si="131"/>
        <v>-9.2165898617511122E-3</v>
      </c>
      <c r="AD587" s="21">
        <v>45750</v>
      </c>
      <c r="AE587" s="1">
        <v>11.25</v>
      </c>
      <c r="AF587" s="1">
        <v>10.9384</v>
      </c>
      <c r="AG587" s="6">
        <f t="shared" si="132"/>
        <v>-4.4234094839356031E-3</v>
      </c>
      <c r="AH587" s="21">
        <v>45750</v>
      </c>
      <c r="AI587" s="1">
        <v>11.82</v>
      </c>
      <c r="AJ587" s="1">
        <v>11.441800000000001</v>
      </c>
      <c r="AK587" s="6">
        <f t="shared" si="133"/>
        <v>-1.0045077392951907E-2</v>
      </c>
      <c r="AL587" s="21">
        <v>45750</v>
      </c>
      <c r="AM587" s="1">
        <v>1.78</v>
      </c>
      <c r="AN587" s="1">
        <v>1.78</v>
      </c>
      <c r="AO587" s="6">
        <v>2.2988505747126409E-2</v>
      </c>
      <c r="AP587" s="21" t="s">
        <v>590</v>
      </c>
      <c r="AQ587" s="1">
        <v>10996.71</v>
      </c>
      <c r="AR587" s="6">
        <v>1.1480230515015233E-3</v>
      </c>
    </row>
    <row r="588" spans="2:44" x14ac:dyDescent="0.35">
      <c r="B588" s="21">
        <v>45751</v>
      </c>
      <c r="C588" s="1">
        <v>0.75</v>
      </c>
      <c r="D588" s="1">
        <v>0.75</v>
      </c>
      <c r="E588" s="6">
        <f t="shared" si="127"/>
        <v>-3.8461538461538547E-2</v>
      </c>
      <c r="F588" s="21">
        <v>45751</v>
      </c>
      <c r="G588" s="1">
        <v>13.3</v>
      </c>
      <c r="H588" s="1">
        <v>12.4116</v>
      </c>
      <c r="I588" s="6">
        <f t="shared" si="134"/>
        <v>3.7768198691456867E-3</v>
      </c>
      <c r="J588" s="21">
        <v>45751</v>
      </c>
      <c r="K588" s="1">
        <v>74.489999999999995</v>
      </c>
      <c r="L588" s="1">
        <v>54.0593</v>
      </c>
      <c r="M588" s="6">
        <f t="shared" si="129"/>
        <v>-1.3377792135026212E-2</v>
      </c>
      <c r="N588" s="21">
        <v>45751</v>
      </c>
      <c r="O588" s="1">
        <v>14.08</v>
      </c>
      <c r="P588" s="1">
        <v>13.447800000000001</v>
      </c>
      <c r="Q588" s="6">
        <f t="shared" si="130"/>
        <v>-1.4697693502535025E-2</v>
      </c>
      <c r="R588" s="21">
        <v>45751</v>
      </c>
      <c r="S588" s="1">
        <v>7.49</v>
      </c>
      <c r="T588" s="1">
        <v>7.0151000000000003</v>
      </c>
      <c r="U588" s="6">
        <f t="shared" si="135"/>
        <v>-7.9476192496428233E-3</v>
      </c>
      <c r="V588" s="21">
        <v>45751</v>
      </c>
      <c r="W588" s="1">
        <v>5.78</v>
      </c>
      <c r="X588" s="1">
        <v>5.4269999999999996</v>
      </c>
      <c r="Y588" s="6">
        <f t="shared" si="128"/>
        <v>0</v>
      </c>
      <c r="Z588" s="21">
        <v>45751</v>
      </c>
      <c r="AA588" s="1">
        <v>2.15</v>
      </c>
      <c r="AB588" s="1">
        <v>2.15</v>
      </c>
      <c r="AC588" s="6">
        <f t="shared" si="131"/>
        <v>0</v>
      </c>
      <c r="AD588" s="21">
        <v>45751</v>
      </c>
      <c r="AE588" s="1">
        <v>11.48</v>
      </c>
      <c r="AF588" s="1">
        <v>11.162000000000001</v>
      </c>
      <c r="AG588" s="6">
        <f t="shared" si="132"/>
        <v>2.0441746507716019E-2</v>
      </c>
      <c r="AH588" s="21">
        <v>45751</v>
      </c>
      <c r="AI588" s="1">
        <v>11.8</v>
      </c>
      <c r="AJ588" s="1">
        <v>11.4224</v>
      </c>
      <c r="AK588" s="6">
        <f t="shared" si="133"/>
        <v>-1.6955374154417058E-3</v>
      </c>
      <c r="AL588" s="21">
        <v>45751</v>
      </c>
      <c r="AM588" s="1">
        <v>1.77</v>
      </c>
      <c r="AN588" s="1">
        <v>1.77</v>
      </c>
      <c r="AO588" s="6">
        <v>-5.6179775280899014E-3</v>
      </c>
      <c r="AP588" s="21" t="s">
        <v>591</v>
      </c>
      <c r="AQ588" s="1">
        <v>11010.49</v>
      </c>
      <c r="AR588" s="6">
        <v>1.2531020641628476E-3</v>
      </c>
    </row>
    <row r="589" spans="2:44" x14ac:dyDescent="0.35">
      <c r="B589" s="21">
        <v>45754</v>
      </c>
      <c r="C589" s="1">
        <v>0.72</v>
      </c>
      <c r="D589" s="1">
        <v>0.72</v>
      </c>
      <c r="E589" s="6">
        <f t="shared" si="127"/>
        <v>-4.0000000000000036E-2</v>
      </c>
      <c r="F589" s="21">
        <v>45754</v>
      </c>
      <c r="G589" s="1">
        <v>13.3</v>
      </c>
      <c r="H589" s="1">
        <v>12.4116</v>
      </c>
      <c r="I589" s="6">
        <f t="shared" si="134"/>
        <v>0</v>
      </c>
      <c r="J589" s="21">
        <v>45754</v>
      </c>
      <c r="K589" s="1">
        <v>73.5</v>
      </c>
      <c r="L589" s="1">
        <v>53.340899999999998</v>
      </c>
      <c r="M589" s="6">
        <f t="shared" si="129"/>
        <v>-1.3289110291846207E-2</v>
      </c>
      <c r="N589" s="21">
        <v>45754</v>
      </c>
      <c r="O589" s="1">
        <v>14</v>
      </c>
      <c r="P589" s="1">
        <v>13.3714</v>
      </c>
      <c r="Q589" s="6">
        <f t="shared" si="130"/>
        <v>-5.6812266690463575E-3</v>
      </c>
      <c r="R589" s="21">
        <v>45754</v>
      </c>
      <c r="S589" s="1">
        <v>7.47</v>
      </c>
      <c r="T589" s="1">
        <v>6.9964000000000004</v>
      </c>
      <c r="U589" s="6">
        <f t="shared" si="135"/>
        <v>-2.665678322475773E-3</v>
      </c>
      <c r="V589" s="21">
        <v>45754</v>
      </c>
      <c r="W589" s="1">
        <v>5.78</v>
      </c>
      <c r="X589" s="1">
        <v>5.4269999999999996</v>
      </c>
      <c r="Y589" s="6">
        <f t="shared" si="128"/>
        <v>0</v>
      </c>
      <c r="Z589" s="21">
        <v>45754</v>
      </c>
      <c r="AA589" s="1">
        <v>2.14</v>
      </c>
      <c r="AB589" s="1">
        <v>2.14</v>
      </c>
      <c r="AC589" s="6">
        <f t="shared" si="131"/>
        <v>-4.6511627906975495E-3</v>
      </c>
      <c r="AD589" s="21">
        <v>45754</v>
      </c>
      <c r="AE589" s="1">
        <v>12</v>
      </c>
      <c r="AF589" s="1">
        <v>11.6676</v>
      </c>
      <c r="AG589" s="6">
        <f t="shared" si="132"/>
        <v>4.5296541838380167E-2</v>
      </c>
      <c r="AH589" s="21">
        <v>45754</v>
      </c>
      <c r="AI589" s="1">
        <v>11.69</v>
      </c>
      <c r="AJ589" s="1">
        <v>11.315899999999999</v>
      </c>
      <c r="AK589" s="6">
        <f t="shared" si="133"/>
        <v>-9.3237848438156856E-3</v>
      </c>
      <c r="AL589" s="21">
        <v>45754</v>
      </c>
      <c r="AM589" s="1">
        <v>1.77</v>
      </c>
      <c r="AN589" s="1">
        <v>1.77</v>
      </c>
      <c r="AO589" s="6">
        <v>0</v>
      </c>
      <c r="AP589" s="21" t="s">
        <v>592</v>
      </c>
      <c r="AQ589" s="1">
        <v>10956.81</v>
      </c>
      <c r="AR589" s="6">
        <v>-4.8753506882981412E-3</v>
      </c>
    </row>
    <row r="590" spans="2:44" x14ac:dyDescent="0.35">
      <c r="B590" s="21">
        <v>45755</v>
      </c>
      <c r="C590" s="1">
        <v>0.71</v>
      </c>
      <c r="D590" s="1">
        <v>0.71</v>
      </c>
      <c r="E590" s="6">
        <f t="shared" si="127"/>
        <v>-1.3888888888888951E-2</v>
      </c>
      <c r="F590" s="21">
        <v>45755</v>
      </c>
      <c r="G590" s="1">
        <v>13.29</v>
      </c>
      <c r="H590" s="1">
        <v>12.402200000000001</v>
      </c>
      <c r="I590" s="6">
        <f t="shared" si="134"/>
        <v>-7.5735602178605976E-4</v>
      </c>
      <c r="J590" s="21">
        <v>45755</v>
      </c>
      <c r="K590" s="1">
        <v>69.400000000000006</v>
      </c>
      <c r="L590" s="1">
        <v>53.9938</v>
      </c>
      <c r="M590" s="6">
        <f t="shared" si="129"/>
        <v>1.2240138430360314E-2</v>
      </c>
      <c r="N590" s="21">
        <v>45755</v>
      </c>
      <c r="O590" s="1">
        <v>13.9</v>
      </c>
      <c r="P590" s="1">
        <v>13.2759</v>
      </c>
      <c r="Q590" s="6">
        <f t="shared" si="130"/>
        <v>-7.1421092780112883E-3</v>
      </c>
      <c r="R590" s="21">
        <v>45755</v>
      </c>
      <c r="S590" s="1">
        <v>7.44</v>
      </c>
      <c r="T590" s="1">
        <v>6.9683000000000002</v>
      </c>
      <c r="U590" s="6">
        <f t="shared" si="135"/>
        <v>-4.0163512663655698E-3</v>
      </c>
      <c r="V590" s="21">
        <v>45755</v>
      </c>
      <c r="W590" s="1">
        <v>5.78</v>
      </c>
      <c r="X590" s="1">
        <v>5.4269999999999996</v>
      </c>
      <c r="Y590" s="6">
        <f t="shared" si="128"/>
        <v>0</v>
      </c>
      <c r="Z590" s="21">
        <v>45755</v>
      </c>
      <c r="AA590" s="1">
        <v>2.13</v>
      </c>
      <c r="AB590" s="1">
        <v>2.13</v>
      </c>
      <c r="AC590" s="6">
        <f t="shared" si="131"/>
        <v>-4.6728971962617383E-3</v>
      </c>
      <c r="AD590" s="21">
        <v>45755</v>
      </c>
      <c r="AE590" s="1">
        <v>12.45</v>
      </c>
      <c r="AF590" s="1">
        <v>12.1051</v>
      </c>
      <c r="AG590" s="6">
        <f t="shared" si="132"/>
        <v>3.7497000239980816E-2</v>
      </c>
      <c r="AH590" s="21">
        <v>45755</v>
      </c>
      <c r="AI590" s="1">
        <v>11.7</v>
      </c>
      <c r="AJ590" s="1">
        <v>11.3256</v>
      </c>
      <c r="AK590" s="6">
        <f t="shared" si="133"/>
        <v>8.5720092966545813E-4</v>
      </c>
      <c r="AL590" s="21">
        <v>45755</v>
      </c>
      <c r="AM590" s="1">
        <v>1.75</v>
      </c>
      <c r="AN590" s="1">
        <v>1.75</v>
      </c>
      <c r="AO590" s="6">
        <v>-1.1299435028248594E-2</v>
      </c>
      <c r="AP590" s="21" t="s">
        <v>593</v>
      </c>
      <c r="AQ590" s="1">
        <v>10998.21</v>
      </c>
      <c r="AR590" s="6">
        <v>3.7784720187719056E-3</v>
      </c>
    </row>
    <row r="591" spans="2:44" x14ac:dyDescent="0.35">
      <c r="B591" s="21">
        <v>45757</v>
      </c>
      <c r="C591" s="1">
        <v>0.74</v>
      </c>
      <c r="D591" s="1">
        <v>0.74</v>
      </c>
      <c r="E591" s="6">
        <f t="shared" si="127"/>
        <v>4.2253521126760507E-2</v>
      </c>
      <c r="F591" s="21">
        <v>45757</v>
      </c>
      <c r="G591" s="1">
        <v>13.29</v>
      </c>
      <c r="H591" s="1">
        <v>12.402200000000001</v>
      </c>
      <c r="I591" s="6">
        <f t="shared" si="134"/>
        <v>0</v>
      </c>
      <c r="J591" s="21">
        <v>45757</v>
      </c>
      <c r="K591" s="1">
        <v>69.8</v>
      </c>
      <c r="L591" s="1">
        <v>54.305</v>
      </c>
      <c r="M591" s="6">
        <f t="shared" si="129"/>
        <v>5.7636247124670525E-3</v>
      </c>
      <c r="N591" s="21">
        <v>45757</v>
      </c>
      <c r="O591" s="1">
        <v>13.7</v>
      </c>
      <c r="P591" s="1">
        <v>13.084899999999999</v>
      </c>
      <c r="Q591" s="6">
        <f t="shared" si="130"/>
        <v>-1.4386971881379051E-2</v>
      </c>
      <c r="R591" s="21">
        <v>45757</v>
      </c>
      <c r="S591" s="1">
        <v>7.4</v>
      </c>
      <c r="T591" s="1">
        <v>6.9307999999999996</v>
      </c>
      <c r="U591" s="6">
        <f t="shared" si="135"/>
        <v>-5.3815134250821961E-3</v>
      </c>
      <c r="V591" s="21">
        <v>45757</v>
      </c>
      <c r="W591" s="1">
        <v>5.8</v>
      </c>
      <c r="X591" s="1">
        <v>5.4459999999999997</v>
      </c>
      <c r="Y591" s="6">
        <f t="shared" si="128"/>
        <v>3.5010134512623026E-3</v>
      </c>
      <c r="Z591" s="21">
        <v>45757</v>
      </c>
      <c r="AA591" s="1">
        <v>2.1</v>
      </c>
      <c r="AB591" s="1">
        <v>2.1</v>
      </c>
      <c r="AC591" s="6">
        <f t="shared" si="131"/>
        <v>-1.4084507042253391E-2</v>
      </c>
      <c r="AD591" s="21">
        <v>45757</v>
      </c>
      <c r="AE591" s="1">
        <v>13</v>
      </c>
      <c r="AF591" s="1">
        <v>12.639900000000001</v>
      </c>
      <c r="AG591" s="6">
        <f t="shared" si="132"/>
        <v>4.4179725900653555E-2</v>
      </c>
      <c r="AH591" s="21">
        <v>45757</v>
      </c>
      <c r="AI591" s="1">
        <v>11.68</v>
      </c>
      <c r="AJ591" s="1">
        <v>11.3062</v>
      </c>
      <c r="AK591" s="6">
        <f t="shared" si="133"/>
        <v>-1.7129335311152349E-3</v>
      </c>
      <c r="AL591" s="21">
        <v>45757</v>
      </c>
      <c r="AM591" s="1">
        <v>1.77</v>
      </c>
      <c r="AN591" s="1">
        <v>1.77</v>
      </c>
      <c r="AO591" s="6">
        <v>1.1428571428571344E-2</v>
      </c>
      <c r="AP591" s="21" t="s">
        <v>594</v>
      </c>
      <c r="AQ591" s="1">
        <v>11021.34</v>
      </c>
      <c r="AR591" s="6">
        <v>2.1030694994914612E-3</v>
      </c>
    </row>
    <row r="592" spans="2:44" x14ac:dyDescent="0.35">
      <c r="B592" s="21">
        <v>45758</v>
      </c>
      <c r="C592" s="1">
        <v>0.72</v>
      </c>
      <c r="D592" s="1">
        <v>0.72</v>
      </c>
      <c r="E592" s="6">
        <f t="shared" si="127"/>
        <v>-2.7027027027027084E-2</v>
      </c>
      <c r="F592" s="21">
        <v>45758</v>
      </c>
      <c r="G592" s="1">
        <v>13.28</v>
      </c>
      <c r="H592" s="1">
        <v>12.392899999999999</v>
      </c>
      <c r="I592" s="6">
        <f t="shared" si="134"/>
        <v>-7.4986695908796364E-4</v>
      </c>
      <c r="J592" s="21">
        <v>45758</v>
      </c>
      <c r="K592" s="1">
        <v>68.3</v>
      </c>
      <c r="L592" s="1">
        <v>53.137999999999998</v>
      </c>
      <c r="M592" s="6">
        <f t="shared" si="129"/>
        <v>-2.1489733910321385E-2</v>
      </c>
      <c r="N592" s="21">
        <v>45758</v>
      </c>
      <c r="O592" s="1">
        <v>13.89</v>
      </c>
      <c r="P592" s="1">
        <v>13.266299999999999</v>
      </c>
      <c r="Q592" s="6">
        <f t="shared" si="130"/>
        <v>1.3863308087948667E-2</v>
      </c>
      <c r="R592" s="21">
        <v>45758</v>
      </c>
      <c r="S592" s="1">
        <v>7.38</v>
      </c>
      <c r="T592" s="1">
        <v>6.9120999999999997</v>
      </c>
      <c r="U592" s="6">
        <f t="shared" si="135"/>
        <v>-2.6981012292952578E-3</v>
      </c>
      <c r="V592" s="21">
        <v>45758</v>
      </c>
      <c r="W592" s="1">
        <v>5.8</v>
      </c>
      <c r="X592" s="1">
        <v>5.4459999999999997</v>
      </c>
      <c r="Y592" s="6">
        <f t="shared" si="128"/>
        <v>0</v>
      </c>
      <c r="Z592" s="21">
        <v>45758</v>
      </c>
      <c r="AA592" s="1">
        <v>2.08</v>
      </c>
      <c r="AB592" s="1">
        <v>2.08</v>
      </c>
      <c r="AC592" s="6">
        <f t="shared" si="131"/>
        <v>-9.52380952380949E-3</v>
      </c>
      <c r="AD592" s="21">
        <v>45758</v>
      </c>
      <c r="AE592" s="1">
        <v>13.4</v>
      </c>
      <c r="AF592" s="1">
        <v>13.0288</v>
      </c>
      <c r="AG592" s="6">
        <f t="shared" si="132"/>
        <v>3.0767648478231546E-2</v>
      </c>
      <c r="AH592" s="21">
        <v>45758</v>
      </c>
      <c r="AI592" s="1">
        <v>11.75</v>
      </c>
      <c r="AJ592" s="1">
        <v>11.374000000000001</v>
      </c>
      <c r="AK592" s="6">
        <f t="shared" si="133"/>
        <v>5.9967097698607752E-3</v>
      </c>
      <c r="AL592" s="21">
        <v>45758</v>
      </c>
      <c r="AM592" s="1">
        <v>1.78</v>
      </c>
      <c r="AN592" s="1">
        <v>1.78</v>
      </c>
      <c r="AO592" s="6">
        <v>5.6497175141243527E-3</v>
      </c>
      <c r="AP592" s="21" t="s">
        <v>595</v>
      </c>
      <c r="AQ592" s="1">
        <v>11023.24</v>
      </c>
      <c r="AR592" s="6">
        <v>1.7239283063585908E-4</v>
      </c>
    </row>
    <row r="593" spans="2:44" x14ac:dyDescent="0.35">
      <c r="B593" s="21">
        <v>45761</v>
      </c>
      <c r="C593" s="1">
        <v>0.74</v>
      </c>
      <c r="D593" s="1">
        <v>0.74</v>
      </c>
      <c r="E593" s="6">
        <f t="shared" ref="E593:E656" si="136">(D593/D592)-1</f>
        <v>2.7777777777777901E-2</v>
      </c>
      <c r="F593" s="21">
        <v>45761</v>
      </c>
      <c r="G593" s="1">
        <v>13.28</v>
      </c>
      <c r="H593" s="1">
        <v>12.392899999999999</v>
      </c>
      <c r="I593" s="6">
        <f t="shared" si="134"/>
        <v>0</v>
      </c>
      <c r="J593" s="21">
        <v>45761</v>
      </c>
      <c r="K593" s="1">
        <v>68.3</v>
      </c>
      <c r="L593" s="1">
        <v>57.242199999999997</v>
      </c>
      <c r="M593" s="6">
        <f t="shared" si="129"/>
        <v>7.7236629154277425E-2</v>
      </c>
      <c r="N593" s="21">
        <v>45761</v>
      </c>
      <c r="O593" s="1">
        <v>13.75</v>
      </c>
      <c r="P593" s="1">
        <v>13.1326</v>
      </c>
      <c r="Q593" s="6">
        <f t="shared" si="130"/>
        <v>-1.007816798956751E-2</v>
      </c>
      <c r="R593" s="21">
        <v>45761</v>
      </c>
      <c r="S593" s="1">
        <v>7.43</v>
      </c>
      <c r="T593" s="1">
        <v>6.9588999999999999</v>
      </c>
      <c r="U593" s="6">
        <f t="shared" si="135"/>
        <v>6.770735377092274E-3</v>
      </c>
      <c r="V593" s="21">
        <v>45761</v>
      </c>
      <c r="W593" s="1">
        <v>5.85</v>
      </c>
      <c r="X593" s="1">
        <v>5.4930000000000003</v>
      </c>
      <c r="Y593" s="6">
        <f t="shared" si="128"/>
        <v>8.6301872934264612E-3</v>
      </c>
      <c r="Z593" s="21">
        <v>45761</v>
      </c>
      <c r="AA593" s="1">
        <v>2.1</v>
      </c>
      <c r="AB593" s="1">
        <v>2.1</v>
      </c>
      <c r="AC593" s="6">
        <f t="shared" si="131"/>
        <v>9.6153846153845812E-3</v>
      </c>
      <c r="AD593" s="21">
        <v>45761</v>
      </c>
      <c r="AE593" s="1">
        <v>13.15</v>
      </c>
      <c r="AF593" s="1">
        <v>12.7857</v>
      </c>
      <c r="AG593" s="6">
        <f t="shared" si="132"/>
        <v>-1.8658663883089788E-2</v>
      </c>
      <c r="AH593" s="21">
        <v>45761</v>
      </c>
      <c r="AI593" s="1">
        <v>11.7</v>
      </c>
      <c r="AJ593" s="1">
        <v>11.3256</v>
      </c>
      <c r="AK593" s="6">
        <f t="shared" si="133"/>
        <v>-4.2553191489362874E-3</v>
      </c>
      <c r="AL593" s="21">
        <v>45761</v>
      </c>
      <c r="AM593" s="1">
        <v>1.81</v>
      </c>
      <c r="AN593" s="1">
        <v>1.81</v>
      </c>
      <c r="AO593" s="6">
        <v>1.6853932584269593E-2</v>
      </c>
      <c r="AP593" s="21" t="s">
        <v>596</v>
      </c>
      <c r="AQ593" s="1">
        <v>10985.45</v>
      </c>
      <c r="AR593" s="6">
        <v>-3.4282116691642939E-3</v>
      </c>
    </row>
    <row r="594" spans="2:44" x14ac:dyDescent="0.35">
      <c r="B594" s="21">
        <v>45762</v>
      </c>
      <c r="C594" s="1">
        <v>0.76</v>
      </c>
      <c r="D594" s="1">
        <v>0.76</v>
      </c>
      <c r="E594" s="6">
        <f t="shared" si="136"/>
        <v>2.7027027027026973E-2</v>
      </c>
      <c r="F594" s="21">
        <v>45762</v>
      </c>
      <c r="G594" s="1">
        <v>13.49</v>
      </c>
      <c r="H594" s="1">
        <v>12.588900000000001</v>
      </c>
      <c r="I594" s="6">
        <f t="shared" si="134"/>
        <v>1.5815507266257356E-2</v>
      </c>
      <c r="J594" s="21">
        <v>45762</v>
      </c>
      <c r="K594" s="1">
        <v>67.900000000000006</v>
      </c>
      <c r="L594" s="1">
        <v>56.906999999999996</v>
      </c>
      <c r="M594" s="6">
        <f t="shared" si="129"/>
        <v>-5.8558196575253518E-3</v>
      </c>
      <c r="N594" s="21">
        <v>45762</v>
      </c>
      <c r="O594" s="1">
        <v>13.51</v>
      </c>
      <c r="P594" s="1">
        <v>12.9034</v>
      </c>
      <c r="Q594" s="6">
        <f t="shared" si="130"/>
        <v>-1.7452751168847036E-2</v>
      </c>
      <c r="R594" s="21">
        <v>45762</v>
      </c>
      <c r="S594" s="1">
        <v>7.42</v>
      </c>
      <c r="T594" s="1">
        <v>6.9496000000000002</v>
      </c>
      <c r="U594" s="6">
        <f t="shared" si="135"/>
        <v>-1.3364181120578689E-3</v>
      </c>
      <c r="V594" s="21">
        <v>45762</v>
      </c>
      <c r="W594" s="1">
        <v>6</v>
      </c>
      <c r="X594" s="1">
        <v>5.6340000000000003</v>
      </c>
      <c r="Y594" s="6">
        <f t="shared" si="128"/>
        <v>2.5669033315128376E-2</v>
      </c>
      <c r="Z594" s="21">
        <v>45762</v>
      </c>
      <c r="AA594" s="1">
        <v>2.09</v>
      </c>
      <c r="AB594" s="1">
        <v>2.09</v>
      </c>
      <c r="AC594" s="6">
        <f t="shared" si="131"/>
        <v>-4.761904761904856E-3</v>
      </c>
      <c r="AD594" s="21">
        <v>45762</v>
      </c>
      <c r="AE594" s="1">
        <v>13.45</v>
      </c>
      <c r="AF594" s="1">
        <v>13.077400000000001</v>
      </c>
      <c r="AG594" s="6">
        <f t="shared" si="132"/>
        <v>2.2814550630782859E-2</v>
      </c>
      <c r="AH594" s="21">
        <v>45762</v>
      </c>
      <c r="AI594" s="1">
        <v>11.71</v>
      </c>
      <c r="AJ594" s="1">
        <v>11.3353</v>
      </c>
      <c r="AK594" s="6">
        <f t="shared" si="133"/>
        <v>8.5646676555772849E-4</v>
      </c>
      <c r="AL594" s="21">
        <v>45762</v>
      </c>
      <c r="AM594" s="1">
        <v>1.78</v>
      </c>
      <c r="AN594" s="1">
        <v>1.78</v>
      </c>
      <c r="AO594" s="6">
        <v>-1.6574585635359185E-2</v>
      </c>
      <c r="AP594" s="21" t="s">
        <v>597</v>
      </c>
      <c r="AQ594" s="1">
        <v>11028.74</v>
      </c>
      <c r="AR594" s="6">
        <v>3.9406669731325561E-3</v>
      </c>
    </row>
    <row r="595" spans="2:44" x14ac:dyDescent="0.35">
      <c r="B595" s="21">
        <v>45763</v>
      </c>
      <c r="C595" s="1">
        <v>0.76</v>
      </c>
      <c r="D595" s="1">
        <v>0.76</v>
      </c>
      <c r="E595" s="6">
        <f t="shared" si="136"/>
        <v>0</v>
      </c>
      <c r="F595" s="21">
        <v>45763</v>
      </c>
      <c r="G595" s="1">
        <v>13.42</v>
      </c>
      <c r="H595" s="1">
        <v>12.5235</v>
      </c>
      <c r="I595" s="6">
        <f t="shared" si="134"/>
        <v>-5.1950527845959771E-3</v>
      </c>
      <c r="J595" s="21">
        <v>45763</v>
      </c>
      <c r="K595" s="1">
        <v>68.25</v>
      </c>
      <c r="L595" s="1">
        <v>57.200299999999999</v>
      </c>
      <c r="M595" s="6">
        <f t="shared" si="129"/>
        <v>5.1540232308855405E-3</v>
      </c>
      <c r="N595" s="21">
        <v>45763</v>
      </c>
      <c r="O595" s="1">
        <v>14.26</v>
      </c>
      <c r="P595" s="1">
        <v>13.6197</v>
      </c>
      <c r="Q595" s="6">
        <f t="shared" si="130"/>
        <v>5.5512500581242241E-2</v>
      </c>
      <c r="R595" s="21">
        <v>45763</v>
      </c>
      <c r="S595" s="1">
        <v>7.4</v>
      </c>
      <c r="T595" s="1">
        <v>6.9307999999999996</v>
      </c>
      <c r="U595" s="6">
        <f t="shared" si="135"/>
        <v>-2.7051916657074848E-3</v>
      </c>
      <c r="V595" s="21">
        <v>45763</v>
      </c>
      <c r="W595" s="1">
        <v>5.77</v>
      </c>
      <c r="X595" s="1">
        <v>5.4180000000000001</v>
      </c>
      <c r="Y595" s="6">
        <f t="shared" si="128"/>
        <v>-3.833865814696491E-2</v>
      </c>
      <c r="Z595" s="21">
        <v>45763</v>
      </c>
      <c r="AA595" s="1">
        <v>2.17</v>
      </c>
      <c r="AB595" s="1">
        <v>2.17</v>
      </c>
      <c r="AC595" s="6">
        <f t="shared" si="131"/>
        <v>3.8277511961722466E-2</v>
      </c>
      <c r="AD595" s="21">
        <v>45763</v>
      </c>
      <c r="AE595" s="1">
        <v>13.48</v>
      </c>
      <c r="AF595" s="1">
        <v>13.1066</v>
      </c>
      <c r="AG595" s="6">
        <f t="shared" si="132"/>
        <v>2.2328597427623276E-3</v>
      </c>
      <c r="AH595" s="21">
        <v>45763</v>
      </c>
      <c r="AI595" s="1">
        <v>11.75</v>
      </c>
      <c r="AJ595" s="1">
        <v>11.374000000000001</v>
      </c>
      <c r="AK595" s="6">
        <f t="shared" si="133"/>
        <v>3.4141134332572598E-3</v>
      </c>
      <c r="AL595" s="21">
        <v>45763</v>
      </c>
      <c r="AM595" s="1">
        <v>1.8</v>
      </c>
      <c r="AN595" s="1">
        <v>1.8</v>
      </c>
      <c r="AO595" s="6">
        <v>1.1235955056179803E-2</v>
      </c>
      <c r="AP595" s="21" t="s">
        <v>598</v>
      </c>
      <c r="AQ595" s="1">
        <v>11104.86</v>
      </c>
      <c r="AR595" s="6">
        <v>6.9019670424728119E-3</v>
      </c>
    </row>
    <row r="596" spans="2:44" x14ac:dyDescent="0.35">
      <c r="B596" s="21">
        <v>45764</v>
      </c>
      <c r="C596" s="1">
        <v>0.76</v>
      </c>
      <c r="D596" s="1">
        <v>0.76</v>
      </c>
      <c r="E596" s="6">
        <f t="shared" si="136"/>
        <v>0</v>
      </c>
      <c r="F596" s="21">
        <v>45764</v>
      </c>
      <c r="G596" s="1">
        <v>13.42</v>
      </c>
      <c r="H596" s="1">
        <v>12.5235</v>
      </c>
      <c r="I596" s="6">
        <f t="shared" si="134"/>
        <v>0</v>
      </c>
      <c r="J596" s="21">
        <v>45764</v>
      </c>
      <c r="K596" s="1">
        <v>68</v>
      </c>
      <c r="L596" s="1">
        <v>56.9908</v>
      </c>
      <c r="M596" s="6">
        <f t="shared" si="129"/>
        <v>-3.6625682033135654E-3</v>
      </c>
      <c r="N596" s="21">
        <v>45764</v>
      </c>
      <c r="O596" s="1">
        <v>14</v>
      </c>
      <c r="P596" s="1">
        <v>13.3714</v>
      </c>
      <c r="Q596" s="6">
        <f t="shared" si="130"/>
        <v>-1.8230944881311606E-2</v>
      </c>
      <c r="R596" s="21">
        <v>45764</v>
      </c>
      <c r="S596" s="1">
        <v>7.35</v>
      </c>
      <c r="T596" s="1">
        <v>6.8840000000000003</v>
      </c>
      <c r="U596" s="6">
        <f t="shared" si="135"/>
        <v>-6.7524672476481085E-3</v>
      </c>
      <c r="V596" s="21">
        <v>45764</v>
      </c>
      <c r="W596" s="1">
        <v>5.99</v>
      </c>
      <c r="X596" s="1">
        <v>5.625</v>
      </c>
      <c r="Y596" s="6">
        <f t="shared" si="128"/>
        <v>3.8205980066445155E-2</v>
      </c>
      <c r="Z596" s="21">
        <v>45764</v>
      </c>
      <c r="AA596" s="1">
        <v>2.1</v>
      </c>
      <c r="AB596" s="1">
        <v>2.1</v>
      </c>
      <c r="AC596" s="6">
        <f t="shared" si="131"/>
        <v>-3.2258064516129004E-2</v>
      </c>
      <c r="AD596" s="21">
        <v>45764</v>
      </c>
      <c r="AE596" s="1">
        <v>13.8</v>
      </c>
      <c r="AF596" s="1">
        <v>13.4177</v>
      </c>
      <c r="AG596" s="6">
        <f t="shared" si="132"/>
        <v>2.3736132940655796E-2</v>
      </c>
      <c r="AH596" s="21">
        <v>45764</v>
      </c>
      <c r="AI596" s="1">
        <v>11.85</v>
      </c>
      <c r="AJ596" s="1">
        <v>11.470800000000001</v>
      </c>
      <c r="AK596" s="6">
        <f t="shared" si="133"/>
        <v>8.5106382978723527E-3</v>
      </c>
      <c r="AL596" s="21">
        <v>45764</v>
      </c>
      <c r="AM596" s="1">
        <v>1.74</v>
      </c>
      <c r="AN596" s="1">
        <v>1.74</v>
      </c>
      <c r="AO596" s="6">
        <v>-3.3333333333333326E-2</v>
      </c>
      <c r="AP596" s="21" t="s">
        <v>599</v>
      </c>
      <c r="AQ596" s="1">
        <v>11107.25</v>
      </c>
      <c r="AR596" s="6">
        <v>2.1522108338145607E-4</v>
      </c>
    </row>
    <row r="597" spans="2:44" x14ac:dyDescent="0.35">
      <c r="B597" s="21">
        <v>45765</v>
      </c>
      <c r="C597" s="1">
        <v>0.76</v>
      </c>
      <c r="D597" s="1">
        <v>0.76</v>
      </c>
      <c r="E597" s="6">
        <f t="shared" si="136"/>
        <v>0</v>
      </c>
      <c r="F597" s="21">
        <v>45765</v>
      </c>
      <c r="G597" s="1">
        <v>13.38</v>
      </c>
      <c r="H597" s="1">
        <v>12.4862</v>
      </c>
      <c r="I597" s="6">
        <f t="shared" si="134"/>
        <v>-2.9784006068591662E-3</v>
      </c>
      <c r="J597" s="21">
        <v>45765</v>
      </c>
      <c r="K597" s="1">
        <v>67.739999999999995</v>
      </c>
      <c r="L597" s="1">
        <v>56.7729</v>
      </c>
      <c r="M597" s="6">
        <f t="shared" si="129"/>
        <v>-3.8234241316141837E-3</v>
      </c>
      <c r="N597" s="21">
        <v>45765</v>
      </c>
      <c r="O597" s="1">
        <v>13.79</v>
      </c>
      <c r="P597" s="1">
        <v>13.1708</v>
      </c>
      <c r="Q597" s="6">
        <f t="shared" si="130"/>
        <v>-1.500216880805294E-2</v>
      </c>
      <c r="R597" s="21">
        <v>45765</v>
      </c>
      <c r="S597" s="1">
        <v>7.35</v>
      </c>
      <c r="T597" s="1">
        <v>6.8840000000000003</v>
      </c>
      <c r="U597" s="6">
        <f t="shared" si="135"/>
        <v>0</v>
      </c>
      <c r="V597" s="21">
        <v>45765</v>
      </c>
      <c r="W597" s="1">
        <v>5.92</v>
      </c>
      <c r="X597" s="1">
        <v>5.5590000000000002</v>
      </c>
      <c r="Y597" s="6">
        <f t="shared" ref="Y597:Y660" si="137">(X597/X596)-1</f>
        <v>-1.1733333333333262E-2</v>
      </c>
      <c r="Z597" s="21">
        <v>45765</v>
      </c>
      <c r="AA597" s="1">
        <v>2.08</v>
      </c>
      <c r="AB597" s="1">
        <v>2.08</v>
      </c>
      <c r="AC597" s="6">
        <f t="shared" si="131"/>
        <v>-9.52380952380949E-3</v>
      </c>
      <c r="AD597" s="21">
        <v>45765</v>
      </c>
      <c r="AE597" s="1">
        <v>14.18</v>
      </c>
      <c r="AF597" s="1">
        <v>13.7872</v>
      </c>
      <c r="AG597" s="6">
        <f t="shared" si="132"/>
        <v>2.7538251712290407E-2</v>
      </c>
      <c r="AH597" s="21">
        <v>45765</v>
      </c>
      <c r="AI597" s="1">
        <v>11.84</v>
      </c>
      <c r="AJ597" s="1">
        <v>11.4611</v>
      </c>
      <c r="AK597" s="6">
        <f t="shared" si="133"/>
        <v>-8.4562541409494152E-4</v>
      </c>
      <c r="AL597" s="21">
        <v>45765</v>
      </c>
      <c r="AM597" s="1">
        <v>1.75</v>
      </c>
      <c r="AN597" s="1">
        <v>1.75</v>
      </c>
      <c r="AO597" s="6">
        <v>5.7471264367816577E-3</v>
      </c>
      <c r="AP597" s="21" t="s">
        <v>600</v>
      </c>
      <c r="AQ597" s="1">
        <v>11059.55</v>
      </c>
      <c r="AR597" s="6">
        <v>-4.2944923360868081E-3</v>
      </c>
    </row>
    <row r="598" spans="2:44" x14ac:dyDescent="0.35">
      <c r="B598" s="21">
        <v>45768</v>
      </c>
      <c r="C598" s="1">
        <v>0.76</v>
      </c>
      <c r="D598" s="1">
        <v>0.76</v>
      </c>
      <c r="E598" s="6">
        <f t="shared" si="136"/>
        <v>0</v>
      </c>
      <c r="F598" s="21">
        <v>45768</v>
      </c>
      <c r="G598" s="1">
        <v>13.25</v>
      </c>
      <c r="H598" s="1">
        <v>12.3649</v>
      </c>
      <c r="I598" s="6">
        <f t="shared" si="134"/>
        <v>-9.7147250564623144E-3</v>
      </c>
      <c r="J598" s="21">
        <v>45768</v>
      </c>
      <c r="K598" s="1">
        <v>65.89</v>
      </c>
      <c r="L598" s="1">
        <v>55.2224</v>
      </c>
      <c r="M598" s="6">
        <f t="shared" si="129"/>
        <v>-2.7310565428223632E-2</v>
      </c>
      <c r="N598" s="21">
        <v>45768</v>
      </c>
      <c r="O598" s="1">
        <v>14</v>
      </c>
      <c r="P598" s="1">
        <v>13.3714</v>
      </c>
      <c r="Q598" s="6">
        <f t="shared" si="130"/>
        <v>1.523066176693888E-2</v>
      </c>
      <c r="R598" s="21">
        <v>45768</v>
      </c>
      <c r="S598" s="1">
        <v>7.33</v>
      </c>
      <c r="T598" s="1">
        <v>6.8653000000000004</v>
      </c>
      <c r="U598" s="6">
        <f t="shared" si="135"/>
        <v>-2.7164439279488972E-3</v>
      </c>
      <c r="V598" s="21">
        <v>45768</v>
      </c>
      <c r="W598" s="1">
        <v>5.8</v>
      </c>
      <c r="X598" s="1">
        <v>5.4459999999999997</v>
      </c>
      <c r="Y598" s="6">
        <f t="shared" si="137"/>
        <v>-2.0327397013851445E-2</v>
      </c>
      <c r="Z598" s="21">
        <v>45768</v>
      </c>
      <c r="AA598" s="1">
        <v>2.08</v>
      </c>
      <c r="AB598" s="1">
        <v>2.08</v>
      </c>
      <c r="AC598" s="6">
        <f t="shared" si="131"/>
        <v>0</v>
      </c>
      <c r="AD598" s="21">
        <v>45768</v>
      </c>
      <c r="AE598" s="1">
        <v>14.26</v>
      </c>
      <c r="AF598" s="1">
        <v>13.865</v>
      </c>
      <c r="AG598" s="6">
        <f t="shared" si="132"/>
        <v>5.6429151676917755E-3</v>
      </c>
      <c r="AH598" s="21">
        <v>45768</v>
      </c>
      <c r="AI598" s="1">
        <v>11.79</v>
      </c>
      <c r="AJ598" s="1">
        <v>11.412699999999999</v>
      </c>
      <c r="AK598" s="6">
        <f t="shared" si="133"/>
        <v>-4.2229803422010326E-3</v>
      </c>
      <c r="AL598" s="21">
        <v>45768</v>
      </c>
      <c r="AM598" s="1">
        <v>1.75</v>
      </c>
      <c r="AN598" s="1">
        <v>1.75</v>
      </c>
      <c r="AO598" s="6">
        <v>0</v>
      </c>
      <c r="AP598" s="21" t="s">
        <v>601</v>
      </c>
      <c r="AQ598" s="1">
        <v>11047.71</v>
      </c>
      <c r="AR598" s="6">
        <v>-1.0705679706678461E-3</v>
      </c>
    </row>
    <row r="599" spans="2:44" x14ac:dyDescent="0.35">
      <c r="B599" s="21">
        <v>45769</v>
      </c>
      <c r="C599" s="1">
        <v>0.76</v>
      </c>
      <c r="D599" s="1">
        <v>0.76</v>
      </c>
      <c r="E599" s="6">
        <f t="shared" si="136"/>
        <v>0</v>
      </c>
      <c r="F599" s="21">
        <v>45769</v>
      </c>
      <c r="G599" s="1">
        <v>13.13</v>
      </c>
      <c r="H599" s="1">
        <v>12.2529</v>
      </c>
      <c r="I599" s="6">
        <f t="shared" si="134"/>
        <v>-9.0578977589790277E-3</v>
      </c>
      <c r="J599" s="21">
        <v>45769</v>
      </c>
      <c r="K599" s="1">
        <v>66.88</v>
      </c>
      <c r="L599" s="1">
        <v>56.052100000000003</v>
      </c>
      <c r="M599" s="6">
        <f t="shared" si="129"/>
        <v>1.5024700121689882E-2</v>
      </c>
      <c r="N599" s="21">
        <v>45769</v>
      </c>
      <c r="O599" s="1">
        <v>14</v>
      </c>
      <c r="P599" s="1">
        <v>13.3714</v>
      </c>
      <c r="Q599" s="6">
        <f t="shared" si="130"/>
        <v>0</v>
      </c>
      <c r="R599" s="21">
        <v>45769</v>
      </c>
      <c r="S599" s="1">
        <v>7.37</v>
      </c>
      <c r="T599" s="1">
        <v>6.9027000000000003</v>
      </c>
      <c r="U599" s="6">
        <f t="shared" si="135"/>
        <v>5.4476861899699358E-3</v>
      </c>
      <c r="V599" s="21">
        <v>45769</v>
      </c>
      <c r="W599" s="1">
        <v>5.8</v>
      </c>
      <c r="X599" s="1">
        <v>5.4459999999999997</v>
      </c>
      <c r="Y599" s="6">
        <f t="shared" si="137"/>
        <v>0</v>
      </c>
      <c r="Z599" s="21">
        <v>45769</v>
      </c>
      <c r="AA599" s="1">
        <v>2.1</v>
      </c>
      <c r="AB599" s="1">
        <v>2.1</v>
      </c>
      <c r="AC599" s="6">
        <f t="shared" si="131"/>
        <v>9.6153846153845812E-3</v>
      </c>
      <c r="AD599" s="21">
        <v>45769</v>
      </c>
      <c r="AE599" s="1">
        <v>14.2</v>
      </c>
      <c r="AF599" s="1">
        <v>13.806699999999999</v>
      </c>
      <c r="AG599" s="6">
        <f t="shared" si="132"/>
        <v>-4.2048323115759789E-3</v>
      </c>
      <c r="AH599" s="21">
        <v>45769</v>
      </c>
      <c r="AI599" s="1">
        <v>11.85</v>
      </c>
      <c r="AJ599" s="1">
        <v>11.470800000000001</v>
      </c>
      <c r="AK599" s="6">
        <f t="shared" si="133"/>
        <v>5.0908198761030476E-3</v>
      </c>
      <c r="AL599" s="21">
        <v>45769</v>
      </c>
      <c r="AM599" s="1">
        <v>1.82</v>
      </c>
      <c r="AN599" s="1">
        <v>1.82</v>
      </c>
      <c r="AO599" s="6">
        <v>4.0000000000000036E-2</v>
      </c>
      <c r="AP599" s="21" t="s">
        <v>602</v>
      </c>
      <c r="AQ599" s="1">
        <v>11093.31</v>
      </c>
      <c r="AR599" s="6">
        <v>4.1275522257553376E-3</v>
      </c>
    </row>
    <row r="600" spans="2:44" x14ac:dyDescent="0.35">
      <c r="B600" s="21">
        <v>45770</v>
      </c>
      <c r="C600" s="1">
        <v>0.75</v>
      </c>
      <c r="D600" s="1">
        <v>0.75</v>
      </c>
      <c r="E600" s="6">
        <f t="shared" si="136"/>
        <v>-1.3157894736842146E-2</v>
      </c>
      <c r="F600" s="21">
        <v>45770</v>
      </c>
      <c r="G600" s="1">
        <v>13.13</v>
      </c>
      <c r="H600" s="1">
        <v>12.2529</v>
      </c>
      <c r="I600" s="6">
        <f t="shared" si="134"/>
        <v>0</v>
      </c>
      <c r="J600" s="21">
        <v>45770</v>
      </c>
      <c r="K600" s="1">
        <v>67.78</v>
      </c>
      <c r="L600" s="1">
        <v>56.806399999999996</v>
      </c>
      <c r="M600" s="6">
        <f t="shared" si="129"/>
        <v>1.3457122926705534E-2</v>
      </c>
      <c r="N600" s="21">
        <v>45770</v>
      </c>
      <c r="O600" s="1">
        <v>13.7</v>
      </c>
      <c r="P600" s="1">
        <v>13.084899999999999</v>
      </c>
      <c r="Q600" s="6">
        <f t="shared" si="130"/>
        <v>-2.1426327834033865E-2</v>
      </c>
      <c r="R600" s="21">
        <v>45770</v>
      </c>
      <c r="S600" s="1">
        <v>7.35</v>
      </c>
      <c r="T600" s="1">
        <v>6.8840000000000003</v>
      </c>
      <c r="U600" s="6">
        <f t="shared" si="135"/>
        <v>-2.7090848508554144E-3</v>
      </c>
      <c r="V600" s="21">
        <v>45770</v>
      </c>
      <c r="W600" s="1">
        <v>6</v>
      </c>
      <c r="X600" s="1">
        <v>5.6340000000000003</v>
      </c>
      <c r="Y600" s="6">
        <f t="shared" si="137"/>
        <v>3.4520749173705623E-2</v>
      </c>
      <c r="Z600" s="21">
        <v>45770</v>
      </c>
      <c r="AA600" s="1">
        <v>2.13</v>
      </c>
      <c r="AB600" s="1">
        <v>2.13</v>
      </c>
      <c r="AC600" s="6">
        <f t="shared" si="131"/>
        <v>1.4285714285714235E-2</v>
      </c>
      <c r="AD600" s="21">
        <v>45770</v>
      </c>
      <c r="AE600" s="1">
        <v>14.05</v>
      </c>
      <c r="AF600" s="1">
        <v>13.6608</v>
      </c>
      <c r="AG600" s="6">
        <f t="shared" si="132"/>
        <v>-1.0567333251247479E-2</v>
      </c>
      <c r="AH600" s="21">
        <v>45770</v>
      </c>
      <c r="AI600" s="1">
        <v>12.14</v>
      </c>
      <c r="AJ600" s="1">
        <v>11.7515</v>
      </c>
      <c r="AK600" s="6">
        <f t="shared" si="133"/>
        <v>2.4470830282107503E-2</v>
      </c>
      <c r="AL600" s="21">
        <v>45770</v>
      </c>
      <c r="AM600" s="1">
        <v>1.83</v>
      </c>
      <c r="AN600" s="1">
        <v>1.83</v>
      </c>
      <c r="AO600" s="6">
        <v>5.494505494505475E-3</v>
      </c>
      <c r="AP600" s="21" t="s">
        <v>603</v>
      </c>
      <c r="AQ600" s="1">
        <v>11168.06</v>
      </c>
      <c r="AR600" s="6">
        <v>6.7382954230974512E-3</v>
      </c>
    </row>
    <row r="601" spans="2:44" x14ac:dyDescent="0.35">
      <c r="B601" s="21">
        <v>45771</v>
      </c>
      <c r="C601" s="1">
        <v>0.72</v>
      </c>
      <c r="D601" s="1">
        <v>0.72</v>
      </c>
      <c r="E601" s="6">
        <f t="shared" si="136"/>
        <v>-4.0000000000000036E-2</v>
      </c>
      <c r="F601" s="21">
        <v>45771</v>
      </c>
      <c r="G601" s="1">
        <v>13.29</v>
      </c>
      <c r="H601" s="1">
        <v>12.402200000000001</v>
      </c>
      <c r="I601" s="6">
        <f t="shared" si="134"/>
        <v>1.2184870520448143E-2</v>
      </c>
      <c r="J601" s="21">
        <v>45771</v>
      </c>
      <c r="K601" s="1">
        <v>68.88</v>
      </c>
      <c r="L601" s="1">
        <v>57.728299999999997</v>
      </c>
      <c r="M601" s="6">
        <f t="shared" si="129"/>
        <v>1.6228805205047436E-2</v>
      </c>
      <c r="N601" s="21">
        <v>45771</v>
      </c>
      <c r="O601" s="1">
        <v>13.99</v>
      </c>
      <c r="P601" s="1">
        <v>13.361800000000001</v>
      </c>
      <c r="Q601" s="6">
        <f t="shared" si="130"/>
        <v>2.1161797186069586E-2</v>
      </c>
      <c r="R601" s="21">
        <v>45771</v>
      </c>
      <c r="S601" s="1">
        <v>7.22</v>
      </c>
      <c r="T601" s="1">
        <v>6.7622999999999998</v>
      </c>
      <c r="U601" s="6">
        <f t="shared" si="135"/>
        <v>-1.7678675188843807E-2</v>
      </c>
      <c r="V601" s="21">
        <v>45771</v>
      </c>
      <c r="W601" s="1">
        <v>6</v>
      </c>
      <c r="X601" s="1">
        <v>5.6340000000000003</v>
      </c>
      <c r="Y601" s="6">
        <f t="shared" si="137"/>
        <v>0</v>
      </c>
      <c r="Z601" s="21">
        <v>45771</v>
      </c>
      <c r="AA601" s="1">
        <v>2.09</v>
      </c>
      <c r="AB601" s="1">
        <v>2.09</v>
      </c>
      <c r="AC601" s="6">
        <f t="shared" si="131"/>
        <v>-1.8779342723004744E-2</v>
      </c>
      <c r="AD601" s="21">
        <v>45771</v>
      </c>
      <c r="AE601" s="1">
        <v>14.2</v>
      </c>
      <c r="AF601" s="1">
        <v>13.806699999999999</v>
      </c>
      <c r="AG601" s="6">
        <f t="shared" si="132"/>
        <v>1.0680194424923739E-2</v>
      </c>
      <c r="AH601" s="21">
        <v>45771</v>
      </c>
      <c r="AI601" s="1">
        <v>12.17</v>
      </c>
      <c r="AJ601" s="1">
        <v>11.7806</v>
      </c>
      <c r="AK601" s="6">
        <f t="shared" si="133"/>
        <v>2.4762796238777529E-3</v>
      </c>
      <c r="AL601" s="21">
        <v>45771</v>
      </c>
      <c r="AM601" s="1">
        <v>1.75</v>
      </c>
      <c r="AN601" s="1">
        <v>1.75</v>
      </c>
      <c r="AO601" s="6">
        <v>-4.3715846994535568E-2</v>
      </c>
      <c r="AP601" s="21" t="s">
        <v>604</v>
      </c>
      <c r="AQ601" s="1">
        <v>11184.56</v>
      </c>
      <c r="AR601" s="6">
        <v>1.4774275926168201E-3</v>
      </c>
    </row>
    <row r="602" spans="2:44" x14ac:dyDescent="0.35">
      <c r="B602" s="21">
        <v>45772</v>
      </c>
      <c r="C602" s="1">
        <v>0.71</v>
      </c>
      <c r="D602" s="1">
        <v>0.71</v>
      </c>
      <c r="E602" s="6">
        <f t="shared" si="136"/>
        <v>-1.3888888888888951E-2</v>
      </c>
      <c r="F602" s="21">
        <v>45772</v>
      </c>
      <c r="G602" s="1">
        <v>13.29</v>
      </c>
      <c r="H602" s="1">
        <v>12.402200000000001</v>
      </c>
      <c r="I602" s="6">
        <f t="shared" si="134"/>
        <v>0</v>
      </c>
      <c r="J602" s="21">
        <v>45772</v>
      </c>
      <c r="K602" s="1">
        <v>69.8</v>
      </c>
      <c r="L602" s="1">
        <v>58.499400000000001</v>
      </c>
      <c r="M602" s="6">
        <f t="shared" si="129"/>
        <v>1.3357400096659866E-2</v>
      </c>
      <c r="N602" s="21">
        <v>45772</v>
      </c>
      <c r="O602" s="1">
        <v>13.95</v>
      </c>
      <c r="P602" s="1">
        <v>13.323600000000001</v>
      </c>
      <c r="Q602" s="6">
        <f t="shared" si="130"/>
        <v>-2.8588962564923825E-3</v>
      </c>
      <c r="R602" s="21">
        <v>45772</v>
      </c>
      <c r="S602" s="1">
        <v>7.14</v>
      </c>
      <c r="T602" s="1">
        <v>6.6872999999999996</v>
      </c>
      <c r="U602" s="6">
        <f t="shared" si="135"/>
        <v>-1.109090102479926E-2</v>
      </c>
      <c r="V602" s="21">
        <v>45772</v>
      </c>
      <c r="W602" s="1">
        <v>6</v>
      </c>
      <c r="X602" s="1">
        <v>5.6340000000000003</v>
      </c>
      <c r="Y602" s="6">
        <f t="shared" si="137"/>
        <v>0</v>
      </c>
      <c r="Z602" s="21">
        <v>45772</v>
      </c>
      <c r="AA602" s="1">
        <v>2.0699999999999998</v>
      </c>
      <c r="AB602" s="1">
        <v>2.0699999999999998</v>
      </c>
      <c r="AC602" s="6">
        <f t="shared" si="131"/>
        <v>-9.5693779904306719E-3</v>
      </c>
      <c r="AD602" s="21">
        <v>45772</v>
      </c>
      <c r="AE602" s="1">
        <v>14.49</v>
      </c>
      <c r="AF602" s="1">
        <v>14.0886</v>
      </c>
      <c r="AG602" s="6">
        <f t="shared" si="132"/>
        <v>2.0417623327804613E-2</v>
      </c>
      <c r="AH602" s="21">
        <v>45772</v>
      </c>
      <c r="AI602" s="1">
        <v>12.15</v>
      </c>
      <c r="AJ602" s="1">
        <v>11.761200000000001</v>
      </c>
      <c r="AK602" s="6">
        <f t="shared" si="133"/>
        <v>-1.6467752066956498E-3</v>
      </c>
      <c r="AL602" s="21">
        <v>45772</v>
      </c>
      <c r="AM602" s="1">
        <v>1.7</v>
      </c>
      <c r="AN602" s="1">
        <v>1.7</v>
      </c>
      <c r="AO602" s="6">
        <v>-2.8571428571428581E-2</v>
      </c>
      <c r="AP602" s="21" t="s">
        <v>605</v>
      </c>
      <c r="AQ602" s="1">
        <v>11179.35</v>
      </c>
      <c r="AR602" s="6">
        <v>-4.6582073858958406E-4</v>
      </c>
    </row>
    <row r="603" spans="2:44" x14ac:dyDescent="0.35">
      <c r="B603" s="21">
        <v>45775</v>
      </c>
      <c r="C603" s="1">
        <v>0.74</v>
      </c>
      <c r="D603" s="1">
        <v>0.74</v>
      </c>
      <c r="E603" s="6">
        <f t="shared" si="136"/>
        <v>4.2253521126760507E-2</v>
      </c>
      <c r="F603" s="21">
        <v>45775</v>
      </c>
      <c r="G603" s="1">
        <v>13.29</v>
      </c>
      <c r="H603" s="1">
        <v>12.402200000000001</v>
      </c>
      <c r="I603" s="6">
        <f t="shared" si="134"/>
        <v>0</v>
      </c>
      <c r="J603" s="21">
        <v>45775</v>
      </c>
      <c r="K603" s="1">
        <v>69.44</v>
      </c>
      <c r="L603" s="1">
        <v>58.197699999999998</v>
      </c>
      <c r="M603" s="6">
        <f t="shared" si="129"/>
        <v>-5.157317852832799E-3</v>
      </c>
      <c r="N603" s="21">
        <v>45775</v>
      </c>
      <c r="O603" s="1">
        <v>13.79</v>
      </c>
      <c r="P603" s="1">
        <v>13.1708</v>
      </c>
      <c r="Q603" s="6">
        <f t="shared" si="130"/>
        <v>-1.1468371911495412E-2</v>
      </c>
      <c r="R603" s="21">
        <v>45775</v>
      </c>
      <c r="S603" s="1">
        <v>7.18</v>
      </c>
      <c r="T603" s="1">
        <v>6.7248000000000001</v>
      </c>
      <c r="U603" s="6">
        <f t="shared" si="135"/>
        <v>5.6076443407653276E-3</v>
      </c>
      <c r="V603" s="21">
        <v>45775</v>
      </c>
      <c r="W603" s="1">
        <v>6</v>
      </c>
      <c r="X603" s="1">
        <v>5.6340000000000003</v>
      </c>
      <c r="Y603" s="6">
        <f t="shared" si="137"/>
        <v>0</v>
      </c>
      <c r="Z603" s="21">
        <v>45775</v>
      </c>
      <c r="AA603" s="1">
        <v>2.0699999999999998</v>
      </c>
      <c r="AB603" s="1">
        <v>2.0699999999999998</v>
      </c>
      <c r="AC603" s="6">
        <f t="shared" si="131"/>
        <v>0</v>
      </c>
      <c r="AD603" s="21">
        <v>45775</v>
      </c>
      <c r="AE603" s="1">
        <v>14.39</v>
      </c>
      <c r="AF603" s="1">
        <v>13.991400000000001</v>
      </c>
      <c r="AG603" s="6">
        <f t="shared" si="132"/>
        <v>-6.8991950939056856E-3</v>
      </c>
      <c r="AH603" s="21">
        <v>45775</v>
      </c>
      <c r="AI603" s="1">
        <v>12.12</v>
      </c>
      <c r="AJ603" s="1">
        <v>11.732200000000001</v>
      </c>
      <c r="AK603" s="6">
        <f t="shared" si="133"/>
        <v>-2.4657347889670556E-3</v>
      </c>
      <c r="AL603" s="21">
        <v>45775</v>
      </c>
      <c r="AM603" s="1">
        <v>1.74</v>
      </c>
      <c r="AN603" s="1">
        <v>1.74</v>
      </c>
      <c r="AO603" s="6">
        <v>2.3529411764705799E-2</v>
      </c>
      <c r="AP603" s="21" t="s">
        <v>606</v>
      </c>
      <c r="AQ603" s="1">
        <v>11182.29</v>
      </c>
      <c r="AR603" s="6">
        <v>2.629848783695099E-4</v>
      </c>
    </row>
    <row r="604" spans="2:44" x14ac:dyDescent="0.35">
      <c r="B604" s="21">
        <v>45776</v>
      </c>
      <c r="C604" s="1">
        <v>0.74</v>
      </c>
      <c r="D604" s="1">
        <v>0.74</v>
      </c>
      <c r="E604" s="6">
        <f t="shared" si="136"/>
        <v>0</v>
      </c>
      <c r="F604" s="21">
        <v>45776</v>
      </c>
      <c r="G604" s="1">
        <v>13.25</v>
      </c>
      <c r="H604" s="1">
        <v>12.3649</v>
      </c>
      <c r="I604" s="6">
        <f t="shared" si="134"/>
        <v>-3.0075309219331769E-3</v>
      </c>
      <c r="J604" s="21">
        <v>45776</v>
      </c>
      <c r="K604" s="1">
        <v>70.25</v>
      </c>
      <c r="L604" s="1">
        <v>58.8765</v>
      </c>
      <c r="M604" s="6">
        <f t="shared" si="129"/>
        <v>1.1663691176799107E-2</v>
      </c>
      <c r="N604" s="21">
        <v>45776</v>
      </c>
      <c r="O604" s="1">
        <v>13.68</v>
      </c>
      <c r="P604" s="1">
        <v>13.065799999999999</v>
      </c>
      <c r="Q604" s="6">
        <f t="shared" si="130"/>
        <v>-7.9721808849880782E-3</v>
      </c>
      <c r="R604" s="21">
        <v>45776</v>
      </c>
      <c r="S604" s="1">
        <v>7.17</v>
      </c>
      <c r="T604" s="1">
        <v>6.7153999999999998</v>
      </c>
      <c r="U604" s="6">
        <f t="shared" si="135"/>
        <v>-1.3978110873186234E-3</v>
      </c>
      <c r="V604" s="21">
        <v>45776</v>
      </c>
      <c r="W604" s="1">
        <v>5.88</v>
      </c>
      <c r="X604" s="1">
        <v>5.5209999999999999</v>
      </c>
      <c r="Y604" s="6">
        <f t="shared" si="137"/>
        <v>-2.005679801206961E-2</v>
      </c>
      <c r="Z604" s="21">
        <v>45776</v>
      </c>
      <c r="AA604" s="1">
        <v>2.06</v>
      </c>
      <c r="AB604" s="1">
        <v>2.06</v>
      </c>
      <c r="AC604" s="6">
        <f t="shared" si="131"/>
        <v>-4.8309178743960457E-3</v>
      </c>
      <c r="AD604" s="21">
        <v>45776</v>
      </c>
      <c r="AE604" s="1">
        <v>14.12</v>
      </c>
      <c r="AF604" s="1">
        <v>13.728899999999999</v>
      </c>
      <c r="AG604" s="6">
        <f t="shared" si="132"/>
        <v>-1.8761524936746987E-2</v>
      </c>
      <c r="AH604" s="21">
        <v>45776</v>
      </c>
      <c r="AI604" s="1">
        <v>12.15</v>
      </c>
      <c r="AJ604" s="1">
        <v>11.761200000000001</v>
      </c>
      <c r="AK604" s="6">
        <f t="shared" si="133"/>
        <v>2.4718296653654104E-3</v>
      </c>
      <c r="AL604" s="21">
        <v>45776</v>
      </c>
      <c r="AM604" s="1">
        <v>1.74</v>
      </c>
      <c r="AN604" s="1">
        <v>1.74</v>
      </c>
      <c r="AO604" s="6">
        <v>0</v>
      </c>
      <c r="AP604" s="21" t="s">
        <v>607</v>
      </c>
      <c r="AQ604" s="1">
        <v>11200.72</v>
      </c>
      <c r="AR604" s="6">
        <v>1.6481418385678737E-3</v>
      </c>
    </row>
    <row r="605" spans="2:44" x14ac:dyDescent="0.35">
      <c r="B605" s="21">
        <v>45777</v>
      </c>
      <c r="C605" s="1">
        <v>0.74</v>
      </c>
      <c r="D605" s="1">
        <v>0.74</v>
      </c>
      <c r="E605" s="6">
        <f t="shared" si="136"/>
        <v>0</v>
      </c>
      <c r="F605" s="21">
        <v>45777</v>
      </c>
      <c r="G605" s="1">
        <v>13.24</v>
      </c>
      <c r="H605" s="1">
        <v>12.355600000000001</v>
      </c>
      <c r="I605" s="6">
        <f t="shared" si="134"/>
        <v>-7.5212901034371615E-4</v>
      </c>
      <c r="J605" s="21">
        <v>45777</v>
      </c>
      <c r="K605" s="1">
        <v>61</v>
      </c>
      <c r="L605" s="1">
        <v>61</v>
      </c>
      <c r="M605" s="6">
        <f t="shared" si="129"/>
        <v>3.6067021647006925E-2</v>
      </c>
      <c r="N605" s="21">
        <v>45777</v>
      </c>
      <c r="O605" s="1">
        <v>13.78</v>
      </c>
      <c r="P605" s="1">
        <v>13.161300000000001</v>
      </c>
      <c r="Q605" s="6">
        <f t="shared" si="130"/>
        <v>7.3091582604969396E-3</v>
      </c>
      <c r="R605" s="21">
        <v>45777</v>
      </c>
      <c r="S605" s="1">
        <v>7.28</v>
      </c>
      <c r="T605" s="1">
        <v>6.8183999999999996</v>
      </c>
      <c r="U605" s="6">
        <f t="shared" si="135"/>
        <v>1.5337880096494505E-2</v>
      </c>
      <c r="V605" s="21">
        <v>45777</v>
      </c>
      <c r="W605" s="1">
        <v>5.88</v>
      </c>
      <c r="X605" s="1">
        <v>5.5209999999999999</v>
      </c>
      <c r="Y605" s="6">
        <f t="shared" si="137"/>
        <v>0</v>
      </c>
      <c r="Z605" s="21">
        <v>45777</v>
      </c>
      <c r="AA605" s="1">
        <v>2.06</v>
      </c>
      <c r="AB605" s="1">
        <v>2.06</v>
      </c>
      <c r="AC605" s="6">
        <f t="shared" si="131"/>
        <v>0</v>
      </c>
      <c r="AD605" s="21">
        <v>45777</v>
      </c>
      <c r="AE605" s="1">
        <v>14.38</v>
      </c>
      <c r="AF605" s="1">
        <v>13.9817</v>
      </c>
      <c r="AG605" s="6">
        <f t="shared" si="132"/>
        <v>1.8413711222312168E-2</v>
      </c>
      <c r="AH605" s="21">
        <v>45777</v>
      </c>
      <c r="AI605" s="1">
        <v>12.1</v>
      </c>
      <c r="AJ605" s="1">
        <v>11.7128</v>
      </c>
      <c r="AK605" s="6">
        <f t="shared" si="133"/>
        <v>-4.115226337448652E-3</v>
      </c>
      <c r="AL605" s="21">
        <v>45777</v>
      </c>
      <c r="AM605" s="1">
        <v>1.73</v>
      </c>
      <c r="AN605" s="1">
        <v>1.73</v>
      </c>
      <c r="AO605" s="6">
        <v>-5.7471264367816577E-3</v>
      </c>
      <c r="AP605" s="21" t="s">
        <v>608</v>
      </c>
      <c r="AQ605" s="1">
        <v>11273.57</v>
      </c>
      <c r="AR605" s="6">
        <v>6.5040461684606754E-3</v>
      </c>
    </row>
    <row r="606" spans="2:44" x14ac:dyDescent="0.35">
      <c r="B606" s="21">
        <v>45779</v>
      </c>
      <c r="C606" s="1">
        <v>0.73</v>
      </c>
      <c r="D606" s="1">
        <v>0.73</v>
      </c>
      <c r="E606" s="6">
        <f t="shared" si="136"/>
        <v>-1.3513513513513487E-2</v>
      </c>
      <c r="F606" s="21">
        <v>45779</v>
      </c>
      <c r="G606" s="1">
        <v>13.48</v>
      </c>
      <c r="H606" s="1">
        <v>12.579499999999999</v>
      </c>
      <c r="I606" s="6">
        <f t="shared" si="134"/>
        <v>1.8121337693029815E-2</v>
      </c>
      <c r="J606" s="21">
        <v>45779</v>
      </c>
      <c r="K606" s="1">
        <v>59</v>
      </c>
      <c r="L606" s="1">
        <v>59</v>
      </c>
      <c r="M606" s="6">
        <f t="shared" si="129"/>
        <v>-3.2786885245901676E-2</v>
      </c>
      <c r="N606" s="21">
        <v>45779</v>
      </c>
      <c r="O606" s="1">
        <v>13.98</v>
      </c>
      <c r="P606" s="1">
        <v>13.3523</v>
      </c>
      <c r="Q606" s="6">
        <f t="shared" si="130"/>
        <v>1.4512244231192906E-2</v>
      </c>
      <c r="R606" s="21">
        <v>45779</v>
      </c>
      <c r="S606" s="1">
        <v>7.17</v>
      </c>
      <c r="T606" s="1">
        <v>6.7153999999999998</v>
      </c>
      <c r="U606" s="6">
        <f t="shared" si="135"/>
        <v>-1.5106183268801976E-2</v>
      </c>
      <c r="V606" s="21">
        <v>45779</v>
      </c>
      <c r="W606" s="1">
        <v>5.9</v>
      </c>
      <c r="X606" s="1">
        <v>5.54</v>
      </c>
      <c r="Y606" s="6">
        <f t="shared" si="137"/>
        <v>3.4414055424742962E-3</v>
      </c>
      <c r="Z606" s="21">
        <v>45779</v>
      </c>
      <c r="AA606" s="1">
        <v>2.0299999999999998</v>
      </c>
      <c r="AB606" s="1">
        <v>2.0299999999999998</v>
      </c>
      <c r="AC606" s="6">
        <f t="shared" si="131"/>
        <v>-1.4563106796116609E-2</v>
      </c>
      <c r="AD606" s="21">
        <v>45779</v>
      </c>
      <c r="AE606" s="1">
        <v>14.35</v>
      </c>
      <c r="AF606" s="1">
        <v>13.952500000000001</v>
      </c>
      <c r="AG606" s="6">
        <f t="shared" si="132"/>
        <v>-2.088444180607496E-3</v>
      </c>
      <c r="AH606" s="21">
        <v>45779</v>
      </c>
      <c r="AI606" s="1">
        <v>12.09</v>
      </c>
      <c r="AJ606" s="1">
        <v>11.703099999999999</v>
      </c>
      <c r="AK606" s="6">
        <f t="shared" si="133"/>
        <v>-8.2815381463019477E-4</v>
      </c>
      <c r="AL606" s="21">
        <v>45779</v>
      </c>
      <c r="AM606" s="1">
        <v>1.73</v>
      </c>
      <c r="AN606" s="1">
        <v>1.73</v>
      </c>
      <c r="AO606" s="6">
        <v>0</v>
      </c>
      <c r="AP606" s="21" t="s">
        <v>609</v>
      </c>
      <c r="AQ606" s="1">
        <v>11227.59</v>
      </c>
      <c r="AR606" s="6">
        <v>-4.0785660620370479E-3</v>
      </c>
    </row>
    <row r="607" spans="2:44" x14ac:dyDescent="0.35">
      <c r="B607" s="21">
        <v>45782</v>
      </c>
      <c r="C607" s="1">
        <v>0.72</v>
      </c>
      <c r="D607" s="1">
        <v>0.72</v>
      </c>
      <c r="E607" s="6">
        <f t="shared" si="136"/>
        <v>-1.3698630136986356E-2</v>
      </c>
      <c r="F607" s="21">
        <v>45782</v>
      </c>
      <c r="G607" s="1">
        <v>13.44</v>
      </c>
      <c r="H607" s="1">
        <v>12.542199999999999</v>
      </c>
      <c r="I607" s="6">
        <f t="shared" si="134"/>
        <v>-2.9651416987956924E-3</v>
      </c>
      <c r="J607" s="21">
        <v>45782</v>
      </c>
      <c r="K607" s="1">
        <v>60.8</v>
      </c>
      <c r="L607" s="1">
        <v>60.8</v>
      </c>
      <c r="M607" s="6">
        <f t="shared" si="129"/>
        <v>3.050847457627115E-2</v>
      </c>
      <c r="N607" s="21">
        <v>45782</v>
      </c>
      <c r="O607" s="1">
        <v>13.91</v>
      </c>
      <c r="P607" s="1">
        <v>13.285399999999999</v>
      </c>
      <c r="Q607" s="6">
        <f t="shared" si="130"/>
        <v>-5.0103727447705637E-3</v>
      </c>
      <c r="R607" s="21">
        <v>45782</v>
      </c>
      <c r="S607" s="1">
        <v>7.27</v>
      </c>
      <c r="T607" s="1">
        <v>6.8090999999999999</v>
      </c>
      <c r="U607" s="6">
        <f t="shared" si="135"/>
        <v>1.3953003544092679E-2</v>
      </c>
      <c r="V607" s="21">
        <v>45782</v>
      </c>
      <c r="W607" s="1">
        <v>5.99</v>
      </c>
      <c r="X607" s="1">
        <v>5.625</v>
      </c>
      <c r="Y607" s="6">
        <f t="shared" si="137"/>
        <v>1.534296028880866E-2</v>
      </c>
      <c r="Z607" s="21">
        <v>45782</v>
      </c>
      <c r="AA607" s="1">
        <v>2.02</v>
      </c>
      <c r="AB607" s="1">
        <v>2.02</v>
      </c>
      <c r="AC607" s="6">
        <f t="shared" si="131"/>
        <v>-4.9261083743841194E-3</v>
      </c>
      <c r="AD607" s="21">
        <v>45782</v>
      </c>
      <c r="AE607" s="1">
        <v>14.36</v>
      </c>
      <c r="AF607" s="1">
        <v>13.962199999999999</v>
      </c>
      <c r="AG607" s="6">
        <f t="shared" si="132"/>
        <v>6.9521591112686743E-4</v>
      </c>
      <c r="AH607" s="21">
        <v>45782</v>
      </c>
      <c r="AI607" s="1">
        <v>12.09</v>
      </c>
      <c r="AJ607" s="1">
        <v>11.703099999999999</v>
      </c>
      <c r="AK607" s="6">
        <f t="shared" si="133"/>
        <v>0</v>
      </c>
      <c r="AL607" s="21">
        <v>45782</v>
      </c>
      <c r="AM607" s="1">
        <v>1.73</v>
      </c>
      <c r="AN607" s="1">
        <v>1.73</v>
      </c>
      <c r="AO607" s="6">
        <v>0</v>
      </c>
      <c r="AP607" s="21" t="s">
        <v>610</v>
      </c>
      <c r="AQ607" s="1">
        <v>11304.19</v>
      </c>
      <c r="AR607" s="6">
        <v>6.8224792675899426E-3</v>
      </c>
    </row>
    <row r="608" spans="2:44" x14ac:dyDescent="0.35">
      <c r="B608" s="21">
        <v>45783</v>
      </c>
      <c r="C608" s="1">
        <v>0.72</v>
      </c>
      <c r="D608" s="1">
        <v>0.72</v>
      </c>
      <c r="E608" s="6">
        <f t="shared" si="136"/>
        <v>0</v>
      </c>
      <c r="F608" s="21">
        <v>45783</v>
      </c>
      <c r="G608" s="1">
        <v>13.37</v>
      </c>
      <c r="H608" s="1">
        <v>12.476900000000001</v>
      </c>
      <c r="I608" s="6">
        <f t="shared" si="134"/>
        <v>-5.2064231155617424E-3</v>
      </c>
      <c r="J608" s="21">
        <v>45783</v>
      </c>
      <c r="K608" s="1">
        <v>60.97</v>
      </c>
      <c r="L608" s="1">
        <v>60.97</v>
      </c>
      <c r="M608" s="6">
        <f t="shared" si="129"/>
        <v>2.7960526315788936E-3</v>
      </c>
      <c r="N608" s="21">
        <v>45783</v>
      </c>
      <c r="O608" s="1">
        <v>13.71</v>
      </c>
      <c r="P608" s="1">
        <v>13.0944</v>
      </c>
      <c r="Q608" s="6">
        <f t="shared" si="130"/>
        <v>-1.4376684179625676E-2</v>
      </c>
      <c r="R608" s="21">
        <v>45783</v>
      </c>
      <c r="S608" s="1">
        <v>7.45</v>
      </c>
      <c r="T608" s="1">
        <v>6.9776999999999996</v>
      </c>
      <c r="U608" s="6">
        <f t="shared" si="135"/>
        <v>2.4760981627527823E-2</v>
      </c>
      <c r="V608" s="21">
        <v>45783</v>
      </c>
      <c r="W608" s="1">
        <v>5.99</v>
      </c>
      <c r="X608" s="1">
        <v>5.625</v>
      </c>
      <c r="Y608" s="6">
        <f t="shared" si="137"/>
        <v>0</v>
      </c>
      <c r="Z608" s="21">
        <v>45783</v>
      </c>
      <c r="AA608" s="1">
        <v>2</v>
      </c>
      <c r="AB608" s="1">
        <v>2</v>
      </c>
      <c r="AC608" s="6">
        <f t="shared" si="131"/>
        <v>-9.9009900990099098E-3</v>
      </c>
      <c r="AD608" s="21">
        <v>45783</v>
      </c>
      <c r="AE608" s="1">
        <v>14.65</v>
      </c>
      <c r="AF608" s="1">
        <v>14.244199999999999</v>
      </c>
      <c r="AG608" s="6">
        <f t="shared" si="132"/>
        <v>2.0197390096116763E-2</v>
      </c>
      <c r="AH608" s="21">
        <v>45783</v>
      </c>
      <c r="AI608" s="1">
        <v>12.2</v>
      </c>
      <c r="AJ608" s="1">
        <v>11.8096</v>
      </c>
      <c r="AK608" s="6">
        <f t="shared" si="133"/>
        <v>9.1001529509275869E-3</v>
      </c>
      <c r="AL608" s="21">
        <v>45783</v>
      </c>
      <c r="AM608" s="1">
        <v>1.73</v>
      </c>
      <c r="AN608" s="1">
        <v>1.73</v>
      </c>
      <c r="AO608" s="6">
        <v>0</v>
      </c>
      <c r="AP608" s="21" t="s">
        <v>611</v>
      </c>
      <c r="AQ608" s="1">
        <v>11314.9</v>
      </c>
      <c r="AR608" s="6">
        <v>9.4743630459137584E-4</v>
      </c>
    </row>
    <row r="609" spans="2:44" x14ac:dyDescent="0.35">
      <c r="B609" s="21">
        <v>45784</v>
      </c>
      <c r="C609" s="1">
        <v>0.71</v>
      </c>
      <c r="D609" s="1">
        <v>0.71</v>
      </c>
      <c r="E609" s="6">
        <f t="shared" si="136"/>
        <v>-1.3888888888888951E-2</v>
      </c>
      <c r="F609" s="21">
        <v>45784</v>
      </c>
      <c r="G609" s="1">
        <v>13.34</v>
      </c>
      <c r="H609" s="1">
        <v>12.4489</v>
      </c>
      <c r="I609" s="6">
        <f t="shared" si="134"/>
        <v>-2.2441471839960148E-3</v>
      </c>
      <c r="J609" s="21">
        <v>45784</v>
      </c>
      <c r="K609" s="1">
        <v>60.97</v>
      </c>
      <c r="L609" s="1">
        <v>60.97</v>
      </c>
      <c r="M609" s="6">
        <f t="shared" si="129"/>
        <v>0</v>
      </c>
      <c r="N609" s="21">
        <v>45784</v>
      </c>
      <c r="O609" s="1">
        <v>13.6</v>
      </c>
      <c r="P609" s="1">
        <v>12.9894</v>
      </c>
      <c r="Q609" s="6">
        <f t="shared" si="130"/>
        <v>-8.0186950146627911E-3</v>
      </c>
      <c r="R609" s="21">
        <v>45784</v>
      </c>
      <c r="S609" s="1">
        <v>7.89</v>
      </c>
      <c r="T609" s="1">
        <v>7.3898000000000001</v>
      </c>
      <c r="U609" s="6">
        <f t="shared" si="135"/>
        <v>5.9059575504822659E-2</v>
      </c>
      <c r="V609" s="21">
        <v>45784</v>
      </c>
      <c r="W609" s="1">
        <v>5.99</v>
      </c>
      <c r="X609" s="1">
        <v>5.625</v>
      </c>
      <c r="Y609" s="6">
        <f t="shared" si="137"/>
        <v>0</v>
      </c>
      <c r="Z609" s="21">
        <v>45784</v>
      </c>
      <c r="AA609" s="1">
        <v>2.0099999999999998</v>
      </c>
      <c r="AB609" s="1">
        <v>2.0099999999999998</v>
      </c>
      <c r="AC609" s="6">
        <f t="shared" si="131"/>
        <v>4.9999999999998934E-3</v>
      </c>
      <c r="AD609" s="21">
        <v>45784</v>
      </c>
      <c r="AE609" s="1">
        <v>14.87</v>
      </c>
      <c r="AF609" s="1">
        <v>14.4581</v>
      </c>
      <c r="AG609" s="6">
        <f t="shared" si="132"/>
        <v>1.5016638351048162E-2</v>
      </c>
      <c r="AH609" s="21">
        <v>45784</v>
      </c>
      <c r="AI609" s="1">
        <v>12.51</v>
      </c>
      <c r="AJ609" s="1">
        <v>12.1097</v>
      </c>
      <c r="AK609" s="6">
        <f t="shared" si="133"/>
        <v>2.5411529603034833E-2</v>
      </c>
      <c r="AL609" s="21">
        <v>45784</v>
      </c>
      <c r="AM609" s="1">
        <v>1.73</v>
      </c>
      <c r="AN609" s="1">
        <v>1.73</v>
      </c>
      <c r="AO609" s="6">
        <v>0</v>
      </c>
      <c r="AP609" s="21" t="s">
        <v>612</v>
      </c>
      <c r="AQ609" s="1">
        <v>11366.92</v>
      </c>
      <c r="AR609" s="6">
        <v>4.5974776621977576E-3</v>
      </c>
    </row>
    <row r="610" spans="2:44" x14ac:dyDescent="0.35">
      <c r="B610" s="21">
        <v>45785</v>
      </c>
      <c r="C610" s="1">
        <v>0.73</v>
      </c>
      <c r="D610" s="1">
        <v>0.73</v>
      </c>
      <c r="E610" s="6">
        <f t="shared" si="136"/>
        <v>2.8169014084507005E-2</v>
      </c>
      <c r="F610" s="21">
        <v>45785</v>
      </c>
      <c r="G610" s="1">
        <v>13.34</v>
      </c>
      <c r="H610" s="1">
        <v>12.4489</v>
      </c>
      <c r="I610" s="6">
        <f t="shared" si="134"/>
        <v>0</v>
      </c>
      <c r="J610" s="21">
        <v>45785</v>
      </c>
      <c r="K610" s="1">
        <v>60.45</v>
      </c>
      <c r="L610" s="1">
        <v>60.45</v>
      </c>
      <c r="M610" s="6">
        <f t="shared" si="129"/>
        <v>-8.5287846481875151E-3</v>
      </c>
      <c r="N610" s="21">
        <v>45785</v>
      </c>
      <c r="O610" s="1">
        <v>13.6</v>
      </c>
      <c r="P610" s="1">
        <v>12.9894</v>
      </c>
      <c r="Q610" s="6">
        <f t="shared" si="130"/>
        <v>0</v>
      </c>
      <c r="R610" s="21">
        <v>45785</v>
      </c>
      <c r="S610" s="1">
        <v>7.7</v>
      </c>
      <c r="T610" s="1">
        <v>7.2118000000000002</v>
      </c>
      <c r="U610" s="6">
        <f t="shared" si="135"/>
        <v>-2.4087255406100239E-2</v>
      </c>
      <c r="V610" s="21">
        <v>45785</v>
      </c>
      <c r="W610" s="1">
        <v>5.85</v>
      </c>
      <c r="X610" s="1">
        <v>5.4930000000000003</v>
      </c>
      <c r="Y610" s="6">
        <f t="shared" si="137"/>
        <v>-2.3466666666666636E-2</v>
      </c>
      <c r="Z610" s="21">
        <v>45785</v>
      </c>
      <c r="AA610" s="1">
        <v>2</v>
      </c>
      <c r="AB610" s="1">
        <v>2</v>
      </c>
      <c r="AC610" s="6">
        <f t="shared" si="131"/>
        <v>-4.9751243781093191E-3</v>
      </c>
      <c r="AD610" s="21">
        <v>45785</v>
      </c>
      <c r="AE610" s="1">
        <v>15</v>
      </c>
      <c r="AF610" s="1">
        <v>14.5845</v>
      </c>
      <c r="AG610" s="6">
        <f t="shared" si="132"/>
        <v>8.7425042017970078E-3</v>
      </c>
      <c r="AH610" s="21">
        <v>45785</v>
      </c>
      <c r="AI610" s="1">
        <v>12.62</v>
      </c>
      <c r="AJ610" s="1">
        <v>12.216200000000001</v>
      </c>
      <c r="AK610" s="6">
        <f t="shared" si="133"/>
        <v>8.794602673889651E-3</v>
      </c>
      <c r="AL610" s="21">
        <v>45785</v>
      </c>
      <c r="AM610" s="1">
        <v>1.72</v>
      </c>
      <c r="AN610" s="1">
        <v>1.72</v>
      </c>
      <c r="AO610" s="6">
        <v>-5.7803468208093012E-3</v>
      </c>
      <c r="AP610" s="21" t="s">
        <v>613</v>
      </c>
      <c r="AQ610" s="1">
        <v>11360.16</v>
      </c>
      <c r="AR610" s="6">
        <v>-5.9470815313211745E-4</v>
      </c>
    </row>
    <row r="611" spans="2:44" x14ac:dyDescent="0.35">
      <c r="B611" s="21">
        <v>45786</v>
      </c>
      <c r="C611" s="1">
        <v>0.71</v>
      </c>
      <c r="D611" s="1">
        <v>0.71</v>
      </c>
      <c r="E611" s="6">
        <f t="shared" si="136"/>
        <v>-2.7397260273972601E-2</v>
      </c>
      <c r="F611" s="21">
        <v>45786</v>
      </c>
      <c r="G611" s="1">
        <v>13.34</v>
      </c>
      <c r="H611" s="1">
        <v>12.4489</v>
      </c>
      <c r="I611" s="6">
        <f t="shared" si="134"/>
        <v>0</v>
      </c>
      <c r="J611" s="21">
        <v>45786</v>
      </c>
      <c r="K611" s="1">
        <v>59.7</v>
      </c>
      <c r="L611" s="1">
        <v>59.7</v>
      </c>
      <c r="M611" s="6">
        <f t="shared" si="129"/>
        <v>-1.2406947890818865E-2</v>
      </c>
      <c r="N611" s="21">
        <v>45786</v>
      </c>
      <c r="O611" s="1">
        <v>13.51</v>
      </c>
      <c r="P611" s="1">
        <v>12.9034</v>
      </c>
      <c r="Q611" s="6">
        <f t="shared" si="130"/>
        <v>-6.6207831000661965E-3</v>
      </c>
      <c r="R611" s="21">
        <v>45786</v>
      </c>
      <c r="S611" s="1">
        <v>7.24</v>
      </c>
      <c r="T611" s="1">
        <v>6.7809999999999997</v>
      </c>
      <c r="U611" s="6">
        <f t="shared" si="135"/>
        <v>-5.9735433594941711E-2</v>
      </c>
      <c r="V611" s="21">
        <v>45786</v>
      </c>
      <c r="W611" s="1">
        <v>5.82</v>
      </c>
      <c r="X611" s="1">
        <v>5.4649999999999999</v>
      </c>
      <c r="Y611" s="6">
        <f t="shared" si="137"/>
        <v>-5.0973966866922904E-3</v>
      </c>
      <c r="Z611" s="21">
        <v>45786</v>
      </c>
      <c r="AA611" s="1">
        <v>1.98</v>
      </c>
      <c r="AB611" s="1">
        <v>1.98</v>
      </c>
      <c r="AC611" s="6">
        <f t="shared" si="131"/>
        <v>-1.0000000000000009E-2</v>
      </c>
      <c r="AD611" s="21">
        <v>45786</v>
      </c>
      <c r="AE611" s="1">
        <v>15.1</v>
      </c>
      <c r="AF611" s="1">
        <v>14.681699999999999</v>
      </c>
      <c r="AG611" s="6">
        <f t="shared" si="132"/>
        <v>6.6646096883677952E-3</v>
      </c>
      <c r="AH611" s="21">
        <v>45786</v>
      </c>
      <c r="AI611" s="1">
        <v>12.41</v>
      </c>
      <c r="AJ611" s="1">
        <v>12.0129</v>
      </c>
      <c r="AK611" s="6">
        <f t="shared" si="133"/>
        <v>-1.6641836250225195E-2</v>
      </c>
      <c r="AL611" s="21">
        <v>45786</v>
      </c>
      <c r="AM611" s="1">
        <v>1.72</v>
      </c>
      <c r="AN611" s="1">
        <v>1.72</v>
      </c>
      <c r="AO611" s="6">
        <v>0</v>
      </c>
      <c r="AP611" s="21" t="s">
        <v>614</v>
      </c>
      <c r="AQ611" s="1">
        <v>11313.05</v>
      </c>
      <c r="AR611" s="6">
        <v>-4.1469486345263595E-3</v>
      </c>
    </row>
    <row r="612" spans="2:44" x14ac:dyDescent="0.35">
      <c r="B612" s="21">
        <v>45789</v>
      </c>
      <c r="C612" s="1">
        <v>0.71</v>
      </c>
      <c r="D612" s="1">
        <v>0.71</v>
      </c>
      <c r="E612" s="6">
        <f t="shared" si="136"/>
        <v>0</v>
      </c>
      <c r="F612" s="21">
        <v>45789</v>
      </c>
      <c r="G612" s="1">
        <v>13.35</v>
      </c>
      <c r="H612" s="1">
        <v>12.4582</v>
      </c>
      <c r="I612" s="6">
        <f t="shared" si="134"/>
        <v>7.4705395657437279E-4</v>
      </c>
      <c r="J612" s="21">
        <v>45789</v>
      </c>
      <c r="K612" s="1">
        <v>59.7</v>
      </c>
      <c r="L612" s="1">
        <v>59.7</v>
      </c>
      <c r="M612" s="6">
        <f t="shared" si="129"/>
        <v>0</v>
      </c>
      <c r="N612" s="21">
        <v>45789</v>
      </c>
      <c r="O612" s="1">
        <v>13.46</v>
      </c>
      <c r="P612" s="1">
        <v>12.855600000000001</v>
      </c>
      <c r="Q612" s="6">
        <f t="shared" si="130"/>
        <v>-3.7044499899250294E-3</v>
      </c>
      <c r="R612" s="21">
        <v>45789</v>
      </c>
      <c r="S612" s="1">
        <v>7.29</v>
      </c>
      <c r="T612" s="1">
        <v>6.8277999999999999</v>
      </c>
      <c r="U612" s="6">
        <f t="shared" si="135"/>
        <v>6.9016369267069777E-3</v>
      </c>
      <c r="V612" s="21">
        <v>45789</v>
      </c>
      <c r="W612" s="1">
        <v>5.96</v>
      </c>
      <c r="X612" s="1">
        <v>5.5960000000000001</v>
      </c>
      <c r="Y612" s="6">
        <f t="shared" si="137"/>
        <v>2.3970722781335718E-2</v>
      </c>
      <c r="Z612" s="21">
        <v>45789</v>
      </c>
      <c r="AA612" s="1">
        <v>2</v>
      </c>
      <c r="AB612" s="1">
        <v>2</v>
      </c>
      <c r="AC612" s="6">
        <f t="shared" si="131"/>
        <v>1.0101010101010166E-2</v>
      </c>
      <c r="AD612" s="21">
        <v>45789</v>
      </c>
      <c r="AE612" s="1">
        <v>15.18</v>
      </c>
      <c r="AF612" s="1">
        <v>14.759499999999999</v>
      </c>
      <c r="AG612" s="6">
        <f t="shared" si="132"/>
        <v>5.2991138628359913E-3</v>
      </c>
      <c r="AH612" s="21">
        <v>45789</v>
      </c>
      <c r="AI612" s="1">
        <v>12.4</v>
      </c>
      <c r="AJ612" s="1">
        <v>12.0032</v>
      </c>
      <c r="AK612" s="6">
        <f t="shared" si="133"/>
        <v>-8.0746530812714212E-4</v>
      </c>
      <c r="AL612" s="21">
        <v>45789</v>
      </c>
      <c r="AM612" s="1">
        <v>1.72</v>
      </c>
      <c r="AN612" s="1">
        <v>1.72</v>
      </c>
      <c r="AO612" s="6">
        <v>0</v>
      </c>
      <c r="AP612" s="21" t="s">
        <v>615</v>
      </c>
      <c r="AQ612" s="1">
        <v>11317.86</v>
      </c>
      <c r="AR612" s="6">
        <v>4.2517269878605823E-4</v>
      </c>
    </row>
    <row r="613" spans="2:44" x14ac:dyDescent="0.35">
      <c r="B613" s="21">
        <v>45790</v>
      </c>
      <c r="C613" s="1">
        <v>0.69</v>
      </c>
      <c r="D613" s="1">
        <v>0.69</v>
      </c>
      <c r="E613" s="6">
        <f t="shared" si="136"/>
        <v>-2.8169014084507116E-2</v>
      </c>
      <c r="F613" s="21">
        <v>45790</v>
      </c>
      <c r="G613" s="1">
        <v>13.32</v>
      </c>
      <c r="H613" s="1">
        <v>12.430199999999999</v>
      </c>
      <c r="I613" s="6">
        <f t="shared" si="134"/>
        <v>-2.2475156924757211E-3</v>
      </c>
      <c r="J613" s="21">
        <v>45790</v>
      </c>
      <c r="K613" s="1">
        <v>59.49</v>
      </c>
      <c r="L613" s="1">
        <v>59.49</v>
      </c>
      <c r="M613" s="6">
        <f t="shared" si="129"/>
        <v>-3.5175879396984744E-3</v>
      </c>
      <c r="N613" s="21">
        <v>45790</v>
      </c>
      <c r="O613" s="1">
        <v>13.4</v>
      </c>
      <c r="P613" s="1">
        <v>12.798299999999999</v>
      </c>
      <c r="Q613" s="6">
        <f t="shared" si="130"/>
        <v>-4.4572015308504964E-3</v>
      </c>
      <c r="R613" s="21">
        <v>45790</v>
      </c>
      <c r="S613" s="1">
        <v>7.21</v>
      </c>
      <c r="T613" s="1">
        <v>6.7529000000000003</v>
      </c>
      <c r="U613" s="6">
        <f t="shared" si="135"/>
        <v>-1.0969858519581654E-2</v>
      </c>
      <c r="V613" s="21">
        <v>45790</v>
      </c>
      <c r="W613" s="1">
        <v>5.93</v>
      </c>
      <c r="X613" s="1">
        <v>5.5679999999999996</v>
      </c>
      <c r="Y613" s="6">
        <f t="shared" si="137"/>
        <v>-5.0035739814153768E-3</v>
      </c>
      <c r="Z613" s="21">
        <v>45790</v>
      </c>
      <c r="AA613" s="1">
        <v>2.08</v>
      </c>
      <c r="AB613" s="1">
        <v>2.08</v>
      </c>
      <c r="AC613" s="6">
        <f t="shared" si="131"/>
        <v>4.0000000000000036E-2</v>
      </c>
      <c r="AD613" s="21">
        <v>45790</v>
      </c>
      <c r="AE613" s="1">
        <v>15.1</v>
      </c>
      <c r="AF613" s="1">
        <v>14.681699999999999</v>
      </c>
      <c r="AG613" s="6">
        <f t="shared" si="132"/>
        <v>-5.2711812730783514E-3</v>
      </c>
      <c r="AH613" s="21">
        <v>45790</v>
      </c>
      <c r="AI613" s="1">
        <v>12.2</v>
      </c>
      <c r="AJ613" s="1">
        <v>11.8096</v>
      </c>
      <c r="AK613" s="6">
        <f t="shared" si="133"/>
        <v>-1.6129032258064502E-2</v>
      </c>
      <c r="AL613" s="21">
        <v>45790</v>
      </c>
      <c r="AM613" s="1">
        <v>1.72</v>
      </c>
      <c r="AN613" s="1">
        <v>1.72</v>
      </c>
      <c r="AO613" s="6">
        <v>0</v>
      </c>
      <c r="AP613" s="21" t="s">
        <v>616</v>
      </c>
      <c r="AQ613" s="1">
        <v>11308.5</v>
      </c>
      <c r="AR613" s="6">
        <v>-8.2701146683217264E-4</v>
      </c>
    </row>
    <row r="614" spans="2:44" x14ac:dyDescent="0.35">
      <c r="B614" s="21">
        <v>45791</v>
      </c>
      <c r="C614" s="1">
        <v>0.68</v>
      </c>
      <c r="D614" s="1">
        <v>0.68</v>
      </c>
      <c r="E614" s="6">
        <f t="shared" si="136"/>
        <v>-1.4492753623188248E-2</v>
      </c>
      <c r="F614" s="21">
        <v>45791</v>
      </c>
      <c r="G614" s="1">
        <v>13.32</v>
      </c>
      <c r="H614" s="1">
        <v>12.430199999999999</v>
      </c>
      <c r="I614" s="6">
        <f t="shared" si="134"/>
        <v>0</v>
      </c>
      <c r="J614" s="21">
        <v>45791</v>
      </c>
      <c r="K614" s="1">
        <v>59.3</v>
      </c>
      <c r="L614" s="1">
        <v>59.3</v>
      </c>
      <c r="M614" s="6">
        <f t="shared" si="129"/>
        <v>-3.193814086401181E-3</v>
      </c>
      <c r="N614" s="21">
        <v>45791</v>
      </c>
      <c r="O614" s="1">
        <v>13.3</v>
      </c>
      <c r="P614" s="1">
        <v>12.7028</v>
      </c>
      <c r="Q614" s="6">
        <f t="shared" si="130"/>
        <v>-7.4619285373838107E-3</v>
      </c>
      <c r="R614" s="21">
        <v>45791</v>
      </c>
      <c r="S614" s="1">
        <v>7.55</v>
      </c>
      <c r="T614" s="1">
        <v>7.0712999999999999</v>
      </c>
      <c r="U614" s="6">
        <f t="shared" si="135"/>
        <v>4.7150113284662787E-2</v>
      </c>
      <c r="V614" s="21">
        <v>45791</v>
      </c>
      <c r="W614" s="1">
        <v>5.93</v>
      </c>
      <c r="X614" s="1">
        <v>5.5679999999999996</v>
      </c>
      <c r="Y614" s="6">
        <f t="shared" si="137"/>
        <v>0</v>
      </c>
      <c r="Z614" s="21">
        <v>45791</v>
      </c>
      <c r="AA614" s="1">
        <v>2.06</v>
      </c>
      <c r="AB614" s="1">
        <v>2.06</v>
      </c>
      <c r="AC614" s="6">
        <f t="shared" si="131"/>
        <v>-9.6153846153845812E-3</v>
      </c>
      <c r="AD614" s="21">
        <v>45791</v>
      </c>
      <c r="AE614" s="1">
        <v>15.09</v>
      </c>
      <c r="AF614" s="1">
        <v>14.672000000000001</v>
      </c>
      <c r="AG614" s="6">
        <f t="shared" si="132"/>
        <v>-6.6068643276995243E-4</v>
      </c>
      <c r="AH614" s="21">
        <v>45791</v>
      </c>
      <c r="AI614" s="1">
        <v>12.14</v>
      </c>
      <c r="AJ614" s="1">
        <v>11.7515</v>
      </c>
      <c r="AK614" s="6">
        <f t="shared" si="133"/>
        <v>-4.9197263243462297E-3</v>
      </c>
      <c r="AL614" s="21">
        <v>45791</v>
      </c>
      <c r="AM614" s="1">
        <v>1.72</v>
      </c>
      <c r="AN614" s="1">
        <v>1.72</v>
      </c>
      <c r="AO614" s="6">
        <v>0</v>
      </c>
      <c r="AP614" s="21" t="s">
        <v>617</v>
      </c>
      <c r="AQ614" s="1">
        <v>11318.51</v>
      </c>
      <c r="AR614" s="6">
        <v>8.8517486846173554E-4</v>
      </c>
    </row>
    <row r="615" spans="2:44" x14ac:dyDescent="0.35">
      <c r="B615" s="21">
        <v>45792</v>
      </c>
      <c r="C615" s="1">
        <v>0.68</v>
      </c>
      <c r="D615" s="1">
        <v>0.68</v>
      </c>
      <c r="E615" s="6">
        <f t="shared" si="136"/>
        <v>0</v>
      </c>
      <c r="F615" s="21">
        <v>45792</v>
      </c>
      <c r="G615" s="1">
        <v>13.3</v>
      </c>
      <c r="H615" s="1">
        <v>12.4116</v>
      </c>
      <c r="I615" s="6">
        <f t="shared" si="134"/>
        <v>-1.4963556499492103E-3</v>
      </c>
      <c r="J615" s="21">
        <v>45792</v>
      </c>
      <c r="K615" s="1">
        <v>58.7</v>
      </c>
      <c r="L615" s="1">
        <v>58.7</v>
      </c>
      <c r="M615" s="6">
        <f t="shared" si="129"/>
        <v>-1.0118043844856595E-2</v>
      </c>
      <c r="N615" s="21">
        <v>45792</v>
      </c>
      <c r="O615" s="1">
        <v>13.51</v>
      </c>
      <c r="P615" s="1">
        <v>12.9034</v>
      </c>
      <c r="Q615" s="6">
        <f t="shared" si="130"/>
        <v>1.5791793935195475E-2</v>
      </c>
      <c r="R615" s="21">
        <v>45792</v>
      </c>
      <c r="S615" s="1">
        <v>7.49</v>
      </c>
      <c r="T615" s="1">
        <v>7.0151000000000003</v>
      </c>
      <c r="U615" s="6">
        <f t="shared" si="135"/>
        <v>-7.9476192496428233E-3</v>
      </c>
      <c r="V615" s="21">
        <v>45792</v>
      </c>
      <c r="W615" s="1">
        <v>5.86</v>
      </c>
      <c r="X615" s="1">
        <v>5.5019999999999998</v>
      </c>
      <c r="Y615" s="6">
        <f t="shared" si="137"/>
        <v>-1.1853448275861989E-2</v>
      </c>
      <c r="Z615" s="21">
        <v>45792</v>
      </c>
      <c r="AA615" s="1">
        <v>2.13</v>
      </c>
      <c r="AB615" s="1">
        <v>2.13</v>
      </c>
      <c r="AC615" s="6">
        <f t="shared" si="131"/>
        <v>3.398058252427183E-2</v>
      </c>
      <c r="AD615" s="21">
        <v>45792</v>
      </c>
      <c r="AE615" s="1">
        <v>14.98</v>
      </c>
      <c r="AF615" s="1">
        <v>14.565099999999999</v>
      </c>
      <c r="AG615" s="6">
        <f t="shared" si="132"/>
        <v>-7.2859869138496292E-3</v>
      </c>
      <c r="AH615" s="21">
        <v>45792</v>
      </c>
      <c r="AI615" s="1">
        <v>12.14</v>
      </c>
      <c r="AJ615" s="1">
        <v>11.7515</v>
      </c>
      <c r="AK615" s="6">
        <f t="shared" si="133"/>
        <v>0</v>
      </c>
      <c r="AL615" s="21">
        <v>45792</v>
      </c>
      <c r="AM615" s="1">
        <v>1.72</v>
      </c>
      <c r="AN615" s="1">
        <v>1.72</v>
      </c>
      <c r="AO615" s="6">
        <v>0</v>
      </c>
      <c r="AP615" s="21" t="s">
        <v>618</v>
      </c>
      <c r="AQ615" s="1">
        <v>11334.25</v>
      </c>
      <c r="AR615" s="6">
        <v>1.3906424078786728E-3</v>
      </c>
    </row>
    <row r="616" spans="2:44" x14ac:dyDescent="0.35">
      <c r="B616" s="21">
        <v>45793</v>
      </c>
      <c r="C616" s="1">
        <v>0.67</v>
      </c>
      <c r="D616" s="1">
        <v>0.67</v>
      </c>
      <c r="E616" s="6">
        <f t="shared" si="136"/>
        <v>-1.4705882352941235E-2</v>
      </c>
      <c r="F616" s="21">
        <v>45793</v>
      </c>
      <c r="G616" s="1">
        <v>13.07</v>
      </c>
      <c r="H616" s="1">
        <v>12.196899999999999</v>
      </c>
      <c r="I616" s="6">
        <f t="shared" si="134"/>
        <v>-1.7298333816752165E-2</v>
      </c>
      <c r="J616" s="21">
        <v>45793</v>
      </c>
      <c r="K616" s="1">
        <v>59.2</v>
      </c>
      <c r="L616" s="1">
        <v>59.2</v>
      </c>
      <c r="M616" s="6">
        <f t="shared" si="129"/>
        <v>8.5178875638840523E-3</v>
      </c>
      <c r="N616" s="21">
        <v>45793</v>
      </c>
      <c r="O616" s="1">
        <v>13.33</v>
      </c>
      <c r="P616" s="1">
        <v>12.7315</v>
      </c>
      <c r="Q616" s="6">
        <f t="shared" si="130"/>
        <v>-1.3322070152052889E-2</v>
      </c>
      <c r="R616" s="21">
        <v>45793</v>
      </c>
      <c r="S616" s="1">
        <v>7.55</v>
      </c>
      <c r="T616" s="1">
        <v>7.0712999999999999</v>
      </c>
      <c r="U616" s="6">
        <f t="shared" si="135"/>
        <v>8.0112899317186237E-3</v>
      </c>
      <c r="V616" s="21">
        <v>45793</v>
      </c>
      <c r="W616" s="1">
        <v>5.95</v>
      </c>
      <c r="X616" s="1">
        <v>5.5869999999999997</v>
      </c>
      <c r="Y616" s="6">
        <f t="shared" si="137"/>
        <v>1.5448927662668144E-2</v>
      </c>
      <c r="Z616" s="21">
        <v>45793</v>
      </c>
      <c r="AA616" s="1">
        <v>2.13</v>
      </c>
      <c r="AB616" s="1">
        <v>2.13</v>
      </c>
      <c r="AC616" s="6">
        <f t="shared" si="131"/>
        <v>0</v>
      </c>
      <c r="AD616" s="21">
        <v>45793</v>
      </c>
      <c r="AE616" s="1">
        <v>15</v>
      </c>
      <c r="AF616" s="1">
        <v>14.5845</v>
      </c>
      <c r="AG616" s="6">
        <f t="shared" si="132"/>
        <v>1.3319510336353702E-3</v>
      </c>
      <c r="AH616" s="21">
        <v>45793</v>
      </c>
      <c r="AI616" s="1">
        <v>12.35</v>
      </c>
      <c r="AJ616" s="1">
        <v>11.954800000000001</v>
      </c>
      <c r="AK616" s="6">
        <f t="shared" si="133"/>
        <v>1.7299919159256216E-2</v>
      </c>
      <c r="AL616" s="21">
        <v>45793</v>
      </c>
      <c r="AM616" s="1">
        <v>1.74</v>
      </c>
      <c r="AN616" s="1">
        <v>1.74</v>
      </c>
      <c r="AO616" s="6">
        <v>1.1627906976744207E-2</v>
      </c>
      <c r="AP616" s="21" t="s">
        <v>619</v>
      </c>
      <c r="AQ616" s="1">
        <v>11360.55</v>
      </c>
      <c r="AR616" s="6">
        <v>2.3204005558372653E-3</v>
      </c>
    </row>
    <row r="617" spans="2:44" x14ac:dyDescent="0.35">
      <c r="B617" s="21">
        <v>45796</v>
      </c>
      <c r="C617" s="1">
        <v>0.67</v>
      </c>
      <c r="D617" s="1">
        <v>0.67</v>
      </c>
      <c r="E617" s="6">
        <f t="shared" si="136"/>
        <v>0</v>
      </c>
      <c r="F617" s="21">
        <v>45796</v>
      </c>
      <c r="G617" s="1">
        <v>13.2</v>
      </c>
      <c r="H617" s="1">
        <v>12.318199999999999</v>
      </c>
      <c r="I617" s="6">
        <f t="shared" si="134"/>
        <v>9.9451499971303647E-3</v>
      </c>
      <c r="J617" s="21">
        <v>45796</v>
      </c>
      <c r="K617" s="1">
        <v>59.2</v>
      </c>
      <c r="L617" s="1">
        <v>59.2</v>
      </c>
      <c r="M617" s="6">
        <f t="shared" si="129"/>
        <v>0</v>
      </c>
      <c r="N617" s="21">
        <v>45796</v>
      </c>
      <c r="O617" s="1">
        <v>13.48</v>
      </c>
      <c r="P617" s="1">
        <v>12.874700000000001</v>
      </c>
      <c r="Q617" s="6">
        <f t="shared" si="130"/>
        <v>1.1247692730628867E-2</v>
      </c>
      <c r="R617" s="21">
        <v>45796</v>
      </c>
      <c r="S617" s="1">
        <v>7.51</v>
      </c>
      <c r="T617" s="1">
        <v>7.0339</v>
      </c>
      <c r="U617" s="6">
        <f t="shared" si="135"/>
        <v>-5.2889850522535031E-3</v>
      </c>
      <c r="V617" s="21">
        <v>45796</v>
      </c>
      <c r="W617" s="1">
        <v>5.95</v>
      </c>
      <c r="X617" s="1">
        <v>5.5869999999999997</v>
      </c>
      <c r="Y617" s="6">
        <f t="shared" si="137"/>
        <v>0</v>
      </c>
      <c r="Z617" s="21">
        <v>45796</v>
      </c>
      <c r="AA617" s="1">
        <v>2.12</v>
      </c>
      <c r="AB617" s="1">
        <v>2.12</v>
      </c>
      <c r="AC617" s="6">
        <f t="shared" si="131"/>
        <v>-4.6948356807510194E-3</v>
      </c>
      <c r="AD617" s="21">
        <v>45796</v>
      </c>
      <c r="AE617" s="1">
        <v>15</v>
      </c>
      <c r="AF617" s="1">
        <v>14.5845</v>
      </c>
      <c r="AG617" s="6">
        <f t="shared" si="132"/>
        <v>0</v>
      </c>
      <c r="AH617" s="21">
        <v>45796</v>
      </c>
      <c r="AI617" s="1">
        <v>12.35</v>
      </c>
      <c r="AJ617" s="1">
        <v>11.954800000000001</v>
      </c>
      <c r="AK617" s="6">
        <f t="shared" si="133"/>
        <v>0</v>
      </c>
      <c r="AL617" s="21">
        <v>45796</v>
      </c>
      <c r="AM617" s="1">
        <v>1.73</v>
      </c>
      <c r="AN617" s="1">
        <v>1.73</v>
      </c>
      <c r="AO617" s="6">
        <v>-5.7471264367816577E-3</v>
      </c>
      <c r="AP617" s="21" t="s">
        <v>620</v>
      </c>
      <c r="AQ617" s="1">
        <v>11376.22</v>
      </c>
      <c r="AR617" s="6">
        <v>1.3793346272847895E-3</v>
      </c>
    </row>
    <row r="618" spans="2:44" x14ac:dyDescent="0.35">
      <c r="B618" s="21">
        <v>45797</v>
      </c>
      <c r="C618" s="1">
        <v>0.67</v>
      </c>
      <c r="D618" s="1">
        <v>0.67</v>
      </c>
      <c r="E618" s="6">
        <f t="shared" si="136"/>
        <v>0</v>
      </c>
      <c r="F618" s="21">
        <v>45797</v>
      </c>
      <c r="G618" s="1">
        <v>13.2</v>
      </c>
      <c r="H618" s="1">
        <v>12.318199999999999</v>
      </c>
      <c r="I618" s="6">
        <f t="shared" si="134"/>
        <v>0</v>
      </c>
      <c r="J618" s="21">
        <v>45797</v>
      </c>
      <c r="K618" s="1">
        <v>58.8</v>
      </c>
      <c r="L618" s="1">
        <v>58.8</v>
      </c>
      <c r="M618" s="6">
        <f t="shared" si="129"/>
        <v>-6.7567567567567988E-3</v>
      </c>
      <c r="N618" s="21">
        <v>45797</v>
      </c>
      <c r="O618" s="1">
        <v>13.48</v>
      </c>
      <c r="P618" s="1">
        <v>12.874700000000001</v>
      </c>
      <c r="Q618" s="6">
        <f t="shared" si="130"/>
        <v>0</v>
      </c>
      <c r="R618" s="21">
        <v>45797</v>
      </c>
      <c r="S618" s="1">
        <v>7.6</v>
      </c>
      <c r="T618" s="1">
        <v>7.1181999999999999</v>
      </c>
      <c r="U618" s="6">
        <f t="shared" si="135"/>
        <v>1.1984816389200903E-2</v>
      </c>
      <c r="V618" s="21">
        <v>45797</v>
      </c>
      <c r="W618" s="1">
        <v>5.99</v>
      </c>
      <c r="X618" s="1">
        <v>5.625</v>
      </c>
      <c r="Y618" s="6">
        <f t="shared" si="137"/>
        <v>6.8015034902453309E-3</v>
      </c>
      <c r="Z618" s="21">
        <v>45797</v>
      </c>
      <c r="AA618" s="1">
        <v>2.1</v>
      </c>
      <c r="AB618" s="1">
        <v>2.1</v>
      </c>
      <c r="AC618" s="6">
        <f t="shared" si="131"/>
        <v>-9.4339622641509413E-3</v>
      </c>
      <c r="AD618" s="21">
        <v>45797</v>
      </c>
      <c r="AE618" s="1">
        <v>14.94</v>
      </c>
      <c r="AF618" s="1">
        <v>14.526199999999999</v>
      </c>
      <c r="AG618" s="6">
        <f t="shared" si="132"/>
        <v>-3.9973944941548156E-3</v>
      </c>
      <c r="AH618" s="21">
        <v>45797</v>
      </c>
      <c r="AI618" s="1">
        <v>12.41</v>
      </c>
      <c r="AJ618" s="1">
        <v>12.0129</v>
      </c>
      <c r="AK618" s="6">
        <f t="shared" si="133"/>
        <v>4.8599725633218238E-3</v>
      </c>
      <c r="AL618" s="21">
        <v>45797</v>
      </c>
      <c r="AM618" s="1">
        <v>1.74</v>
      </c>
      <c r="AN618" s="1">
        <v>1.74</v>
      </c>
      <c r="AO618" s="6">
        <v>5.7803468208093012E-3</v>
      </c>
      <c r="AP618" s="21" t="s">
        <v>621</v>
      </c>
      <c r="AQ618" s="1">
        <v>11352.17</v>
      </c>
      <c r="AR618" s="6">
        <v>-2.114058975652644E-3</v>
      </c>
    </row>
    <row r="619" spans="2:44" x14ac:dyDescent="0.35">
      <c r="B619" s="21">
        <v>45798</v>
      </c>
      <c r="C619" s="1">
        <v>0.66</v>
      </c>
      <c r="D619" s="1">
        <v>0.66</v>
      </c>
      <c r="E619" s="6">
        <f t="shared" si="136"/>
        <v>-1.4925373134328401E-2</v>
      </c>
      <c r="F619" s="21">
        <v>45798</v>
      </c>
      <c r="G619" s="1">
        <v>13.2</v>
      </c>
      <c r="H619" s="1">
        <v>12.318199999999999</v>
      </c>
      <c r="I619" s="6">
        <f t="shared" si="134"/>
        <v>0</v>
      </c>
      <c r="J619" s="21">
        <v>45798</v>
      </c>
      <c r="K619" s="1">
        <v>58.99</v>
      </c>
      <c r="L619" s="1">
        <v>58.99</v>
      </c>
      <c r="M619" s="6">
        <f t="shared" si="129"/>
        <v>3.231292517006823E-3</v>
      </c>
      <c r="N619" s="21">
        <v>45798</v>
      </c>
      <c r="O619" s="1">
        <v>13.3</v>
      </c>
      <c r="P619" s="1">
        <v>12.7028</v>
      </c>
      <c r="Q619" s="6">
        <f t="shared" si="130"/>
        <v>-1.3351767419823468E-2</v>
      </c>
      <c r="R619" s="21">
        <v>45798</v>
      </c>
      <c r="S619" s="1">
        <v>7.62</v>
      </c>
      <c r="T619" s="1">
        <v>7.1368999999999998</v>
      </c>
      <c r="U619" s="6">
        <f t="shared" si="135"/>
        <v>2.6270686409486377E-3</v>
      </c>
      <c r="V619" s="21">
        <v>45798</v>
      </c>
      <c r="W619" s="1">
        <v>6</v>
      </c>
      <c r="X619" s="1">
        <v>5.6340000000000003</v>
      </c>
      <c r="Y619" s="6">
        <f t="shared" si="137"/>
        <v>1.6000000000000458E-3</v>
      </c>
      <c r="Z619" s="21">
        <v>45798</v>
      </c>
      <c r="AA619" s="1">
        <v>2.0499999999999998</v>
      </c>
      <c r="AB619" s="1">
        <v>2.0499999999999998</v>
      </c>
      <c r="AC619" s="6">
        <f t="shared" si="131"/>
        <v>-2.3809523809523947E-2</v>
      </c>
      <c r="AD619" s="21">
        <v>45798</v>
      </c>
      <c r="AE619" s="1">
        <v>15.19</v>
      </c>
      <c r="AF619" s="1">
        <v>14.7692</v>
      </c>
      <c r="AG619" s="6">
        <f t="shared" si="132"/>
        <v>1.6728394211837916E-2</v>
      </c>
      <c r="AH619" s="21">
        <v>45798</v>
      </c>
      <c r="AI619" s="1">
        <v>12.45</v>
      </c>
      <c r="AJ619" s="1">
        <v>12.051600000000001</v>
      </c>
      <c r="AK619" s="6">
        <f t="shared" si="133"/>
        <v>3.2215368478885065E-3</v>
      </c>
      <c r="AL619" s="21">
        <v>45798</v>
      </c>
      <c r="AM619" s="1">
        <v>1.67</v>
      </c>
      <c r="AN619" s="1">
        <v>1.67</v>
      </c>
      <c r="AO619" s="6">
        <v>-4.0229885057471271E-2</v>
      </c>
      <c r="AP619" s="21" t="s">
        <v>622</v>
      </c>
      <c r="AQ619" s="1">
        <v>11396</v>
      </c>
      <c r="AR619" s="6">
        <v>3.8609358386987314E-3</v>
      </c>
    </row>
    <row r="620" spans="2:44" x14ac:dyDescent="0.35">
      <c r="B620" s="21">
        <v>45799</v>
      </c>
      <c r="C620" s="1">
        <v>0.67</v>
      </c>
      <c r="D620" s="1">
        <v>0.67</v>
      </c>
      <c r="E620" s="6">
        <f t="shared" si="136"/>
        <v>1.5151515151515138E-2</v>
      </c>
      <c r="F620" s="21">
        <v>45799</v>
      </c>
      <c r="G620" s="1">
        <v>13.28</v>
      </c>
      <c r="H620" s="1">
        <v>12.392899999999999</v>
      </c>
      <c r="I620" s="6">
        <f t="shared" si="134"/>
        <v>6.0641976912210183E-3</v>
      </c>
      <c r="J620" s="21">
        <v>45799</v>
      </c>
      <c r="K620" s="1">
        <v>58.9</v>
      </c>
      <c r="L620" s="1">
        <v>58.9</v>
      </c>
      <c r="M620" s="6">
        <f t="shared" si="129"/>
        <v>-1.5256823190371582E-3</v>
      </c>
      <c r="N620" s="21">
        <v>45799</v>
      </c>
      <c r="O620" s="1">
        <v>13.8</v>
      </c>
      <c r="P620" s="1">
        <v>13.180400000000001</v>
      </c>
      <c r="Q620" s="6">
        <f t="shared" si="130"/>
        <v>3.7598009887583883E-2</v>
      </c>
      <c r="R620" s="21">
        <v>45799</v>
      </c>
      <c r="S620" s="1">
        <v>7.6</v>
      </c>
      <c r="T620" s="1">
        <v>7.1181999999999999</v>
      </c>
      <c r="U620" s="6">
        <f t="shared" si="135"/>
        <v>-2.6201852344855947E-3</v>
      </c>
      <c r="V620" s="21">
        <v>45799</v>
      </c>
      <c r="W620" s="1">
        <v>6</v>
      </c>
      <c r="X620" s="1">
        <v>5.6340000000000003</v>
      </c>
      <c r="Y620" s="6">
        <f t="shared" si="137"/>
        <v>0</v>
      </c>
      <c r="Z620" s="21">
        <v>45799</v>
      </c>
      <c r="AA620" s="1">
        <v>2.09</v>
      </c>
      <c r="AB620" s="1">
        <v>2.09</v>
      </c>
      <c r="AC620" s="6">
        <f t="shared" si="131"/>
        <v>1.9512195121951237E-2</v>
      </c>
      <c r="AD620" s="21">
        <v>45799</v>
      </c>
      <c r="AE620" s="1">
        <v>15.17</v>
      </c>
      <c r="AF620" s="1">
        <v>14.7498</v>
      </c>
      <c r="AG620" s="6">
        <f t="shared" si="132"/>
        <v>-1.3135444032174037E-3</v>
      </c>
      <c r="AH620" s="21">
        <v>45799</v>
      </c>
      <c r="AI620" s="1">
        <v>12.41</v>
      </c>
      <c r="AJ620" s="1">
        <v>12.0129</v>
      </c>
      <c r="AK620" s="6">
        <f t="shared" si="133"/>
        <v>-3.211191874937791E-3</v>
      </c>
      <c r="AL620" s="21">
        <v>45799</v>
      </c>
      <c r="AM620" s="1">
        <v>1.72</v>
      </c>
      <c r="AN620" s="1">
        <v>1.72</v>
      </c>
      <c r="AO620" s="6">
        <v>2.9940119760479167E-2</v>
      </c>
      <c r="AP620" s="21" t="s">
        <v>623</v>
      </c>
      <c r="AQ620" s="1">
        <v>11422.38</v>
      </c>
      <c r="AR620" s="6">
        <v>2.3148473148473236E-3</v>
      </c>
    </row>
    <row r="621" spans="2:44" x14ac:dyDescent="0.35">
      <c r="B621" s="21">
        <v>45800</v>
      </c>
      <c r="C621" s="1">
        <v>0.7</v>
      </c>
      <c r="D621" s="1">
        <v>0.7</v>
      </c>
      <c r="E621" s="6">
        <f t="shared" si="136"/>
        <v>4.4776119402984982E-2</v>
      </c>
      <c r="F621" s="21">
        <v>45800</v>
      </c>
      <c r="G621" s="1">
        <v>13.37</v>
      </c>
      <c r="H621" s="1">
        <v>12.476900000000001</v>
      </c>
      <c r="I621" s="6">
        <f t="shared" si="134"/>
        <v>6.7780745426817557E-3</v>
      </c>
      <c r="J621" s="21">
        <v>45800</v>
      </c>
      <c r="K621" s="1">
        <v>58.7</v>
      </c>
      <c r="L621" s="1">
        <v>58.7</v>
      </c>
      <c r="M621" s="6">
        <f t="shared" si="129"/>
        <v>-3.3955857385398192E-3</v>
      </c>
      <c r="N621" s="21">
        <v>45800</v>
      </c>
      <c r="O621" s="1">
        <v>13.88</v>
      </c>
      <c r="P621" s="1">
        <v>13.2568</v>
      </c>
      <c r="Q621" s="6">
        <f t="shared" si="130"/>
        <v>5.7964856908743201E-3</v>
      </c>
      <c r="R621" s="21">
        <v>45800</v>
      </c>
      <c r="S621" s="1">
        <v>7.5</v>
      </c>
      <c r="T621" s="1">
        <v>7.0244999999999997</v>
      </c>
      <c r="U621" s="6">
        <f t="shared" si="135"/>
        <v>-1.3163440195555043E-2</v>
      </c>
      <c r="V621" s="21">
        <v>45800</v>
      </c>
      <c r="W621" s="1">
        <v>5.99</v>
      </c>
      <c r="X621" s="1">
        <v>5.625</v>
      </c>
      <c r="Y621" s="6">
        <f t="shared" si="137"/>
        <v>-1.5974440894569453E-3</v>
      </c>
      <c r="Z621" s="21">
        <v>45800</v>
      </c>
      <c r="AA621" s="1">
        <v>2.1</v>
      </c>
      <c r="AB621" s="1">
        <v>2.1</v>
      </c>
      <c r="AC621" s="6">
        <f t="shared" si="131"/>
        <v>4.784688995215447E-3</v>
      </c>
      <c r="AD621" s="21">
        <v>45800</v>
      </c>
      <c r="AE621" s="1">
        <v>15.04</v>
      </c>
      <c r="AF621" s="1">
        <v>14.6234</v>
      </c>
      <c r="AG621" s="6">
        <f t="shared" si="132"/>
        <v>-8.5696077234945767E-3</v>
      </c>
      <c r="AH621" s="21">
        <v>45800</v>
      </c>
      <c r="AI621" s="1">
        <v>12.5</v>
      </c>
      <c r="AJ621" s="1">
        <v>12.1</v>
      </c>
      <c r="AK621" s="6">
        <f t="shared" si="133"/>
        <v>7.2505390039041551E-3</v>
      </c>
      <c r="AL621" s="21">
        <v>45800</v>
      </c>
      <c r="AM621" s="1">
        <v>1.79</v>
      </c>
      <c r="AN621" s="1">
        <v>1.79</v>
      </c>
      <c r="AO621" s="6">
        <v>4.0697674418604723E-2</v>
      </c>
      <c r="AP621" s="21" t="s">
        <v>624</v>
      </c>
      <c r="AQ621" s="1">
        <v>11422.78</v>
      </c>
      <c r="AR621" s="6">
        <v>3.5018971527911447E-5</v>
      </c>
    </row>
    <row r="622" spans="2:44" x14ac:dyDescent="0.35">
      <c r="B622" s="21">
        <v>45803</v>
      </c>
      <c r="C622" s="1">
        <v>0.68</v>
      </c>
      <c r="D622" s="1">
        <v>0.68</v>
      </c>
      <c r="E622" s="6">
        <f t="shared" si="136"/>
        <v>-2.857142857142847E-2</v>
      </c>
      <c r="F622" s="21">
        <v>45803</v>
      </c>
      <c r="G622" s="1">
        <v>13.35</v>
      </c>
      <c r="H622" s="1">
        <v>12.4582</v>
      </c>
      <c r="I622" s="6">
        <f t="shared" si="134"/>
        <v>-1.4987697264545741E-3</v>
      </c>
      <c r="J622" s="21">
        <v>45803</v>
      </c>
      <c r="K622" s="1">
        <v>58.59</v>
      </c>
      <c r="L622" s="1">
        <v>58.59</v>
      </c>
      <c r="M622" s="6">
        <f t="shared" si="129"/>
        <v>-1.8739352640545492E-3</v>
      </c>
      <c r="N622" s="21">
        <v>45803</v>
      </c>
      <c r="O622" s="1">
        <v>13.87</v>
      </c>
      <c r="P622" s="1">
        <v>13.247199999999999</v>
      </c>
      <c r="Q622" s="6">
        <f t="shared" si="130"/>
        <v>-7.2415665922398453E-4</v>
      </c>
      <c r="R622" s="21">
        <v>45803</v>
      </c>
      <c r="S622" s="1">
        <v>7.59</v>
      </c>
      <c r="T622" s="1">
        <v>7.1087999999999996</v>
      </c>
      <c r="U622" s="6">
        <f t="shared" si="135"/>
        <v>1.2000854153320528E-2</v>
      </c>
      <c r="V622" s="21">
        <v>45803</v>
      </c>
      <c r="W622" s="1">
        <v>5.98</v>
      </c>
      <c r="X622" s="1">
        <v>5.6150000000000002</v>
      </c>
      <c r="Y622" s="6">
        <f t="shared" si="137"/>
        <v>-1.777777777777767E-3</v>
      </c>
      <c r="Z622" s="21">
        <v>45803</v>
      </c>
      <c r="AA622" s="1">
        <v>2.09</v>
      </c>
      <c r="AB622" s="1">
        <v>2.09</v>
      </c>
      <c r="AC622" s="6">
        <f t="shared" si="131"/>
        <v>-4.761904761904856E-3</v>
      </c>
      <c r="AD622" s="21">
        <v>45803</v>
      </c>
      <c r="AE622" s="1">
        <v>15.19</v>
      </c>
      <c r="AF622" s="1">
        <v>14.7692</v>
      </c>
      <c r="AG622" s="6">
        <f t="shared" si="132"/>
        <v>9.970321539450433E-3</v>
      </c>
      <c r="AH622" s="21">
        <v>45803</v>
      </c>
      <c r="AI622" s="1">
        <v>12.44</v>
      </c>
      <c r="AJ622" s="1">
        <v>12.0419</v>
      </c>
      <c r="AK622" s="6">
        <f t="shared" si="133"/>
        <v>-4.8016528925619584E-3</v>
      </c>
      <c r="AL622" s="21">
        <v>45803</v>
      </c>
      <c r="AM622" s="1">
        <v>1.84</v>
      </c>
      <c r="AN622" s="1">
        <v>1.84</v>
      </c>
      <c r="AO622" s="6">
        <v>2.7932960893854775E-2</v>
      </c>
      <c r="AP622" s="21" t="s">
        <v>625</v>
      </c>
      <c r="AQ622" s="1">
        <v>11430.38</v>
      </c>
      <c r="AR622" s="6">
        <v>6.6533715960548356E-4</v>
      </c>
    </row>
    <row r="623" spans="2:44" x14ac:dyDescent="0.35">
      <c r="B623" s="21">
        <v>45804</v>
      </c>
      <c r="C623" s="1">
        <v>0.7</v>
      </c>
      <c r="D623" s="1">
        <v>0.7</v>
      </c>
      <c r="E623" s="6">
        <f t="shared" si="136"/>
        <v>2.9411764705882248E-2</v>
      </c>
      <c r="F623" s="21">
        <v>45804</v>
      </c>
      <c r="G623" s="1">
        <v>13.44</v>
      </c>
      <c r="H623" s="1">
        <v>12.542199999999999</v>
      </c>
      <c r="I623" s="6">
        <f t="shared" si="134"/>
        <v>6.7425470774269414E-3</v>
      </c>
      <c r="J623" s="21">
        <v>45804</v>
      </c>
      <c r="K623" s="1">
        <v>58</v>
      </c>
      <c r="L623" s="1">
        <v>58</v>
      </c>
      <c r="M623" s="6">
        <f t="shared" si="129"/>
        <v>-1.0069977811913322E-2</v>
      </c>
      <c r="N623" s="21">
        <v>45804</v>
      </c>
      <c r="O623" s="1">
        <v>13.55</v>
      </c>
      <c r="P623" s="1">
        <v>12.941599999999999</v>
      </c>
      <c r="Q623" s="6">
        <f t="shared" si="130"/>
        <v>-2.3069025907361596E-2</v>
      </c>
      <c r="R623" s="21">
        <v>45804</v>
      </c>
      <c r="S623" s="1">
        <v>7.58</v>
      </c>
      <c r="T623" s="1">
        <v>7.0994000000000002</v>
      </c>
      <c r="U623" s="6">
        <f t="shared" si="135"/>
        <v>-1.3223047490433792E-3</v>
      </c>
      <c r="V623" s="21">
        <v>45804</v>
      </c>
      <c r="W623" s="1">
        <v>5.98</v>
      </c>
      <c r="X623" s="1">
        <v>5.6150000000000002</v>
      </c>
      <c r="Y623" s="6">
        <f t="shared" si="137"/>
        <v>0</v>
      </c>
      <c r="Z623" s="21">
        <v>45804</v>
      </c>
      <c r="AA623" s="1">
        <v>2.09</v>
      </c>
      <c r="AB623" s="1">
        <v>2.09</v>
      </c>
      <c r="AC623" s="6">
        <f t="shared" si="131"/>
        <v>0</v>
      </c>
      <c r="AD623" s="21">
        <v>45804</v>
      </c>
      <c r="AE623" s="1">
        <v>15.16</v>
      </c>
      <c r="AF623" s="1">
        <v>14.7401</v>
      </c>
      <c r="AG623" s="6">
        <f t="shared" si="132"/>
        <v>-1.9703166048262721E-3</v>
      </c>
      <c r="AH623" s="21">
        <v>45804</v>
      </c>
      <c r="AI623" s="1">
        <v>12.39</v>
      </c>
      <c r="AJ623" s="1">
        <v>11.993499999999999</v>
      </c>
      <c r="AK623" s="6">
        <f t="shared" si="133"/>
        <v>-4.0192992800139882E-3</v>
      </c>
      <c r="AL623" s="21">
        <v>45804</v>
      </c>
      <c r="AM623" s="1">
        <v>1.76</v>
      </c>
      <c r="AN623" s="1">
        <v>1.76</v>
      </c>
      <c r="AO623" s="6">
        <v>-4.3478260869565299E-2</v>
      </c>
      <c r="AP623" s="21" t="s">
        <v>626</v>
      </c>
      <c r="AQ623" s="1">
        <v>11410.86</v>
      </c>
      <c r="AR623" s="6">
        <v>-1.7077297517666956E-3</v>
      </c>
    </row>
    <row r="624" spans="2:44" x14ac:dyDescent="0.35">
      <c r="B624" s="21">
        <v>45805</v>
      </c>
      <c r="C624" s="1">
        <v>0.7</v>
      </c>
      <c r="D624" s="1">
        <v>0.7</v>
      </c>
      <c r="E624" s="6">
        <f t="shared" si="136"/>
        <v>0</v>
      </c>
      <c r="F624" s="21">
        <v>45805</v>
      </c>
      <c r="G624" s="1">
        <v>13.4</v>
      </c>
      <c r="H624" s="1">
        <v>12.504899999999999</v>
      </c>
      <c r="I624" s="6">
        <f t="shared" si="134"/>
        <v>-2.9739599113393078E-3</v>
      </c>
      <c r="J624" s="21">
        <v>45805</v>
      </c>
      <c r="K624" s="1">
        <v>57.7</v>
      </c>
      <c r="L624" s="1">
        <v>57.7</v>
      </c>
      <c r="M624" s="6">
        <f t="shared" si="129"/>
        <v>-5.1724137931034031E-3</v>
      </c>
      <c r="N624" s="21">
        <v>45805</v>
      </c>
      <c r="O624" s="1">
        <v>13.55</v>
      </c>
      <c r="P624" s="1">
        <v>12.941599999999999</v>
      </c>
      <c r="Q624" s="6">
        <f t="shared" si="130"/>
        <v>0</v>
      </c>
      <c r="R624" s="21">
        <v>45805</v>
      </c>
      <c r="S624" s="1">
        <v>7.57</v>
      </c>
      <c r="T624" s="1">
        <v>7.0900999999999996</v>
      </c>
      <c r="U624" s="6">
        <f t="shared" si="135"/>
        <v>-1.3099698566076956E-3</v>
      </c>
      <c r="V624" s="21">
        <v>45805</v>
      </c>
      <c r="W624" s="1">
        <v>5.88</v>
      </c>
      <c r="X624" s="1">
        <v>5.5209999999999999</v>
      </c>
      <c r="Y624" s="6">
        <f t="shared" si="137"/>
        <v>-1.674087266251123E-2</v>
      </c>
      <c r="Z624" s="21">
        <v>45805</v>
      </c>
      <c r="AA624" s="1">
        <v>2.08</v>
      </c>
      <c r="AB624" s="1">
        <v>2.08</v>
      </c>
      <c r="AC624" s="6">
        <f t="shared" si="131"/>
        <v>-4.7846889952152249E-3</v>
      </c>
      <c r="AD624" s="21">
        <v>45805</v>
      </c>
      <c r="AE624" s="1">
        <v>15.34</v>
      </c>
      <c r="AF624" s="1">
        <v>14.915100000000001</v>
      </c>
      <c r="AG624" s="6">
        <f t="shared" si="132"/>
        <v>1.1872375357019349E-2</v>
      </c>
      <c r="AH624" s="21">
        <v>45805</v>
      </c>
      <c r="AI624" s="1">
        <v>12.35</v>
      </c>
      <c r="AJ624" s="1">
        <v>11.954800000000001</v>
      </c>
      <c r="AK624" s="6">
        <f t="shared" si="133"/>
        <v>-3.2267478217367085E-3</v>
      </c>
      <c r="AL624" s="21">
        <v>45805</v>
      </c>
      <c r="AM624" s="1">
        <v>1.78</v>
      </c>
      <c r="AN624" s="1">
        <v>1.78</v>
      </c>
      <c r="AO624" s="6">
        <v>1.1363636363636465E-2</v>
      </c>
      <c r="AP624" s="21" t="s">
        <v>627</v>
      </c>
      <c r="AQ624" s="1">
        <v>11419.44</v>
      </c>
      <c r="AR624" s="6">
        <v>7.5191528070628344E-4</v>
      </c>
    </row>
    <row r="625" spans="2:44" x14ac:dyDescent="0.35">
      <c r="B625" s="21">
        <v>45806</v>
      </c>
      <c r="C625" s="1">
        <v>0.7</v>
      </c>
      <c r="D625" s="1">
        <v>0.7</v>
      </c>
      <c r="E625" s="6">
        <f t="shared" si="136"/>
        <v>0</v>
      </c>
      <c r="F625" s="21">
        <v>45806</v>
      </c>
      <c r="G625" s="1">
        <v>13.34</v>
      </c>
      <c r="H625" s="1">
        <v>12.4489</v>
      </c>
      <c r="I625" s="6">
        <f t="shared" si="134"/>
        <v>-4.4782445281449368E-3</v>
      </c>
      <c r="J625" s="21">
        <v>45806</v>
      </c>
      <c r="K625" s="1">
        <v>57.1</v>
      </c>
      <c r="L625" s="1">
        <v>57.1</v>
      </c>
      <c r="M625" s="6">
        <f t="shared" si="129"/>
        <v>-1.0398613518197597E-2</v>
      </c>
      <c r="N625" s="21">
        <v>45806</v>
      </c>
      <c r="O625" s="1">
        <v>13.69</v>
      </c>
      <c r="P625" s="1">
        <v>13.0753</v>
      </c>
      <c r="Q625" s="6">
        <f t="shared" si="130"/>
        <v>1.0331025530073701E-2</v>
      </c>
      <c r="R625" s="21">
        <v>45806</v>
      </c>
      <c r="S625" s="1">
        <v>7.5</v>
      </c>
      <c r="T625" s="1">
        <v>7.0244999999999997</v>
      </c>
      <c r="U625" s="6">
        <f t="shared" si="135"/>
        <v>-9.2523377667451667E-3</v>
      </c>
      <c r="V625" s="21">
        <v>45806</v>
      </c>
      <c r="W625" s="1">
        <v>5.88</v>
      </c>
      <c r="X625" s="1">
        <v>5.5209999999999999</v>
      </c>
      <c r="Y625" s="6">
        <f t="shared" si="137"/>
        <v>0</v>
      </c>
      <c r="Z625" s="21">
        <v>45806</v>
      </c>
      <c r="AA625" s="1">
        <v>2.06</v>
      </c>
      <c r="AB625" s="1">
        <v>2.06</v>
      </c>
      <c r="AC625" s="6">
        <f t="shared" si="131"/>
        <v>-9.6153846153845812E-3</v>
      </c>
      <c r="AD625" s="21">
        <v>45806</v>
      </c>
      <c r="AE625" s="1">
        <v>15.38</v>
      </c>
      <c r="AF625" s="1">
        <v>14.954000000000001</v>
      </c>
      <c r="AG625" s="6">
        <f t="shared" si="132"/>
        <v>2.6080951518929751E-3</v>
      </c>
      <c r="AH625" s="21">
        <v>45806</v>
      </c>
      <c r="AI625" s="1">
        <v>12.24</v>
      </c>
      <c r="AJ625" s="1">
        <v>11.8483</v>
      </c>
      <c r="AK625" s="6">
        <f t="shared" si="133"/>
        <v>-8.908555559273279E-3</v>
      </c>
      <c r="AL625" s="21">
        <v>45806</v>
      </c>
      <c r="AM625" s="1">
        <v>1.78</v>
      </c>
      <c r="AN625" s="1">
        <v>1.78</v>
      </c>
      <c r="AO625" s="6">
        <v>0</v>
      </c>
      <c r="AP625" s="21" t="s">
        <v>628</v>
      </c>
      <c r="AQ625" s="1">
        <v>11395.36</v>
      </c>
      <c r="AR625" s="6">
        <v>-2.1086848391864699E-3</v>
      </c>
    </row>
    <row r="626" spans="2:44" x14ac:dyDescent="0.35">
      <c r="B626" s="21">
        <v>45807</v>
      </c>
      <c r="C626" s="1">
        <v>0.68</v>
      </c>
      <c r="D626" s="1">
        <v>0.68</v>
      </c>
      <c r="E626" s="6">
        <f t="shared" si="136"/>
        <v>-2.857142857142847E-2</v>
      </c>
      <c r="F626" s="21">
        <v>45807</v>
      </c>
      <c r="G626" s="1">
        <v>13.09</v>
      </c>
      <c r="H626" s="1">
        <v>12.2156</v>
      </c>
      <c r="I626" s="6">
        <f t="shared" si="134"/>
        <v>-1.8740611620303826E-2</v>
      </c>
      <c r="J626" s="21">
        <v>45807</v>
      </c>
      <c r="K626" s="1">
        <v>56.5</v>
      </c>
      <c r="L626" s="1">
        <v>56.5</v>
      </c>
      <c r="M626" s="6">
        <f t="shared" si="129"/>
        <v>-1.0507880910682998E-2</v>
      </c>
      <c r="N626" s="21">
        <v>45807</v>
      </c>
      <c r="O626" s="1">
        <v>13.52</v>
      </c>
      <c r="P626" s="1">
        <v>12.913</v>
      </c>
      <c r="Q626" s="6">
        <f t="shared" si="130"/>
        <v>-1.2412717107829319E-2</v>
      </c>
      <c r="R626" s="21">
        <v>45807</v>
      </c>
      <c r="S626" s="1">
        <v>7.47</v>
      </c>
      <c r="T626" s="1">
        <v>6.9964000000000004</v>
      </c>
      <c r="U626" s="6">
        <f t="shared" si="135"/>
        <v>-4.0002847177733614E-3</v>
      </c>
      <c r="V626" s="21">
        <v>45807</v>
      </c>
      <c r="W626" s="1">
        <v>5.93</v>
      </c>
      <c r="X626" s="1">
        <v>5.5679999999999996</v>
      </c>
      <c r="Y626" s="6">
        <f t="shared" si="137"/>
        <v>8.5129505524361715E-3</v>
      </c>
      <c r="Z626" s="21">
        <v>45807</v>
      </c>
      <c r="AA626" s="1">
        <v>2.02</v>
      </c>
      <c r="AB626" s="1">
        <v>2.02</v>
      </c>
      <c r="AC626" s="6">
        <f t="shared" si="131"/>
        <v>-1.9417475728155331E-2</v>
      </c>
      <c r="AD626" s="21">
        <v>45807</v>
      </c>
      <c r="AE626" s="1">
        <v>15.58</v>
      </c>
      <c r="AF626" s="1">
        <v>15.148400000000001</v>
      </c>
      <c r="AG626" s="6">
        <f t="shared" si="132"/>
        <v>1.2999866256520054E-2</v>
      </c>
      <c r="AH626" s="21">
        <v>45807</v>
      </c>
      <c r="AI626" s="1">
        <v>12.19</v>
      </c>
      <c r="AJ626" s="1">
        <v>11.799899999999999</v>
      </c>
      <c r="AK626" s="6">
        <f t="shared" si="133"/>
        <v>-4.0849742157103019E-3</v>
      </c>
      <c r="AL626" s="21">
        <v>45807</v>
      </c>
      <c r="AM626" s="1">
        <v>1.78</v>
      </c>
      <c r="AN626" s="1">
        <v>1.78</v>
      </c>
      <c r="AO626" s="6">
        <v>0</v>
      </c>
      <c r="AP626" s="21" t="s">
        <v>629</v>
      </c>
      <c r="AQ626" s="1">
        <v>11363.58</v>
      </c>
      <c r="AR626" s="6">
        <v>-2.7888544109181401E-3</v>
      </c>
    </row>
    <row r="627" spans="2:44" x14ac:dyDescent="0.35">
      <c r="B627" s="21">
        <v>45810</v>
      </c>
      <c r="C627" s="1">
        <v>0.66</v>
      </c>
      <c r="D627" s="1">
        <v>0.66</v>
      </c>
      <c r="E627" s="6">
        <f t="shared" si="136"/>
        <v>-2.9411764705882359E-2</v>
      </c>
      <c r="F627" s="21">
        <v>45810</v>
      </c>
      <c r="G627" s="1">
        <v>13.3</v>
      </c>
      <c r="H627" s="1">
        <v>12.4116</v>
      </c>
      <c r="I627" s="6">
        <f t="shared" si="134"/>
        <v>1.6045057140050334E-2</v>
      </c>
      <c r="J627" s="21">
        <v>45810</v>
      </c>
      <c r="K627" s="1">
        <v>55.7</v>
      </c>
      <c r="L627" s="1">
        <v>55.7</v>
      </c>
      <c r="M627" s="6">
        <f t="shared" si="129"/>
        <v>-1.415929203539823E-2</v>
      </c>
      <c r="N627" s="21">
        <v>45810</v>
      </c>
      <c r="O627" s="1">
        <v>13.5</v>
      </c>
      <c r="P627" s="1">
        <v>12.893800000000001</v>
      </c>
      <c r="Q627" s="6">
        <f t="shared" si="130"/>
        <v>-1.4868736931773485E-3</v>
      </c>
      <c r="R627" s="21">
        <v>45810</v>
      </c>
      <c r="S627" s="1">
        <v>7.55</v>
      </c>
      <c r="T627" s="1">
        <v>7.0712999999999999</v>
      </c>
      <c r="U627" s="6">
        <f t="shared" si="135"/>
        <v>1.0705505688639816E-2</v>
      </c>
      <c r="V627" s="21">
        <v>45810</v>
      </c>
      <c r="W627" s="1">
        <v>5.98</v>
      </c>
      <c r="X627" s="1">
        <v>5.6150000000000002</v>
      </c>
      <c r="Y627" s="6">
        <f t="shared" si="137"/>
        <v>8.4410919540232054E-3</v>
      </c>
      <c r="Z627" s="21">
        <v>45810</v>
      </c>
      <c r="AA627" s="1">
        <v>2.0299999999999998</v>
      </c>
      <c r="AB627" s="1">
        <v>2.0299999999999998</v>
      </c>
      <c r="AC627" s="6">
        <f t="shared" si="131"/>
        <v>4.9504950495049549E-3</v>
      </c>
      <c r="AD627" s="21">
        <v>45810</v>
      </c>
      <c r="AE627" s="1">
        <v>15.75</v>
      </c>
      <c r="AF627" s="1">
        <v>15.313700000000001</v>
      </c>
      <c r="AG627" s="6">
        <f t="shared" si="132"/>
        <v>1.0912043516146941E-2</v>
      </c>
      <c r="AH627" s="21">
        <v>45810</v>
      </c>
      <c r="AI627" s="1">
        <v>12.19</v>
      </c>
      <c r="AJ627" s="1">
        <v>11.799899999999999</v>
      </c>
      <c r="AK627" s="6">
        <f t="shared" si="133"/>
        <v>0</v>
      </c>
      <c r="AL627" s="21">
        <v>45810</v>
      </c>
      <c r="AM627" s="1">
        <v>1.78</v>
      </c>
      <c r="AN627" s="1">
        <v>1.78</v>
      </c>
      <c r="AO627" s="6">
        <v>0</v>
      </c>
      <c r="AP627" s="21" t="s">
        <v>630</v>
      </c>
      <c r="AQ627" s="1">
        <v>11366.85</v>
      </c>
      <c r="AR627" s="6">
        <v>2.8776142729669552E-4</v>
      </c>
    </row>
    <row r="628" spans="2:44" x14ac:dyDescent="0.35">
      <c r="B628" s="21">
        <v>45811</v>
      </c>
      <c r="C628" s="1">
        <v>0.68</v>
      </c>
      <c r="D628" s="1">
        <v>0.68</v>
      </c>
      <c r="E628" s="6">
        <f t="shared" si="136"/>
        <v>3.0303030303030276E-2</v>
      </c>
      <c r="F628" s="21">
        <v>45811</v>
      </c>
      <c r="G628" s="1">
        <v>13.3</v>
      </c>
      <c r="H628" s="1">
        <v>12.4116</v>
      </c>
      <c r="I628" s="6">
        <f t="shared" si="134"/>
        <v>0</v>
      </c>
      <c r="J628" s="21">
        <v>45811</v>
      </c>
      <c r="K628" s="1">
        <v>55.49</v>
      </c>
      <c r="L628" s="1">
        <v>55.49</v>
      </c>
      <c r="M628" s="6">
        <f t="shared" si="129"/>
        <v>-3.7701974865350651E-3</v>
      </c>
      <c r="N628" s="21">
        <v>45811</v>
      </c>
      <c r="O628" s="1">
        <v>13.4</v>
      </c>
      <c r="P628" s="1">
        <v>12.798299999999999</v>
      </c>
      <c r="Q628" s="6">
        <f t="shared" si="130"/>
        <v>-7.4066605655431772E-3</v>
      </c>
      <c r="R628" s="21">
        <v>45811</v>
      </c>
      <c r="S628" s="1">
        <v>7.59</v>
      </c>
      <c r="T628" s="1">
        <v>7.1087999999999996</v>
      </c>
      <c r="U628" s="6">
        <f t="shared" si="135"/>
        <v>5.3031267235161828E-3</v>
      </c>
      <c r="V628" s="21">
        <v>45811</v>
      </c>
      <c r="W628" s="1">
        <v>5.98</v>
      </c>
      <c r="X628" s="1">
        <v>5.6150000000000002</v>
      </c>
      <c r="Y628" s="6">
        <f t="shared" si="137"/>
        <v>0</v>
      </c>
      <c r="Z628" s="21">
        <v>45811</v>
      </c>
      <c r="AA628" s="1">
        <v>2.0099999999999998</v>
      </c>
      <c r="AB628" s="1">
        <v>2.0099999999999998</v>
      </c>
      <c r="AC628" s="6">
        <f t="shared" si="131"/>
        <v>-9.8522167487684609E-3</v>
      </c>
      <c r="AD628" s="21">
        <v>45811</v>
      </c>
      <c r="AE628" s="1">
        <v>15.4</v>
      </c>
      <c r="AF628" s="1">
        <v>14.9734</v>
      </c>
      <c r="AG628" s="6">
        <f t="shared" si="132"/>
        <v>-2.2221931995533462E-2</v>
      </c>
      <c r="AH628" s="21">
        <v>45811</v>
      </c>
      <c r="AI628" s="1">
        <v>12.75</v>
      </c>
      <c r="AJ628" s="1">
        <v>12.342000000000001</v>
      </c>
      <c r="AK628" s="6">
        <f t="shared" si="133"/>
        <v>4.5941067297180505E-2</v>
      </c>
      <c r="AL628" s="21">
        <v>45811</v>
      </c>
      <c r="AM628" s="1">
        <v>1.85</v>
      </c>
      <c r="AN628" s="1">
        <v>1.85</v>
      </c>
      <c r="AO628" s="6">
        <v>3.9325842696629199E-2</v>
      </c>
      <c r="AP628" s="21" t="s">
        <v>631</v>
      </c>
      <c r="AQ628" s="1">
        <v>11398.37</v>
      </c>
      <c r="AR628" s="6">
        <v>2.7729758024430673E-3</v>
      </c>
    </row>
    <row r="629" spans="2:44" x14ac:dyDescent="0.35">
      <c r="B629" s="21">
        <v>45812</v>
      </c>
      <c r="C629" s="1">
        <v>0.7</v>
      </c>
      <c r="D629" s="1">
        <v>0.7</v>
      </c>
      <c r="E629" s="6">
        <f t="shared" si="136"/>
        <v>2.9411764705882248E-2</v>
      </c>
      <c r="F629" s="21">
        <v>45812</v>
      </c>
      <c r="G629" s="1">
        <v>13.29</v>
      </c>
      <c r="H629" s="1">
        <v>12.402200000000001</v>
      </c>
      <c r="I629" s="6">
        <f t="shared" si="134"/>
        <v>-7.5735602178605976E-4</v>
      </c>
      <c r="J629" s="21">
        <v>45812</v>
      </c>
      <c r="K629" s="1">
        <v>55.5</v>
      </c>
      <c r="L629" s="1">
        <v>55.5</v>
      </c>
      <c r="M629" s="6">
        <f t="shared" si="129"/>
        <v>1.8021265092804661E-4</v>
      </c>
      <c r="N629" s="21">
        <v>45812</v>
      </c>
      <c r="O629" s="1">
        <v>13.6</v>
      </c>
      <c r="P629" s="1">
        <v>12.9894</v>
      </c>
      <c r="Q629" s="6">
        <f t="shared" si="130"/>
        <v>1.4931670612503334E-2</v>
      </c>
      <c r="R629" s="21">
        <v>45812</v>
      </c>
      <c r="S629" s="1">
        <v>7.4</v>
      </c>
      <c r="T629" s="1">
        <v>6.9307999999999996</v>
      </c>
      <c r="U629" s="6">
        <f t="shared" si="135"/>
        <v>-2.5039387801035318E-2</v>
      </c>
      <c r="V629" s="21">
        <v>45812</v>
      </c>
      <c r="W629" s="1">
        <v>5.98</v>
      </c>
      <c r="X629" s="1">
        <v>5.6150000000000002</v>
      </c>
      <c r="Y629" s="6">
        <f t="shared" si="137"/>
        <v>0</v>
      </c>
      <c r="Z629" s="21">
        <v>45812</v>
      </c>
      <c r="AA629" s="1">
        <v>2</v>
      </c>
      <c r="AB629" s="1">
        <v>2</v>
      </c>
      <c r="AC629" s="6">
        <f t="shared" si="131"/>
        <v>-4.9751243781093191E-3</v>
      </c>
      <c r="AD629" s="21">
        <v>45812</v>
      </c>
      <c r="AE629" s="1">
        <v>15.7</v>
      </c>
      <c r="AF629" s="1">
        <v>15.2651</v>
      </c>
      <c r="AG629" s="6">
        <f t="shared" si="132"/>
        <v>1.9481213351677074E-2</v>
      </c>
      <c r="AH629" s="21">
        <v>45812</v>
      </c>
      <c r="AI629" s="1">
        <v>12.88</v>
      </c>
      <c r="AJ629" s="1">
        <v>12.4678</v>
      </c>
      <c r="AK629" s="6">
        <f t="shared" si="133"/>
        <v>1.0192837465564653E-2</v>
      </c>
      <c r="AL629" s="21">
        <v>45812</v>
      </c>
      <c r="AM629" s="1">
        <v>1.77</v>
      </c>
      <c r="AN629" s="1">
        <v>1.77</v>
      </c>
      <c r="AO629" s="6">
        <v>-4.3243243243243246E-2</v>
      </c>
      <c r="AP629" s="21" t="s">
        <v>632</v>
      </c>
      <c r="AQ629" s="1">
        <v>11416.6</v>
      </c>
      <c r="AR629" s="6">
        <v>1.5993514862211455E-3</v>
      </c>
    </row>
    <row r="630" spans="2:44" x14ac:dyDescent="0.35">
      <c r="B630" s="21">
        <v>45813</v>
      </c>
      <c r="C630" s="1">
        <v>0.7</v>
      </c>
      <c r="D630" s="1">
        <v>0.7</v>
      </c>
      <c r="E630" s="6">
        <f t="shared" si="136"/>
        <v>0</v>
      </c>
      <c r="F630" s="21">
        <v>45813</v>
      </c>
      <c r="G630" s="1">
        <v>13.57</v>
      </c>
      <c r="H630" s="1">
        <v>12.663500000000001</v>
      </c>
      <c r="I630" s="6">
        <f t="shared" si="134"/>
        <v>2.1068842624695661E-2</v>
      </c>
      <c r="J630" s="21">
        <v>45813</v>
      </c>
      <c r="K630" s="1">
        <v>54.5</v>
      </c>
      <c r="L630" s="1">
        <v>54.5</v>
      </c>
      <c r="M630" s="6">
        <f t="shared" si="129"/>
        <v>-1.8018018018018056E-2</v>
      </c>
      <c r="N630" s="21">
        <v>45813</v>
      </c>
      <c r="O630" s="1">
        <v>13.5</v>
      </c>
      <c r="P630" s="1">
        <v>12.893800000000001</v>
      </c>
      <c r="Q630" s="6">
        <f t="shared" si="130"/>
        <v>-7.3598472600735487E-3</v>
      </c>
      <c r="R630" s="21">
        <v>45813</v>
      </c>
      <c r="S630" s="1">
        <v>7.45</v>
      </c>
      <c r="T630" s="1">
        <v>6.9776999999999996</v>
      </c>
      <c r="U630" s="6">
        <f t="shared" si="135"/>
        <v>6.7668955964679256E-3</v>
      </c>
      <c r="V630" s="21">
        <v>45813</v>
      </c>
      <c r="W630" s="1">
        <v>5.9</v>
      </c>
      <c r="X630" s="1">
        <v>5.54</v>
      </c>
      <c r="Y630" s="6">
        <f t="shared" si="137"/>
        <v>-1.3357079252003579E-2</v>
      </c>
      <c r="Z630" s="21">
        <v>45813</v>
      </c>
      <c r="AA630" s="1">
        <v>2</v>
      </c>
      <c r="AB630" s="1">
        <v>2</v>
      </c>
      <c r="AC630" s="6">
        <f t="shared" si="131"/>
        <v>0</v>
      </c>
      <c r="AD630" s="21">
        <v>45813</v>
      </c>
      <c r="AE630" s="1">
        <v>15.79</v>
      </c>
      <c r="AF630" s="1">
        <v>15.352600000000001</v>
      </c>
      <c r="AG630" s="6">
        <f t="shared" si="132"/>
        <v>5.732029269379213E-3</v>
      </c>
      <c r="AH630" s="21">
        <v>45813</v>
      </c>
      <c r="AI630" s="1">
        <v>12.84</v>
      </c>
      <c r="AJ630" s="1">
        <v>12.4291</v>
      </c>
      <c r="AK630" s="6">
        <f t="shared" si="133"/>
        <v>-3.103995893421474E-3</v>
      </c>
      <c r="AL630" s="21">
        <v>45813</v>
      </c>
      <c r="AM630" s="1">
        <v>1.83</v>
      </c>
      <c r="AN630" s="1">
        <v>1.83</v>
      </c>
      <c r="AO630" s="6">
        <v>3.3898305084745894E-2</v>
      </c>
      <c r="AP630" s="21" t="s">
        <v>633</v>
      </c>
      <c r="AQ630" s="1">
        <v>11403</v>
      </c>
      <c r="AR630" s="6">
        <v>-1.1912478321041142E-3</v>
      </c>
    </row>
    <row r="631" spans="2:44" x14ac:dyDescent="0.35">
      <c r="B631" s="21">
        <v>45817</v>
      </c>
      <c r="C631" s="1">
        <v>0.73</v>
      </c>
      <c r="D631" s="1">
        <v>0.73</v>
      </c>
      <c r="E631" s="6">
        <f t="shared" si="136"/>
        <v>4.2857142857142927E-2</v>
      </c>
      <c r="F631" s="21">
        <v>45817</v>
      </c>
      <c r="G631" s="1">
        <v>13.59</v>
      </c>
      <c r="H631" s="1">
        <v>12.6822</v>
      </c>
      <c r="I631" s="6">
        <f t="shared" si="134"/>
        <v>1.4766849607137367E-3</v>
      </c>
      <c r="J631" s="21">
        <v>45817</v>
      </c>
      <c r="K631" s="1">
        <v>53.7</v>
      </c>
      <c r="L631" s="1">
        <v>53.7</v>
      </c>
      <c r="M631" s="6">
        <f t="shared" si="129"/>
        <v>-1.4678899082568808E-2</v>
      </c>
      <c r="N631" s="21">
        <v>45817</v>
      </c>
      <c r="O631" s="1">
        <v>13.6</v>
      </c>
      <c r="P631" s="1">
        <v>12.9894</v>
      </c>
      <c r="Q631" s="6">
        <f t="shared" si="130"/>
        <v>7.4144162310567641E-3</v>
      </c>
      <c r="R631" s="21">
        <v>45817</v>
      </c>
      <c r="S631" s="1">
        <v>7.43</v>
      </c>
      <c r="T631" s="1">
        <v>6.9588999999999999</v>
      </c>
      <c r="U631" s="6">
        <f t="shared" si="135"/>
        <v>-2.6942975479025133E-3</v>
      </c>
      <c r="V631" s="21">
        <v>45817</v>
      </c>
      <c r="W631" s="1">
        <v>5.9</v>
      </c>
      <c r="X631" s="1">
        <v>5.54</v>
      </c>
      <c r="Y631" s="6">
        <f t="shared" si="137"/>
        <v>0</v>
      </c>
      <c r="Z631" s="21">
        <v>45817</v>
      </c>
      <c r="AA631" s="1">
        <v>2</v>
      </c>
      <c r="AB631" s="1">
        <v>2</v>
      </c>
      <c r="AC631" s="6">
        <f t="shared" si="131"/>
        <v>0</v>
      </c>
      <c r="AD631" s="21">
        <v>45817</v>
      </c>
      <c r="AE631" s="1">
        <v>15.7</v>
      </c>
      <c r="AF631" s="1">
        <v>15.2651</v>
      </c>
      <c r="AG631" s="6">
        <f t="shared" si="132"/>
        <v>-5.6993603689277084E-3</v>
      </c>
      <c r="AH631" s="21">
        <v>45817</v>
      </c>
      <c r="AI631" s="1">
        <v>12.8</v>
      </c>
      <c r="AJ631" s="1">
        <v>12.3904</v>
      </c>
      <c r="AK631" s="6">
        <f t="shared" si="133"/>
        <v>-3.1136606833962466E-3</v>
      </c>
      <c r="AL631" s="21">
        <v>45817</v>
      </c>
      <c r="AM631" s="1">
        <v>1.83</v>
      </c>
      <c r="AN631" s="1">
        <v>1.83</v>
      </c>
      <c r="AO631" s="6">
        <v>0</v>
      </c>
      <c r="AP631" s="21" t="s">
        <v>634</v>
      </c>
      <c r="AQ631" s="1">
        <v>11375.56</v>
      </c>
      <c r="AR631" s="6">
        <v>-2.4063842848374151E-3</v>
      </c>
    </row>
    <row r="632" spans="2:44" x14ac:dyDescent="0.35">
      <c r="B632" s="21">
        <v>45818</v>
      </c>
      <c r="C632" s="1">
        <v>0.74</v>
      </c>
      <c r="D632" s="1">
        <v>0.74</v>
      </c>
      <c r="E632" s="6">
        <f t="shared" si="136"/>
        <v>1.3698630136986356E-2</v>
      </c>
      <c r="F632" s="21">
        <v>45818</v>
      </c>
      <c r="G632" s="1">
        <v>13.6</v>
      </c>
      <c r="H632" s="1">
        <v>12.6915</v>
      </c>
      <c r="I632" s="6">
        <f t="shared" si="134"/>
        <v>7.3331125514508599E-4</v>
      </c>
      <c r="J632" s="21">
        <v>45818</v>
      </c>
      <c r="K632" s="1">
        <v>53.98</v>
      </c>
      <c r="L632" s="1">
        <v>53.98</v>
      </c>
      <c r="M632" s="6">
        <f t="shared" si="129"/>
        <v>5.2141527001861032E-3</v>
      </c>
      <c r="N632" s="21">
        <v>45818</v>
      </c>
      <c r="O632" s="1">
        <v>13.58</v>
      </c>
      <c r="P632" s="1">
        <v>12.9703</v>
      </c>
      <c r="Q632" s="6">
        <f t="shared" si="130"/>
        <v>-1.4704297350146556E-3</v>
      </c>
      <c r="R632" s="21">
        <v>45818</v>
      </c>
      <c r="S632" s="1">
        <v>7.4</v>
      </c>
      <c r="T632" s="1">
        <v>6.9307999999999996</v>
      </c>
      <c r="U632" s="6">
        <f t="shared" si="135"/>
        <v>-4.0379945106266968E-3</v>
      </c>
      <c r="V632" s="21">
        <v>45818</v>
      </c>
      <c r="W632" s="1">
        <v>5.9</v>
      </c>
      <c r="X632" s="1">
        <v>5.54</v>
      </c>
      <c r="Y632" s="6">
        <f t="shared" si="137"/>
        <v>0</v>
      </c>
      <c r="Z632" s="21">
        <v>45818</v>
      </c>
      <c r="AA632" s="1">
        <v>1.99</v>
      </c>
      <c r="AB632" s="1">
        <v>1.99</v>
      </c>
      <c r="AC632" s="6">
        <f t="shared" si="131"/>
        <v>-5.0000000000000044E-3</v>
      </c>
      <c r="AD632" s="21">
        <v>45818</v>
      </c>
      <c r="AE632" s="1">
        <v>15.5</v>
      </c>
      <c r="AF632" s="1">
        <v>15.0707</v>
      </c>
      <c r="AG632" s="6">
        <f t="shared" si="132"/>
        <v>-1.2734931313912123E-2</v>
      </c>
      <c r="AH632" s="21">
        <v>45818</v>
      </c>
      <c r="AI632" s="1">
        <v>12.8</v>
      </c>
      <c r="AJ632" s="1">
        <v>12.3904</v>
      </c>
      <c r="AK632" s="6">
        <f t="shared" si="133"/>
        <v>0</v>
      </c>
      <c r="AL632" s="21">
        <v>45818</v>
      </c>
      <c r="AM632" s="1">
        <v>1.81</v>
      </c>
      <c r="AN632" s="1">
        <v>1.81</v>
      </c>
      <c r="AO632" s="6">
        <v>-1.0928961748633892E-2</v>
      </c>
      <c r="AP632" s="21" t="s">
        <v>635</v>
      </c>
      <c r="AQ632" s="1">
        <v>11359.69</v>
      </c>
      <c r="AR632" s="6">
        <v>-1.3950961535079687E-3</v>
      </c>
    </row>
    <row r="633" spans="2:44" x14ac:dyDescent="0.35">
      <c r="B633" s="21">
        <v>45819</v>
      </c>
      <c r="C633" s="1">
        <v>0.74</v>
      </c>
      <c r="D633" s="1">
        <v>0.74</v>
      </c>
      <c r="E633" s="6">
        <f t="shared" si="136"/>
        <v>0</v>
      </c>
      <c r="F633" s="21">
        <v>45819</v>
      </c>
      <c r="G633" s="1">
        <v>13.6</v>
      </c>
      <c r="H633" s="1">
        <v>12.6915</v>
      </c>
      <c r="I633" s="6">
        <f t="shared" si="134"/>
        <v>0</v>
      </c>
      <c r="J633" s="21">
        <v>45819</v>
      </c>
      <c r="K633" s="1">
        <v>53.6</v>
      </c>
      <c r="L633" s="1">
        <v>53.6</v>
      </c>
      <c r="M633" s="6">
        <f t="shared" si="129"/>
        <v>-7.0396443127083153E-3</v>
      </c>
      <c r="N633" s="21">
        <v>45819</v>
      </c>
      <c r="O633" s="1">
        <v>13.49</v>
      </c>
      <c r="P633" s="1">
        <v>12.8843</v>
      </c>
      <c r="Q633" s="6">
        <f t="shared" si="130"/>
        <v>-6.6305328327024293E-3</v>
      </c>
      <c r="R633" s="21">
        <v>45819</v>
      </c>
      <c r="S633" s="1">
        <v>7.4</v>
      </c>
      <c r="T633" s="1">
        <v>6.9307999999999996</v>
      </c>
      <c r="U633" s="6">
        <f t="shared" si="135"/>
        <v>0</v>
      </c>
      <c r="V633" s="21">
        <v>45819</v>
      </c>
      <c r="W633" s="1">
        <v>5.95</v>
      </c>
      <c r="X633" s="1">
        <v>5.5869999999999997</v>
      </c>
      <c r="Y633" s="6">
        <f t="shared" si="137"/>
        <v>8.4837545126352776E-3</v>
      </c>
      <c r="Z633" s="21">
        <v>45819</v>
      </c>
      <c r="AA633" s="1">
        <v>2.02</v>
      </c>
      <c r="AB633" s="1">
        <v>2.02</v>
      </c>
      <c r="AC633" s="6">
        <f t="shared" si="131"/>
        <v>1.5075376884422065E-2</v>
      </c>
      <c r="AD633" s="21">
        <v>45819</v>
      </c>
      <c r="AE633" s="1">
        <v>15.8</v>
      </c>
      <c r="AF633" s="1">
        <v>15.362299999999999</v>
      </c>
      <c r="AG633" s="6">
        <f t="shared" si="132"/>
        <v>1.9348802643539997E-2</v>
      </c>
      <c r="AH633" s="21">
        <v>45819</v>
      </c>
      <c r="AI633" s="1">
        <v>12.8</v>
      </c>
      <c r="AJ633" s="1">
        <v>12.3904</v>
      </c>
      <c r="AK633" s="6">
        <f t="shared" si="133"/>
        <v>0</v>
      </c>
      <c r="AL633" s="21">
        <v>45819</v>
      </c>
      <c r="AM633" s="1">
        <v>1.82</v>
      </c>
      <c r="AN633" s="1">
        <v>1.82</v>
      </c>
      <c r="AO633" s="6">
        <v>5.5248618784531356E-3</v>
      </c>
      <c r="AP633" s="21" t="s">
        <v>636</v>
      </c>
      <c r="AQ633" s="1">
        <v>11343.6</v>
      </c>
      <c r="AR633" s="6">
        <v>-1.4164118915217516E-3</v>
      </c>
    </row>
    <row r="634" spans="2:44" x14ac:dyDescent="0.35">
      <c r="B634" s="21">
        <v>45820</v>
      </c>
      <c r="C634" s="1">
        <v>0.77</v>
      </c>
      <c r="D634" s="1">
        <v>0.77</v>
      </c>
      <c r="E634" s="6">
        <f t="shared" si="136"/>
        <v>4.0540540540540571E-2</v>
      </c>
      <c r="F634" s="21">
        <v>45820</v>
      </c>
      <c r="G634" s="1">
        <v>13.57</v>
      </c>
      <c r="H634" s="1">
        <v>12.663500000000001</v>
      </c>
      <c r="I634" s="6">
        <f t="shared" si="134"/>
        <v>-2.2062010006695942E-3</v>
      </c>
      <c r="J634" s="21">
        <v>45820</v>
      </c>
      <c r="K634" s="1">
        <v>53</v>
      </c>
      <c r="L634" s="1">
        <v>53</v>
      </c>
      <c r="M634" s="6">
        <f t="shared" si="129"/>
        <v>-1.1194029850746245E-2</v>
      </c>
      <c r="N634" s="21">
        <v>45820</v>
      </c>
      <c r="O634" s="1">
        <v>13.44</v>
      </c>
      <c r="P634" s="1">
        <v>12.836499999999999</v>
      </c>
      <c r="Q634" s="6">
        <f t="shared" si="130"/>
        <v>-3.7099415567783955E-3</v>
      </c>
      <c r="R634" s="21">
        <v>45820</v>
      </c>
      <c r="S634" s="1">
        <v>7.39</v>
      </c>
      <c r="T634" s="1">
        <v>6.9215</v>
      </c>
      <c r="U634" s="6">
        <f t="shared" si="135"/>
        <v>-1.3418364402377758E-3</v>
      </c>
      <c r="V634" s="21">
        <v>45820</v>
      </c>
      <c r="W634" s="1">
        <v>5.9</v>
      </c>
      <c r="X634" s="1">
        <v>5.54</v>
      </c>
      <c r="Y634" s="6">
        <f t="shared" si="137"/>
        <v>-8.4123858958295994E-3</v>
      </c>
      <c r="Z634" s="21">
        <v>45820</v>
      </c>
      <c r="AA634" s="1">
        <v>2.02</v>
      </c>
      <c r="AB634" s="1">
        <v>2.02</v>
      </c>
      <c r="AC634" s="6">
        <f t="shared" si="131"/>
        <v>0</v>
      </c>
      <c r="AD634" s="21">
        <v>45820</v>
      </c>
      <c r="AE634" s="1">
        <v>15.69</v>
      </c>
      <c r="AF634" s="1">
        <v>15.2554</v>
      </c>
      <c r="AG634" s="6">
        <f t="shared" si="132"/>
        <v>-6.958593439784333E-3</v>
      </c>
      <c r="AH634" s="21">
        <v>45820</v>
      </c>
      <c r="AI634" s="1">
        <v>12.7</v>
      </c>
      <c r="AJ634" s="1">
        <v>12.2936</v>
      </c>
      <c r="AK634" s="6">
        <f t="shared" si="133"/>
        <v>-7.8125E-3</v>
      </c>
      <c r="AL634" s="21">
        <v>45820</v>
      </c>
      <c r="AM634" s="1">
        <v>1.82</v>
      </c>
      <c r="AN634" s="1">
        <v>1.82</v>
      </c>
      <c r="AO634" s="6">
        <v>0</v>
      </c>
      <c r="AP634" s="21" t="s">
        <v>637</v>
      </c>
      <c r="AQ634" s="1">
        <v>11323.18</v>
      </c>
      <c r="AR634" s="6">
        <v>-1.8001339962622209E-3</v>
      </c>
    </row>
    <row r="635" spans="2:44" x14ac:dyDescent="0.35">
      <c r="B635" s="21">
        <v>45821</v>
      </c>
      <c r="C635" s="1">
        <v>0.8</v>
      </c>
      <c r="D635" s="1">
        <v>0.8</v>
      </c>
      <c r="E635" s="6">
        <f t="shared" si="136"/>
        <v>3.8961038961039085E-2</v>
      </c>
      <c r="F635" s="21">
        <v>45821</v>
      </c>
      <c r="G635" s="1">
        <v>13.54</v>
      </c>
      <c r="H635" s="1">
        <v>12.6355</v>
      </c>
      <c r="I635" s="6">
        <f t="shared" si="134"/>
        <v>-2.2110790855609519E-3</v>
      </c>
      <c r="J635" s="21">
        <v>45821</v>
      </c>
      <c r="K635" s="1">
        <v>52</v>
      </c>
      <c r="L635" s="1">
        <v>52</v>
      </c>
      <c r="M635" s="6">
        <f t="shared" si="129"/>
        <v>-1.8867924528301883E-2</v>
      </c>
      <c r="N635" s="21">
        <v>45821</v>
      </c>
      <c r="O635" s="1">
        <v>13.2</v>
      </c>
      <c r="P635" s="1">
        <v>12.6073</v>
      </c>
      <c r="Q635" s="6">
        <f t="shared" si="130"/>
        <v>-1.7855334398005573E-2</v>
      </c>
      <c r="R635" s="21">
        <v>45821</v>
      </c>
      <c r="S635" s="1">
        <v>7.3</v>
      </c>
      <c r="T635" s="1">
        <v>6.8372000000000002</v>
      </c>
      <c r="U635" s="6">
        <f t="shared" si="135"/>
        <v>-1.2179440872643221E-2</v>
      </c>
      <c r="V635" s="21">
        <v>45821</v>
      </c>
      <c r="W635" s="1">
        <v>5.9</v>
      </c>
      <c r="X635" s="1">
        <v>5.54</v>
      </c>
      <c r="Y635" s="6">
        <f t="shared" si="137"/>
        <v>0</v>
      </c>
      <c r="Z635" s="21">
        <v>45821</v>
      </c>
      <c r="AA635" s="1">
        <v>2</v>
      </c>
      <c r="AB635" s="1">
        <v>2</v>
      </c>
      <c r="AC635" s="6">
        <f t="shared" si="131"/>
        <v>-9.9009900990099098E-3</v>
      </c>
      <c r="AD635" s="21">
        <v>45821</v>
      </c>
      <c r="AE635" s="1">
        <v>15.59</v>
      </c>
      <c r="AF635" s="1">
        <v>15.158200000000001</v>
      </c>
      <c r="AG635" s="6">
        <f t="shared" si="132"/>
        <v>-6.3715143490172821E-3</v>
      </c>
      <c r="AH635" s="21">
        <v>45821</v>
      </c>
      <c r="AI635" s="1">
        <v>12.6</v>
      </c>
      <c r="AJ635" s="1">
        <v>12.1968</v>
      </c>
      <c r="AK635" s="6">
        <f t="shared" si="133"/>
        <v>-7.8740157480314821E-3</v>
      </c>
      <c r="AL635" s="21">
        <v>45821</v>
      </c>
      <c r="AM635" s="1">
        <v>1.81</v>
      </c>
      <c r="AN635" s="1">
        <v>1.81</v>
      </c>
      <c r="AO635" s="6">
        <v>-5.494505494505475E-3</v>
      </c>
      <c r="AP635" s="21" t="s">
        <v>638</v>
      </c>
      <c r="AQ635" s="1">
        <v>11237.61</v>
      </c>
      <c r="AR635" s="6">
        <v>-7.5570643582456576E-3</v>
      </c>
    </row>
    <row r="636" spans="2:44" x14ac:dyDescent="0.35">
      <c r="B636" s="21">
        <v>45824</v>
      </c>
      <c r="C636" s="1">
        <v>0.8</v>
      </c>
      <c r="D636" s="1">
        <v>0.8</v>
      </c>
      <c r="E636" s="6">
        <f t="shared" si="136"/>
        <v>0</v>
      </c>
      <c r="F636" s="21">
        <v>45824</v>
      </c>
      <c r="G636" s="1">
        <v>13.54</v>
      </c>
      <c r="H636" s="1">
        <v>12.6355</v>
      </c>
      <c r="I636" s="6">
        <f t="shared" si="134"/>
        <v>0</v>
      </c>
      <c r="J636" s="21">
        <v>45824</v>
      </c>
      <c r="K636" s="1">
        <v>50.2</v>
      </c>
      <c r="L636" s="1">
        <v>50.2</v>
      </c>
      <c r="M636" s="6">
        <f t="shared" si="129"/>
        <v>-3.4615384615384603E-2</v>
      </c>
      <c r="N636" s="21">
        <v>45824</v>
      </c>
      <c r="O636" s="1">
        <v>12.7</v>
      </c>
      <c r="P636" s="1">
        <v>12.129799999999999</v>
      </c>
      <c r="Q636" s="6">
        <f t="shared" si="130"/>
        <v>-3.7874882012802202E-2</v>
      </c>
      <c r="R636" s="21">
        <v>45824</v>
      </c>
      <c r="S636" s="1">
        <v>7.27</v>
      </c>
      <c r="T636" s="1">
        <v>6.8090999999999999</v>
      </c>
      <c r="U636" s="6">
        <f t="shared" si="135"/>
        <v>-4.109869537237465E-3</v>
      </c>
      <c r="V636" s="21">
        <v>45824</v>
      </c>
      <c r="W636" s="1">
        <v>5.95</v>
      </c>
      <c r="X636" s="1">
        <v>5.5869999999999997</v>
      </c>
      <c r="Y636" s="6">
        <f t="shared" si="137"/>
        <v>8.4837545126352776E-3</v>
      </c>
      <c r="Z636" s="21">
        <v>45824</v>
      </c>
      <c r="AA636" s="1">
        <v>1.98</v>
      </c>
      <c r="AB636" s="1">
        <v>1.98</v>
      </c>
      <c r="AC636" s="6">
        <f t="shared" si="131"/>
        <v>-1.0000000000000009E-2</v>
      </c>
      <c r="AD636" s="21">
        <v>45824</v>
      </c>
      <c r="AE636" s="1">
        <v>15.5</v>
      </c>
      <c r="AF636" s="1">
        <v>15.0707</v>
      </c>
      <c r="AG636" s="6">
        <f t="shared" si="132"/>
        <v>-5.7724531936509393E-3</v>
      </c>
      <c r="AH636" s="21">
        <v>45824</v>
      </c>
      <c r="AI636" s="1">
        <v>12.5</v>
      </c>
      <c r="AJ636" s="1">
        <v>12.1</v>
      </c>
      <c r="AK636" s="6">
        <f t="shared" si="133"/>
        <v>-7.9365079365079083E-3</v>
      </c>
      <c r="AL636" s="21">
        <v>45824</v>
      </c>
      <c r="AM636" s="1">
        <v>1.73</v>
      </c>
      <c r="AN636" s="1">
        <v>1.73</v>
      </c>
      <c r="AO636" s="6">
        <v>-4.4198895027624308E-2</v>
      </c>
      <c r="AP636" s="21" t="s">
        <v>639</v>
      </c>
      <c r="AQ636" s="1">
        <v>11126.24</v>
      </c>
      <c r="AR636" s="6">
        <v>-9.9104702868315631E-3</v>
      </c>
    </row>
    <row r="637" spans="2:44" x14ac:dyDescent="0.35">
      <c r="B637" s="21">
        <v>45825</v>
      </c>
      <c r="C637" s="1">
        <v>0.78</v>
      </c>
      <c r="D637" s="1">
        <v>0.78</v>
      </c>
      <c r="E637" s="6">
        <f t="shared" si="136"/>
        <v>-2.5000000000000022E-2</v>
      </c>
      <c r="F637" s="21">
        <v>45825</v>
      </c>
      <c r="G637" s="1">
        <v>13.48</v>
      </c>
      <c r="H637" s="1">
        <v>12.579499999999999</v>
      </c>
      <c r="I637" s="6">
        <f t="shared" si="134"/>
        <v>-4.4319575798347222E-3</v>
      </c>
      <c r="J637" s="21">
        <v>45825</v>
      </c>
      <c r="K637" s="1">
        <v>49.9</v>
      </c>
      <c r="L637" s="1">
        <v>49.9</v>
      </c>
      <c r="M637" s="6">
        <f t="shared" si="129"/>
        <v>-5.9760956175299862E-3</v>
      </c>
      <c r="N637" s="21">
        <v>45825</v>
      </c>
      <c r="O637" s="1">
        <v>12.99</v>
      </c>
      <c r="P637" s="1">
        <v>12.406700000000001</v>
      </c>
      <c r="Q637" s="6">
        <f t="shared" si="130"/>
        <v>2.282807630793604E-2</v>
      </c>
      <c r="R637" s="21">
        <v>45825</v>
      </c>
      <c r="S637" s="1">
        <v>7.25</v>
      </c>
      <c r="T637" s="1">
        <v>6.7904</v>
      </c>
      <c r="U637" s="6">
        <f t="shared" si="135"/>
        <v>-2.7463247712620209E-3</v>
      </c>
      <c r="V637" s="21">
        <v>45825</v>
      </c>
      <c r="W637" s="1">
        <v>6</v>
      </c>
      <c r="X637" s="1">
        <v>5.6340000000000003</v>
      </c>
      <c r="Y637" s="6">
        <f t="shared" si="137"/>
        <v>8.4123858958298214E-3</v>
      </c>
      <c r="Z637" s="21">
        <v>45825</v>
      </c>
      <c r="AA637" s="1">
        <v>1.97</v>
      </c>
      <c r="AB637" s="1">
        <v>1.97</v>
      </c>
      <c r="AC637" s="6">
        <f t="shared" si="131"/>
        <v>-5.050505050505083E-3</v>
      </c>
      <c r="AD637" s="21">
        <v>45825</v>
      </c>
      <c r="AE637" s="1">
        <v>15.25</v>
      </c>
      <c r="AF637" s="1">
        <v>14.8276</v>
      </c>
      <c r="AG637" s="6">
        <f t="shared" si="132"/>
        <v>-1.6130637594803154E-2</v>
      </c>
      <c r="AH637" s="21">
        <v>45825</v>
      </c>
      <c r="AI637" s="1">
        <v>12.5</v>
      </c>
      <c r="AJ637" s="1">
        <v>12.1</v>
      </c>
      <c r="AK637" s="6">
        <f t="shared" si="133"/>
        <v>0</v>
      </c>
      <c r="AL637" s="21">
        <v>45825</v>
      </c>
      <c r="AM637" s="1">
        <v>1.8</v>
      </c>
      <c r="AN637" s="1">
        <v>1.8</v>
      </c>
      <c r="AO637" s="6">
        <v>4.0462427745664886E-2</v>
      </c>
      <c r="AP637" s="21" t="s">
        <v>640</v>
      </c>
      <c r="AQ637" s="1">
        <v>11127.99</v>
      </c>
      <c r="AR637" s="6">
        <v>1.572858396008403E-4</v>
      </c>
    </row>
    <row r="638" spans="2:44" x14ac:dyDescent="0.35">
      <c r="B638" s="21">
        <v>45826</v>
      </c>
      <c r="C638" s="1">
        <v>0.75</v>
      </c>
      <c r="D638" s="1">
        <v>0.75</v>
      </c>
      <c r="E638" s="6">
        <f t="shared" si="136"/>
        <v>-3.8461538461538547E-2</v>
      </c>
      <c r="F638" s="21">
        <v>45826</v>
      </c>
      <c r="G638" s="1">
        <v>13.45</v>
      </c>
      <c r="H638" s="1">
        <v>12.551500000000001</v>
      </c>
      <c r="I638" s="6">
        <f t="shared" si="134"/>
        <v>-2.2258436344845256E-3</v>
      </c>
      <c r="J638" s="21">
        <v>45826</v>
      </c>
      <c r="K638" s="1">
        <v>49.9</v>
      </c>
      <c r="L638" s="1">
        <v>49.9</v>
      </c>
      <c r="M638" s="6">
        <f t="shared" si="129"/>
        <v>0</v>
      </c>
      <c r="N638" s="21">
        <v>45826</v>
      </c>
      <c r="O638" s="1">
        <v>12.7</v>
      </c>
      <c r="P638" s="1">
        <v>12.129799999999999</v>
      </c>
      <c r="Q638" s="6">
        <f t="shared" si="130"/>
        <v>-2.2318585925346857E-2</v>
      </c>
      <c r="R638" s="21">
        <v>45826</v>
      </c>
      <c r="S638" s="1">
        <v>7.48</v>
      </c>
      <c r="T638" s="1">
        <v>7.0057999999999998</v>
      </c>
      <c r="U638" s="6">
        <f t="shared" si="135"/>
        <v>3.1721253534401583E-2</v>
      </c>
      <c r="V638" s="21">
        <v>45826</v>
      </c>
      <c r="W638" s="1">
        <v>5.95</v>
      </c>
      <c r="X638" s="1">
        <v>5.5869999999999997</v>
      </c>
      <c r="Y638" s="6">
        <f t="shared" si="137"/>
        <v>-8.342208022719344E-3</v>
      </c>
      <c r="Z638" s="21">
        <v>45826</v>
      </c>
      <c r="AA638" s="1">
        <v>1.97</v>
      </c>
      <c r="AB638" s="1">
        <v>1.97</v>
      </c>
      <c r="AC638" s="6">
        <f t="shared" si="131"/>
        <v>0</v>
      </c>
      <c r="AD638" s="21">
        <v>45826</v>
      </c>
      <c r="AE638" s="1">
        <v>15.45</v>
      </c>
      <c r="AF638" s="1">
        <v>15.022</v>
      </c>
      <c r="AG638" s="6">
        <f t="shared" si="132"/>
        <v>1.3110685478432194E-2</v>
      </c>
      <c r="AH638" s="21">
        <v>45826</v>
      </c>
      <c r="AI638" s="1">
        <v>12.48</v>
      </c>
      <c r="AJ638" s="1">
        <v>12.0806</v>
      </c>
      <c r="AK638" s="6">
        <f t="shared" si="133"/>
        <v>-1.6033057851239096E-3</v>
      </c>
      <c r="AL638" s="21">
        <v>45826</v>
      </c>
      <c r="AM638" s="1">
        <v>1.79</v>
      </c>
      <c r="AN638" s="1">
        <v>1.79</v>
      </c>
      <c r="AO638" s="6">
        <v>-5.5555555555555358E-3</v>
      </c>
      <c r="AP638" s="21" t="s">
        <v>641</v>
      </c>
      <c r="AQ638" s="1">
        <v>11127.75</v>
      </c>
      <c r="AR638" s="6">
        <v>-2.1567237209918488E-5</v>
      </c>
    </row>
    <row r="639" spans="2:44" x14ac:dyDescent="0.35">
      <c r="B639" s="21">
        <v>45827</v>
      </c>
      <c r="C639" s="1">
        <v>0.73</v>
      </c>
      <c r="D639" s="1">
        <v>0.73</v>
      </c>
      <c r="E639" s="6">
        <f t="shared" si="136"/>
        <v>-2.6666666666666727E-2</v>
      </c>
      <c r="F639" s="21">
        <v>45827</v>
      </c>
      <c r="G639" s="1">
        <v>12.19</v>
      </c>
      <c r="H639" s="1">
        <v>12.19</v>
      </c>
      <c r="I639" s="6">
        <f t="shared" si="134"/>
        <v>-2.8801338485440087E-2</v>
      </c>
      <c r="J639" s="21">
        <v>45827</v>
      </c>
      <c r="K639" s="1">
        <v>51</v>
      </c>
      <c r="L639" s="1">
        <v>51</v>
      </c>
      <c r="M639" s="6">
        <f t="shared" si="129"/>
        <v>2.2044088176352838E-2</v>
      </c>
      <c r="N639" s="21">
        <v>45827</v>
      </c>
      <c r="O639" s="1">
        <v>12.7</v>
      </c>
      <c r="P639" s="1">
        <v>12.129799999999999</v>
      </c>
      <c r="Q639" s="6">
        <f t="shared" si="130"/>
        <v>0</v>
      </c>
      <c r="R639" s="21">
        <v>45827</v>
      </c>
      <c r="S639" s="1">
        <v>7.6</v>
      </c>
      <c r="T639" s="1">
        <v>7.1181999999999999</v>
      </c>
      <c r="U639" s="6">
        <f t="shared" si="135"/>
        <v>1.6043849381940589E-2</v>
      </c>
      <c r="V639" s="21">
        <v>45827</v>
      </c>
      <c r="W639" s="1">
        <v>5.88</v>
      </c>
      <c r="X639" s="1">
        <v>5.5209999999999999</v>
      </c>
      <c r="Y639" s="6">
        <f t="shared" si="137"/>
        <v>-1.1813137640952154E-2</v>
      </c>
      <c r="Z639" s="21">
        <v>45827</v>
      </c>
      <c r="AA639" s="1">
        <v>1.97</v>
      </c>
      <c r="AB639" s="1">
        <v>1.97</v>
      </c>
      <c r="AC639" s="6">
        <f t="shared" si="131"/>
        <v>0</v>
      </c>
      <c r="AD639" s="21">
        <v>45827</v>
      </c>
      <c r="AE639" s="1">
        <v>15.45</v>
      </c>
      <c r="AF639" s="1">
        <v>15.022</v>
      </c>
      <c r="AG639" s="6">
        <f t="shared" si="132"/>
        <v>0</v>
      </c>
      <c r="AH639" s="21">
        <v>45827</v>
      </c>
      <c r="AI639" s="1">
        <v>12.52</v>
      </c>
      <c r="AJ639" s="1">
        <v>12.119400000000001</v>
      </c>
      <c r="AK639" s="6">
        <f t="shared" si="133"/>
        <v>3.2117610052480039E-3</v>
      </c>
      <c r="AL639" s="21">
        <v>45827</v>
      </c>
      <c r="AM639" s="1">
        <v>1.79</v>
      </c>
      <c r="AN639" s="1">
        <v>1.79</v>
      </c>
      <c r="AO639" s="6">
        <v>0</v>
      </c>
      <c r="AP639" s="21" t="s">
        <v>642</v>
      </c>
      <c r="AQ639" s="1">
        <v>11191.12</v>
      </c>
      <c r="AR639" s="6">
        <v>5.6947720788120826E-3</v>
      </c>
    </row>
    <row r="640" spans="2:44" x14ac:dyDescent="0.35">
      <c r="B640" s="21">
        <v>45828</v>
      </c>
      <c r="C640" s="1">
        <v>0.74</v>
      </c>
      <c r="D640" s="1">
        <v>0.74</v>
      </c>
      <c r="E640" s="6">
        <f t="shared" si="136"/>
        <v>1.3698630136986356E-2</v>
      </c>
      <c r="F640" s="21">
        <v>45828</v>
      </c>
      <c r="G640" s="1">
        <v>12.5</v>
      </c>
      <c r="H640" s="1">
        <v>12.5</v>
      </c>
      <c r="I640" s="6">
        <f t="shared" si="134"/>
        <v>2.5430680885972112E-2</v>
      </c>
      <c r="J640" s="21">
        <v>45828</v>
      </c>
      <c r="K640" s="1">
        <v>51.4</v>
      </c>
      <c r="L640" s="1">
        <v>51.4</v>
      </c>
      <c r="M640" s="6">
        <f t="shared" si="129"/>
        <v>7.8431372549019329E-3</v>
      </c>
      <c r="N640" s="21">
        <v>45828</v>
      </c>
      <c r="O640" s="1">
        <v>12.75</v>
      </c>
      <c r="P640" s="1">
        <v>12.1775</v>
      </c>
      <c r="Q640" s="6">
        <f t="shared" si="130"/>
        <v>3.932463849362744E-3</v>
      </c>
      <c r="R640" s="21">
        <v>45828</v>
      </c>
      <c r="S640" s="1">
        <v>7.6</v>
      </c>
      <c r="T640" s="1">
        <v>7.1181999999999999</v>
      </c>
      <c r="U640" s="6">
        <f t="shared" si="135"/>
        <v>0</v>
      </c>
      <c r="V640" s="21">
        <v>45828</v>
      </c>
      <c r="W640" s="1">
        <v>5.88</v>
      </c>
      <c r="X640" s="1">
        <v>5.5209999999999999</v>
      </c>
      <c r="Y640" s="6">
        <f t="shared" si="137"/>
        <v>0</v>
      </c>
      <c r="Z640" s="21">
        <v>45828</v>
      </c>
      <c r="AA640" s="1">
        <v>1.97</v>
      </c>
      <c r="AB640" s="1">
        <v>1.97</v>
      </c>
      <c r="AC640" s="6">
        <f t="shared" si="131"/>
        <v>0</v>
      </c>
      <c r="AD640" s="21">
        <v>45828</v>
      </c>
      <c r="AE640" s="1">
        <v>15.45</v>
      </c>
      <c r="AF640" s="1">
        <v>15.022</v>
      </c>
      <c r="AG640" s="6">
        <f t="shared" si="132"/>
        <v>0</v>
      </c>
      <c r="AH640" s="21">
        <v>45828</v>
      </c>
      <c r="AI640" s="1">
        <v>12.84</v>
      </c>
      <c r="AJ640" s="1">
        <v>12.4291</v>
      </c>
      <c r="AK640" s="6">
        <f t="shared" si="133"/>
        <v>2.5554070333514867E-2</v>
      </c>
      <c r="AL640" s="21">
        <v>45828</v>
      </c>
      <c r="AM640" s="1">
        <v>1.79</v>
      </c>
      <c r="AN640" s="1">
        <v>1.79</v>
      </c>
      <c r="AO640" s="6">
        <v>0</v>
      </c>
      <c r="AP640" s="21" t="s">
        <v>643</v>
      </c>
      <c r="AQ640" s="1">
        <v>11297.63</v>
      </c>
      <c r="AR640" s="6">
        <v>9.5173673412489723E-3</v>
      </c>
    </row>
    <row r="641" spans="2:44" x14ac:dyDescent="0.35">
      <c r="B641" s="21">
        <v>45831</v>
      </c>
      <c r="C641" s="1">
        <v>0.72</v>
      </c>
      <c r="D641" s="1">
        <v>0.72</v>
      </c>
      <c r="E641" s="6">
        <f t="shared" si="136"/>
        <v>-2.7027027027027084E-2</v>
      </c>
      <c r="F641" s="21">
        <v>45831</v>
      </c>
      <c r="G641" s="1">
        <v>12.5</v>
      </c>
      <c r="H641" s="1">
        <v>12.5</v>
      </c>
      <c r="I641" s="6">
        <f t="shared" si="134"/>
        <v>0</v>
      </c>
      <c r="J641" s="21">
        <v>45831</v>
      </c>
      <c r="K641" s="1">
        <v>52.9</v>
      </c>
      <c r="L641" s="1">
        <v>52.9</v>
      </c>
      <c r="M641" s="6">
        <f t="shared" si="129"/>
        <v>2.9182879377431803E-2</v>
      </c>
      <c r="N641" s="21">
        <v>45831</v>
      </c>
      <c r="O641" s="1">
        <v>12.75</v>
      </c>
      <c r="P641" s="1">
        <v>12.1775</v>
      </c>
      <c r="Q641" s="6">
        <f t="shared" si="130"/>
        <v>0</v>
      </c>
      <c r="R641" s="21">
        <v>45831</v>
      </c>
      <c r="S641" s="1">
        <v>8</v>
      </c>
      <c r="T641" s="1">
        <v>7.4927999999999999</v>
      </c>
      <c r="U641" s="6">
        <f t="shared" si="135"/>
        <v>5.2625663791407984E-2</v>
      </c>
      <c r="V641" s="21">
        <v>45831</v>
      </c>
      <c r="W641" s="1">
        <v>5.87</v>
      </c>
      <c r="X641" s="1">
        <v>5.5119999999999996</v>
      </c>
      <c r="Y641" s="6">
        <f t="shared" si="137"/>
        <v>-1.6301394674878011E-3</v>
      </c>
      <c r="Z641" s="21">
        <v>45831</v>
      </c>
      <c r="AA641" s="1">
        <v>1.97</v>
      </c>
      <c r="AB641" s="1">
        <v>1.97</v>
      </c>
      <c r="AC641" s="6">
        <f t="shared" si="131"/>
        <v>0</v>
      </c>
      <c r="AD641" s="21">
        <v>45831</v>
      </c>
      <c r="AE641" s="1">
        <v>15.44</v>
      </c>
      <c r="AF641" s="1">
        <v>15.0123</v>
      </c>
      <c r="AG641" s="6">
        <f t="shared" si="132"/>
        <v>-6.45719611236939E-4</v>
      </c>
      <c r="AH641" s="21">
        <v>45831</v>
      </c>
      <c r="AI641" s="1">
        <v>12.59</v>
      </c>
      <c r="AJ641" s="1">
        <v>12.59</v>
      </c>
      <c r="AK641" s="6">
        <f t="shared" si="133"/>
        <v>1.2945426458874643E-2</v>
      </c>
      <c r="AL641" s="21">
        <v>45831</v>
      </c>
      <c r="AM641" s="1">
        <v>1.79</v>
      </c>
      <c r="AN641" s="1">
        <v>1.79</v>
      </c>
      <c r="AO641" s="6">
        <v>0</v>
      </c>
      <c r="AP641" s="21" t="s">
        <v>644</v>
      </c>
      <c r="AQ641" s="1">
        <v>11321.59</v>
      </c>
      <c r="AR641" s="6">
        <v>2.1207987870022205E-3</v>
      </c>
    </row>
    <row r="642" spans="2:44" x14ac:dyDescent="0.35">
      <c r="B642" s="21">
        <v>45832</v>
      </c>
      <c r="C642" s="1">
        <v>0.75</v>
      </c>
      <c r="D642" s="1">
        <v>0.75</v>
      </c>
      <c r="E642" s="6">
        <f t="shared" si="136"/>
        <v>4.1666666666666741E-2</v>
      </c>
      <c r="F642" s="21">
        <v>45832</v>
      </c>
      <c r="G642" s="1">
        <v>12.5</v>
      </c>
      <c r="H642" s="1">
        <v>12.5</v>
      </c>
      <c r="I642" s="6">
        <f t="shared" si="134"/>
        <v>0</v>
      </c>
      <c r="J642" s="21">
        <v>45832</v>
      </c>
      <c r="K642" s="1">
        <v>53.5</v>
      </c>
      <c r="L642" s="1">
        <v>53.5</v>
      </c>
      <c r="M642" s="6">
        <f t="shared" si="129"/>
        <v>1.1342155009451904E-2</v>
      </c>
      <c r="N642" s="21">
        <v>45832</v>
      </c>
      <c r="O642" s="1">
        <v>12.64</v>
      </c>
      <c r="P642" s="1">
        <v>12.0725</v>
      </c>
      <c r="Q642" s="6">
        <f t="shared" si="130"/>
        <v>-8.6224594539109356E-3</v>
      </c>
      <c r="R642" s="21">
        <v>45832</v>
      </c>
      <c r="S642" s="1">
        <v>8.08</v>
      </c>
      <c r="T642" s="1">
        <v>7.5677000000000003</v>
      </c>
      <c r="U642" s="6">
        <f t="shared" si="135"/>
        <v>9.9962630792227447E-3</v>
      </c>
      <c r="V642" s="21">
        <v>45832</v>
      </c>
      <c r="W642" s="1">
        <v>5.87</v>
      </c>
      <c r="X642" s="1">
        <v>5.5119999999999996</v>
      </c>
      <c r="Y642" s="6">
        <f t="shared" si="137"/>
        <v>0</v>
      </c>
      <c r="Z642" s="21">
        <v>45832</v>
      </c>
      <c r="AA642" s="1">
        <v>2</v>
      </c>
      <c r="AB642" s="1">
        <v>2</v>
      </c>
      <c r="AC642" s="6">
        <f t="shared" si="131"/>
        <v>1.5228426395939021E-2</v>
      </c>
      <c r="AD642" s="21">
        <v>45832</v>
      </c>
      <c r="AE642" s="1">
        <v>15.2</v>
      </c>
      <c r="AF642" s="1">
        <v>14.779</v>
      </c>
      <c r="AG642" s="6">
        <f t="shared" si="132"/>
        <v>-1.5540590049492709E-2</v>
      </c>
      <c r="AH642" s="21">
        <v>45832</v>
      </c>
      <c r="AI642" s="1">
        <v>12.35</v>
      </c>
      <c r="AJ642" s="1">
        <v>12.35</v>
      </c>
      <c r="AK642" s="6">
        <f t="shared" si="133"/>
        <v>-1.9062748212867353E-2</v>
      </c>
      <c r="AL642" s="21">
        <v>45832</v>
      </c>
      <c r="AM642" s="1">
        <v>1.79</v>
      </c>
      <c r="AN642" s="1">
        <v>1.79</v>
      </c>
      <c r="AO642" s="6">
        <v>0</v>
      </c>
      <c r="AP642" s="21" t="s">
        <v>645</v>
      </c>
      <c r="AQ642" s="1">
        <v>11386.45</v>
      </c>
      <c r="AR642" s="6">
        <v>5.728877304336244E-3</v>
      </c>
    </row>
    <row r="643" spans="2:44" x14ac:dyDescent="0.35">
      <c r="B643" s="21">
        <v>45833</v>
      </c>
      <c r="C643" s="1">
        <v>0.73</v>
      </c>
      <c r="D643" s="1">
        <v>0.73</v>
      </c>
      <c r="E643" s="6">
        <f t="shared" si="136"/>
        <v>-2.6666666666666727E-2</v>
      </c>
      <c r="F643" s="21">
        <v>45833</v>
      </c>
      <c r="G643" s="1">
        <v>12.5</v>
      </c>
      <c r="H643" s="1">
        <v>12.5</v>
      </c>
      <c r="I643" s="6">
        <f t="shared" si="134"/>
        <v>0</v>
      </c>
      <c r="J643" s="21">
        <v>45833</v>
      </c>
      <c r="K643" s="1">
        <v>56.4</v>
      </c>
      <c r="L643" s="1">
        <v>56.4</v>
      </c>
      <c r="M643" s="6">
        <f t="shared" ref="M643:M706" si="138">(L643/L642)-1</f>
        <v>5.4205607476635498E-2</v>
      </c>
      <c r="N643" s="21">
        <v>45833</v>
      </c>
      <c r="O643" s="1">
        <v>12.41</v>
      </c>
      <c r="P643" s="1">
        <v>11.8528</v>
      </c>
      <c r="Q643" s="6">
        <f t="shared" ref="Q643:Q706" si="139">(P643/P642)-1</f>
        <v>-1.8198384758749242E-2</v>
      </c>
      <c r="R643" s="21">
        <v>45833</v>
      </c>
      <c r="S643" s="1">
        <v>8.09</v>
      </c>
      <c r="T643" s="1">
        <v>7.5770999999999997</v>
      </c>
      <c r="U643" s="6">
        <f t="shared" si="135"/>
        <v>1.2421211200230875E-3</v>
      </c>
      <c r="V643" s="21">
        <v>45833</v>
      </c>
      <c r="W643" s="1">
        <v>5.95</v>
      </c>
      <c r="X643" s="1">
        <v>5.5869999999999997</v>
      </c>
      <c r="Y643" s="6">
        <f t="shared" si="137"/>
        <v>1.3606676342525326E-2</v>
      </c>
      <c r="Z643" s="21">
        <v>45833</v>
      </c>
      <c r="AA643" s="1">
        <v>2.0299999999999998</v>
      </c>
      <c r="AB643" s="1">
        <v>2.0299999999999998</v>
      </c>
      <c r="AC643" s="6">
        <f t="shared" ref="AC643:AC706" si="140">(AB643/AB642)-1</f>
        <v>1.4999999999999902E-2</v>
      </c>
      <c r="AD643" s="21">
        <v>45833</v>
      </c>
      <c r="AE643" s="1">
        <v>15.28</v>
      </c>
      <c r="AF643" s="1">
        <v>14.8567</v>
      </c>
      <c r="AG643" s="6">
        <f t="shared" ref="AG643:AG706" si="141">(AF643/AF642)-1</f>
        <v>5.2574599093309082E-3</v>
      </c>
      <c r="AH643" s="21">
        <v>45833</v>
      </c>
      <c r="AI643" s="1">
        <v>12.6</v>
      </c>
      <c r="AJ643" s="1">
        <v>12.6</v>
      </c>
      <c r="AK643" s="6">
        <f t="shared" ref="AK643:AK706" si="142">(AJ643/AJ642)-1</f>
        <v>2.0242914979757165E-2</v>
      </c>
      <c r="AL643" s="21">
        <v>45833</v>
      </c>
      <c r="AM643" s="1">
        <v>1.79</v>
      </c>
      <c r="AN643" s="1">
        <v>1.79</v>
      </c>
      <c r="AO643" s="6">
        <v>0</v>
      </c>
      <c r="AP643" s="21" t="s">
        <v>646</v>
      </c>
      <c r="AQ643" s="1">
        <v>11521.93</v>
      </c>
      <c r="AR643" s="6">
        <v>1.1898352866784645E-2</v>
      </c>
    </row>
    <row r="644" spans="2:44" x14ac:dyDescent="0.35">
      <c r="B644" s="21">
        <v>45835</v>
      </c>
      <c r="C644" s="1">
        <v>0.73</v>
      </c>
      <c r="D644" s="1">
        <v>0.73</v>
      </c>
      <c r="E644" s="6">
        <f t="shared" si="136"/>
        <v>0</v>
      </c>
      <c r="F644" s="21">
        <v>45835</v>
      </c>
      <c r="G644" s="1">
        <v>12.5</v>
      </c>
      <c r="H644" s="1">
        <v>12.5</v>
      </c>
      <c r="I644" s="6">
        <f t="shared" si="134"/>
        <v>0</v>
      </c>
      <c r="J644" s="21">
        <v>45835</v>
      </c>
      <c r="K644" s="1">
        <v>57</v>
      </c>
      <c r="L644" s="1">
        <v>57</v>
      </c>
      <c r="M644" s="6">
        <f t="shared" si="138"/>
        <v>1.0638297872340496E-2</v>
      </c>
      <c r="N644" s="21">
        <v>45835</v>
      </c>
      <c r="O644" s="1">
        <v>12.5</v>
      </c>
      <c r="P644" s="1">
        <v>11.938700000000001</v>
      </c>
      <c r="Q644" s="6">
        <f t="shared" si="139"/>
        <v>7.2472327213823906E-3</v>
      </c>
      <c r="R644" s="21">
        <v>45835</v>
      </c>
      <c r="S644" s="1">
        <v>8.1</v>
      </c>
      <c r="T644" s="1">
        <v>7.5865</v>
      </c>
      <c r="U644" s="6">
        <f t="shared" si="135"/>
        <v>1.2405801691941498E-3</v>
      </c>
      <c r="V644" s="21">
        <v>45835</v>
      </c>
      <c r="W644" s="1">
        <v>5.72</v>
      </c>
      <c r="X644" s="1">
        <v>5.72</v>
      </c>
      <c r="Y644" s="6">
        <f t="shared" si="137"/>
        <v>2.3805262215858214E-2</v>
      </c>
      <c r="Z644" s="21">
        <v>45835</v>
      </c>
      <c r="AA644" s="1">
        <v>2</v>
      </c>
      <c r="AB644" s="1">
        <v>2</v>
      </c>
      <c r="AC644" s="6">
        <f t="shared" si="140"/>
        <v>-1.477832512315258E-2</v>
      </c>
      <c r="AD644" s="21">
        <v>45835</v>
      </c>
      <c r="AE644" s="1">
        <v>15.25</v>
      </c>
      <c r="AF644" s="1">
        <v>14.8276</v>
      </c>
      <c r="AG644" s="6">
        <f t="shared" si="141"/>
        <v>-1.9587122308453164E-3</v>
      </c>
      <c r="AH644" s="21">
        <v>45835</v>
      </c>
      <c r="AI644" s="1">
        <v>12.67</v>
      </c>
      <c r="AJ644" s="1">
        <v>12.67</v>
      </c>
      <c r="AK644" s="6">
        <f t="shared" si="142"/>
        <v>5.5555555555555358E-3</v>
      </c>
      <c r="AL644" s="21">
        <v>45835</v>
      </c>
      <c r="AM644" s="1">
        <v>1.75</v>
      </c>
      <c r="AN644" s="1">
        <v>1.75</v>
      </c>
      <c r="AO644" s="6">
        <v>-2.2346368715083775E-2</v>
      </c>
      <c r="AP644" s="21" t="s">
        <v>647</v>
      </c>
      <c r="AQ644" s="1">
        <v>11575.02</v>
      </c>
      <c r="AR644" s="6">
        <v>4.6077349888429264E-3</v>
      </c>
    </row>
    <row r="645" spans="2:44" x14ac:dyDescent="0.35">
      <c r="B645" s="21">
        <v>45838</v>
      </c>
      <c r="C645" s="1">
        <v>0.71</v>
      </c>
      <c r="D645" s="1">
        <v>0.71</v>
      </c>
      <c r="E645" s="6">
        <f t="shared" si="136"/>
        <v>-2.7397260273972601E-2</v>
      </c>
      <c r="F645" s="21">
        <v>45838</v>
      </c>
      <c r="G645" s="1">
        <v>12.36</v>
      </c>
      <c r="H645" s="1">
        <v>12.36</v>
      </c>
      <c r="I645" s="6">
        <f t="shared" si="134"/>
        <v>-1.1200000000000099E-2</v>
      </c>
      <c r="J645" s="21">
        <v>45838</v>
      </c>
      <c r="K645" s="1">
        <v>57</v>
      </c>
      <c r="L645" s="1">
        <v>57</v>
      </c>
      <c r="M645" s="6">
        <f t="shared" si="138"/>
        <v>0</v>
      </c>
      <c r="N645" s="21">
        <v>45838</v>
      </c>
      <c r="O645" s="1">
        <v>12.59</v>
      </c>
      <c r="P645" s="1">
        <v>12.024699999999999</v>
      </c>
      <c r="Q645" s="6">
        <f t="shared" si="139"/>
        <v>7.2034643637914897E-3</v>
      </c>
      <c r="R645" s="21">
        <v>45838</v>
      </c>
      <c r="S645" s="1">
        <v>8.1</v>
      </c>
      <c r="T645" s="1">
        <v>7.5865</v>
      </c>
      <c r="U645" s="6">
        <f t="shared" si="135"/>
        <v>0</v>
      </c>
      <c r="V645" s="21">
        <v>45838</v>
      </c>
      <c r="W645" s="1">
        <v>5.72</v>
      </c>
      <c r="X645" s="1">
        <v>5.72</v>
      </c>
      <c r="Y645" s="6">
        <f t="shared" si="137"/>
        <v>0</v>
      </c>
      <c r="Z645" s="21">
        <v>45838</v>
      </c>
      <c r="AA645" s="1">
        <v>1.98</v>
      </c>
      <c r="AB645" s="1">
        <v>1.98</v>
      </c>
      <c r="AC645" s="6">
        <f t="shared" si="140"/>
        <v>-1.0000000000000009E-2</v>
      </c>
      <c r="AD645" s="21">
        <v>45838</v>
      </c>
      <c r="AE645" s="1">
        <v>15.48</v>
      </c>
      <c r="AF645" s="1">
        <v>15.0512</v>
      </c>
      <c r="AG645" s="6">
        <f t="shared" si="141"/>
        <v>1.5079985972106025E-2</v>
      </c>
      <c r="AH645" s="21">
        <v>45838</v>
      </c>
      <c r="AI645" s="1">
        <v>12.65</v>
      </c>
      <c r="AJ645" s="1">
        <v>12.65</v>
      </c>
      <c r="AK645" s="6">
        <f t="shared" si="142"/>
        <v>-1.5785319652722452E-3</v>
      </c>
      <c r="AL645" s="21">
        <v>45838</v>
      </c>
      <c r="AM645" s="1">
        <v>1.73</v>
      </c>
      <c r="AN645" s="1">
        <v>1.73</v>
      </c>
      <c r="AO645" s="6">
        <v>-1.1428571428571455E-2</v>
      </c>
      <c r="AP645" s="21" t="s">
        <v>648</v>
      </c>
      <c r="AQ645" s="1">
        <v>11577.09</v>
      </c>
      <c r="AR645" s="6">
        <v>1.7883338430513263E-4</v>
      </c>
    </row>
    <row r="646" spans="2:44" x14ac:dyDescent="0.35">
      <c r="B646" s="21">
        <v>45839</v>
      </c>
      <c r="C646" s="1">
        <v>0.71</v>
      </c>
      <c r="D646" s="1">
        <v>0.71</v>
      </c>
      <c r="E646" s="6">
        <f t="shared" si="136"/>
        <v>0</v>
      </c>
      <c r="F646" s="21">
        <v>45839</v>
      </c>
      <c r="G646" s="1">
        <v>12.3</v>
      </c>
      <c r="H646" s="1">
        <v>12.3</v>
      </c>
      <c r="I646" s="6">
        <f t="shared" si="134"/>
        <v>-4.8543689320387218E-3</v>
      </c>
      <c r="J646" s="21">
        <v>45839</v>
      </c>
      <c r="K646" s="1">
        <v>56.8</v>
      </c>
      <c r="L646" s="1">
        <v>56.8</v>
      </c>
      <c r="M646" s="6">
        <f t="shared" si="138"/>
        <v>-3.5087719298245723E-3</v>
      </c>
      <c r="N646" s="21">
        <v>45839</v>
      </c>
      <c r="O646" s="1">
        <v>12.98</v>
      </c>
      <c r="P646" s="1">
        <v>12.3972</v>
      </c>
      <c r="Q646" s="6">
        <f t="shared" si="139"/>
        <v>3.0977903814648267E-2</v>
      </c>
      <c r="R646" s="21">
        <v>45839</v>
      </c>
      <c r="S646" s="1">
        <v>8</v>
      </c>
      <c r="T646" s="1">
        <v>7.4927999999999999</v>
      </c>
      <c r="U646" s="6">
        <f t="shared" si="135"/>
        <v>-1.2350886443023845E-2</v>
      </c>
      <c r="V646" s="21">
        <v>45839</v>
      </c>
      <c r="W646" s="1">
        <v>5.75</v>
      </c>
      <c r="X646" s="1">
        <v>5.75</v>
      </c>
      <c r="Y646" s="6">
        <f t="shared" si="137"/>
        <v>5.2447552447552059E-3</v>
      </c>
      <c r="Z646" s="21">
        <v>45839</v>
      </c>
      <c r="AA646" s="1">
        <v>1.99</v>
      </c>
      <c r="AB646" s="1">
        <v>1.99</v>
      </c>
      <c r="AC646" s="6">
        <f t="shared" si="140"/>
        <v>5.050505050504972E-3</v>
      </c>
      <c r="AD646" s="21">
        <v>45839</v>
      </c>
      <c r="AE646" s="1">
        <v>15.48</v>
      </c>
      <c r="AF646" s="1">
        <v>15.0512</v>
      </c>
      <c r="AG646" s="6">
        <f t="shared" si="141"/>
        <v>0</v>
      </c>
      <c r="AH646" s="21">
        <v>45839</v>
      </c>
      <c r="AI646" s="1">
        <v>12.63</v>
      </c>
      <c r="AJ646" s="1">
        <v>12.63</v>
      </c>
      <c r="AK646" s="6">
        <f t="shared" si="142"/>
        <v>-1.5810276679841806E-3</v>
      </c>
      <c r="AL646" s="21">
        <v>45839</v>
      </c>
      <c r="AM646" s="1">
        <v>1.8</v>
      </c>
      <c r="AN646" s="1">
        <v>1.8</v>
      </c>
      <c r="AO646" s="6">
        <v>4.0462427745664886E-2</v>
      </c>
      <c r="AP646" s="21" t="s">
        <v>649</v>
      </c>
      <c r="AQ646" s="1">
        <v>11589.67</v>
      </c>
      <c r="AR646" s="6">
        <v>1.0866288506006239E-3</v>
      </c>
    </row>
    <row r="647" spans="2:44" x14ac:dyDescent="0.35">
      <c r="B647" s="21">
        <v>45840</v>
      </c>
      <c r="C647" s="1">
        <v>0.72</v>
      </c>
      <c r="D647" s="1">
        <v>0.72</v>
      </c>
      <c r="E647" s="6">
        <f t="shared" si="136"/>
        <v>1.4084507042253502E-2</v>
      </c>
      <c r="F647" s="21">
        <v>45840</v>
      </c>
      <c r="G647" s="1">
        <v>12.5</v>
      </c>
      <c r="H647" s="1">
        <v>12.5</v>
      </c>
      <c r="I647" s="6">
        <f t="shared" ref="I647:I708" si="143">(H647/H646)-1</f>
        <v>1.6260162601625883E-2</v>
      </c>
      <c r="J647" s="21">
        <v>45840</v>
      </c>
      <c r="K647" s="1">
        <v>56.94</v>
      </c>
      <c r="L647" s="1">
        <v>56.94</v>
      </c>
      <c r="M647" s="6">
        <f t="shared" si="138"/>
        <v>2.4647887323943074E-3</v>
      </c>
      <c r="N647" s="21">
        <v>45840</v>
      </c>
      <c r="O647" s="1">
        <v>13.1</v>
      </c>
      <c r="P647" s="1">
        <v>12.511799999999999</v>
      </c>
      <c r="Q647" s="6">
        <f t="shared" si="139"/>
        <v>9.2440228438679384E-3</v>
      </c>
      <c r="R647" s="21">
        <v>45840</v>
      </c>
      <c r="S647" s="1">
        <v>8.4</v>
      </c>
      <c r="T647" s="1">
        <v>7.8673999999999999</v>
      </c>
      <c r="U647" s="6">
        <f t="shared" si="135"/>
        <v>4.999466154174681E-2</v>
      </c>
      <c r="V647" s="21">
        <v>45840</v>
      </c>
      <c r="W647" s="1">
        <v>5.7</v>
      </c>
      <c r="X647" s="1">
        <v>5.7</v>
      </c>
      <c r="Y647" s="6">
        <f t="shared" si="137"/>
        <v>-8.6956521739129933E-3</v>
      </c>
      <c r="Z647" s="21">
        <v>45840</v>
      </c>
      <c r="AA647" s="1">
        <v>2.0099999999999998</v>
      </c>
      <c r="AB647" s="1">
        <v>2.0099999999999998</v>
      </c>
      <c r="AC647" s="6">
        <f t="shared" si="140"/>
        <v>1.0050251256281229E-2</v>
      </c>
      <c r="AD647" s="21">
        <v>45840</v>
      </c>
      <c r="AE647" s="1">
        <v>15.6</v>
      </c>
      <c r="AF647" s="1">
        <v>15.167899999999999</v>
      </c>
      <c r="AG647" s="6">
        <f t="shared" si="141"/>
        <v>7.7535346018922091E-3</v>
      </c>
      <c r="AH647" s="21">
        <v>45840</v>
      </c>
      <c r="AI647" s="1">
        <v>12.54</v>
      </c>
      <c r="AJ647" s="1">
        <v>12.54</v>
      </c>
      <c r="AK647" s="6">
        <f t="shared" si="142"/>
        <v>-7.1258907363421775E-3</v>
      </c>
      <c r="AL647" s="21">
        <v>45840</v>
      </c>
      <c r="AM647" s="1">
        <v>1.88</v>
      </c>
      <c r="AN647" s="1">
        <v>1.88</v>
      </c>
      <c r="AO647" s="6">
        <v>4.4444444444444287E-2</v>
      </c>
      <c r="AP647" s="21" t="s">
        <v>650</v>
      </c>
      <c r="AQ647" s="1">
        <v>11574.53</v>
      </c>
      <c r="AR647" s="6">
        <v>-1.3063357282820931E-3</v>
      </c>
    </row>
    <row r="648" spans="2:44" x14ac:dyDescent="0.35">
      <c r="B648" s="21">
        <v>45841</v>
      </c>
      <c r="C648" s="1">
        <v>0.72</v>
      </c>
      <c r="D648" s="1">
        <v>0.72</v>
      </c>
      <c r="E648" s="6">
        <f t="shared" si="136"/>
        <v>0</v>
      </c>
      <c r="F648" s="21">
        <v>45841</v>
      </c>
      <c r="G648" s="1">
        <v>13.1</v>
      </c>
      <c r="H648" s="1">
        <v>13.1</v>
      </c>
      <c r="I648" s="6">
        <f t="shared" si="143"/>
        <v>4.8000000000000043E-2</v>
      </c>
      <c r="J648" s="21">
        <v>45841</v>
      </c>
      <c r="K648" s="1">
        <v>56.7</v>
      </c>
      <c r="L648" s="1">
        <v>56.7</v>
      </c>
      <c r="M648" s="6">
        <f t="shared" si="138"/>
        <v>-4.2149631190726566E-3</v>
      </c>
      <c r="N648" s="21">
        <v>45841</v>
      </c>
      <c r="O648" s="1">
        <v>13.2</v>
      </c>
      <c r="P648" s="1">
        <v>12.6073</v>
      </c>
      <c r="Q648" s="6">
        <f t="shared" si="139"/>
        <v>7.632794641858176E-3</v>
      </c>
      <c r="R648" s="21">
        <v>45841</v>
      </c>
      <c r="S648" s="1">
        <v>8.3000000000000007</v>
      </c>
      <c r="T648" s="1">
        <v>7.7737999999999996</v>
      </c>
      <c r="U648" s="6">
        <f t="shared" si="135"/>
        <v>-1.1897196024099443E-2</v>
      </c>
      <c r="V648" s="21">
        <v>45841</v>
      </c>
      <c r="W648" s="1">
        <v>5.7</v>
      </c>
      <c r="X648" s="1">
        <v>5.7</v>
      </c>
      <c r="Y648" s="6">
        <f t="shared" si="137"/>
        <v>0</v>
      </c>
      <c r="Z648" s="21">
        <v>45841</v>
      </c>
      <c r="AA648" s="1">
        <v>2</v>
      </c>
      <c r="AB648" s="1">
        <v>2</v>
      </c>
      <c r="AC648" s="6">
        <f t="shared" si="140"/>
        <v>-4.9751243781093191E-3</v>
      </c>
      <c r="AD648" s="21">
        <v>45841</v>
      </c>
      <c r="AE648" s="1">
        <v>15.88</v>
      </c>
      <c r="AF648" s="1">
        <v>15.440099999999999</v>
      </c>
      <c r="AG648" s="6">
        <f t="shared" si="141"/>
        <v>1.7945793418996603E-2</v>
      </c>
      <c r="AH648" s="21">
        <v>45841</v>
      </c>
      <c r="AI648" s="1">
        <v>12.54</v>
      </c>
      <c r="AJ648" s="1">
        <v>12.54</v>
      </c>
      <c r="AK648" s="6">
        <f t="shared" si="142"/>
        <v>0</v>
      </c>
      <c r="AL648" s="21">
        <v>45841</v>
      </c>
      <c r="AM648" s="1">
        <v>1.88</v>
      </c>
      <c r="AN648" s="1">
        <v>1.88</v>
      </c>
      <c r="AO648" s="6">
        <v>0</v>
      </c>
      <c r="AP648" s="21" t="s">
        <v>651</v>
      </c>
      <c r="AQ648" s="1">
        <v>11586.3</v>
      </c>
      <c r="AR648" s="6">
        <v>1.0168879427501221E-3</v>
      </c>
    </row>
    <row r="649" spans="2:44" x14ac:dyDescent="0.35">
      <c r="B649" s="21">
        <v>45842</v>
      </c>
      <c r="C649" s="1">
        <v>0.7</v>
      </c>
      <c r="D649" s="1">
        <v>0.7</v>
      </c>
      <c r="E649" s="6">
        <f t="shared" si="136"/>
        <v>-2.777777777777779E-2</v>
      </c>
      <c r="F649" s="21">
        <v>45842</v>
      </c>
      <c r="G649" s="1">
        <v>13.47</v>
      </c>
      <c r="H649" s="1">
        <v>13.47</v>
      </c>
      <c r="I649" s="6">
        <f t="shared" si="143"/>
        <v>2.8244274809160475E-2</v>
      </c>
      <c r="J649" s="21">
        <v>45842</v>
      </c>
      <c r="K649" s="1">
        <v>56.93</v>
      </c>
      <c r="L649" s="1">
        <v>56.93</v>
      </c>
      <c r="M649" s="6">
        <f t="shared" si="138"/>
        <v>4.056437389770684E-3</v>
      </c>
      <c r="N649" s="21">
        <v>45842</v>
      </c>
      <c r="O649" s="1">
        <v>13.4</v>
      </c>
      <c r="P649" s="1">
        <v>12.798299999999999</v>
      </c>
      <c r="Q649" s="6">
        <f t="shared" si="139"/>
        <v>1.5149952805120659E-2</v>
      </c>
      <c r="R649" s="21">
        <v>45842</v>
      </c>
      <c r="S649" s="1">
        <v>8.25</v>
      </c>
      <c r="T649" s="1">
        <v>7.7270000000000003</v>
      </c>
      <c r="U649" s="6">
        <f t="shared" ref="U649:U708" si="144">(T649/T648)-1</f>
        <v>-6.020221770562606E-3</v>
      </c>
      <c r="V649" s="21">
        <v>45842</v>
      </c>
      <c r="W649" s="1">
        <v>5.68</v>
      </c>
      <c r="X649" s="1">
        <v>5.68</v>
      </c>
      <c r="Y649" s="6">
        <f t="shared" si="137"/>
        <v>-3.5087719298246833E-3</v>
      </c>
      <c r="Z649" s="21">
        <v>45842</v>
      </c>
      <c r="AA649" s="1">
        <v>2.0099999999999998</v>
      </c>
      <c r="AB649" s="1">
        <v>2.0099999999999998</v>
      </c>
      <c r="AC649" s="6">
        <f t="shared" si="140"/>
        <v>4.9999999999998934E-3</v>
      </c>
      <c r="AD649" s="21">
        <v>45842</v>
      </c>
      <c r="AE649" s="1">
        <v>16</v>
      </c>
      <c r="AF649" s="1">
        <v>15.556800000000001</v>
      </c>
      <c r="AG649" s="6">
        <f t="shared" si="141"/>
        <v>7.5582412031012236E-3</v>
      </c>
      <c r="AH649" s="21">
        <v>45842</v>
      </c>
      <c r="AI649" s="1">
        <v>12.54</v>
      </c>
      <c r="AJ649" s="1">
        <v>12.54</v>
      </c>
      <c r="AK649" s="6">
        <f t="shared" si="142"/>
        <v>0</v>
      </c>
      <c r="AL649" s="21">
        <v>45842</v>
      </c>
      <c r="AM649" s="1">
        <v>1.8</v>
      </c>
      <c r="AN649" s="1">
        <v>1.8</v>
      </c>
      <c r="AO649" s="6">
        <v>-4.2553191489361653E-2</v>
      </c>
      <c r="AP649" s="21" t="s">
        <v>652</v>
      </c>
      <c r="AQ649" s="1">
        <v>11642.55</v>
      </c>
      <c r="AR649" s="6">
        <v>4.8548717019238907E-3</v>
      </c>
    </row>
    <row r="650" spans="2:44" x14ac:dyDescent="0.35">
      <c r="B650" s="21">
        <v>45845</v>
      </c>
      <c r="C650" s="1">
        <v>0.73</v>
      </c>
      <c r="D650" s="1">
        <v>0.73</v>
      </c>
      <c r="E650" s="6">
        <f t="shared" si="136"/>
        <v>4.2857142857142927E-2</v>
      </c>
      <c r="F650" s="21">
        <v>45845</v>
      </c>
      <c r="G650" s="1">
        <v>14.1</v>
      </c>
      <c r="H650" s="1">
        <v>14.1</v>
      </c>
      <c r="I650" s="6">
        <f t="shared" si="143"/>
        <v>4.6770601336302731E-2</v>
      </c>
      <c r="J650" s="21">
        <v>45845</v>
      </c>
      <c r="K650" s="1">
        <v>56.4</v>
      </c>
      <c r="L650" s="1">
        <v>56.4</v>
      </c>
      <c r="M650" s="6">
        <f t="shared" si="138"/>
        <v>-9.3096785526084469E-3</v>
      </c>
      <c r="N650" s="21">
        <v>45845</v>
      </c>
      <c r="O650" s="1">
        <v>13.4</v>
      </c>
      <c r="P650" s="1">
        <v>12.798299999999999</v>
      </c>
      <c r="Q650" s="6">
        <f t="shared" si="139"/>
        <v>0</v>
      </c>
      <c r="R650" s="21">
        <v>45845</v>
      </c>
      <c r="S650" s="1">
        <v>8.24</v>
      </c>
      <c r="T650" s="1">
        <v>7.7176</v>
      </c>
      <c r="U650" s="6">
        <f t="shared" si="144"/>
        <v>-1.2165135240067571E-3</v>
      </c>
      <c r="V650" s="21">
        <v>45845</v>
      </c>
      <c r="W650" s="1">
        <v>5.69</v>
      </c>
      <c r="X650" s="1">
        <v>5.69</v>
      </c>
      <c r="Y650" s="6">
        <f t="shared" si="137"/>
        <v>1.7605633802817433E-3</v>
      </c>
      <c r="Z650" s="21">
        <v>45845</v>
      </c>
      <c r="AA650" s="1">
        <v>2</v>
      </c>
      <c r="AB650" s="1">
        <v>2</v>
      </c>
      <c r="AC650" s="6">
        <f t="shared" si="140"/>
        <v>-4.9751243781093191E-3</v>
      </c>
      <c r="AD650" s="21">
        <v>45845</v>
      </c>
      <c r="AE650" s="1">
        <v>16.350000000000001</v>
      </c>
      <c r="AF650" s="1">
        <v>15.8971</v>
      </c>
      <c r="AG650" s="6">
        <f t="shared" si="141"/>
        <v>2.1874678597140651E-2</v>
      </c>
      <c r="AH650" s="21">
        <v>45845</v>
      </c>
      <c r="AI650" s="1">
        <v>12.75</v>
      </c>
      <c r="AJ650" s="1">
        <v>12.75</v>
      </c>
      <c r="AK650" s="6">
        <f t="shared" si="142"/>
        <v>1.674641148325362E-2</v>
      </c>
      <c r="AL650" s="21">
        <v>45845</v>
      </c>
      <c r="AM650" s="1">
        <v>1.88</v>
      </c>
      <c r="AN650" s="1">
        <v>1.88</v>
      </c>
      <c r="AO650" s="6">
        <v>4.4444444444444287E-2</v>
      </c>
      <c r="AP650" s="21" t="s">
        <v>653</v>
      </c>
      <c r="AQ650" s="1">
        <v>11668.65</v>
      </c>
      <c r="AR650" s="6">
        <v>2.2417769303118007E-3</v>
      </c>
    </row>
    <row r="651" spans="2:44" x14ac:dyDescent="0.35">
      <c r="B651" s="21">
        <v>45846</v>
      </c>
      <c r="C651" s="1">
        <v>0.76</v>
      </c>
      <c r="D651" s="1">
        <v>0.76</v>
      </c>
      <c r="E651" s="6">
        <f t="shared" si="136"/>
        <v>4.1095890410958846E-2</v>
      </c>
      <c r="F651" s="21">
        <v>45846</v>
      </c>
      <c r="G651" s="1">
        <v>14.19</v>
      </c>
      <c r="H651" s="1">
        <v>14.19</v>
      </c>
      <c r="I651" s="6">
        <f t="shared" si="143"/>
        <v>6.382978723404209E-3</v>
      </c>
      <c r="J651" s="21">
        <v>45846</v>
      </c>
      <c r="K651" s="1">
        <v>56.15</v>
      </c>
      <c r="L651" s="1">
        <v>56.15</v>
      </c>
      <c r="M651" s="6">
        <f t="shared" si="138"/>
        <v>-4.4326241134752253E-3</v>
      </c>
      <c r="N651" s="21">
        <v>45846</v>
      </c>
      <c r="O651" s="1">
        <v>13.46</v>
      </c>
      <c r="P651" s="1">
        <v>12.855600000000001</v>
      </c>
      <c r="Q651" s="6">
        <f t="shared" si="139"/>
        <v>4.477157122430464E-3</v>
      </c>
      <c r="R651" s="21">
        <v>45846</v>
      </c>
      <c r="S651" s="1">
        <v>8.15</v>
      </c>
      <c r="T651" s="1">
        <v>7.6333000000000002</v>
      </c>
      <c r="U651" s="6">
        <f t="shared" si="144"/>
        <v>-1.0923084896859114E-2</v>
      </c>
      <c r="V651" s="21">
        <v>45846</v>
      </c>
      <c r="W651" s="1">
        <v>5.67</v>
      </c>
      <c r="X651" s="1">
        <v>5.67</v>
      </c>
      <c r="Y651" s="6">
        <f t="shared" si="137"/>
        <v>-3.5149384885765356E-3</v>
      </c>
      <c r="Z651" s="21">
        <v>45846</v>
      </c>
      <c r="AA651" s="1">
        <v>1.99</v>
      </c>
      <c r="AB651" s="1">
        <v>1.99</v>
      </c>
      <c r="AC651" s="6">
        <f t="shared" si="140"/>
        <v>-5.0000000000000044E-3</v>
      </c>
      <c r="AD651" s="21">
        <v>45846</v>
      </c>
      <c r="AE651" s="1">
        <v>16.239999999999998</v>
      </c>
      <c r="AF651" s="1">
        <v>15.7902</v>
      </c>
      <c r="AG651" s="6">
        <f t="shared" si="141"/>
        <v>-6.7244969208219985E-3</v>
      </c>
      <c r="AH651" s="21">
        <v>45846</v>
      </c>
      <c r="AI651" s="1">
        <v>12.7</v>
      </c>
      <c r="AJ651" s="1">
        <v>12.7</v>
      </c>
      <c r="AK651" s="6">
        <f t="shared" si="142"/>
        <v>-3.9215686274510775E-3</v>
      </c>
      <c r="AL651" s="21">
        <v>45846</v>
      </c>
      <c r="AM651" s="1">
        <v>1.8</v>
      </c>
      <c r="AN651" s="1">
        <v>1.8</v>
      </c>
      <c r="AO651" s="6">
        <v>-4.2553191489361653E-2</v>
      </c>
      <c r="AP651" s="21" t="s">
        <v>654</v>
      </c>
      <c r="AQ651" s="1">
        <v>11663.57</v>
      </c>
      <c r="AR651" s="6">
        <v>-4.3535456115317839E-4</v>
      </c>
    </row>
    <row r="652" spans="2:44" x14ac:dyDescent="0.35">
      <c r="B652" s="21">
        <v>45847</v>
      </c>
      <c r="C652" s="1">
        <v>0.73</v>
      </c>
      <c r="D652" s="1">
        <v>0.73</v>
      </c>
      <c r="E652" s="6">
        <f t="shared" si="136"/>
        <v>-3.9473684210526327E-2</v>
      </c>
      <c r="F652" s="21">
        <v>45847</v>
      </c>
      <c r="G652" s="1">
        <v>14.18</v>
      </c>
      <c r="H652" s="1">
        <v>14.18</v>
      </c>
      <c r="I652" s="6">
        <f t="shared" si="143"/>
        <v>-7.0472163495416407E-4</v>
      </c>
      <c r="J652" s="21">
        <v>45847</v>
      </c>
      <c r="K652" s="1">
        <v>56.7</v>
      </c>
      <c r="L652" s="1">
        <v>56.7</v>
      </c>
      <c r="M652" s="6">
        <f t="shared" si="138"/>
        <v>9.7951914514693428E-3</v>
      </c>
      <c r="N652" s="21">
        <v>45847</v>
      </c>
      <c r="O652" s="1">
        <v>13.47</v>
      </c>
      <c r="P652" s="1">
        <v>12.8652</v>
      </c>
      <c r="Q652" s="6">
        <f t="shared" si="139"/>
        <v>7.4675627741993544E-4</v>
      </c>
      <c r="R652" s="21">
        <v>45847</v>
      </c>
      <c r="S652" s="1">
        <v>8.1999999999999993</v>
      </c>
      <c r="T652" s="1">
        <v>7.6801000000000004</v>
      </c>
      <c r="U652" s="6">
        <f t="shared" si="144"/>
        <v>6.1310311398738992E-3</v>
      </c>
      <c r="V652" s="21">
        <v>45847</v>
      </c>
      <c r="W652" s="1">
        <v>5.67</v>
      </c>
      <c r="X652" s="1">
        <v>5.67</v>
      </c>
      <c r="Y652" s="6">
        <f t="shared" si="137"/>
        <v>0</v>
      </c>
      <c r="Z652" s="21">
        <v>45847</v>
      </c>
      <c r="AA652" s="1">
        <v>2.0299999999999998</v>
      </c>
      <c r="AB652" s="1">
        <v>2.0299999999999998</v>
      </c>
      <c r="AC652" s="6">
        <f t="shared" si="140"/>
        <v>2.0100502512562679E-2</v>
      </c>
      <c r="AD652" s="21">
        <v>45847</v>
      </c>
      <c r="AE652" s="1">
        <v>16.28</v>
      </c>
      <c r="AF652" s="1">
        <v>15.829000000000001</v>
      </c>
      <c r="AG652" s="6">
        <f t="shared" si="141"/>
        <v>2.4572203011994365E-3</v>
      </c>
      <c r="AH652" s="21">
        <v>45847</v>
      </c>
      <c r="AI652" s="1">
        <v>12.75</v>
      </c>
      <c r="AJ652" s="1">
        <v>12.75</v>
      </c>
      <c r="AK652" s="6">
        <f t="shared" si="142"/>
        <v>3.937007874015741E-3</v>
      </c>
      <c r="AL652" s="21">
        <v>45847</v>
      </c>
      <c r="AM652" s="1">
        <v>1.88</v>
      </c>
      <c r="AN652" s="1">
        <v>1.88</v>
      </c>
      <c r="AO652" s="6">
        <v>4.4444444444444287E-2</v>
      </c>
      <c r="AP652" s="21" t="s">
        <v>655</v>
      </c>
      <c r="AQ652" s="1">
        <v>11716.81</v>
      </c>
      <c r="AR652" s="6">
        <v>4.5646401573447015E-3</v>
      </c>
    </row>
    <row r="653" spans="2:44" x14ac:dyDescent="0.35">
      <c r="B653" s="21">
        <v>45848</v>
      </c>
      <c r="C653" s="1">
        <v>0.73</v>
      </c>
      <c r="D653" s="1">
        <v>0.73</v>
      </c>
      <c r="E653" s="6">
        <f t="shared" si="136"/>
        <v>0</v>
      </c>
      <c r="F653" s="21">
        <v>45848</v>
      </c>
      <c r="G653" s="1">
        <v>14.2</v>
      </c>
      <c r="H653" s="1">
        <v>14.2</v>
      </c>
      <c r="I653" s="6">
        <f t="shared" si="143"/>
        <v>1.4104372355430161E-3</v>
      </c>
      <c r="J653" s="21">
        <v>45848</v>
      </c>
      <c r="K653" s="1">
        <v>56.69</v>
      </c>
      <c r="L653" s="1">
        <v>56.69</v>
      </c>
      <c r="M653" s="6">
        <f t="shared" si="138"/>
        <v>-1.7636684303357075E-4</v>
      </c>
      <c r="N653" s="21">
        <v>45848</v>
      </c>
      <c r="O653" s="1">
        <v>13.38</v>
      </c>
      <c r="P653" s="1">
        <v>12.779199999999999</v>
      </c>
      <c r="Q653" s="6">
        <f t="shared" si="139"/>
        <v>-6.6846998103411437E-3</v>
      </c>
      <c r="R653" s="21">
        <v>45848</v>
      </c>
      <c r="S653" s="1">
        <v>8.33</v>
      </c>
      <c r="T653" s="1">
        <v>7.8018999999999998</v>
      </c>
      <c r="U653" s="6">
        <f t="shared" si="144"/>
        <v>1.5859168500410137E-2</v>
      </c>
      <c r="V653" s="21">
        <v>45848</v>
      </c>
      <c r="W653" s="1">
        <v>5.66</v>
      </c>
      <c r="X653" s="1">
        <v>5.66</v>
      </c>
      <c r="Y653" s="6">
        <f t="shared" si="137"/>
        <v>-1.7636684303350414E-3</v>
      </c>
      <c r="Z653" s="21">
        <v>45848</v>
      </c>
      <c r="AA653" s="1">
        <v>2</v>
      </c>
      <c r="AB653" s="1">
        <v>2</v>
      </c>
      <c r="AC653" s="6">
        <f t="shared" si="140"/>
        <v>-1.477832512315258E-2</v>
      </c>
      <c r="AD653" s="21">
        <v>45848</v>
      </c>
      <c r="AE653" s="1">
        <v>16.190000000000001</v>
      </c>
      <c r="AF653" s="1">
        <v>15.7415</v>
      </c>
      <c r="AG653" s="6">
        <f t="shared" si="141"/>
        <v>-5.5278286688988931E-3</v>
      </c>
      <c r="AH653" s="21">
        <v>45848</v>
      </c>
      <c r="AI653" s="1">
        <v>12.6</v>
      </c>
      <c r="AJ653" s="1">
        <v>12.6</v>
      </c>
      <c r="AK653" s="6">
        <f t="shared" si="142"/>
        <v>-1.176470588235301E-2</v>
      </c>
      <c r="AL653" s="21">
        <v>45848</v>
      </c>
      <c r="AM653" s="1">
        <v>1.9</v>
      </c>
      <c r="AN653" s="1">
        <v>1.9</v>
      </c>
      <c r="AO653" s="6">
        <v>1.0638297872340496E-2</v>
      </c>
      <c r="AP653" s="21" t="s">
        <v>656</v>
      </c>
      <c r="AQ653" s="1">
        <v>11699.26</v>
      </c>
      <c r="AR653" s="6">
        <v>-1.4978479637375308E-3</v>
      </c>
    </row>
    <row r="654" spans="2:44" x14ac:dyDescent="0.35">
      <c r="B654" s="21">
        <v>45849</v>
      </c>
      <c r="C654" s="1">
        <v>0.7</v>
      </c>
      <c r="D654" s="1">
        <v>0.7</v>
      </c>
      <c r="E654" s="6">
        <f t="shared" si="136"/>
        <v>-4.1095890410958957E-2</v>
      </c>
      <c r="F654" s="21">
        <v>45849</v>
      </c>
      <c r="G654" s="1">
        <v>14.2</v>
      </c>
      <c r="H654" s="1">
        <v>14.2</v>
      </c>
      <c r="I654" s="6">
        <f t="shared" si="143"/>
        <v>0</v>
      </c>
      <c r="J654" s="21">
        <v>45849</v>
      </c>
      <c r="K654" s="1">
        <v>57.99</v>
      </c>
      <c r="L654" s="1">
        <v>57.99</v>
      </c>
      <c r="M654" s="6">
        <f t="shared" si="138"/>
        <v>2.293173399188575E-2</v>
      </c>
      <c r="N654" s="21">
        <v>45849</v>
      </c>
      <c r="O654" s="1">
        <v>13.39</v>
      </c>
      <c r="P654" s="1">
        <v>12.7888</v>
      </c>
      <c r="Q654" s="6">
        <f t="shared" si="139"/>
        <v>7.5122073369238151E-4</v>
      </c>
      <c r="R654" s="21">
        <v>45849</v>
      </c>
      <c r="S654" s="1">
        <v>8.5500000000000007</v>
      </c>
      <c r="T654" s="1">
        <v>8.0078999999999994</v>
      </c>
      <c r="U654" s="6">
        <f t="shared" si="144"/>
        <v>2.6403824709365642E-2</v>
      </c>
      <c r="V654" s="21">
        <v>45849</v>
      </c>
      <c r="W654" s="1">
        <v>5.7</v>
      </c>
      <c r="X654" s="1">
        <v>5.7</v>
      </c>
      <c r="Y654" s="6">
        <f t="shared" si="137"/>
        <v>7.0671378091873294E-3</v>
      </c>
      <c r="Z654" s="21">
        <v>45849</v>
      </c>
      <c r="AA654" s="1">
        <v>2</v>
      </c>
      <c r="AB654" s="1">
        <v>2</v>
      </c>
      <c r="AC654" s="6">
        <f t="shared" si="140"/>
        <v>0</v>
      </c>
      <c r="AD654" s="21">
        <v>45849</v>
      </c>
      <c r="AE654" s="1">
        <v>15.8</v>
      </c>
      <c r="AF654" s="1">
        <v>15.8</v>
      </c>
      <c r="AG654" s="6">
        <f t="shared" si="141"/>
        <v>3.7162913318298241E-3</v>
      </c>
      <c r="AH654" s="21">
        <v>45849</v>
      </c>
      <c r="AI654" s="1">
        <v>12.68</v>
      </c>
      <c r="AJ654" s="1">
        <v>12.68</v>
      </c>
      <c r="AK654" s="6">
        <f t="shared" si="142"/>
        <v>6.3492063492063266E-3</v>
      </c>
      <c r="AL654" s="21">
        <v>45849</v>
      </c>
      <c r="AM654" s="1">
        <v>1.93</v>
      </c>
      <c r="AN654" s="1">
        <v>1.93</v>
      </c>
      <c r="AO654" s="6">
        <v>1.5789473684210575E-2</v>
      </c>
      <c r="AP654" s="21" t="s">
        <v>657</v>
      </c>
      <c r="AQ654" s="1">
        <v>11746.15</v>
      </c>
      <c r="AR654" s="6">
        <v>4.0079458017001635E-3</v>
      </c>
    </row>
    <row r="655" spans="2:44" x14ac:dyDescent="0.35">
      <c r="B655" s="21">
        <v>45852</v>
      </c>
      <c r="C655" s="1">
        <v>0.71</v>
      </c>
      <c r="D655" s="1">
        <v>0.71</v>
      </c>
      <c r="E655" s="6">
        <f t="shared" si="136"/>
        <v>1.4285714285714235E-2</v>
      </c>
      <c r="F655" s="21">
        <v>45852</v>
      </c>
      <c r="G655" s="1">
        <v>14.33</v>
      </c>
      <c r="H655" s="1">
        <v>14.33</v>
      </c>
      <c r="I655" s="6">
        <f t="shared" si="143"/>
        <v>9.1549295774648876E-3</v>
      </c>
      <c r="J655" s="21">
        <v>45852</v>
      </c>
      <c r="K655" s="1">
        <v>58.9</v>
      </c>
      <c r="L655" s="1">
        <v>58.9</v>
      </c>
      <c r="M655" s="6">
        <f t="shared" si="138"/>
        <v>1.5692360751853762E-2</v>
      </c>
      <c r="N655" s="21">
        <v>45852</v>
      </c>
      <c r="O655" s="1">
        <v>13.38</v>
      </c>
      <c r="P655" s="1">
        <v>12.779199999999999</v>
      </c>
      <c r="Q655" s="6">
        <f t="shared" si="139"/>
        <v>-7.5065682472164053E-4</v>
      </c>
      <c r="R655" s="21">
        <v>45852</v>
      </c>
      <c r="S655" s="1">
        <v>8.5</v>
      </c>
      <c r="T655" s="1">
        <v>7.9611000000000001</v>
      </c>
      <c r="U655" s="6">
        <f t="shared" si="144"/>
        <v>-5.844228824036124E-3</v>
      </c>
      <c r="V655" s="21">
        <v>45852</v>
      </c>
      <c r="W655" s="1">
        <v>5.7</v>
      </c>
      <c r="X655" s="1">
        <v>5.7</v>
      </c>
      <c r="Y655" s="6">
        <f t="shared" si="137"/>
        <v>0</v>
      </c>
      <c r="Z655" s="21">
        <v>45852</v>
      </c>
      <c r="AA655" s="1">
        <v>2</v>
      </c>
      <c r="AB655" s="1">
        <v>2</v>
      </c>
      <c r="AC655" s="6">
        <f t="shared" si="140"/>
        <v>0</v>
      </c>
      <c r="AD655" s="21">
        <v>45852</v>
      </c>
      <c r="AE655" s="1">
        <v>15.59</v>
      </c>
      <c r="AF655" s="1">
        <v>15.59</v>
      </c>
      <c r="AG655" s="6">
        <f t="shared" si="141"/>
        <v>-1.32911392405064E-2</v>
      </c>
      <c r="AH655" s="21">
        <v>45852</v>
      </c>
      <c r="AI655" s="1">
        <v>12.7</v>
      </c>
      <c r="AJ655" s="1">
        <v>12.7</v>
      </c>
      <c r="AK655" s="6">
        <f t="shared" si="142"/>
        <v>1.577287066246047E-3</v>
      </c>
      <c r="AL655" s="21">
        <v>45852</v>
      </c>
      <c r="AM655" s="1">
        <v>1.93</v>
      </c>
      <c r="AN655" s="1">
        <v>1.93</v>
      </c>
      <c r="AO655" s="6">
        <v>0</v>
      </c>
      <c r="AP655" s="21" t="s">
        <v>658</v>
      </c>
      <c r="AQ655" s="1">
        <v>11752.88</v>
      </c>
      <c r="AR655" s="6">
        <v>5.7295369120935469E-4</v>
      </c>
    </row>
    <row r="656" spans="2:44" x14ac:dyDescent="0.35">
      <c r="B656" s="21">
        <v>45853</v>
      </c>
      <c r="C656" s="1">
        <v>0.72</v>
      </c>
      <c r="D656" s="1">
        <v>0.72</v>
      </c>
      <c r="E656" s="6">
        <f t="shared" si="136"/>
        <v>1.4084507042253502E-2</v>
      </c>
      <c r="F656" s="21">
        <v>45853</v>
      </c>
      <c r="G656" s="1">
        <v>14.59</v>
      </c>
      <c r="H656" s="1">
        <v>14.59</v>
      </c>
      <c r="I656" s="6">
        <f t="shared" si="143"/>
        <v>1.8143754361479303E-2</v>
      </c>
      <c r="J656" s="21">
        <v>45853</v>
      </c>
      <c r="K656" s="1">
        <v>58.88</v>
      </c>
      <c r="L656" s="1">
        <v>58.88</v>
      </c>
      <c r="M656" s="6">
        <f t="shared" si="138"/>
        <v>-3.395585738539264E-4</v>
      </c>
      <c r="N656" s="21">
        <v>45853</v>
      </c>
      <c r="O656" s="1">
        <v>13.3</v>
      </c>
      <c r="P656" s="1">
        <v>12.7028</v>
      </c>
      <c r="Q656" s="6">
        <f t="shared" si="139"/>
        <v>-5.9784650056341482E-3</v>
      </c>
      <c r="R656" s="21">
        <v>45853</v>
      </c>
      <c r="S656" s="1">
        <v>8.5</v>
      </c>
      <c r="T656" s="1">
        <v>7.9611000000000001</v>
      </c>
      <c r="U656" s="6">
        <f t="shared" si="144"/>
        <v>0</v>
      </c>
      <c r="V656" s="21">
        <v>45853</v>
      </c>
      <c r="W656" s="1">
        <v>5.7</v>
      </c>
      <c r="X656" s="1">
        <v>5.7</v>
      </c>
      <c r="Y656" s="6">
        <f t="shared" si="137"/>
        <v>0</v>
      </c>
      <c r="Z656" s="21">
        <v>45853</v>
      </c>
      <c r="AA656" s="1">
        <v>2</v>
      </c>
      <c r="AB656" s="1">
        <v>2</v>
      </c>
      <c r="AC656" s="6">
        <f t="shared" si="140"/>
        <v>0</v>
      </c>
      <c r="AD656" s="21">
        <v>45853</v>
      </c>
      <c r="AE656" s="1">
        <v>15.49</v>
      </c>
      <c r="AF656" s="1">
        <v>15.49</v>
      </c>
      <c r="AG656" s="6">
        <f t="shared" si="141"/>
        <v>-6.4143681847337319E-3</v>
      </c>
      <c r="AH656" s="21">
        <v>45853</v>
      </c>
      <c r="AI656" s="1">
        <v>12.7</v>
      </c>
      <c r="AJ656" s="1">
        <v>12.7</v>
      </c>
      <c r="AK656" s="6">
        <f t="shared" si="142"/>
        <v>0</v>
      </c>
      <c r="AL656" s="21">
        <v>45853</v>
      </c>
      <c r="AM656" s="1">
        <v>1.93</v>
      </c>
      <c r="AN656" s="1">
        <v>1.93</v>
      </c>
      <c r="AO656" s="6">
        <v>0</v>
      </c>
      <c r="AP656" s="21" t="s">
        <v>659</v>
      </c>
      <c r="AQ656" s="1">
        <v>11768.69</v>
      </c>
      <c r="AR656" s="6">
        <v>1.3452021972488737E-3</v>
      </c>
    </row>
    <row r="657" spans="2:44" x14ac:dyDescent="0.35">
      <c r="B657" s="21">
        <v>45854</v>
      </c>
      <c r="C657" s="1">
        <v>0.75</v>
      </c>
      <c r="D657" s="1">
        <v>0.75</v>
      </c>
      <c r="E657" s="6">
        <f t="shared" ref="E657:E708" si="145">(D657/D656)-1</f>
        <v>4.1666666666666741E-2</v>
      </c>
      <c r="F657" s="21">
        <v>45854</v>
      </c>
      <c r="G657" s="1">
        <v>14.79</v>
      </c>
      <c r="H657" s="1">
        <v>14.79</v>
      </c>
      <c r="I657" s="6">
        <f t="shared" si="143"/>
        <v>1.3708019191226883E-2</v>
      </c>
      <c r="J657" s="21">
        <v>45854</v>
      </c>
      <c r="K657" s="1">
        <v>58.3</v>
      </c>
      <c r="L657" s="1">
        <v>58.3</v>
      </c>
      <c r="M657" s="6">
        <f t="shared" si="138"/>
        <v>-9.8505434782609758E-3</v>
      </c>
      <c r="N657" s="21">
        <v>45854</v>
      </c>
      <c r="O657" s="1">
        <v>13.3</v>
      </c>
      <c r="P657" s="1">
        <v>12.7028</v>
      </c>
      <c r="Q657" s="6">
        <f t="shared" si="139"/>
        <v>0</v>
      </c>
      <c r="R657" s="21">
        <v>45854</v>
      </c>
      <c r="S657" s="1">
        <v>8.49</v>
      </c>
      <c r="T657" s="1">
        <v>7.9516999999999998</v>
      </c>
      <c r="U657" s="6">
        <f t="shared" si="144"/>
        <v>-1.180741354837922E-3</v>
      </c>
      <c r="V657" s="21">
        <v>45854</v>
      </c>
      <c r="W657" s="1">
        <v>5.69</v>
      </c>
      <c r="X657" s="1">
        <v>5.69</v>
      </c>
      <c r="Y657" s="6">
        <f t="shared" si="137"/>
        <v>-1.7543859649122862E-3</v>
      </c>
      <c r="Z657" s="21">
        <v>45854</v>
      </c>
      <c r="AA657" s="1">
        <v>1.99</v>
      </c>
      <c r="AB657" s="1">
        <v>1.99</v>
      </c>
      <c r="AC657" s="6">
        <f t="shared" si="140"/>
        <v>-5.0000000000000044E-3</v>
      </c>
      <c r="AD657" s="21">
        <v>45854</v>
      </c>
      <c r="AE657" s="1">
        <v>15.5</v>
      </c>
      <c r="AF657" s="1">
        <v>15.5</v>
      </c>
      <c r="AG657" s="6">
        <f t="shared" si="141"/>
        <v>6.4557779212393029E-4</v>
      </c>
      <c r="AH657" s="21">
        <v>45854</v>
      </c>
      <c r="AI657" s="1">
        <v>12.7</v>
      </c>
      <c r="AJ657" s="1">
        <v>12.7</v>
      </c>
      <c r="AK657" s="6">
        <f t="shared" si="142"/>
        <v>0</v>
      </c>
      <c r="AL657" s="21">
        <v>45854</v>
      </c>
      <c r="AM657" s="1">
        <v>1.93</v>
      </c>
      <c r="AN657" s="1">
        <v>1.93</v>
      </c>
      <c r="AO657" s="6">
        <v>0</v>
      </c>
      <c r="AP657" s="21" t="s">
        <v>660</v>
      </c>
      <c r="AQ657" s="1">
        <v>11793.07</v>
      </c>
      <c r="AR657" s="6">
        <v>2.0715984531838316E-3</v>
      </c>
    </row>
    <row r="658" spans="2:44" x14ac:dyDescent="0.35">
      <c r="B658" s="21">
        <v>45855</v>
      </c>
      <c r="C658" s="1">
        <v>0.75</v>
      </c>
      <c r="D658" s="1">
        <v>0.75</v>
      </c>
      <c r="E658" s="6">
        <f t="shared" si="145"/>
        <v>0</v>
      </c>
      <c r="F658" s="21">
        <v>45855</v>
      </c>
      <c r="G658" s="1">
        <v>14.8</v>
      </c>
      <c r="H658" s="1">
        <v>14.8</v>
      </c>
      <c r="I658" s="6">
        <f t="shared" si="143"/>
        <v>6.761325219744041E-4</v>
      </c>
      <c r="J658" s="21">
        <v>45855</v>
      </c>
      <c r="K658" s="1">
        <v>58.3</v>
      </c>
      <c r="L658" s="1">
        <v>58.3</v>
      </c>
      <c r="M658" s="6">
        <f t="shared" si="138"/>
        <v>0</v>
      </c>
      <c r="N658" s="21">
        <v>45855</v>
      </c>
      <c r="O658" s="1">
        <v>13.28</v>
      </c>
      <c r="P658" s="1">
        <v>12.6837</v>
      </c>
      <c r="Q658" s="6">
        <f t="shared" si="139"/>
        <v>-1.5036055042982888E-3</v>
      </c>
      <c r="R658" s="21">
        <v>45855</v>
      </c>
      <c r="S658" s="1">
        <v>8.35</v>
      </c>
      <c r="T658" s="1">
        <v>7.8205999999999998</v>
      </c>
      <c r="U658" s="6">
        <f t="shared" si="144"/>
        <v>-1.6487040507061401E-2</v>
      </c>
      <c r="V658" s="21">
        <v>45855</v>
      </c>
      <c r="W658" s="1">
        <v>5.66</v>
      </c>
      <c r="X658" s="1">
        <v>5.66</v>
      </c>
      <c r="Y658" s="6">
        <f t="shared" si="137"/>
        <v>-5.2724077328647478E-3</v>
      </c>
      <c r="Z658" s="21">
        <v>45855</v>
      </c>
      <c r="AA658" s="1">
        <v>2.0299999999999998</v>
      </c>
      <c r="AB658" s="1">
        <v>2.0299999999999998</v>
      </c>
      <c r="AC658" s="6">
        <f t="shared" si="140"/>
        <v>2.0100502512562679E-2</v>
      </c>
      <c r="AD658" s="21">
        <v>45855</v>
      </c>
      <c r="AE658" s="1">
        <v>15.49</v>
      </c>
      <c r="AF658" s="1">
        <v>15.49</v>
      </c>
      <c r="AG658" s="6">
        <f t="shared" si="141"/>
        <v>-6.4516129032254899E-4</v>
      </c>
      <c r="AH658" s="21">
        <v>45855</v>
      </c>
      <c r="AI658" s="1">
        <v>12.5</v>
      </c>
      <c r="AJ658" s="1">
        <v>12.5</v>
      </c>
      <c r="AK658" s="6">
        <f t="shared" si="142"/>
        <v>-1.5748031496062964E-2</v>
      </c>
      <c r="AL658" s="21">
        <v>45855</v>
      </c>
      <c r="AM658" s="1">
        <v>1.93</v>
      </c>
      <c r="AN658" s="1">
        <v>1.93</v>
      </c>
      <c r="AO658" s="6">
        <v>0</v>
      </c>
      <c r="AP658" s="21" t="s">
        <v>661</v>
      </c>
      <c r="AQ658" s="1">
        <v>11787.74</v>
      </c>
      <c r="AR658" s="6">
        <v>-4.5196034620331726E-4</v>
      </c>
    </row>
    <row r="659" spans="2:44" x14ac:dyDescent="0.35">
      <c r="B659" s="21">
        <v>45856</v>
      </c>
      <c r="C659" s="1">
        <v>0.73</v>
      </c>
      <c r="D659" s="1">
        <v>0.73</v>
      </c>
      <c r="E659" s="6">
        <f t="shared" si="145"/>
        <v>-2.6666666666666727E-2</v>
      </c>
      <c r="F659" s="21">
        <v>45856</v>
      </c>
      <c r="G659" s="1">
        <v>15</v>
      </c>
      <c r="H659" s="1">
        <v>15</v>
      </c>
      <c r="I659" s="6">
        <f t="shared" si="143"/>
        <v>1.3513513513513375E-2</v>
      </c>
      <c r="J659" s="21">
        <v>45856</v>
      </c>
      <c r="K659" s="1">
        <v>58.5</v>
      </c>
      <c r="L659" s="1">
        <v>58.5</v>
      </c>
      <c r="M659" s="6">
        <f t="shared" si="138"/>
        <v>3.4305317324185847E-3</v>
      </c>
      <c r="N659" s="21">
        <v>45856</v>
      </c>
      <c r="O659" s="1">
        <v>13.27</v>
      </c>
      <c r="P659" s="1">
        <v>12.674200000000001</v>
      </c>
      <c r="Q659" s="6">
        <f t="shared" si="139"/>
        <v>-7.489928017848646E-4</v>
      </c>
      <c r="R659" s="21">
        <v>45856</v>
      </c>
      <c r="S659" s="1">
        <v>8.4</v>
      </c>
      <c r="T659" s="1">
        <v>7.8673999999999999</v>
      </c>
      <c r="U659" s="6">
        <f t="shared" si="144"/>
        <v>5.984195586016483E-3</v>
      </c>
      <c r="V659" s="21">
        <v>45856</v>
      </c>
      <c r="W659" s="1">
        <v>5.69</v>
      </c>
      <c r="X659" s="1">
        <v>5.69</v>
      </c>
      <c r="Y659" s="6">
        <f t="shared" si="137"/>
        <v>5.300353356890497E-3</v>
      </c>
      <c r="Z659" s="21">
        <v>45856</v>
      </c>
      <c r="AA659" s="1">
        <v>2</v>
      </c>
      <c r="AB659" s="1">
        <v>2</v>
      </c>
      <c r="AC659" s="6">
        <f t="shared" si="140"/>
        <v>-1.477832512315258E-2</v>
      </c>
      <c r="AD659" s="21">
        <v>45856</v>
      </c>
      <c r="AE659" s="1">
        <v>15.38</v>
      </c>
      <c r="AF659" s="1">
        <v>15.38</v>
      </c>
      <c r="AG659" s="6">
        <f t="shared" si="141"/>
        <v>-7.1013557133634553E-3</v>
      </c>
      <c r="AH659" s="21">
        <v>45856</v>
      </c>
      <c r="AI659" s="1">
        <v>12.49</v>
      </c>
      <c r="AJ659" s="1">
        <v>12.49</v>
      </c>
      <c r="AK659" s="6">
        <f t="shared" si="142"/>
        <v>-8.0000000000002292E-4</v>
      </c>
      <c r="AL659" s="21">
        <v>45856</v>
      </c>
      <c r="AM659" s="1">
        <v>1.89</v>
      </c>
      <c r="AN659" s="1">
        <v>1.89</v>
      </c>
      <c r="AO659" s="6">
        <v>-2.0725388601036343E-2</v>
      </c>
      <c r="AP659" s="21" t="s">
        <v>662</v>
      </c>
      <c r="AQ659" s="1">
        <v>11796.33</v>
      </c>
      <c r="AR659" s="6">
        <v>7.287232327826132E-4</v>
      </c>
    </row>
    <row r="660" spans="2:44" x14ac:dyDescent="0.35">
      <c r="B660" s="21">
        <v>45859</v>
      </c>
      <c r="C660" s="1">
        <v>0.75</v>
      </c>
      <c r="D660" s="1">
        <v>0.75</v>
      </c>
      <c r="E660" s="6">
        <f t="shared" si="145"/>
        <v>2.7397260273972712E-2</v>
      </c>
      <c r="F660" s="21">
        <v>45859</v>
      </c>
      <c r="G660" s="1">
        <v>15.44</v>
      </c>
      <c r="H660" s="1">
        <v>15.44</v>
      </c>
      <c r="I660" s="6">
        <f t="shared" si="143"/>
        <v>2.9333333333333211E-2</v>
      </c>
      <c r="J660" s="21">
        <v>45859</v>
      </c>
      <c r="K660" s="1">
        <v>57.75</v>
      </c>
      <c r="L660" s="1">
        <v>57.75</v>
      </c>
      <c r="M660" s="6">
        <f t="shared" si="138"/>
        <v>-1.2820512820512775E-2</v>
      </c>
      <c r="N660" s="21">
        <v>45859</v>
      </c>
      <c r="O660" s="1">
        <v>13.11</v>
      </c>
      <c r="P660" s="1">
        <v>12.5214</v>
      </c>
      <c r="Q660" s="6">
        <f t="shared" si="139"/>
        <v>-1.2055987754651221E-2</v>
      </c>
      <c r="R660" s="21">
        <v>45859</v>
      </c>
      <c r="S660" s="1">
        <v>8.6</v>
      </c>
      <c r="T660" s="1">
        <v>8.0548000000000002</v>
      </c>
      <c r="U660" s="6">
        <f t="shared" si="144"/>
        <v>2.3819813407224721E-2</v>
      </c>
      <c r="V660" s="21">
        <v>45859</v>
      </c>
      <c r="W660" s="1">
        <v>5.66</v>
      </c>
      <c r="X660" s="1">
        <v>5.66</v>
      </c>
      <c r="Y660" s="6">
        <f t="shared" si="137"/>
        <v>-5.2724077328647478E-3</v>
      </c>
      <c r="Z660" s="21">
        <v>45859</v>
      </c>
      <c r="AA660" s="1">
        <v>2</v>
      </c>
      <c r="AB660" s="1">
        <v>2</v>
      </c>
      <c r="AC660" s="6">
        <f t="shared" si="140"/>
        <v>0</v>
      </c>
      <c r="AD660" s="21">
        <v>45859</v>
      </c>
      <c r="AE660" s="1">
        <v>15.39</v>
      </c>
      <c r="AF660" s="1">
        <v>15.39</v>
      </c>
      <c r="AG660" s="6">
        <f t="shared" si="141"/>
        <v>6.5019505851759973E-4</v>
      </c>
      <c r="AH660" s="21">
        <v>45859</v>
      </c>
      <c r="AI660" s="1">
        <v>12.25</v>
      </c>
      <c r="AJ660" s="1">
        <v>12.25</v>
      </c>
      <c r="AK660" s="6">
        <f t="shared" si="142"/>
        <v>-1.9215372297838318E-2</v>
      </c>
      <c r="AL660" s="21">
        <v>45859</v>
      </c>
      <c r="AM660" s="1">
        <v>1.93</v>
      </c>
      <c r="AN660" s="1">
        <v>1.93</v>
      </c>
      <c r="AO660" s="6">
        <v>2.1164021164021163E-2</v>
      </c>
      <c r="AP660" s="21" t="s">
        <v>663</v>
      </c>
      <c r="AQ660" s="1">
        <v>11808.09</v>
      </c>
      <c r="AR660" s="6">
        <v>9.9692022857955642E-4</v>
      </c>
    </row>
    <row r="661" spans="2:44" x14ac:dyDescent="0.35">
      <c r="B661" s="21">
        <v>45860</v>
      </c>
      <c r="C661" s="1">
        <v>0.72</v>
      </c>
      <c r="D661" s="1">
        <v>0.72</v>
      </c>
      <c r="E661" s="6">
        <f t="shared" si="145"/>
        <v>-4.0000000000000036E-2</v>
      </c>
      <c r="F661" s="21">
        <v>45860</v>
      </c>
      <c r="G661" s="1">
        <v>15.2</v>
      </c>
      <c r="H661" s="1">
        <v>15.2</v>
      </c>
      <c r="I661" s="6">
        <f t="shared" si="143"/>
        <v>-1.5544041450777257E-2</v>
      </c>
      <c r="J661" s="21">
        <v>45860</v>
      </c>
      <c r="K661" s="1">
        <v>57.75</v>
      </c>
      <c r="L661" s="1">
        <v>57.75</v>
      </c>
      <c r="M661" s="6">
        <f t="shared" si="138"/>
        <v>0</v>
      </c>
      <c r="N661" s="21">
        <v>45860</v>
      </c>
      <c r="O661" s="1">
        <v>13.3</v>
      </c>
      <c r="P661" s="1">
        <v>12.7028</v>
      </c>
      <c r="Q661" s="6">
        <f t="shared" si="139"/>
        <v>1.4487197917165906E-2</v>
      </c>
      <c r="R661" s="21">
        <v>45860</v>
      </c>
      <c r="S661" s="1">
        <v>8.75</v>
      </c>
      <c r="T661" s="1">
        <v>8.1952999999999996</v>
      </c>
      <c r="U661" s="6">
        <f t="shared" si="144"/>
        <v>1.7443015344887458E-2</v>
      </c>
      <c r="V661" s="21">
        <v>45860</v>
      </c>
      <c r="W661" s="1">
        <v>5.67</v>
      </c>
      <c r="X661" s="1">
        <v>5.67</v>
      </c>
      <c r="Y661" s="6">
        <f t="shared" ref="Y661:Y708" si="146">(X661/X660)-1</f>
        <v>1.7667844522968323E-3</v>
      </c>
      <c r="Z661" s="21">
        <v>45860</v>
      </c>
      <c r="AA661" s="1">
        <v>2</v>
      </c>
      <c r="AB661" s="1">
        <v>2</v>
      </c>
      <c r="AC661" s="6">
        <f t="shared" si="140"/>
        <v>0</v>
      </c>
      <c r="AD661" s="21">
        <v>45860</v>
      </c>
      <c r="AE661" s="1">
        <v>15.5</v>
      </c>
      <c r="AF661" s="1">
        <v>15.5</v>
      </c>
      <c r="AG661" s="6">
        <f t="shared" si="141"/>
        <v>7.1474983755686061E-3</v>
      </c>
      <c r="AH661" s="21">
        <v>45860</v>
      </c>
      <c r="AI661" s="1">
        <v>12.02</v>
      </c>
      <c r="AJ661" s="1">
        <v>12.02</v>
      </c>
      <c r="AK661" s="6">
        <f t="shared" si="142"/>
        <v>-1.8775510204081636E-2</v>
      </c>
      <c r="AL661" s="21">
        <v>45860</v>
      </c>
      <c r="AM661" s="1">
        <v>1.98</v>
      </c>
      <c r="AN661" s="1">
        <v>1.98</v>
      </c>
      <c r="AO661" s="6">
        <v>2.5906735751295429E-2</v>
      </c>
      <c r="AP661" s="21" t="s">
        <v>664</v>
      </c>
      <c r="AQ661" s="1">
        <v>11828.08</v>
      </c>
      <c r="AR661" s="6">
        <v>1.6929071509448335E-3</v>
      </c>
    </row>
    <row r="662" spans="2:44" x14ac:dyDescent="0.35">
      <c r="B662" s="21">
        <v>45861</v>
      </c>
      <c r="C662" s="1">
        <v>0.69</v>
      </c>
      <c r="D662" s="1">
        <v>0.69</v>
      </c>
      <c r="E662" s="6">
        <f t="shared" si="145"/>
        <v>-4.1666666666666741E-2</v>
      </c>
      <c r="F662" s="21">
        <v>45861</v>
      </c>
      <c r="G662" s="1">
        <v>15.11</v>
      </c>
      <c r="H662" s="1">
        <v>15.11</v>
      </c>
      <c r="I662" s="6">
        <f t="shared" si="143"/>
        <v>-5.921052631578938E-3</v>
      </c>
      <c r="J662" s="21">
        <v>45861</v>
      </c>
      <c r="K662" s="1">
        <v>57.81</v>
      </c>
      <c r="L662" s="1">
        <v>57.81</v>
      </c>
      <c r="M662" s="6">
        <f t="shared" si="138"/>
        <v>1.0389610389611725E-3</v>
      </c>
      <c r="N662" s="21">
        <v>45861</v>
      </c>
      <c r="O662" s="1">
        <v>13.27</v>
      </c>
      <c r="P662" s="1">
        <v>12.674200000000001</v>
      </c>
      <c r="Q662" s="6">
        <f t="shared" si="139"/>
        <v>-2.2514721163837681E-3</v>
      </c>
      <c r="R662" s="21">
        <v>45861</v>
      </c>
      <c r="S662" s="1">
        <v>8.7799999999999994</v>
      </c>
      <c r="T662" s="1">
        <v>8.2233000000000001</v>
      </c>
      <c r="U662" s="6">
        <f t="shared" si="144"/>
        <v>3.4165924371285517E-3</v>
      </c>
      <c r="V662" s="21">
        <v>45861</v>
      </c>
      <c r="W662" s="1">
        <v>5.67</v>
      </c>
      <c r="X662" s="1">
        <v>5.67</v>
      </c>
      <c r="Y662" s="6">
        <f t="shared" si="146"/>
        <v>0</v>
      </c>
      <c r="Z662" s="21">
        <v>45861</v>
      </c>
      <c r="AA662" s="1">
        <v>1.99</v>
      </c>
      <c r="AB662" s="1">
        <v>1.99</v>
      </c>
      <c r="AC662" s="6">
        <f t="shared" si="140"/>
        <v>-5.0000000000000044E-3</v>
      </c>
      <c r="AD662" s="21">
        <v>45861</v>
      </c>
      <c r="AE662" s="1">
        <v>15.5</v>
      </c>
      <c r="AF662" s="1">
        <v>15.5</v>
      </c>
      <c r="AG662" s="6">
        <f t="shared" si="141"/>
        <v>0</v>
      </c>
      <c r="AH662" s="21">
        <v>45861</v>
      </c>
      <c r="AI662" s="1">
        <v>12.25</v>
      </c>
      <c r="AJ662" s="1">
        <v>12.25</v>
      </c>
      <c r="AK662" s="6">
        <f t="shared" si="142"/>
        <v>1.9134775374376023E-2</v>
      </c>
      <c r="AL662" s="21">
        <v>45861</v>
      </c>
      <c r="AM662" s="1">
        <v>2.06</v>
      </c>
      <c r="AN662" s="1">
        <v>2.06</v>
      </c>
      <c r="AO662" s="6">
        <v>4.0404040404040442E-2</v>
      </c>
      <c r="AP662" s="21" t="s">
        <v>665</v>
      </c>
      <c r="AQ662" s="1">
        <v>11857.13</v>
      </c>
      <c r="AR662" s="6">
        <v>2.4560199119383341E-3</v>
      </c>
    </row>
    <row r="663" spans="2:44" x14ac:dyDescent="0.35">
      <c r="B663" s="21">
        <v>45862</v>
      </c>
      <c r="C663" s="1">
        <v>0.66</v>
      </c>
      <c r="D663" s="1">
        <v>0.66</v>
      </c>
      <c r="E663" s="6">
        <f t="shared" si="145"/>
        <v>-4.3478260869565077E-2</v>
      </c>
      <c r="F663" s="21">
        <v>45862</v>
      </c>
      <c r="G663" s="1">
        <v>15.44</v>
      </c>
      <c r="H663" s="1">
        <v>15.44</v>
      </c>
      <c r="I663" s="6">
        <f t="shared" si="143"/>
        <v>2.183984116479154E-2</v>
      </c>
      <c r="J663" s="21">
        <v>45862</v>
      </c>
      <c r="K663" s="1">
        <v>57.95</v>
      </c>
      <c r="L663" s="1">
        <v>57.95</v>
      </c>
      <c r="M663" s="6">
        <f t="shared" si="138"/>
        <v>2.421726344923103E-3</v>
      </c>
      <c r="N663" s="21">
        <v>45862</v>
      </c>
      <c r="O663" s="1">
        <v>13.2</v>
      </c>
      <c r="P663" s="1">
        <v>12.6073</v>
      </c>
      <c r="Q663" s="6">
        <f t="shared" si="139"/>
        <v>-5.2784396648309917E-3</v>
      </c>
      <c r="R663" s="21">
        <v>45862</v>
      </c>
      <c r="S663" s="1">
        <v>9.25</v>
      </c>
      <c r="T663" s="1">
        <v>8.6636000000000006</v>
      </c>
      <c r="U663" s="6">
        <f t="shared" si="144"/>
        <v>5.3542981528097E-2</v>
      </c>
      <c r="V663" s="21">
        <v>45862</v>
      </c>
      <c r="W663" s="1">
        <v>5.7</v>
      </c>
      <c r="X663" s="1">
        <v>5.7</v>
      </c>
      <c r="Y663" s="6">
        <f t="shared" si="146"/>
        <v>5.2910052910053462E-3</v>
      </c>
      <c r="Z663" s="21">
        <v>45862</v>
      </c>
      <c r="AA663" s="1">
        <v>1.99</v>
      </c>
      <c r="AB663" s="1">
        <v>1.99</v>
      </c>
      <c r="AC663" s="6">
        <f t="shared" si="140"/>
        <v>0</v>
      </c>
      <c r="AD663" s="21">
        <v>45862</v>
      </c>
      <c r="AE663" s="1">
        <v>15.5</v>
      </c>
      <c r="AF663" s="1">
        <v>15.5</v>
      </c>
      <c r="AG663" s="6">
        <f t="shared" si="141"/>
        <v>0</v>
      </c>
      <c r="AH663" s="21">
        <v>45862</v>
      </c>
      <c r="AI663" s="1">
        <v>12.35</v>
      </c>
      <c r="AJ663" s="1">
        <v>12.35</v>
      </c>
      <c r="AK663" s="6">
        <f t="shared" si="142"/>
        <v>8.1632653061223248E-3</v>
      </c>
      <c r="AL663" s="21">
        <v>45862</v>
      </c>
      <c r="AM663" s="1">
        <v>2.15</v>
      </c>
      <c r="AN663" s="1">
        <v>2.15</v>
      </c>
      <c r="AO663" s="6">
        <v>4.3689320388349495E-2</v>
      </c>
      <c r="AP663" s="21" t="s">
        <v>666</v>
      </c>
      <c r="AQ663" s="1">
        <v>11875.03</v>
      </c>
      <c r="AR663" s="6">
        <v>1.5096401911762758E-3</v>
      </c>
    </row>
    <row r="664" spans="2:44" x14ac:dyDescent="0.35">
      <c r="B664" s="21">
        <v>45866</v>
      </c>
      <c r="C664" s="1">
        <v>0.67</v>
      </c>
      <c r="D664" s="1">
        <v>0.67</v>
      </c>
      <c r="E664" s="6">
        <f t="shared" si="145"/>
        <v>1.5151515151515138E-2</v>
      </c>
      <c r="F664" s="21">
        <v>45866</v>
      </c>
      <c r="G664" s="1">
        <v>15.35</v>
      </c>
      <c r="H664" s="1">
        <v>15.35</v>
      </c>
      <c r="I664" s="6">
        <f t="shared" si="143"/>
        <v>-5.8290155440414715E-3</v>
      </c>
      <c r="J664" s="21">
        <v>45866</v>
      </c>
      <c r="K664" s="1">
        <v>58.49</v>
      </c>
      <c r="L664" s="1">
        <v>58.49</v>
      </c>
      <c r="M664" s="6">
        <f t="shared" si="138"/>
        <v>9.318377911993192E-3</v>
      </c>
      <c r="N664" s="21">
        <v>45866</v>
      </c>
      <c r="O664" s="1">
        <v>13.17</v>
      </c>
      <c r="P664" s="1">
        <v>12.5787</v>
      </c>
      <c r="Q664" s="6">
        <f t="shared" si="139"/>
        <v>-2.2685269645364992E-3</v>
      </c>
      <c r="R664" s="21">
        <v>45866</v>
      </c>
      <c r="S664" s="1">
        <v>9.15</v>
      </c>
      <c r="T664" s="1">
        <v>8.5699000000000005</v>
      </c>
      <c r="U664" s="6">
        <f t="shared" si="144"/>
        <v>-1.081536543700079E-2</v>
      </c>
      <c r="V664" s="21">
        <v>45866</v>
      </c>
      <c r="W664" s="1">
        <v>5.7</v>
      </c>
      <c r="X664" s="1">
        <v>5.7</v>
      </c>
      <c r="Y664" s="6">
        <f t="shared" si="146"/>
        <v>0</v>
      </c>
      <c r="Z664" s="21">
        <v>45866</v>
      </c>
      <c r="AA664" s="1">
        <v>1.98</v>
      </c>
      <c r="AB664" s="1">
        <v>1.98</v>
      </c>
      <c r="AC664" s="6">
        <f t="shared" si="140"/>
        <v>-5.0251256281407253E-3</v>
      </c>
      <c r="AD664" s="21">
        <v>45866</v>
      </c>
      <c r="AE664" s="1">
        <v>14.83</v>
      </c>
      <c r="AF664" s="1">
        <v>14.83</v>
      </c>
      <c r="AG664" s="6">
        <f t="shared" si="141"/>
        <v>-4.3225806451612891E-2</v>
      </c>
      <c r="AH664" s="21">
        <v>45866</v>
      </c>
      <c r="AI664" s="1">
        <v>12.16</v>
      </c>
      <c r="AJ664" s="1">
        <v>12.16</v>
      </c>
      <c r="AK664" s="6">
        <f t="shared" si="142"/>
        <v>-1.538461538461533E-2</v>
      </c>
      <c r="AL664" s="21">
        <v>45866</v>
      </c>
      <c r="AM664" s="1">
        <v>2.0699999999999998</v>
      </c>
      <c r="AN664" s="1">
        <v>2.0699999999999998</v>
      </c>
      <c r="AO664" s="6">
        <v>-3.7209302325581395E-2</v>
      </c>
      <c r="AP664" s="21" t="s">
        <v>667</v>
      </c>
      <c r="AQ664" s="1">
        <v>11855.8</v>
      </c>
      <c r="AR664" s="6">
        <v>-1.6193643300270733E-3</v>
      </c>
    </row>
    <row r="665" spans="2:44" x14ac:dyDescent="0.35">
      <c r="B665" s="21">
        <v>45867</v>
      </c>
      <c r="C665" s="1">
        <v>0.69</v>
      </c>
      <c r="D665" s="1">
        <v>0.69</v>
      </c>
      <c r="E665" s="6">
        <f t="shared" si="145"/>
        <v>2.9850746268656581E-2</v>
      </c>
      <c r="F665" s="21">
        <v>45867</v>
      </c>
      <c r="G665" s="1">
        <v>15.43</v>
      </c>
      <c r="H665" s="1">
        <v>15.43</v>
      </c>
      <c r="I665" s="6">
        <f t="shared" si="143"/>
        <v>5.2117263843647343E-3</v>
      </c>
      <c r="J665" s="21">
        <v>45867</v>
      </c>
      <c r="K665" s="1">
        <v>58</v>
      </c>
      <c r="L665" s="1">
        <v>58</v>
      </c>
      <c r="M665" s="6">
        <f t="shared" si="138"/>
        <v>-8.3775004274235787E-3</v>
      </c>
      <c r="N665" s="21">
        <v>45867</v>
      </c>
      <c r="O665" s="1">
        <v>13.12</v>
      </c>
      <c r="P665" s="1">
        <v>12.530900000000001</v>
      </c>
      <c r="Q665" s="6">
        <f t="shared" si="139"/>
        <v>-3.8000747295029447E-3</v>
      </c>
      <c r="R665" s="21">
        <v>45867</v>
      </c>
      <c r="S665" s="1">
        <v>9.1</v>
      </c>
      <c r="T665" s="1">
        <v>8.5230999999999995</v>
      </c>
      <c r="U665" s="6">
        <f t="shared" si="144"/>
        <v>-5.4609738736742797E-3</v>
      </c>
      <c r="V665" s="21">
        <v>45867</v>
      </c>
      <c r="W665" s="1">
        <v>5.6</v>
      </c>
      <c r="X665" s="1">
        <v>5.6</v>
      </c>
      <c r="Y665" s="6">
        <f t="shared" si="146"/>
        <v>-1.7543859649122862E-2</v>
      </c>
      <c r="Z665" s="21">
        <v>45867</v>
      </c>
      <c r="AA665" s="1">
        <v>2</v>
      </c>
      <c r="AB665" s="1">
        <v>2</v>
      </c>
      <c r="AC665" s="6">
        <f t="shared" si="140"/>
        <v>1.0101010101010166E-2</v>
      </c>
      <c r="AD665" s="21">
        <v>45867</v>
      </c>
      <c r="AE665" s="1">
        <v>15.2</v>
      </c>
      <c r="AF665" s="1">
        <v>15.2</v>
      </c>
      <c r="AG665" s="6">
        <f t="shared" si="141"/>
        <v>2.4949426837491462E-2</v>
      </c>
      <c r="AH665" s="21">
        <v>45867</v>
      </c>
      <c r="AI665" s="1">
        <v>12.15</v>
      </c>
      <c r="AJ665" s="1">
        <v>12.15</v>
      </c>
      <c r="AK665" s="6">
        <f t="shared" si="142"/>
        <v>-8.2236842105265495E-4</v>
      </c>
      <c r="AL665" s="21">
        <v>45867</v>
      </c>
      <c r="AM665" s="1">
        <v>2.13</v>
      </c>
      <c r="AN665" s="1">
        <v>2.13</v>
      </c>
      <c r="AO665" s="6">
        <v>2.898550724637694E-2</v>
      </c>
      <c r="AP665" s="21" t="s">
        <v>668</v>
      </c>
      <c r="AQ665" s="1">
        <v>11848.82</v>
      </c>
      <c r="AR665" s="6">
        <v>-5.8874137552922257E-4</v>
      </c>
    </row>
    <row r="666" spans="2:44" x14ac:dyDescent="0.35">
      <c r="B666" s="21">
        <v>45868</v>
      </c>
      <c r="C666" s="1">
        <v>0.71</v>
      </c>
      <c r="D666" s="1">
        <v>0.71</v>
      </c>
      <c r="E666" s="6">
        <f t="shared" si="145"/>
        <v>2.898550724637694E-2</v>
      </c>
      <c r="F666" s="21">
        <v>45868</v>
      </c>
      <c r="G666" s="1">
        <v>16</v>
      </c>
      <c r="H666" s="1">
        <v>16</v>
      </c>
      <c r="I666" s="6">
        <f t="shared" si="143"/>
        <v>3.6941023979261134E-2</v>
      </c>
      <c r="J666" s="21">
        <v>45868</v>
      </c>
      <c r="K666" s="1">
        <v>57.89</v>
      </c>
      <c r="L666" s="1">
        <v>57.89</v>
      </c>
      <c r="M666" s="6">
        <f t="shared" si="138"/>
        <v>-1.8965517241379404E-3</v>
      </c>
      <c r="N666" s="21">
        <v>45868</v>
      </c>
      <c r="O666" s="1">
        <v>13.1</v>
      </c>
      <c r="P666" s="1">
        <v>12.511799999999999</v>
      </c>
      <c r="Q666" s="6">
        <f t="shared" si="139"/>
        <v>-1.5242320982532531E-3</v>
      </c>
      <c r="R666" s="21">
        <v>45868</v>
      </c>
      <c r="S666" s="1">
        <v>9.0500000000000007</v>
      </c>
      <c r="T666" s="1">
        <v>8.4762000000000004</v>
      </c>
      <c r="U666" s="6">
        <f t="shared" si="144"/>
        <v>-5.5026926822399069E-3</v>
      </c>
      <c r="V666" s="21">
        <v>45868</v>
      </c>
      <c r="W666" s="1">
        <v>5.66</v>
      </c>
      <c r="X666" s="1">
        <v>5.66</v>
      </c>
      <c r="Y666" s="6">
        <f t="shared" si="146"/>
        <v>1.0714285714285898E-2</v>
      </c>
      <c r="Z666" s="21">
        <v>45868</v>
      </c>
      <c r="AA666" s="1">
        <v>1.96</v>
      </c>
      <c r="AB666" s="1">
        <v>1.96</v>
      </c>
      <c r="AC666" s="6">
        <f t="shared" si="140"/>
        <v>-2.0000000000000018E-2</v>
      </c>
      <c r="AD666" s="21">
        <v>45868</v>
      </c>
      <c r="AE666" s="1">
        <v>15.49</v>
      </c>
      <c r="AF666" s="1">
        <v>15.49</v>
      </c>
      <c r="AG666" s="6">
        <f t="shared" si="141"/>
        <v>1.9078947368421195E-2</v>
      </c>
      <c r="AH666" s="21">
        <v>45868</v>
      </c>
      <c r="AI666" s="1">
        <v>12.2</v>
      </c>
      <c r="AJ666" s="1">
        <v>12.2</v>
      </c>
      <c r="AK666" s="6">
        <f t="shared" si="142"/>
        <v>4.1152263374484299E-3</v>
      </c>
      <c r="AL666" s="21">
        <v>45868</v>
      </c>
      <c r="AM666" s="1">
        <v>2.12</v>
      </c>
      <c r="AN666" s="1">
        <v>2.12</v>
      </c>
      <c r="AO666" s="6">
        <v>-4.6948356807510194E-3</v>
      </c>
      <c r="AP666" s="21" t="s">
        <v>669</v>
      </c>
      <c r="AQ666" s="1">
        <v>11864.55</v>
      </c>
      <c r="AR666" s="6">
        <v>1.3275583560219406E-3</v>
      </c>
    </row>
    <row r="667" spans="2:44" x14ac:dyDescent="0.35">
      <c r="B667" s="21">
        <v>45869</v>
      </c>
      <c r="C667" s="1">
        <v>0.71</v>
      </c>
      <c r="D667" s="1">
        <v>0.71</v>
      </c>
      <c r="E667" s="6">
        <f t="shared" si="145"/>
        <v>0</v>
      </c>
      <c r="F667" s="21">
        <v>45869</v>
      </c>
      <c r="G667" s="1">
        <v>15.95</v>
      </c>
      <c r="H667" s="1">
        <v>15.95</v>
      </c>
      <c r="I667" s="6">
        <f t="shared" si="143"/>
        <v>-3.1250000000000444E-3</v>
      </c>
      <c r="J667" s="21">
        <v>45869</v>
      </c>
      <c r="K667" s="1">
        <v>57.8</v>
      </c>
      <c r="L667" s="1">
        <v>57.8</v>
      </c>
      <c r="M667" s="6">
        <f t="shared" si="138"/>
        <v>-1.554672655035505E-3</v>
      </c>
      <c r="N667" s="21">
        <v>45869</v>
      </c>
      <c r="O667" s="1">
        <v>13.07</v>
      </c>
      <c r="P667" s="1">
        <v>12.4832</v>
      </c>
      <c r="Q667" s="6">
        <f t="shared" si="139"/>
        <v>-2.2858421649961658E-3</v>
      </c>
      <c r="R667" s="21">
        <v>45869</v>
      </c>
      <c r="S667" s="1">
        <v>9.23</v>
      </c>
      <c r="T667" s="1">
        <v>8.6448</v>
      </c>
      <c r="U667" s="6">
        <f t="shared" si="144"/>
        <v>1.9890988886529293E-2</v>
      </c>
      <c r="V667" s="21">
        <v>45869</v>
      </c>
      <c r="W667" s="1">
        <v>5.65</v>
      </c>
      <c r="X667" s="1">
        <v>5.65</v>
      </c>
      <c r="Y667" s="6">
        <f t="shared" si="146"/>
        <v>-1.7667844522968323E-3</v>
      </c>
      <c r="Z667" s="21">
        <v>45869</v>
      </c>
      <c r="AA667" s="1">
        <v>1.96</v>
      </c>
      <c r="AB667" s="1">
        <v>1.96</v>
      </c>
      <c r="AC667" s="6">
        <f t="shared" si="140"/>
        <v>0</v>
      </c>
      <c r="AD667" s="21">
        <v>45869</v>
      </c>
      <c r="AE667" s="1">
        <v>15.48</v>
      </c>
      <c r="AF667" s="1">
        <v>15.48</v>
      </c>
      <c r="AG667" s="6">
        <f t="shared" si="141"/>
        <v>-6.4557779212393029E-4</v>
      </c>
      <c r="AH667" s="21">
        <v>45869</v>
      </c>
      <c r="AI667" s="1">
        <v>12.15</v>
      </c>
      <c r="AJ667" s="1">
        <v>12.15</v>
      </c>
      <c r="AK667" s="6">
        <f t="shared" si="142"/>
        <v>-4.098360655737654E-3</v>
      </c>
      <c r="AL667" s="21">
        <v>45869</v>
      </c>
      <c r="AM667" s="1">
        <v>2.12</v>
      </c>
      <c r="AN667" s="1">
        <v>2.12</v>
      </c>
      <c r="AO667" s="6">
        <v>0</v>
      </c>
      <c r="AP667" s="21" t="s">
        <v>670</v>
      </c>
      <c r="AQ667" s="1">
        <v>11834.99</v>
      </c>
      <c r="AR667" s="6">
        <v>-2.4914556388568876E-3</v>
      </c>
    </row>
    <row r="668" spans="2:44" x14ac:dyDescent="0.35">
      <c r="B668" s="21">
        <v>45870</v>
      </c>
      <c r="C668" s="1">
        <v>0.72</v>
      </c>
      <c r="D668" s="1">
        <v>0.72</v>
      </c>
      <c r="E668" s="6">
        <f t="shared" si="145"/>
        <v>1.4084507042253502E-2</v>
      </c>
      <c r="F668" s="21">
        <v>45870</v>
      </c>
      <c r="G668" s="1">
        <v>15.95</v>
      </c>
      <c r="H668" s="1">
        <v>15.95</v>
      </c>
      <c r="I668" s="6">
        <f t="shared" si="143"/>
        <v>0</v>
      </c>
      <c r="J668" s="21">
        <v>45870</v>
      </c>
      <c r="K668" s="1">
        <v>57.68</v>
      </c>
      <c r="L668" s="1">
        <v>57.68</v>
      </c>
      <c r="M668" s="6">
        <f t="shared" si="138"/>
        <v>-2.0761245674739692E-3</v>
      </c>
      <c r="N668" s="21">
        <v>45870</v>
      </c>
      <c r="O668" s="1">
        <v>13.15</v>
      </c>
      <c r="P668" s="1">
        <v>12.5596</v>
      </c>
      <c r="Q668" s="6">
        <f t="shared" si="139"/>
        <v>6.1202255831838137E-3</v>
      </c>
      <c r="R668" s="21">
        <v>45870</v>
      </c>
      <c r="S668" s="1">
        <v>9.25</v>
      </c>
      <c r="T668" s="1">
        <v>8.6636000000000006</v>
      </c>
      <c r="U668" s="6">
        <f t="shared" si="144"/>
        <v>2.1747177493984804E-3</v>
      </c>
      <c r="V668" s="21">
        <v>45870</v>
      </c>
      <c r="W668" s="1">
        <v>5.58</v>
      </c>
      <c r="X668" s="1">
        <v>5.58</v>
      </c>
      <c r="Y668" s="6">
        <f t="shared" si="146"/>
        <v>-1.2389380530973493E-2</v>
      </c>
      <c r="Z668" s="21">
        <v>45870</v>
      </c>
      <c r="AA668" s="1">
        <v>1.98</v>
      </c>
      <c r="AB668" s="1">
        <v>1.98</v>
      </c>
      <c r="AC668" s="6">
        <f t="shared" si="140"/>
        <v>1.0204081632652962E-2</v>
      </c>
      <c r="AD668" s="21">
        <v>45870</v>
      </c>
      <c r="AE668" s="1">
        <v>15.5</v>
      </c>
      <c r="AF668" s="1">
        <v>15.5</v>
      </c>
      <c r="AG668" s="6">
        <f t="shared" si="141"/>
        <v>1.2919896640826156E-3</v>
      </c>
      <c r="AH668" s="21">
        <v>45870</v>
      </c>
      <c r="AI668" s="1">
        <v>12.15</v>
      </c>
      <c r="AJ668" s="1">
        <v>12.15</v>
      </c>
      <c r="AK668" s="6">
        <f t="shared" si="142"/>
        <v>0</v>
      </c>
      <c r="AL668" s="21">
        <v>45870</v>
      </c>
      <c r="AM668" s="1">
        <v>2.12</v>
      </c>
      <c r="AN668" s="1">
        <v>2.12</v>
      </c>
      <c r="AO668" s="6">
        <v>0</v>
      </c>
      <c r="AP668" s="21" t="s">
        <v>671</v>
      </c>
      <c r="AQ668" s="1">
        <v>11851.41</v>
      </c>
      <c r="AR668" s="6">
        <v>1.3874113962073498E-3</v>
      </c>
    </row>
    <row r="669" spans="2:44" x14ac:dyDescent="0.35">
      <c r="B669" s="21">
        <v>45873</v>
      </c>
      <c r="C669" s="1">
        <v>0.71</v>
      </c>
      <c r="D669" s="1">
        <v>0.71</v>
      </c>
      <c r="E669" s="6">
        <f t="shared" si="145"/>
        <v>-1.3888888888888951E-2</v>
      </c>
      <c r="F669" s="21">
        <v>45873</v>
      </c>
      <c r="G669" s="1">
        <v>15.7</v>
      </c>
      <c r="H669" s="1">
        <v>15.7</v>
      </c>
      <c r="I669" s="6">
        <f t="shared" si="143"/>
        <v>-1.5673981191222541E-2</v>
      </c>
      <c r="J669" s="21">
        <v>45873</v>
      </c>
      <c r="K669" s="1">
        <v>57.7</v>
      </c>
      <c r="L669" s="1">
        <v>57.7</v>
      </c>
      <c r="M669" s="6">
        <f t="shared" si="138"/>
        <v>3.4674063800288479E-4</v>
      </c>
      <c r="N669" s="21">
        <v>45873</v>
      </c>
      <c r="O669" s="1">
        <v>13.15</v>
      </c>
      <c r="P669" s="1">
        <v>12.5596</v>
      </c>
      <c r="Q669" s="6">
        <f t="shared" si="139"/>
        <v>0</v>
      </c>
      <c r="R669" s="21">
        <v>45873</v>
      </c>
      <c r="S669" s="1">
        <v>9.3000000000000007</v>
      </c>
      <c r="T669" s="1">
        <v>8.7103999999999999</v>
      </c>
      <c r="U669" s="6">
        <f t="shared" si="144"/>
        <v>5.4019114455883255E-3</v>
      </c>
      <c r="V669" s="21">
        <v>45873</v>
      </c>
      <c r="W669" s="1">
        <v>5.64</v>
      </c>
      <c r="X669" s="1">
        <v>5.64</v>
      </c>
      <c r="Y669" s="6">
        <f t="shared" si="146"/>
        <v>1.0752688172043001E-2</v>
      </c>
      <c r="Z669" s="21">
        <v>45873</v>
      </c>
      <c r="AA669" s="1">
        <v>1.98</v>
      </c>
      <c r="AB669" s="1">
        <v>1.98</v>
      </c>
      <c r="AC669" s="6">
        <f t="shared" si="140"/>
        <v>0</v>
      </c>
      <c r="AD669" s="21">
        <v>45873</v>
      </c>
      <c r="AE669" s="1">
        <v>15.45</v>
      </c>
      <c r="AF669" s="1">
        <v>15.45</v>
      </c>
      <c r="AG669" s="6">
        <f t="shared" si="141"/>
        <v>-3.225806451612967E-3</v>
      </c>
      <c r="AH669" s="21">
        <v>45873</v>
      </c>
      <c r="AI669" s="1">
        <v>12.15</v>
      </c>
      <c r="AJ669" s="1">
        <v>12.15</v>
      </c>
      <c r="AK669" s="6">
        <f t="shared" si="142"/>
        <v>0</v>
      </c>
      <c r="AL669" s="21">
        <v>45873</v>
      </c>
      <c r="AM669" s="1">
        <v>2.17</v>
      </c>
      <c r="AN669" s="1">
        <v>2.17</v>
      </c>
      <c r="AO669" s="6">
        <v>2.3584905660377187E-2</v>
      </c>
      <c r="AP669" s="21" t="s">
        <v>672</v>
      </c>
      <c r="AQ669" s="1">
        <v>11848.12</v>
      </c>
      <c r="AR669" s="6">
        <v>-2.7760409942778619E-4</v>
      </c>
    </row>
    <row r="670" spans="2:44" x14ac:dyDescent="0.35">
      <c r="B670" s="21">
        <v>45874</v>
      </c>
      <c r="C670" s="1">
        <v>0.69</v>
      </c>
      <c r="D670" s="1">
        <v>0.69</v>
      </c>
      <c r="E670" s="6">
        <f t="shared" si="145"/>
        <v>-2.8169014084507116E-2</v>
      </c>
      <c r="F670" s="21">
        <v>45874</v>
      </c>
      <c r="G670" s="1">
        <v>15.9</v>
      </c>
      <c r="H670" s="1">
        <v>15.9</v>
      </c>
      <c r="I670" s="6">
        <f t="shared" si="143"/>
        <v>1.2738853503184711E-2</v>
      </c>
      <c r="J670" s="21">
        <v>45874</v>
      </c>
      <c r="K670" s="1">
        <v>57.7</v>
      </c>
      <c r="L670" s="1">
        <v>57.7</v>
      </c>
      <c r="M670" s="6">
        <f t="shared" si="138"/>
        <v>0</v>
      </c>
      <c r="N670" s="21">
        <v>45874</v>
      </c>
      <c r="O670" s="1">
        <v>13.15</v>
      </c>
      <c r="P670" s="1">
        <v>12.5596</v>
      </c>
      <c r="Q670" s="6">
        <f t="shared" si="139"/>
        <v>0</v>
      </c>
      <c r="R670" s="21">
        <v>45874</v>
      </c>
      <c r="S670" s="1">
        <v>9.4</v>
      </c>
      <c r="T670" s="1">
        <v>8.8040000000000003</v>
      </c>
      <c r="U670" s="6">
        <f t="shared" si="144"/>
        <v>1.0745775165319715E-2</v>
      </c>
      <c r="V670" s="21">
        <v>45874</v>
      </c>
      <c r="W670" s="1">
        <v>5.64</v>
      </c>
      <c r="X670" s="1">
        <v>5.64</v>
      </c>
      <c r="Y670" s="6">
        <f t="shared" si="146"/>
        <v>0</v>
      </c>
      <c r="Z670" s="21">
        <v>45874</v>
      </c>
      <c r="AA670" s="1">
        <v>1.96</v>
      </c>
      <c r="AB670" s="1">
        <v>1.96</v>
      </c>
      <c r="AC670" s="6">
        <f t="shared" si="140"/>
        <v>-1.0101010101010055E-2</v>
      </c>
      <c r="AD670" s="21">
        <v>45874</v>
      </c>
      <c r="AE670" s="1">
        <v>15.34</v>
      </c>
      <c r="AF670" s="1">
        <v>15.34</v>
      </c>
      <c r="AG670" s="6">
        <f t="shared" si="141"/>
        <v>-7.11974110032354E-3</v>
      </c>
      <c r="AH670" s="21">
        <v>45874</v>
      </c>
      <c r="AI670" s="1">
        <v>12.1</v>
      </c>
      <c r="AJ670" s="1">
        <v>12.1</v>
      </c>
      <c r="AK670" s="6">
        <f t="shared" si="142"/>
        <v>-4.115226337448652E-3</v>
      </c>
      <c r="AL670" s="21">
        <v>45874</v>
      </c>
      <c r="AM670" s="1">
        <v>2.2000000000000002</v>
      </c>
      <c r="AN670" s="1">
        <v>2.2000000000000002</v>
      </c>
      <c r="AO670" s="6">
        <v>1.3824884792626779E-2</v>
      </c>
      <c r="AP670" s="21" t="s">
        <v>673</v>
      </c>
      <c r="AQ670" s="1">
        <v>11814.68</v>
      </c>
      <c r="AR670" s="6">
        <v>-2.8223886996417979E-3</v>
      </c>
    </row>
    <row r="671" spans="2:44" x14ac:dyDescent="0.35">
      <c r="B671" s="21">
        <v>45875</v>
      </c>
      <c r="C671" s="1">
        <v>0.66</v>
      </c>
      <c r="D671" s="1">
        <v>0.66</v>
      </c>
      <c r="E671" s="6">
        <f t="shared" si="145"/>
        <v>-4.3478260869565077E-2</v>
      </c>
      <c r="F671" s="21">
        <v>45875</v>
      </c>
      <c r="G671" s="1">
        <v>15.4</v>
      </c>
      <c r="H671" s="1">
        <v>15.4</v>
      </c>
      <c r="I671" s="6">
        <f t="shared" si="143"/>
        <v>-3.1446540880503138E-2</v>
      </c>
      <c r="J671" s="21">
        <v>45875</v>
      </c>
      <c r="K671" s="1">
        <v>57.7</v>
      </c>
      <c r="L671" s="1">
        <v>57.7</v>
      </c>
      <c r="M671" s="6">
        <f t="shared" si="138"/>
        <v>0</v>
      </c>
      <c r="N671" s="21">
        <v>45875</v>
      </c>
      <c r="O671" s="1">
        <v>13.1</v>
      </c>
      <c r="P671" s="1">
        <v>12.511799999999999</v>
      </c>
      <c r="Q671" s="6">
        <f t="shared" si="139"/>
        <v>-3.805853689607952E-3</v>
      </c>
      <c r="R671" s="21">
        <v>45875</v>
      </c>
      <c r="S671" s="1">
        <v>9.35</v>
      </c>
      <c r="T671" s="1">
        <v>8.7571999999999992</v>
      </c>
      <c r="U671" s="6">
        <f t="shared" si="144"/>
        <v>-5.3157655611086874E-3</v>
      </c>
      <c r="V671" s="21">
        <v>45875</v>
      </c>
      <c r="W671" s="1">
        <v>5.64</v>
      </c>
      <c r="X671" s="1">
        <v>5.64</v>
      </c>
      <c r="Y671" s="6">
        <f t="shared" si="146"/>
        <v>0</v>
      </c>
      <c r="Z671" s="21">
        <v>45875</v>
      </c>
      <c r="AA671" s="1">
        <v>1.97</v>
      </c>
      <c r="AB671" s="1">
        <v>1.97</v>
      </c>
      <c r="AC671" s="6">
        <f t="shared" si="140"/>
        <v>5.1020408163264808E-3</v>
      </c>
      <c r="AD671" s="21">
        <v>45875</v>
      </c>
      <c r="AE671" s="1">
        <v>15.28</v>
      </c>
      <c r="AF671" s="1">
        <v>15.28</v>
      </c>
      <c r="AG671" s="6">
        <f t="shared" si="141"/>
        <v>-3.9113428943937656E-3</v>
      </c>
      <c r="AH671" s="21">
        <v>45875</v>
      </c>
      <c r="AI671" s="1">
        <v>12</v>
      </c>
      <c r="AJ671" s="1">
        <v>12</v>
      </c>
      <c r="AK671" s="6">
        <f t="shared" si="142"/>
        <v>-8.2644628099173278E-3</v>
      </c>
      <c r="AL671" s="21">
        <v>45875</v>
      </c>
      <c r="AM671" s="1">
        <v>2.2599999999999998</v>
      </c>
      <c r="AN671" s="1">
        <v>2.2599999999999998</v>
      </c>
      <c r="AO671" s="6">
        <v>2.7272727272727115E-2</v>
      </c>
      <c r="AP671" s="21" t="s">
        <v>674</v>
      </c>
      <c r="AQ671" s="1">
        <v>11749.39</v>
      </c>
      <c r="AR671" s="6">
        <v>-5.5261759099697327E-3</v>
      </c>
    </row>
    <row r="672" spans="2:44" x14ac:dyDescent="0.35">
      <c r="B672" s="21">
        <v>45876</v>
      </c>
      <c r="C672" s="1">
        <v>0.68</v>
      </c>
      <c r="D672" s="1">
        <v>0.68</v>
      </c>
      <c r="E672" s="6">
        <f t="shared" si="145"/>
        <v>3.0303030303030276E-2</v>
      </c>
      <c r="F672" s="21">
        <v>45876</v>
      </c>
      <c r="G672" s="1">
        <v>15.8</v>
      </c>
      <c r="H672" s="1">
        <v>15.8</v>
      </c>
      <c r="I672" s="6">
        <f t="shared" si="143"/>
        <v>2.5974025974025983E-2</v>
      </c>
      <c r="J672" s="21">
        <v>45876</v>
      </c>
      <c r="K672" s="1">
        <v>57.7</v>
      </c>
      <c r="L672" s="1">
        <v>57.7</v>
      </c>
      <c r="M672" s="6">
        <f t="shared" si="138"/>
        <v>0</v>
      </c>
      <c r="N672" s="21">
        <v>45876</v>
      </c>
      <c r="O672" s="1">
        <v>13.2</v>
      </c>
      <c r="P672" s="1">
        <v>12.6073</v>
      </c>
      <c r="Q672" s="6">
        <f t="shared" si="139"/>
        <v>7.632794641858176E-3</v>
      </c>
      <c r="R672" s="21">
        <v>45876</v>
      </c>
      <c r="S672" s="1">
        <v>9.3000000000000007</v>
      </c>
      <c r="T672" s="1">
        <v>8.7103999999999999</v>
      </c>
      <c r="U672" s="6">
        <f t="shared" si="144"/>
        <v>-5.3441739368746966E-3</v>
      </c>
      <c r="V672" s="21">
        <v>45876</v>
      </c>
      <c r="W672" s="1">
        <v>5.52</v>
      </c>
      <c r="X672" s="1">
        <v>5.52</v>
      </c>
      <c r="Y672" s="6">
        <f t="shared" si="146"/>
        <v>-2.1276595744680882E-2</v>
      </c>
      <c r="Z672" s="21">
        <v>45876</v>
      </c>
      <c r="AA672" s="1">
        <v>1.97</v>
      </c>
      <c r="AB672" s="1">
        <v>1.97</v>
      </c>
      <c r="AC672" s="6">
        <f t="shared" si="140"/>
        <v>0</v>
      </c>
      <c r="AD672" s="21">
        <v>45876</v>
      </c>
      <c r="AE672" s="1">
        <v>15.24</v>
      </c>
      <c r="AF672" s="1">
        <v>15.24</v>
      </c>
      <c r="AG672" s="6">
        <f t="shared" si="141"/>
        <v>-2.6178010471203939E-3</v>
      </c>
      <c r="AH672" s="21">
        <v>45876</v>
      </c>
      <c r="AI672" s="1">
        <v>12.33</v>
      </c>
      <c r="AJ672" s="1">
        <v>12.33</v>
      </c>
      <c r="AK672" s="6">
        <f t="shared" si="142"/>
        <v>2.750000000000008E-2</v>
      </c>
      <c r="AL672" s="21">
        <v>45876</v>
      </c>
      <c r="AM672" s="1">
        <v>2.2599999999999998</v>
      </c>
      <c r="AN672" s="1">
        <v>2.2599999999999998</v>
      </c>
      <c r="AO672" s="6">
        <v>0</v>
      </c>
      <c r="AP672" s="21" t="s">
        <v>675</v>
      </c>
      <c r="AQ672" s="1">
        <v>11820.87</v>
      </c>
      <c r="AR672" s="6">
        <v>6.0837200910006661E-3</v>
      </c>
    </row>
    <row r="673" spans="2:44" x14ac:dyDescent="0.35">
      <c r="B673" s="21">
        <v>45877</v>
      </c>
      <c r="C673" s="1">
        <v>0.7</v>
      </c>
      <c r="D673" s="1">
        <v>0.7</v>
      </c>
      <c r="E673" s="6">
        <f t="shared" si="145"/>
        <v>2.9411764705882248E-2</v>
      </c>
      <c r="F673" s="21">
        <v>45877</v>
      </c>
      <c r="G673" s="1">
        <v>15.83</v>
      </c>
      <c r="H673" s="1">
        <v>15.83</v>
      </c>
      <c r="I673" s="6">
        <f t="shared" si="143"/>
        <v>1.8987341772152E-3</v>
      </c>
      <c r="J673" s="21">
        <v>45877</v>
      </c>
      <c r="K673" s="1">
        <v>57.7</v>
      </c>
      <c r="L673" s="1">
        <v>57.7</v>
      </c>
      <c r="M673" s="6">
        <f t="shared" si="138"/>
        <v>0</v>
      </c>
      <c r="N673" s="21">
        <v>45877</v>
      </c>
      <c r="O673" s="1">
        <v>13.24</v>
      </c>
      <c r="P673" s="1">
        <v>12.6455</v>
      </c>
      <c r="Q673" s="6">
        <f t="shared" si="139"/>
        <v>3.029990561024043E-3</v>
      </c>
      <c r="R673" s="21">
        <v>45877</v>
      </c>
      <c r="S673" s="1">
        <v>9.3800000000000008</v>
      </c>
      <c r="T673" s="1">
        <v>8.7852999999999994</v>
      </c>
      <c r="U673" s="6">
        <f t="shared" si="144"/>
        <v>8.5989162380601947E-3</v>
      </c>
      <c r="V673" s="21">
        <v>45877</v>
      </c>
      <c r="W673" s="1">
        <v>5.56</v>
      </c>
      <c r="X673" s="1">
        <v>5.56</v>
      </c>
      <c r="Y673" s="6">
        <f t="shared" si="146"/>
        <v>7.2463768115942351E-3</v>
      </c>
      <c r="Z673" s="21">
        <v>45877</v>
      </c>
      <c r="AA673" s="1">
        <v>1.98</v>
      </c>
      <c r="AB673" s="1">
        <v>1.98</v>
      </c>
      <c r="AC673" s="6">
        <f t="shared" si="140"/>
        <v>5.0761421319795996E-3</v>
      </c>
      <c r="AD673" s="21">
        <v>45877</v>
      </c>
      <c r="AE673" s="1">
        <v>15.2</v>
      </c>
      <c r="AF673" s="1">
        <v>15.2</v>
      </c>
      <c r="AG673" s="6">
        <f t="shared" si="141"/>
        <v>-2.624671916010568E-3</v>
      </c>
      <c r="AH673" s="21">
        <v>45877</v>
      </c>
      <c r="AI673" s="1">
        <v>12.25</v>
      </c>
      <c r="AJ673" s="1">
        <v>12.25</v>
      </c>
      <c r="AK673" s="6">
        <f t="shared" si="142"/>
        <v>-6.4882400648823557E-3</v>
      </c>
      <c r="AL673" s="21">
        <v>45877</v>
      </c>
      <c r="AM673" s="1">
        <v>2.2200000000000002</v>
      </c>
      <c r="AN673" s="1">
        <v>2.2200000000000002</v>
      </c>
      <c r="AO673" s="6">
        <v>-1.7699115044247593E-2</v>
      </c>
      <c r="AP673" s="21" t="s">
        <v>676</v>
      </c>
      <c r="AQ673" s="1">
        <v>11864.07</v>
      </c>
      <c r="AR673" s="6">
        <v>3.6545533450582646E-3</v>
      </c>
    </row>
    <row r="674" spans="2:44" x14ac:dyDescent="0.35">
      <c r="B674" s="21">
        <v>45880</v>
      </c>
      <c r="C674" s="1">
        <v>0.69</v>
      </c>
      <c r="D674" s="1">
        <v>0.69</v>
      </c>
      <c r="E674" s="6">
        <f t="shared" si="145"/>
        <v>-1.4285714285714346E-2</v>
      </c>
      <c r="F674" s="21">
        <v>45880</v>
      </c>
      <c r="G674" s="1">
        <v>15.8</v>
      </c>
      <c r="H674" s="1">
        <v>15.8</v>
      </c>
      <c r="I674" s="6">
        <f t="shared" si="143"/>
        <v>-1.8951358180668842E-3</v>
      </c>
      <c r="J674" s="21">
        <v>45880</v>
      </c>
      <c r="K674" s="1">
        <v>57.7</v>
      </c>
      <c r="L674" s="1">
        <v>57.7</v>
      </c>
      <c r="M674" s="6">
        <f t="shared" si="138"/>
        <v>0</v>
      </c>
      <c r="N674" s="21">
        <v>45880</v>
      </c>
      <c r="O674" s="1">
        <v>13.32</v>
      </c>
      <c r="P674" s="1">
        <v>12.7219</v>
      </c>
      <c r="Q674" s="6">
        <f t="shared" si="139"/>
        <v>6.0416749041161122E-3</v>
      </c>
      <c r="R674" s="21">
        <v>45880</v>
      </c>
      <c r="S674" s="1">
        <v>9.5299999999999994</v>
      </c>
      <c r="T674" s="1">
        <v>8.9258000000000006</v>
      </c>
      <c r="U674" s="6">
        <f t="shared" si="144"/>
        <v>1.5992624042434622E-2</v>
      </c>
      <c r="V674" s="21">
        <v>45880</v>
      </c>
      <c r="W674" s="1">
        <v>5.69</v>
      </c>
      <c r="X674" s="1">
        <v>5.69</v>
      </c>
      <c r="Y674" s="6">
        <f t="shared" si="146"/>
        <v>2.3381294964028854E-2</v>
      </c>
      <c r="Z674" s="21">
        <v>45880</v>
      </c>
      <c r="AA674" s="1">
        <v>1.99</v>
      </c>
      <c r="AB674" s="1">
        <v>1.99</v>
      </c>
      <c r="AC674" s="6">
        <f t="shared" si="140"/>
        <v>5.050505050504972E-3</v>
      </c>
      <c r="AD674" s="21">
        <v>45880</v>
      </c>
      <c r="AE674" s="1">
        <v>15.33</v>
      </c>
      <c r="AF674" s="1">
        <v>15.33</v>
      </c>
      <c r="AG674" s="6">
        <f t="shared" si="141"/>
        <v>8.5526315789474783E-3</v>
      </c>
      <c r="AH674" s="21">
        <v>45880</v>
      </c>
      <c r="AI674" s="1">
        <v>12.14</v>
      </c>
      <c r="AJ674" s="1">
        <v>12.14</v>
      </c>
      <c r="AK674" s="6">
        <f t="shared" si="142"/>
        <v>-8.9795918367346905E-3</v>
      </c>
      <c r="AL674" s="21">
        <v>45880</v>
      </c>
      <c r="AM674" s="1">
        <v>2.31</v>
      </c>
      <c r="AN674" s="1">
        <v>2.31</v>
      </c>
      <c r="AO674" s="6">
        <v>4.0540540540540571E-2</v>
      </c>
      <c r="AP674" s="21" t="s">
        <v>677</v>
      </c>
      <c r="AQ674" s="1">
        <v>11863.37</v>
      </c>
      <c r="AR674" s="6">
        <v>-5.9001674804548543E-5</v>
      </c>
    </row>
    <row r="675" spans="2:44" x14ac:dyDescent="0.35">
      <c r="B675" s="21">
        <v>45881</v>
      </c>
      <c r="C675" s="1">
        <v>0.68</v>
      </c>
      <c r="D675" s="1">
        <v>0.68</v>
      </c>
      <c r="E675" s="6">
        <f t="shared" si="145"/>
        <v>-1.4492753623188248E-2</v>
      </c>
      <c r="F675" s="21">
        <v>45881</v>
      </c>
      <c r="G675" s="1">
        <v>15.8</v>
      </c>
      <c r="H675" s="1">
        <v>15.8</v>
      </c>
      <c r="I675" s="6">
        <f t="shared" si="143"/>
        <v>0</v>
      </c>
      <c r="J675" s="21">
        <v>45881</v>
      </c>
      <c r="K675" s="1">
        <v>57.69</v>
      </c>
      <c r="L675" s="1">
        <v>57.69</v>
      </c>
      <c r="M675" s="6">
        <f t="shared" si="138"/>
        <v>-1.7331022530342466E-4</v>
      </c>
      <c r="N675" s="21">
        <v>45881</v>
      </c>
      <c r="O675" s="1">
        <v>13.37</v>
      </c>
      <c r="P675" s="1">
        <v>12.7697</v>
      </c>
      <c r="Q675" s="6">
        <f t="shared" si="139"/>
        <v>3.7573004032416257E-3</v>
      </c>
      <c r="R675" s="21">
        <v>45881</v>
      </c>
      <c r="S675" s="1">
        <v>9.4</v>
      </c>
      <c r="T675" s="1">
        <v>8.8040000000000003</v>
      </c>
      <c r="U675" s="6">
        <f t="shared" si="144"/>
        <v>-1.3645835667391193E-2</v>
      </c>
      <c r="V675" s="21">
        <v>45881</v>
      </c>
      <c r="W675" s="1">
        <v>5.74</v>
      </c>
      <c r="X675" s="1">
        <v>5.74</v>
      </c>
      <c r="Y675" s="6">
        <f t="shared" si="146"/>
        <v>8.7873462214411724E-3</v>
      </c>
      <c r="Z675" s="21">
        <v>45881</v>
      </c>
      <c r="AA675" s="1">
        <v>1.99</v>
      </c>
      <c r="AB675" s="1">
        <v>1.99</v>
      </c>
      <c r="AC675" s="6">
        <f t="shared" si="140"/>
        <v>0</v>
      </c>
      <c r="AD675" s="21">
        <v>45881</v>
      </c>
      <c r="AE675" s="1">
        <v>15.33</v>
      </c>
      <c r="AF675" s="1">
        <v>15.33</v>
      </c>
      <c r="AG675" s="6">
        <f t="shared" si="141"/>
        <v>0</v>
      </c>
      <c r="AH675" s="21">
        <v>45881</v>
      </c>
      <c r="AI675" s="1">
        <v>12.1</v>
      </c>
      <c r="AJ675" s="1">
        <v>12.1</v>
      </c>
      <c r="AK675" s="6">
        <f t="shared" si="142"/>
        <v>-3.2948929159802853E-3</v>
      </c>
      <c r="AL675" s="21">
        <v>45881</v>
      </c>
      <c r="AM675" s="1">
        <v>2.41</v>
      </c>
      <c r="AN675" s="1">
        <v>2.41</v>
      </c>
      <c r="AO675" s="6">
        <v>4.3290043290043378E-2</v>
      </c>
      <c r="AP675" s="21" t="s">
        <v>678</v>
      </c>
      <c r="AQ675" s="1">
        <v>11832.83</v>
      </c>
      <c r="AR675" s="6">
        <v>-2.5743106722626585E-3</v>
      </c>
    </row>
    <row r="676" spans="2:44" x14ac:dyDescent="0.35">
      <c r="B676" s="21">
        <v>45883</v>
      </c>
      <c r="C676" s="1">
        <v>0.67</v>
      </c>
      <c r="D676" s="1">
        <v>0.67</v>
      </c>
      <c r="E676" s="6">
        <f t="shared" si="145"/>
        <v>-1.4705882352941235E-2</v>
      </c>
      <c r="F676" s="21">
        <v>45883</v>
      </c>
      <c r="G676" s="1">
        <v>15.8</v>
      </c>
      <c r="H676" s="1">
        <v>15.8</v>
      </c>
      <c r="I676" s="6">
        <f t="shared" si="143"/>
        <v>0</v>
      </c>
      <c r="J676" s="21">
        <v>45883</v>
      </c>
      <c r="K676" s="1">
        <v>57.6</v>
      </c>
      <c r="L676" s="1">
        <v>57.6</v>
      </c>
      <c r="M676" s="6">
        <f t="shared" si="138"/>
        <v>-1.5600624024960652E-3</v>
      </c>
      <c r="N676" s="21">
        <v>45883</v>
      </c>
      <c r="O676" s="1">
        <v>13.39</v>
      </c>
      <c r="P676" s="1">
        <v>12.7888</v>
      </c>
      <c r="Q676" s="6">
        <f t="shared" si="139"/>
        <v>1.4957281690251012E-3</v>
      </c>
      <c r="R676" s="21">
        <v>45883</v>
      </c>
      <c r="S676" s="1">
        <v>9.1</v>
      </c>
      <c r="T676" s="1">
        <v>8.5230999999999995</v>
      </c>
      <c r="U676" s="6">
        <f t="shared" si="144"/>
        <v>-3.1905951840072833E-2</v>
      </c>
      <c r="V676" s="21">
        <v>45883</v>
      </c>
      <c r="W676" s="1">
        <v>5.74</v>
      </c>
      <c r="X676" s="1">
        <v>5.74</v>
      </c>
      <c r="Y676" s="6">
        <f t="shared" si="146"/>
        <v>0</v>
      </c>
      <c r="Z676" s="21">
        <v>45883</v>
      </c>
      <c r="AA676" s="1">
        <v>1.96</v>
      </c>
      <c r="AB676" s="1">
        <v>1.96</v>
      </c>
      <c r="AC676" s="6">
        <f t="shared" si="140"/>
        <v>-1.5075376884422176E-2</v>
      </c>
      <c r="AD676" s="21">
        <v>45883</v>
      </c>
      <c r="AE676" s="1">
        <v>15.3</v>
      </c>
      <c r="AF676" s="1">
        <v>15.3</v>
      </c>
      <c r="AG676" s="6">
        <f t="shared" si="141"/>
        <v>-1.9569471624265589E-3</v>
      </c>
      <c r="AH676" s="21">
        <v>45883</v>
      </c>
      <c r="AI676" s="1">
        <v>12.1</v>
      </c>
      <c r="AJ676" s="1">
        <v>12.1</v>
      </c>
      <c r="AK676" s="6">
        <f t="shared" si="142"/>
        <v>0</v>
      </c>
      <c r="AL676" s="21">
        <v>45883</v>
      </c>
      <c r="AM676" s="1">
        <v>2.5099999999999998</v>
      </c>
      <c r="AN676" s="1">
        <v>2.5099999999999998</v>
      </c>
      <c r="AO676" s="6">
        <v>4.1493775933609811E-2</v>
      </c>
      <c r="AP676" s="21" t="s">
        <v>679</v>
      </c>
      <c r="AQ676" s="1">
        <v>11839.11</v>
      </c>
      <c r="AR676" s="6">
        <v>5.3072679992882676E-4</v>
      </c>
    </row>
    <row r="677" spans="2:44" x14ac:dyDescent="0.35">
      <c r="B677" s="21">
        <v>45884</v>
      </c>
      <c r="C677" s="1">
        <v>0.7</v>
      </c>
      <c r="D677" s="1">
        <v>0.7</v>
      </c>
      <c r="E677" s="6">
        <f t="shared" si="145"/>
        <v>4.4776119402984982E-2</v>
      </c>
      <c r="F677" s="21">
        <v>45884</v>
      </c>
      <c r="G677" s="1">
        <v>15.79</v>
      </c>
      <c r="H677" s="1">
        <v>15.79</v>
      </c>
      <c r="I677" s="6">
        <f t="shared" si="143"/>
        <v>-6.3291139240517769E-4</v>
      </c>
      <c r="J677" s="21">
        <v>45884</v>
      </c>
      <c r="K677" s="1">
        <v>57.56</v>
      </c>
      <c r="L677" s="1">
        <v>57.56</v>
      </c>
      <c r="M677" s="6">
        <f t="shared" si="138"/>
        <v>-6.9444444444444198E-4</v>
      </c>
      <c r="N677" s="21">
        <v>45884</v>
      </c>
      <c r="O677" s="1">
        <v>12.74</v>
      </c>
      <c r="P677" s="1">
        <v>12.74</v>
      </c>
      <c r="Q677" s="6">
        <f t="shared" si="139"/>
        <v>-3.8158388590016079E-3</v>
      </c>
      <c r="R677" s="21">
        <v>45884</v>
      </c>
      <c r="S677" s="1">
        <v>9.15</v>
      </c>
      <c r="T677" s="1">
        <v>8.5699000000000005</v>
      </c>
      <c r="U677" s="6">
        <f t="shared" si="144"/>
        <v>5.4909598620220823E-3</v>
      </c>
      <c r="V677" s="21">
        <v>45884</v>
      </c>
      <c r="W677" s="1">
        <v>5.74</v>
      </c>
      <c r="X677" s="1">
        <v>5.74</v>
      </c>
      <c r="Y677" s="6">
        <f t="shared" si="146"/>
        <v>0</v>
      </c>
      <c r="Z677" s="21">
        <v>45884</v>
      </c>
      <c r="AA677" s="1">
        <v>1.98</v>
      </c>
      <c r="AB677" s="1">
        <v>1.98</v>
      </c>
      <c r="AC677" s="6">
        <f t="shared" si="140"/>
        <v>1.0204081632652962E-2</v>
      </c>
      <c r="AD677" s="21">
        <v>45884</v>
      </c>
      <c r="AE677" s="1">
        <v>15.24</v>
      </c>
      <c r="AF677" s="1">
        <v>15.24</v>
      </c>
      <c r="AG677" s="6">
        <f t="shared" si="141"/>
        <v>-3.9215686274509665E-3</v>
      </c>
      <c r="AH677" s="21">
        <v>45884</v>
      </c>
      <c r="AI677" s="1">
        <v>12.39</v>
      </c>
      <c r="AJ677" s="1">
        <v>12.39</v>
      </c>
      <c r="AK677" s="6">
        <f t="shared" si="142"/>
        <v>2.3966942148760495E-2</v>
      </c>
      <c r="AL677" s="21">
        <v>45884</v>
      </c>
      <c r="AM677" s="1">
        <v>2.62</v>
      </c>
      <c r="AN677" s="1">
        <v>2.62</v>
      </c>
      <c r="AO677" s="6">
        <v>4.3824701195219307E-2</v>
      </c>
      <c r="AP677" s="21" t="s">
        <v>680</v>
      </c>
      <c r="AQ677" s="1">
        <v>11839.55</v>
      </c>
      <c r="AR677" s="6">
        <v>3.7164955811519462E-5</v>
      </c>
    </row>
    <row r="678" spans="2:44" x14ac:dyDescent="0.35">
      <c r="B678" s="21">
        <v>45887</v>
      </c>
      <c r="C678" s="1">
        <v>0.72</v>
      </c>
      <c r="D678" s="1">
        <v>0.72</v>
      </c>
      <c r="E678" s="6">
        <f t="shared" si="145"/>
        <v>2.8571428571428692E-2</v>
      </c>
      <c r="F678" s="21">
        <v>45887</v>
      </c>
      <c r="G678" s="1">
        <v>15.8</v>
      </c>
      <c r="H678" s="1">
        <v>15.8</v>
      </c>
      <c r="I678" s="6">
        <f t="shared" si="143"/>
        <v>6.3331222292606348E-4</v>
      </c>
      <c r="J678" s="21">
        <v>45887</v>
      </c>
      <c r="K678" s="1">
        <v>57.54</v>
      </c>
      <c r="L678" s="1">
        <v>57.54</v>
      </c>
      <c r="M678" s="6">
        <f t="shared" si="138"/>
        <v>-3.4746351633085926E-4</v>
      </c>
      <c r="N678" s="21">
        <v>45887</v>
      </c>
      <c r="O678" s="1">
        <v>12.69</v>
      </c>
      <c r="P678" s="1">
        <v>12.69</v>
      </c>
      <c r="Q678" s="6">
        <f t="shared" si="139"/>
        <v>-3.9246467817897202E-3</v>
      </c>
      <c r="R678" s="21">
        <v>45887</v>
      </c>
      <c r="S678" s="1">
        <v>9.1</v>
      </c>
      <c r="T678" s="1">
        <v>8.5230999999999995</v>
      </c>
      <c r="U678" s="6">
        <f t="shared" si="144"/>
        <v>-5.4609738736742797E-3</v>
      </c>
      <c r="V678" s="21">
        <v>45887</v>
      </c>
      <c r="W678" s="1">
        <v>5.7</v>
      </c>
      <c r="X678" s="1">
        <v>5.7</v>
      </c>
      <c r="Y678" s="6">
        <f t="shared" si="146"/>
        <v>-6.9686411149826322E-3</v>
      </c>
      <c r="Z678" s="21">
        <v>45887</v>
      </c>
      <c r="AA678" s="1">
        <v>1.95</v>
      </c>
      <c r="AB678" s="1">
        <v>1.95</v>
      </c>
      <c r="AC678" s="6">
        <f t="shared" si="140"/>
        <v>-1.5151515151515138E-2</v>
      </c>
      <c r="AD678" s="21">
        <v>45887</v>
      </c>
      <c r="AE678" s="1">
        <v>15.24</v>
      </c>
      <c r="AF678" s="1">
        <v>15.24</v>
      </c>
      <c r="AG678" s="6">
        <f t="shared" si="141"/>
        <v>0</v>
      </c>
      <c r="AH678" s="21">
        <v>45887</v>
      </c>
      <c r="AI678" s="1">
        <v>12.4</v>
      </c>
      <c r="AJ678" s="1">
        <v>12.4</v>
      </c>
      <c r="AK678" s="6">
        <f t="shared" si="142"/>
        <v>8.0710250201776468E-4</v>
      </c>
      <c r="AL678" s="21">
        <v>45887</v>
      </c>
      <c r="AM678" s="1">
        <v>2.65</v>
      </c>
      <c r="AN678" s="1">
        <v>2.65</v>
      </c>
      <c r="AO678" s="6">
        <v>1.1450381679389166E-2</v>
      </c>
      <c r="AP678" s="21" t="s">
        <v>681</v>
      </c>
      <c r="AQ678" s="1">
        <v>11816.92</v>
      </c>
      <c r="AR678" s="6">
        <v>-1.9113902133104377E-3</v>
      </c>
    </row>
    <row r="679" spans="2:44" x14ac:dyDescent="0.35">
      <c r="B679" s="21">
        <v>45888</v>
      </c>
      <c r="C679" s="1">
        <v>0.72</v>
      </c>
      <c r="D679" s="1">
        <v>0.72</v>
      </c>
      <c r="E679" s="6">
        <f t="shared" si="145"/>
        <v>0</v>
      </c>
      <c r="F679" s="21">
        <v>45888</v>
      </c>
      <c r="G679" s="1">
        <v>15.8</v>
      </c>
      <c r="H679" s="1">
        <v>15.8</v>
      </c>
      <c r="I679" s="6">
        <f t="shared" si="143"/>
        <v>0</v>
      </c>
      <c r="J679" s="21">
        <v>45888</v>
      </c>
      <c r="K679" s="1">
        <v>57.5</v>
      </c>
      <c r="L679" s="1">
        <v>57.5</v>
      </c>
      <c r="M679" s="6">
        <f t="shared" si="138"/>
        <v>-6.9516857838025636E-4</v>
      </c>
      <c r="N679" s="21">
        <v>45888</v>
      </c>
      <c r="O679" s="1">
        <v>12.66</v>
      </c>
      <c r="P679" s="1">
        <v>12.66</v>
      </c>
      <c r="Q679" s="6">
        <f t="shared" si="139"/>
        <v>-2.3640661938534313E-3</v>
      </c>
      <c r="R679" s="21">
        <v>45888</v>
      </c>
      <c r="S679" s="1">
        <v>9.0500000000000007</v>
      </c>
      <c r="T679" s="1">
        <v>8.4762000000000004</v>
      </c>
      <c r="U679" s="6">
        <f t="shared" si="144"/>
        <v>-5.5026926822399069E-3</v>
      </c>
      <c r="V679" s="21">
        <v>45888</v>
      </c>
      <c r="W679" s="1">
        <v>5.7</v>
      </c>
      <c r="X679" s="1">
        <v>5.7</v>
      </c>
      <c r="Y679" s="6">
        <f t="shared" si="146"/>
        <v>0</v>
      </c>
      <c r="Z679" s="21">
        <v>45888</v>
      </c>
      <c r="AA679" s="1">
        <v>1.94</v>
      </c>
      <c r="AB679" s="1">
        <v>1.94</v>
      </c>
      <c r="AC679" s="6">
        <f t="shared" si="140"/>
        <v>-5.12820512820511E-3</v>
      </c>
      <c r="AD679" s="21">
        <v>45888</v>
      </c>
      <c r="AE679" s="1">
        <v>15.23</v>
      </c>
      <c r="AF679" s="1">
        <v>15.23</v>
      </c>
      <c r="AG679" s="6">
        <f t="shared" si="141"/>
        <v>-6.561679790025865E-4</v>
      </c>
      <c r="AH679" s="21">
        <v>45888</v>
      </c>
      <c r="AI679" s="1">
        <v>12.4</v>
      </c>
      <c r="AJ679" s="1">
        <v>12.4</v>
      </c>
      <c r="AK679" s="6">
        <f t="shared" si="142"/>
        <v>0</v>
      </c>
      <c r="AL679" s="21">
        <v>45888</v>
      </c>
      <c r="AM679" s="1">
        <v>2.5499999999999998</v>
      </c>
      <c r="AN679" s="1">
        <v>2.5499999999999998</v>
      </c>
      <c r="AO679" s="6">
        <v>-3.7735849056603765E-2</v>
      </c>
      <c r="AP679" s="21" t="s">
        <v>682</v>
      </c>
      <c r="AQ679" s="1">
        <v>11807.55</v>
      </c>
      <c r="AR679" s="6">
        <v>-7.929308144593028E-4</v>
      </c>
    </row>
    <row r="680" spans="2:44" x14ac:dyDescent="0.35">
      <c r="B680" s="21">
        <v>45889</v>
      </c>
      <c r="C680" s="1">
        <v>0.69</v>
      </c>
      <c r="D680" s="1">
        <v>0.69</v>
      </c>
      <c r="E680" s="6">
        <f t="shared" si="145"/>
        <v>-4.1666666666666741E-2</v>
      </c>
      <c r="F680" s="21">
        <v>45889</v>
      </c>
      <c r="G680" s="1">
        <v>15.75</v>
      </c>
      <c r="H680" s="1">
        <v>15.75</v>
      </c>
      <c r="I680" s="6">
        <f t="shared" si="143"/>
        <v>-3.1645569620253333E-3</v>
      </c>
      <c r="J680" s="21">
        <v>45889</v>
      </c>
      <c r="K680" s="1">
        <v>57.2</v>
      </c>
      <c r="L680" s="1">
        <v>57.2</v>
      </c>
      <c r="M680" s="6">
        <f t="shared" si="138"/>
        <v>-5.2173913043477294E-3</v>
      </c>
      <c r="N680" s="21">
        <v>45889</v>
      </c>
      <c r="O680" s="1">
        <v>12.74</v>
      </c>
      <c r="P680" s="1">
        <v>12.74</v>
      </c>
      <c r="Q680" s="6">
        <f t="shared" si="139"/>
        <v>6.3191153238546516E-3</v>
      </c>
      <c r="R680" s="21">
        <v>45889</v>
      </c>
      <c r="S680" s="1">
        <v>8.99</v>
      </c>
      <c r="T680" s="1">
        <v>8.42</v>
      </c>
      <c r="U680" s="6">
        <f t="shared" si="144"/>
        <v>-6.6303296288431346E-3</v>
      </c>
      <c r="V680" s="21">
        <v>45889</v>
      </c>
      <c r="W680" s="1">
        <v>5.69</v>
      </c>
      <c r="X680" s="1">
        <v>5.69</v>
      </c>
      <c r="Y680" s="6">
        <f t="shared" si="146"/>
        <v>-1.7543859649122862E-3</v>
      </c>
      <c r="Z680" s="21">
        <v>45889</v>
      </c>
      <c r="AA680" s="1">
        <v>1.9</v>
      </c>
      <c r="AB680" s="1">
        <v>1.9</v>
      </c>
      <c r="AC680" s="6">
        <f t="shared" si="140"/>
        <v>-2.0618556701030966E-2</v>
      </c>
      <c r="AD680" s="21">
        <v>45889</v>
      </c>
      <c r="AE680" s="1">
        <v>15.24</v>
      </c>
      <c r="AF680" s="1">
        <v>15.24</v>
      </c>
      <c r="AG680" s="6">
        <f t="shared" si="141"/>
        <v>6.5659881812218934E-4</v>
      </c>
      <c r="AH680" s="21">
        <v>45889</v>
      </c>
      <c r="AI680" s="1">
        <v>12.4</v>
      </c>
      <c r="AJ680" s="1">
        <v>12.4</v>
      </c>
      <c r="AK680" s="6">
        <f t="shared" si="142"/>
        <v>0</v>
      </c>
      <c r="AL680" s="21">
        <v>45889</v>
      </c>
      <c r="AM680" s="1">
        <v>2.52</v>
      </c>
      <c r="AN680" s="1">
        <v>2.52</v>
      </c>
      <c r="AO680" s="6">
        <v>-1.1764705882352899E-2</v>
      </c>
      <c r="AP680" s="21" t="s">
        <v>683</v>
      </c>
      <c r="AQ680" s="1">
        <v>11792.53</v>
      </c>
      <c r="AR680" s="6">
        <v>-1.2720674483698291E-3</v>
      </c>
    </row>
    <row r="681" spans="2:44" x14ac:dyDescent="0.35">
      <c r="B681" s="21">
        <v>45890</v>
      </c>
      <c r="C681" s="1">
        <v>0.68</v>
      </c>
      <c r="D681" s="1">
        <v>0.68</v>
      </c>
      <c r="E681" s="6">
        <f t="shared" si="145"/>
        <v>-1.4492753623188248E-2</v>
      </c>
      <c r="F681" s="21">
        <v>45890</v>
      </c>
      <c r="G681" s="1">
        <v>15.74</v>
      </c>
      <c r="H681" s="1">
        <v>15.74</v>
      </c>
      <c r="I681" s="6">
        <f t="shared" si="143"/>
        <v>-6.3492063492065487E-4</v>
      </c>
      <c r="J681" s="21">
        <v>45890</v>
      </c>
      <c r="K681" s="1">
        <v>57.39</v>
      </c>
      <c r="L681" s="1">
        <v>57.39</v>
      </c>
      <c r="M681" s="6">
        <f t="shared" si="138"/>
        <v>3.3216783216782897E-3</v>
      </c>
      <c r="N681" s="21">
        <v>45890</v>
      </c>
      <c r="O681" s="1">
        <v>13.3</v>
      </c>
      <c r="P681" s="1">
        <v>13.3</v>
      </c>
      <c r="Q681" s="6">
        <f t="shared" si="139"/>
        <v>4.3956043956044022E-2</v>
      </c>
      <c r="R681" s="21">
        <v>45890</v>
      </c>
      <c r="S681" s="1">
        <v>9</v>
      </c>
      <c r="T681" s="1">
        <v>8.4293999999999993</v>
      </c>
      <c r="U681" s="6">
        <f t="shared" si="144"/>
        <v>1.1163895486934194E-3</v>
      </c>
      <c r="V681" s="21">
        <v>45890</v>
      </c>
      <c r="W681" s="1">
        <v>5.69</v>
      </c>
      <c r="X681" s="1">
        <v>5.69</v>
      </c>
      <c r="Y681" s="6">
        <f t="shared" si="146"/>
        <v>0</v>
      </c>
      <c r="Z681" s="21">
        <v>45890</v>
      </c>
      <c r="AA681" s="1">
        <v>1.9</v>
      </c>
      <c r="AB681" s="1">
        <v>1.9</v>
      </c>
      <c r="AC681" s="6">
        <f t="shared" si="140"/>
        <v>0</v>
      </c>
      <c r="AD681" s="21">
        <v>45890</v>
      </c>
      <c r="AE681" s="1">
        <v>15.2</v>
      </c>
      <c r="AF681" s="1">
        <v>15.2</v>
      </c>
      <c r="AG681" s="6">
        <f t="shared" si="141"/>
        <v>-2.624671916010568E-3</v>
      </c>
      <c r="AH681" s="21">
        <v>45890</v>
      </c>
      <c r="AI681" s="1">
        <v>12.48</v>
      </c>
      <c r="AJ681" s="1">
        <v>12.48</v>
      </c>
      <c r="AK681" s="6">
        <f t="shared" si="142"/>
        <v>6.4516129032257119E-3</v>
      </c>
      <c r="AL681" s="21">
        <v>45890</v>
      </c>
      <c r="AM681" s="1">
        <v>2.4300000000000002</v>
      </c>
      <c r="AN681" s="1">
        <v>2.4300000000000002</v>
      </c>
      <c r="AO681" s="6">
        <v>-3.5714285714285698E-2</v>
      </c>
      <c r="AP681" s="21" t="s">
        <v>684</v>
      </c>
      <c r="AQ681" s="1">
        <v>11793.38</v>
      </c>
      <c r="AR681" s="6">
        <v>7.207952831134179E-5</v>
      </c>
    </row>
    <row r="682" spans="2:44" x14ac:dyDescent="0.35">
      <c r="B682" s="21">
        <v>45891</v>
      </c>
      <c r="C682" s="1">
        <v>0.66</v>
      </c>
      <c r="D682" s="1">
        <v>0.66</v>
      </c>
      <c r="E682" s="6">
        <f t="shared" si="145"/>
        <v>-2.9411764705882359E-2</v>
      </c>
      <c r="F682" s="21">
        <v>45891</v>
      </c>
      <c r="G682" s="1">
        <v>15.65</v>
      </c>
      <c r="H682" s="1">
        <v>15.65</v>
      </c>
      <c r="I682" s="6">
        <f t="shared" si="143"/>
        <v>-5.7179161372299392E-3</v>
      </c>
      <c r="J682" s="21">
        <v>45891</v>
      </c>
      <c r="K682" s="1">
        <v>57.39</v>
      </c>
      <c r="L682" s="1">
        <v>57.39</v>
      </c>
      <c r="M682" s="6">
        <f t="shared" si="138"/>
        <v>0</v>
      </c>
      <c r="N682" s="21">
        <v>45891</v>
      </c>
      <c r="O682" s="1">
        <v>13.5</v>
      </c>
      <c r="P682" s="1">
        <v>13.5</v>
      </c>
      <c r="Q682" s="6">
        <f t="shared" si="139"/>
        <v>1.5037593984962294E-2</v>
      </c>
      <c r="R682" s="21">
        <v>45891</v>
      </c>
      <c r="S682" s="1">
        <v>9</v>
      </c>
      <c r="T682" s="1">
        <v>8.4293999999999993</v>
      </c>
      <c r="U682" s="6">
        <f t="shared" si="144"/>
        <v>0</v>
      </c>
      <c r="V682" s="21">
        <v>45891</v>
      </c>
      <c r="W682" s="1">
        <v>5.7</v>
      </c>
      <c r="X682" s="1">
        <v>5.7</v>
      </c>
      <c r="Y682" s="6">
        <f t="shared" si="146"/>
        <v>1.7574692442881013E-3</v>
      </c>
      <c r="Z682" s="21">
        <v>45891</v>
      </c>
      <c r="AA682" s="1">
        <v>1.9</v>
      </c>
      <c r="AB682" s="1">
        <v>1.9</v>
      </c>
      <c r="AC682" s="6">
        <f t="shared" si="140"/>
        <v>0</v>
      </c>
      <c r="AD682" s="21">
        <v>45891</v>
      </c>
      <c r="AE682" s="1">
        <v>15.24</v>
      </c>
      <c r="AF682" s="1">
        <v>15.24</v>
      </c>
      <c r="AG682" s="6">
        <f t="shared" si="141"/>
        <v>2.6315789473685403E-3</v>
      </c>
      <c r="AH682" s="21">
        <v>45891</v>
      </c>
      <c r="AI682" s="1">
        <v>12.7</v>
      </c>
      <c r="AJ682" s="1">
        <v>12.7</v>
      </c>
      <c r="AK682" s="6">
        <f t="shared" si="142"/>
        <v>1.7628205128205066E-2</v>
      </c>
      <c r="AL682" s="21">
        <v>45891</v>
      </c>
      <c r="AM682" s="1">
        <v>2.5299999999999998</v>
      </c>
      <c r="AN682" s="1">
        <v>2.5299999999999998</v>
      </c>
      <c r="AO682" s="6">
        <v>4.1152263374485409E-2</v>
      </c>
      <c r="AP682" s="21" t="s">
        <v>685</v>
      </c>
      <c r="AQ682" s="1">
        <v>11820.59</v>
      </c>
      <c r="AR682" s="6">
        <v>2.3072265966161964E-3</v>
      </c>
    </row>
    <row r="683" spans="2:44" x14ac:dyDescent="0.35">
      <c r="B683" s="21">
        <v>45894</v>
      </c>
      <c r="C683" s="1">
        <v>0.66</v>
      </c>
      <c r="D683" s="1">
        <v>0.66</v>
      </c>
      <c r="E683" s="6">
        <f t="shared" si="145"/>
        <v>0</v>
      </c>
      <c r="F683" s="21">
        <v>45894</v>
      </c>
      <c r="G683" s="1">
        <v>15.35</v>
      </c>
      <c r="H683" s="1">
        <v>15.35</v>
      </c>
      <c r="I683" s="6">
        <f t="shared" si="143"/>
        <v>-1.9169329073482455E-2</v>
      </c>
      <c r="J683" s="21">
        <v>45894</v>
      </c>
      <c r="K683" s="1">
        <v>57.5</v>
      </c>
      <c r="L683" s="1">
        <v>57.5</v>
      </c>
      <c r="M683" s="6">
        <f t="shared" si="138"/>
        <v>1.9167102282626747E-3</v>
      </c>
      <c r="N683" s="21">
        <v>45894</v>
      </c>
      <c r="O683" s="1">
        <v>13.52</v>
      </c>
      <c r="P683" s="1">
        <v>13.52</v>
      </c>
      <c r="Q683" s="6">
        <f t="shared" si="139"/>
        <v>1.481481481481417E-3</v>
      </c>
      <c r="R683" s="21">
        <v>45894</v>
      </c>
      <c r="S683" s="1">
        <v>9.1</v>
      </c>
      <c r="T683" s="1">
        <v>8.5230999999999995</v>
      </c>
      <c r="U683" s="6">
        <f t="shared" si="144"/>
        <v>1.1115856407336144E-2</v>
      </c>
      <c r="V683" s="21">
        <v>45894</v>
      </c>
      <c r="W683" s="1">
        <v>6</v>
      </c>
      <c r="X683" s="1">
        <v>6</v>
      </c>
      <c r="Y683" s="6">
        <f t="shared" si="146"/>
        <v>5.2631578947368363E-2</v>
      </c>
      <c r="Z683" s="21">
        <v>45894</v>
      </c>
      <c r="AA683" s="1">
        <v>1.9</v>
      </c>
      <c r="AB683" s="1">
        <v>1.9</v>
      </c>
      <c r="AC683" s="6">
        <f t="shared" si="140"/>
        <v>0</v>
      </c>
      <c r="AD683" s="21">
        <v>45894</v>
      </c>
      <c r="AE683" s="1">
        <v>15.25</v>
      </c>
      <c r="AF683" s="1">
        <v>15.25</v>
      </c>
      <c r="AG683" s="6">
        <f t="shared" si="141"/>
        <v>6.5616797900269752E-4</v>
      </c>
      <c r="AH683" s="21">
        <v>45894</v>
      </c>
      <c r="AI683" s="1">
        <v>12.58</v>
      </c>
      <c r="AJ683" s="1">
        <v>12.58</v>
      </c>
      <c r="AK683" s="6">
        <f t="shared" si="142"/>
        <v>-9.4488188976377119E-3</v>
      </c>
      <c r="AL683" s="21">
        <v>45894</v>
      </c>
      <c r="AM683" s="1">
        <v>2.5499999999999998</v>
      </c>
      <c r="AN683" s="1">
        <v>2.5499999999999998</v>
      </c>
      <c r="AO683" s="6">
        <v>7.905138339920903E-3</v>
      </c>
      <c r="AP683" s="21" t="s">
        <v>686</v>
      </c>
      <c r="AQ683" s="1">
        <v>11832.06</v>
      </c>
      <c r="AR683" s="6">
        <v>9.7034073595314574E-4</v>
      </c>
    </row>
    <row r="684" spans="2:44" x14ac:dyDescent="0.35">
      <c r="B684" s="21">
        <v>45895</v>
      </c>
      <c r="C684" s="1">
        <v>0.68</v>
      </c>
      <c r="D684" s="1">
        <v>0.68</v>
      </c>
      <c r="E684" s="6">
        <f t="shared" si="145"/>
        <v>3.0303030303030276E-2</v>
      </c>
      <c r="F684" s="21">
        <v>45895</v>
      </c>
      <c r="G684" s="1">
        <v>15.65</v>
      </c>
      <c r="H684" s="1">
        <v>15.65</v>
      </c>
      <c r="I684" s="6">
        <f t="shared" si="143"/>
        <v>1.9543973941368087E-2</v>
      </c>
      <c r="J684" s="21">
        <v>45895</v>
      </c>
      <c r="K684" s="1">
        <v>57.69</v>
      </c>
      <c r="L684" s="1">
        <v>57.69</v>
      </c>
      <c r="M684" s="6">
        <f t="shared" si="138"/>
        <v>3.3043478260870174E-3</v>
      </c>
      <c r="N684" s="21">
        <v>45895</v>
      </c>
      <c r="O684" s="1">
        <v>13.54</v>
      </c>
      <c r="P684" s="1">
        <v>13.54</v>
      </c>
      <c r="Q684" s="6">
        <f t="shared" si="139"/>
        <v>1.4792899408284654E-3</v>
      </c>
      <c r="R684" s="21">
        <v>45895</v>
      </c>
      <c r="S684" s="1">
        <v>8.64</v>
      </c>
      <c r="T684" s="1">
        <v>8.64</v>
      </c>
      <c r="U684" s="6">
        <f t="shared" si="144"/>
        <v>1.371566683483727E-2</v>
      </c>
      <c r="V684" s="21">
        <v>45895</v>
      </c>
      <c r="W684" s="1">
        <v>6.06</v>
      </c>
      <c r="X684" s="1">
        <v>6.06</v>
      </c>
      <c r="Y684" s="6">
        <f t="shared" si="146"/>
        <v>1.0000000000000009E-2</v>
      </c>
      <c r="Z684" s="21">
        <v>45895</v>
      </c>
      <c r="AA684" s="1">
        <v>1.9</v>
      </c>
      <c r="AB684" s="1">
        <v>1.9</v>
      </c>
      <c r="AC684" s="6">
        <f t="shared" si="140"/>
        <v>0</v>
      </c>
      <c r="AD684" s="21">
        <v>45895</v>
      </c>
      <c r="AE684" s="1">
        <v>15.3</v>
      </c>
      <c r="AF684" s="1">
        <v>15.3</v>
      </c>
      <c r="AG684" s="6">
        <f t="shared" si="141"/>
        <v>3.2786885245901232E-3</v>
      </c>
      <c r="AH684" s="21">
        <v>45895</v>
      </c>
      <c r="AI684" s="1">
        <v>12.48</v>
      </c>
      <c r="AJ684" s="1">
        <v>12.48</v>
      </c>
      <c r="AK684" s="6">
        <f t="shared" si="142"/>
        <v>-7.9491255961844365E-3</v>
      </c>
      <c r="AL684" s="21">
        <v>45895</v>
      </c>
      <c r="AM684" s="1">
        <v>2.52</v>
      </c>
      <c r="AN684" s="1">
        <v>2.52</v>
      </c>
      <c r="AO684" s="6">
        <v>-1.1764705882352899E-2</v>
      </c>
      <c r="AP684" s="21" t="s">
        <v>687</v>
      </c>
      <c r="AQ684" s="1">
        <v>11868.29</v>
      </c>
      <c r="AR684" s="6">
        <v>3.0620196314083969E-3</v>
      </c>
    </row>
    <row r="685" spans="2:44" x14ac:dyDescent="0.35">
      <c r="B685" s="21">
        <v>45896</v>
      </c>
      <c r="C685" s="1">
        <v>0.69</v>
      </c>
      <c r="D685" s="1">
        <v>0.69</v>
      </c>
      <c r="E685" s="6">
        <f t="shared" si="145"/>
        <v>1.4705882352941124E-2</v>
      </c>
      <c r="F685" s="21">
        <v>45896</v>
      </c>
      <c r="G685" s="1">
        <v>15.6</v>
      </c>
      <c r="H685" s="1">
        <v>15.6</v>
      </c>
      <c r="I685" s="6">
        <f t="shared" si="143"/>
        <v>-3.1948881789137795E-3</v>
      </c>
      <c r="J685" s="21">
        <v>45896</v>
      </c>
      <c r="K685" s="1">
        <v>57.69</v>
      </c>
      <c r="L685" s="1">
        <v>57.69</v>
      </c>
      <c r="M685" s="6">
        <f t="shared" si="138"/>
        <v>0</v>
      </c>
      <c r="N685" s="21">
        <v>45896</v>
      </c>
      <c r="O685" s="1">
        <v>13.52</v>
      </c>
      <c r="P685" s="1">
        <v>13.52</v>
      </c>
      <c r="Q685" s="6">
        <f t="shared" si="139"/>
        <v>-1.477104874446078E-3</v>
      </c>
      <c r="R685" s="21">
        <v>45896</v>
      </c>
      <c r="S685" s="1">
        <v>8.75</v>
      </c>
      <c r="T685" s="1">
        <v>8.75</v>
      </c>
      <c r="U685" s="6">
        <f t="shared" si="144"/>
        <v>1.2731481481481399E-2</v>
      </c>
      <c r="V685" s="21">
        <v>45896</v>
      </c>
      <c r="W685" s="1">
        <v>6.05</v>
      </c>
      <c r="X685" s="1">
        <v>6.05</v>
      </c>
      <c r="Y685" s="6">
        <f t="shared" si="146"/>
        <v>-1.6501650165016146E-3</v>
      </c>
      <c r="Z685" s="21">
        <v>45896</v>
      </c>
      <c r="AA685" s="1">
        <v>1.9</v>
      </c>
      <c r="AB685" s="1">
        <v>1.9</v>
      </c>
      <c r="AC685" s="6">
        <f t="shared" si="140"/>
        <v>0</v>
      </c>
      <c r="AD685" s="21">
        <v>45896</v>
      </c>
      <c r="AE685" s="1">
        <v>15.31</v>
      </c>
      <c r="AF685" s="1">
        <v>15.31</v>
      </c>
      <c r="AG685" s="6">
        <f t="shared" si="141"/>
        <v>6.5359477124182774E-4</v>
      </c>
      <c r="AH685" s="21">
        <v>45896</v>
      </c>
      <c r="AI685" s="1">
        <v>12.37</v>
      </c>
      <c r="AJ685" s="1">
        <v>12.37</v>
      </c>
      <c r="AK685" s="6">
        <f t="shared" si="142"/>
        <v>-8.8141025641026438E-3</v>
      </c>
      <c r="AL685" s="21">
        <v>45896</v>
      </c>
      <c r="AM685" s="1">
        <v>2.5499999999999998</v>
      </c>
      <c r="AN685" s="1">
        <v>2.5499999999999998</v>
      </c>
      <c r="AO685" s="6">
        <v>1.1904761904761862E-2</v>
      </c>
      <c r="AP685" s="21" t="s">
        <v>688</v>
      </c>
      <c r="AQ685" s="1">
        <v>11924.37</v>
      </c>
      <c r="AR685" s="6">
        <v>4.725196300393808E-3</v>
      </c>
    </row>
    <row r="686" spans="2:44" x14ac:dyDescent="0.35">
      <c r="B686" s="21">
        <v>45897</v>
      </c>
      <c r="C686" s="1">
        <v>0.69</v>
      </c>
      <c r="D686" s="1">
        <v>0.69</v>
      </c>
      <c r="E686" s="6">
        <f t="shared" si="145"/>
        <v>0</v>
      </c>
      <c r="F686" s="21">
        <v>45897</v>
      </c>
      <c r="G686" s="1">
        <v>15.6</v>
      </c>
      <c r="H686" s="1">
        <v>15.6</v>
      </c>
      <c r="I686" s="6">
        <f t="shared" si="143"/>
        <v>0</v>
      </c>
      <c r="J686" s="21">
        <v>45897</v>
      </c>
      <c r="K686" s="1">
        <v>56.95</v>
      </c>
      <c r="L686" s="1">
        <v>56.95</v>
      </c>
      <c r="M686" s="6">
        <f t="shared" si="138"/>
        <v>-1.2827179753856721E-2</v>
      </c>
      <c r="N686" s="21">
        <v>45897</v>
      </c>
      <c r="O686" s="1">
        <v>13.39</v>
      </c>
      <c r="P686" s="1">
        <v>13.39</v>
      </c>
      <c r="Q686" s="6">
        <f t="shared" si="139"/>
        <v>-9.6153846153845812E-3</v>
      </c>
      <c r="R686" s="21">
        <v>45897</v>
      </c>
      <c r="S686" s="1">
        <v>8.6999999999999993</v>
      </c>
      <c r="T686" s="1">
        <v>8.6999999999999993</v>
      </c>
      <c r="U686" s="6">
        <f t="shared" si="144"/>
        <v>-5.7142857142857828E-3</v>
      </c>
      <c r="V686" s="21">
        <v>45897</v>
      </c>
      <c r="W686" s="1">
        <v>5.95</v>
      </c>
      <c r="X686" s="1">
        <v>5.95</v>
      </c>
      <c r="Y686" s="6">
        <f t="shared" si="146"/>
        <v>-1.6528925619834656E-2</v>
      </c>
      <c r="Z686" s="21">
        <v>45897</v>
      </c>
      <c r="AA686" s="1">
        <v>1.9</v>
      </c>
      <c r="AB686" s="1">
        <v>1.9</v>
      </c>
      <c r="AC686" s="6">
        <f t="shared" si="140"/>
        <v>0</v>
      </c>
      <c r="AD686" s="21">
        <v>45897</v>
      </c>
      <c r="AE686" s="1">
        <v>15.32</v>
      </c>
      <c r="AF686" s="1">
        <v>15.32</v>
      </c>
      <c r="AG686" s="6">
        <f t="shared" si="141"/>
        <v>6.5316786414104655E-4</v>
      </c>
      <c r="AH686" s="21">
        <v>45897</v>
      </c>
      <c r="AI686" s="1">
        <v>12.47</v>
      </c>
      <c r="AJ686" s="1">
        <v>12.47</v>
      </c>
      <c r="AK686" s="6">
        <f t="shared" si="142"/>
        <v>8.0840743734844622E-3</v>
      </c>
      <c r="AL686" s="21">
        <v>45897</v>
      </c>
      <c r="AM686" s="1">
        <v>2.5499999999999998</v>
      </c>
      <c r="AN686" s="1">
        <v>2.5499999999999998</v>
      </c>
      <c r="AO686" s="6">
        <v>0</v>
      </c>
      <c r="AP686" s="21" t="s">
        <v>689</v>
      </c>
      <c r="AQ686" s="1">
        <v>11904.07</v>
      </c>
      <c r="AR686" s="6">
        <v>-1.7023960175674979E-3</v>
      </c>
    </row>
    <row r="687" spans="2:44" x14ac:dyDescent="0.35">
      <c r="B687" s="21">
        <v>45898</v>
      </c>
      <c r="C687" s="1">
        <v>0.69</v>
      </c>
      <c r="D687" s="1">
        <v>0.69</v>
      </c>
      <c r="E687" s="6">
        <f t="shared" si="145"/>
        <v>0</v>
      </c>
      <c r="F687" s="21">
        <v>45898</v>
      </c>
      <c r="G687" s="1">
        <v>15.58</v>
      </c>
      <c r="H687" s="1">
        <v>15.58</v>
      </c>
      <c r="I687" s="6">
        <f t="shared" si="143"/>
        <v>-1.2820512820512775E-3</v>
      </c>
      <c r="J687" s="21">
        <v>45898</v>
      </c>
      <c r="K687" s="1">
        <v>56.8</v>
      </c>
      <c r="L687" s="1">
        <v>56.8</v>
      </c>
      <c r="M687" s="6">
        <f t="shared" si="138"/>
        <v>-2.6338893766463256E-3</v>
      </c>
      <c r="N687" s="21">
        <v>45898</v>
      </c>
      <c r="O687" s="1">
        <v>13.35</v>
      </c>
      <c r="P687" s="1">
        <v>13.35</v>
      </c>
      <c r="Q687" s="6">
        <f t="shared" si="139"/>
        <v>-2.9873039581778116E-3</v>
      </c>
      <c r="R687" s="21">
        <v>45898</v>
      </c>
      <c r="S687" s="1">
        <v>8.6999999999999993</v>
      </c>
      <c r="T687" s="1">
        <v>8.6999999999999993</v>
      </c>
      <c r="U687" s="6">
        <f t="shared" si="144"/>
        <v>0</v>
      </c>
      <c r="V687" s="21">
        <v>45898</v>
      </c>
      <c r="W687" s="1">
        <v>6</v>
      </c>
      <c r="X687" s="1">
        <v>6</v>
      </c>
      <c r="Y687" s="6">
        <f t="shared" si="146"/>
        <v>8.4033613445377853E-3</v>
      </c>
      <c r="Z687" s="21">
        <v>45898</v>
      </c>
      <c r="AA687" s="1">
        <v>1.93</v>
      </c>
      <c r="AB687" s="1">
        <v>1.93</v>
      </c>
      <c r="AC687" s="6">
        <f t="shared" si="140"/>
        <v>1.5789473684210575E-2</v>
      </c>
      <c r="AD687" s="21">
        <v>45898</v>
      </c>
      <c r="AE687" s="1">
        <v>15.3</v>
      </c>
      <c r="AF687" s="1">
        <v>15.3</v>
      </c>
      <c r="AG687" s="6">
        <f t="shared" si="141"/>
        <v>-1.3054830287205776E-3</v>
      </c>
      <c r="AH687" s="21">
        <v>45898</v>
      </c>
      <c r="AI687" s="1">
        <v>12.47</v>
      </c>
      <c r="AJ687" s="1">
        <v>12.47</v>
      </c>
      <c r="AK687" s="6">
        <f t="shared" si="142"/>
        <v>0</v>
      </c>
      <c r="AL687" s="21">
        <v>45898</v>
      </c>
      <c r="AM687" s="1">
        <v>2.6</v>
      </c>
      <c r="AN687" s="1">
        <v>2.6</v>
      </c>
      <c r="AO687" s="6">
        <v>1.9607843137255054E-2</v>
      </c>
      <c r="AP687" s="21" t="s">
        <v>690</v>
      </c>
      <c r="AQ687" s="1">
        <v>11914.72</v>
      </c>
      <c r="AR687" s="6">
        <v>8.9465199717397859E-4</v>
      </c>
    </row>
    <row r="688" spans="2:44" x14ac:dyDescent="0.35">
      <c r="B688" s="21">
        <v>45901</v>
      </c>
      <c r="C688" s="1">
        <v>0.66</v>
      </c>
      <c r="D688" s="1">
        <v>0.66</v>
      </c>
      <c r="E688" s="6">
        <f t="shared" si="145"/>
        <v>-4.3478260869565077E-2</v>
      </c>
      <c r="F688" s="21">
        <v>45901</v>
      </c>
      <c r="G688" s="1">
        <v>16.3</v>
      </c>
      <c r="H688" s="1">
        <v>16.3</v>
      </c>
      <c r="I688" s="6">
        <f t="shared" si="143"/>
        <v>4.6213093709884578E-2</v>
      </c>
      <c r="J688" s="21">
        <v>45901</v>
      </c>
      <c r="K688" s="1">
        <v>56.25</v>
      </c>
      <c r="L688" s="1">
        <v>56.25</v>
      </c>
      <c r="M688" s="6">
        <f t="shared" si="138"/>
        <v>-9.6830985915492551E-3</v>
      </c>
      <c r="N688" s="21">
        <v>45901</v>
      </c>
      <c r="O688" s="1">
        <v>13.06</v>
      </c>
      <c r="P688" s="1">
        <v>13.06</v>
      </c>
      <c r="Q688" s="6">
        <f t="shared" si="139"/>
        <v>-2.1722846441947552E-2</v>
      </c>
      <c r="R688" s="21">
        <v>45901</v>
      </c>
      <c r="S688" s="1">
        <v>8.7100000000000009</v>
      </c>
      <c r="T688" s="1">
        <v>8.7100000000000009</v>
      </c>
      <c r="U688" s="6">
        <f t="shared" si="144"/>
        <v>1.1494252873565092E-3</v>
      </c>
      <c r="V688" s="21">
        <v>45901</v>
      </c>
      <c r="W688" s="1">
        <v>5.93</v>
      </c>
      <c r="X688" s="1">
        <v>5.93</v>
      </c>
      <c r="Y688" s="6">
        <f t="shared" si="146"/>
        <v>-1.1666666666666714E-2</v>
      </c>
      <c r="Z688" s="21">
        <v>45901</v>
      </c>
      <c r="AA688" s="1">
        <v>1.9</v>
      </c>
      <c r="AB688" s="1">
        <v>1.9</v>
      </c>
      <c r="AC688" s="6">
        <f t="shared" si="140"/>
        <v>-1.5544041450777257E-2</v>
      </c>
      <c r="AD688" s="21">
        <v>45901</v>
      </c>
      <c r="AE688" s="1">
        <v>15.28</v>
      </c>
      <c r="AF688" s="1">
        <v>15.28</v>
      </c>
      <c r="AG688" s="6">
        <f t="shared" si="141"/>
        <v>-1.3071895424837665E-3</v>
      </c>
      <c r="AH688" s="21">
        <v>45901</v>
      </c>
      <c r="AI688" s="1">
        <v>12.49</v>
      </c>
      <c r="AJ688" s="1">
        <v>12.49</v>
      </c>
      <c r="AK688" s="6">
        <f t="shared" si="142"/>
        <v>1.6038492381715841E-3</v>
      </c>
      <c r="AL688" s="21">
        <v>45901</v>
      </c>
      <c r="AM688" s="1">
        <v>2.6</v>
      </c>
      <c r="AN688" s="1">
        <v>2.6</v>
      </c>
      <c r="AO688" s="6">
        <v>0</v>
      </c>
      <c r="AP688" s="21" t="s">
        <v>691</v>
      </c>
      <c r="AQ688" s="1">
        <v>11912.23</v>
      </c>
      <c r="AR688" s="6">
        <v>-2.0898518806988786E-4</v>
      </c>
    </row>
    <row r="689" spans="2:44" x14ac:dyDescent="0.35">
      <c r="B689" s="21">
        <v>45902</v>
      </c>
      <c r="C689" s="1">
        <v>0.66</v>
      </c>
      <c r="D689" s="1">
        <v>0.66</v>
      </c>
      <c r="E689" s="6">
        <f t="shared" si="145"/>
        <v>0</v>
      </c>
      <c r="F689" s="21">
        <v>45902</v>
      </c>
      <c r="G689" s="1">
        <v>15.71</v>
      </c>
      <c r="H689" s="1">
        <v>15.71</v>
      </c>
      <c r="I689" s="6">
        <f t="shared" si="143"/>
        <v>-3.6196319018404921E-2</v>
      </c>
      <c r="J689" s="21">
        <v>45902</v>
      </c>
      <c r="K689" s="1">
        <v>56.6</v>
      </c>
      <c r="L689" s="1">
        <v>56.6</v>
      </c>
      <c r="M689" s="6">
        <f t="shared" si="138"/>
        <v>6.2222222222223511E-3</v>
      </c>
      <c r="N689" s="21">
        <v>45902</v>
      </c>
      <c r="O689" s="1">
        <v>12.95</v>
      </c>
      <c r="P689" s="1">
        <v>12.95</v>
      </c>
      <c r="Q689" s="6">
        <f t="shared" si="139"/>
        <v>-8.4226646248086734E-3</v>
      </c>
      <c r="R689" s="21">
        <v>45902</v>
      </c>
      <c r="S689" s="1">
        <v>8.64</v>
      </c>
      <c r="T689" s="1">
        <v>8.64</v>
      </c>
      <c r="U689" s="6">
        <f t="shared" si="144"/>
        <v>-8.036739380023028E-3</v>
      </c>
      <c r="V689" s="21">
        <v>45902</v>
      </c>
      <c r="W689" s="1">
        <v>5.95</v>
      </c>
      <c r="X689" s="1">
        <v>5.95</v>
      </c>
      <c r="Y689" s="6">
        <f t="shared" si="146"/>
        <v>3.3726812816190499E-3</v>
      </c>
      <c r="Z689" s="21">
        <v>45902</v>
      </c>
      <c r="AA689" s="1">
        <v>1.87</v>
      </c>
      <c r="AB689" s="1">
        <v>1.87</v>
      </c>
      <c r="AC689" s="6">
        <f t="shared" si="140"/>
        <v>-1.5789473684210464E-2</v>
      </c>
      <c r="AD689" s="21">
        <v>45902</v>
      </c>
      <c r="AE689" s="1">
        <v>15.28</v>
      </c>
      <c r="AF689" s="1">
        <v>15.28</v>
      </c>
      <c r="AG689" s="6">
        <f t="shared" si="141"/>
        <v>0</v>
      </c>
      <c r="AH689" s="21">
        <v>45902</v>
      </c>
      <c r="AI689" s="1">
        <v>12.4</v>
      </c>
      <c r="AJ689" s="1">
        <v>12.4</v>
      </c>
      <c r="AK689" s="6">
        <f t="shared" si="142"/>
        <v>-7.2057646116893137E-3</v>
      </c>
      <c r="AL689" s="21">
        <v>45902</v>
      </c>
      <c r="AM689" s="1">
        <v>2.5499999999999998</v>
      </c>
      <c r="AN689" s="1">
        <v>2.5499999999999998</v>
      </c>
      <c r="AO689" s="6">
        <v>-1.9230769230769384E-2</v>
      </c>
      <c r="AP689" s="21" t="s">
        <v>692</v>
      </c>
      <c r="AQ689" s="1">
        <v>11871.76</v>
      </c>
      <c r="AR689" s="6">
        <v>-3.3973487751662867E-3</v>
      </c>
    </row>
    <row r="690" spans="2:44" x14ac:dyDescent="0.35">
      <c r="B690" s="21">
        <v>45903</v>
      </c>
      <c r="C690" s="1">
        <v>0.66</v>
      </c>
      <c r="D690" s="1">
        <v>0.66</v>
      </c>
      <c r="E690" s="6">
        <f t="shared" si="145"/>
        <v>0</v>
      </c>
      <c r="F690" s="21">
        <v>45903</v>
      </c>
      <c r="G690" s="1">
        <v>16.25</v>
      </c>
      <c r="H690" s="1">
        <v>16.25</v>
      </c>
      <c r="I690" s="6">
        <f t="shared" si="143"/>
        <v>3.4373010821133088E-2</v>
      </c>
      <c r="J690" s="21">
        <v>45903</v>
      </c>
      <c r="K690" s="1">
        <v>57.39</v>
      </c>
      <c r="L690" s="1">
        <v>57.39</v>
      </c>
      <c r="M690" s="6">
        <f t="shared" si="138"/>
        <v>1.3957597173144931E-2</v>
      </c>
      <c r="N690" s="21">
        <v>45903</v>
      </c>
      <c r="O690" s="1">
        <v>12.93</v>
      </c>
      <c r="P690" s="1">
        <v>12.93</v>
      </c>
      <c r="Q690" s="6">
        <f t="shared" si="139"/>
        <v>-1.5444015444014969E-3</v>
      </c>
      <c r="R690" s="21">
        <v>45903</v>
      </c>
      <c r="S690" s="1">
        <v>8.7799999999999994</v>
      </c>
      <c r="T690" s="1">
        <v>8.7799999999999994</v>
      </c>
      <c r="U690" s="6">
        <f t="shared" si="144"/>
        <v>1.6203703703703498E-2</v>
      </c>
      <c r="V690" s="21">
        <v>45903</v>
      </c>
      <c r="W690" s="1">
        <v>6.14</v>
      </c>
      <c r="X690" s="1">
        <v>6.14</v>
      </c>
      <c r="Y690" s="6">
        <f t="shared" si="146"/>
        <v>3.1932773109243584E-2</v>
      </c>
      <c r="Z690" s="21">
        <v>45903</v>
      </c>
      <c r="AA690" s="1">
        <v>1.86</v>
      </c>
      <c r="AB690" s="1">
        <v>1.86</v>
      </c>
      <c r="AC690" s="6">
        <f t="shared" si="140"/>
        <v>-5.3475935828877219E-3</v>
      </c>
      <c r="AD690" s="21">
        <v>45903</v>
      </c>
      <c r="AE690" s="1">
        <v>15.23</v>
      </c>
      <c r="AF690" s="1">
        <v>15.23</v>
      </c>
      <c r="AG690" s="6">
        <f t="shared" si="141"/>
        <v>-3.2722513089004091E-3</v>
      </c>
      <c r="AH690" s="21">
        <v>45903</v>
      </c>
      <c r="AI690" s="1">
        <v>12.47</v>
      </c>
      <c r="AJ690" s="1">
        <v>12.47</v>
      </c>
      <c r="AK690" s="6">
        <f t="shared" si="142"/>
        <v>5.6451612903225534E-3</v>
      </c>
      <c r="AL690" s="21">
        <v>45903</v>
      </c>
      <c r="AM690" s="1">
        <v>2.5</v>
      </c>
      <c r="AN690" s="1">
        <v>2.5</v>
      </c>
      <c r="AO690" s="6">
        <v>-1.9607843137254832E-2</v>
      </c>
      <c r="AP690" s="21" t="s">
        <v>693</v>
      </c>
      <c r="AQ690" s="1">
        <v>11963.07</v>
      </c>
      <c r="AR690" s="6">
        <v>7.6913616852092304E-3</v>
      </c>
    </row>
    <row r="691" spans="2:44" x14ac:dyDescent="0.35">
      <c r="B691" s="21">
        <v>45905</v>
      </c>
      <c r="C691" s="1">
        <v>0.64</v>
      </c>
      <c r="D691" s="1">
        <v>0.64</v>
      </c>
      <c r="E691" s="6">
        <f t="shared" si="145"/>
        <v>-3.0303030303030276E-2</v>
      </c>
      <c r="F691" s="21">
        <v>45905</v>
      </c>
      <c r="G691" s="1">
        <v>16.25</v>
      </c>
      <c r="H691" s="1">
        <v>16.25</v>
      </c>
      <c r="I691" s="6">
        <f t="shared" si="143"/>
        <v>0</v>
      </c>
      <c r="J691" s="21">
        <v>45905</v>
      </c>
      <c r="K691" s="1">
        <v>57.39</v>
      </c>
      <c r="L691" s="1">
        <v>57.39</v>
      </c>
      <c r="M691" s="6">
        <f t="shared" si="138"/>
        <v>0</v>
      </c>
      <c r="N691" s="21">
        <v>45905</v>
      </c>
      <c r="O691" s="1">
        <v>13.59</v>
      </c>
      <c r="P691" s="1">
        <v>13.59</v>
      </c>
      <c r="Q691" s="6">
        <f t="shared" si="139"/>
        <v>5.1044083526682105E-2</v>
      </c>
      <c r="R691" s="21">
        <v>45905</v>
      </c>
      <c r="S691" s="1">
        <v>8.6999999999999993</v>
      </c>
      <c r="T691" s="1">
        <v>8.6999999999999993</v>
      </c>
      <c r="U691" s="6">
        <f t="shared" si="144"/>
        <v>-9.1116173120728838E-3</v>
      </c>
      <c r="V691" s="21">
        <v>45905</v>
      </c>
      <c r="W691" s="1">
        <v>6.2</v>
      </c>
      <c r="X691" s="1">
        <v>6.2</v>
      </c>
      <c r="Y691" s="6">
        <f t="shared" si="146"/>
        <v>9.7719869706840434E-3</v>
      </c>
      <c r="Z691" s="21">
        <v>45905</v>
      </c>
      <c r="AA691" s="1">
        <v>1.87</v>
      </c>
      <c r="AB691" s="1">
        <v>1.87</v>
      </c>
      <c r="AC691" s="6">
        <f t="shared" si="140"/>
        <v>5.3763440860215006E-3</v>
      </c>
      <c r="AD691" s="21">
        <v>45905</v>
      </c>
      <c r="AE691" s="1">
        <v>15.2</v>
      </c>
      <c r="AF691" s="1">
        <v>15.2</v>
      </c>
      <c r="AG691" s="6">
        <f t="shared" si="141"/>
        <v>-1.969796454366457E-3</v>
      </c>
      <c r="AH691" s="21">
        <v>45905</v>
      </c>
      <c r="AI691" s="1">
        <v>12.4</v>
      </c>
      <c r="AJ691" s="1">
        <v>12.4</v>
      </c>
      <c r="AK691" s="6">
        <f t="shared" si="142"/>
        <v>-5.6134723336006553E-3</v>
      </c>
      <c r="AL691" s="21">
        <v>45905</v>
      </c>
      <c r="AM691" s="1">
        <v>2.39</v>
      </c>
      <c r="AN691" s="1">
        <v>2.39</v>
      </c>
      <c r="AO691" s="6">
        <v>-4.3999999999999928E-2</v>
      </c>
      <c r="AP691" s="21" t="s">
        <v>694</v>
      </c>
      <c r="AQ691" s="1">
        <v>11979.77</v>
      </c>
      <c r="AR691" s="6">
        <v>1.3959627420052634E-3</v>
      </c>
    </row>
    <row r="692" spans="2:44" x14ac:dyDescent="0.35">
      <c r="B692" s="21">
        <v>45908</v>
      </c>
      <c r="C692" s="1">
        <v>0.65</v>
      </c>
      <c r="D692" s="1">
        <v>0.65</v>
      </c>
      <c r="E692" s="6">
        <f t="shared" si="145"/>
        <v>1.5625E-2</v>
      </c>
      <c r="F692" s="21">
        <v>45908</v>
      </c>
      <c r="G692" s="1">
        <v>16.2</v>
      </c>
      <c r="H692" s="1">
        <v>16.2</v>
      </c>
      <c r="I692" s="6">
        <f t="shared" si="143"/>
        <v>-3.0769230769230882E-3</v>
      </c>
      <c r="J692" s="21">
        <v>45908</v>
      </c>
      <c r="K692" s="1">
        <v>57.69</v>
      </c>
      <c r="L692" s="1">
        <v>57.69</v>
      </c>
      <c r="M692" s="6">
        <f t="shared" si="138"/>
        <v>5.2273915316256581E-3</v>
      </c>
      <c r="N692" s="21">
        <v>45908</v>
      </c>
      <c r="O692" s="1">
        <v>13.3</v>
      </c>
      <c r="P692" s="1">
        <v>13.3</v>
      </c>
      <c r="Q692" s="6">
        <f t="shared" si="139"/>
        <v>-2.1339220014716664E-2</v>
      </c>
      <c r="R692" s="21">
        <v>45908</v>
      </c>
      <c r="S692" s="1">
        <v>8.4499999999999993</v>
      </c>
      <c r="T692" s="1">
        <v>8.4499999999999993</v>
      </c>
      <c r="U692" s="6">
        <f t="shared" si="144"/>
        <v>-2.8735632183908066E-2</v>
      </c>
      <c r="V692" s="21">
        <v>45908</v>
      </c>
      <c r="W692" s="1">
        <v>6.1</v>
      </c>
      <c r="X692" s="1">
        <v>6.1</v>
      </c>
      <c r="Y692" s="6">
        <f t="shared" si="146"/>
        <v>-1.6129032258064613E-2</v>
      </c>
      <c r="Z692" s="21">
        <v>45908</v>
      </c>
      <c r="AA692" s="1">
        <v>1.86</v>
      </c>
      <c r="AB692" s="1">
        <v>1.86</v>
      </c>
      <c r="AC692" s="6">
        <f t="shared" si="140"/>
        <v>-5.3475935828877219E-3</v>
      </c>
      <c r="AD692" s="21">
        <v>45908</v>
      </c>
      <c r="AE692" s="1">
        <v>15</v>
      </c>
      <c r="AF692" s="1">
        <v>15</v>
      </c>
      <c r="AG692" s="6">
        <f t="shared" si="141"/>
        <v>-1.3157894736842035E-2</v>
      </c>
      <c r="AH692" s="21">
        <v>45908</v>
      </c>
      <c r="AI692" s="1">
        <v>12.39</v>
      </c>
      <c r="AJ692" s="1">
        <v>12.39</v>
      </c>
      <c r="AK692" s="6">
        <f t="shared" si="142"/>
        <v>-8.0645161290315848E-4</v>
      </c>
      <c r="AL692" s="21">
        <v>45908</v>
      </c>
      <c r="AM692" s="1">
        <v>2.35</v>
      </c>
      <c r="AN692" s="1">
        <v>2.35</v>
      </c>
      <c r="AO692" s="6">
        <v>-1.6736401673640211E-2</v>
      </c>
      <c r="AP692" s="21" t="s">
        <v>695</v>
      </c>
      <c r="AQ692" s="1">
        <v>11925.04</v>
      </c>
      <c r="AR692" s="6">
        <v>-4.5685351221266268E-3</v>
      </c>
    </row>
    <row r="693" spans="2:44" x14ac:dyDescent="0.35">
      <c r="B693" s="21">
        <v>45909</v>
      </c>
      <c r="C693" s="1">
        <v>0.67</v>
      </c>
      <c r="D693" s="1">
        <v>0.67</v>
      </c>
      <c r="E693" s="6">
        <f t="shared" si="145"/>
        <v>3.0769230769230882E-2</v>
      </c>
      <c r="F693" s="21">
        <v>45909</v>
      </c>
      <c r="G693" s="1">
        <v>16.2</v>
      </c>
      <c r="H693" s="1">
        <v>16.2</v>
      </c>
      <c r="I693" s="6">
        <f t="shared" si="143"/>
        <v>0</v>
      </c>
      <c r="J693" s="21">
        <v>45909</v>
      </c>
      <c r="K693" s="1">
        <v>57.3</v>
      </c>
      <c r="L693" s="1">
        <v>57.3</v>
      </c>
      <c r="M693" s="6">
        <f t="shared" si="138"/>
        <v>-6.7602704108163936E-3</v>
      </c>
      <c r="N693" s="21">
        <v>45909</v>
      </c>
      <c r="O693" s="1">
        <v>13.25</v>
      </c>
      <c r="P693" s="1">
        <v>13.25</v>
      </c>
      <c r="Q693" s="6">
        <f t="shared" si="139"/>
        <v>-3.7593984962406291E-3</v>
      </c>
      <c r="R693" s="21">
        <v>45909</v>
      </c>
      <c r="S693" s="1">
        <v>8.5500000000000007</v>
      </c>
      <c r="T693" s="1">
        <v>8.5500000000000007</v>
      </c>
      <c r="U693" s="6">
        <f t="shared" si="144"/>
        <v>1.1834319526627279E-2</v>
      </c>
      <c r="V693" s="21">
        <v>45909</v>
      </c>
      <c r="W693" s="1">
        <v>6.12</v>
      </c>
      <c r="X693" s="1">
        <v>6.12</v>
      </c>
      <c r="Y693" s="6">
        <f t="shared" si="146"/>
        <v>3.2786885245903452E-3</v>
      </c>
      <c r="Z693" s="21">
        <v>45909</v>
      </c>
      <c r="AA693" s="1">
        <v>1.89</v>
      </c>
      <c r="AB693" s="1">
        <v>1.89</v>
      </c>
      <c r="AC693" s="6">
        <f t="shared" si="140"/>
        <v>1.6129032258064502E-2</v>
      </c>
      <c r="AD693" s="21">
        <v>45909</v>
      </c>
      <c r="AE693" s="1">
        <v>15.13</v>
      </c>
      <c r="AF693" s="1">
        <v>15.13</v>
      </c>
      <c r="AG693" s="6">
        <f t="shared" si="141"/>
        <v>8.6666666666668224E-3</v>
      </c>
      <c r="AH693" s="21">
        <v>45909</v>
      </c>
      <c r="AI693" s="1">
        <v>12.3</v>
      </c>
      <c r="AJ693" s="1">
        <v>12.3</v>
      </c>
      <c r="AK693" s="6">
        <f t="shared" si="142"/>
        <v>-7.2639225181597711E-3</v>
      </c>
      <c r="AL693" s="21">
        <v>45909</v>
      </c>
      <c r="AM693" s="1">
        <v>2.4</v>
      </c>
      <c r="AN693" s="1">
        <v>2.4</v>
      </c>
      <c r="AO693" s="6">
        <v>2.1276595744680771E-2</v>
      </c>
      <c r="AP693" s="21" t="s">
        <v>696</v>
      </c>
      <c r="AQ693" s="1">
        <v>11944.76</v>
      </c>
      <c r="AR693" s="6">
        <v>1.6536632162240661E-3</v>
      </c>
    </row>
    <row r="694" spans="2:44" x14ac:dyDescent="0.35">
      <c r="B694" s="21">
        <v>45910</v>
      </c>
      <c r="C694" s="1">
        <v>0.67</v>
      </c>
      <c r="D694" s="1">
        <v>0.67</v>
      </c>
      <c r="E694" s="6">
        <f t="shared" si="145"/>
        <v>0</v>
      </c>
      <c r="F694" s="21">
        <v>45910</v>
      </c>
      <c r="G694" s="1">
        <v>16.2</v>
      </c>
      <c r="H694" s="1">
        <v>16.2</v>
      </c>
      <c r="I694" s="6">
        <f t="shared" si="143"/>
        <v>0</v>
      </c>
      <c r="J694" s="21">
        <v>45910</v>
      </c>
      <c r="K694" s="1">
        <v>57.1</v>
      </c>
      <c r="L694" s="1">
        <v>57.1</v>
      </c>
      <c r="M694" s="6">
        <f t="shared" si="138"/>
        <v>-3.4904013961605251E-3</v>
      </c>
      <c r="N694" s="21">
        <v>45910</v>
      </c>
      <c r="O694" s="1">
        <v>13.1</v>
      </c>
      <c r="P694" s="1">
        <v>13.1</v>
      </c>
      <c r="Q694" s="6">
        <f t="shared" si="139"/>
        <v>-1.132075471698113E-2</v>
      </c>
      <c r="R694" s="21">
        <v>45910</v>
      </c>
      <c r="S694" s="1">
        <v>8.4499999999999993</v>
      </c>
      <c r="T694" s="1">
        <v>8.4499999999999993</v>
      </c>
      <c r="U694" s="6">
        <f t="shared" si="144"/>
        <v>-1.1695906432748648E-2</v>
      </c>
      <c r="V694" s="21">
        <v>45910</v>
      </c>
      <c r="W694" s="1">
        <v>6.23</v>
      </c>
      <c r="X694" s="1">
        <v>6.23</v>
      </c>
      <c r="Y694" s="6">
        <f t="shared" si="146"/>
        <v>1.7973856209150485E-2</v>
      </c>
      <c r="Z694" s="21">
        <v>45910</v>
      </c>
      <c r="AA694" s="1">
        <v>1.87</v>
      </c>
      <c r="AB694" s="1">
        <v>1.87</v>
      </c>
      <c r="AC694" s="6">
        <f t="shared" si="140"/>
        <v>-1.058201058201047E-2</v>
      </c>
      <c r="AD694" s="21">
        <v>45910</v>
      </c>
      <c r="AE694" s="1">
        <v>15</v>
      </c>
      <c r="AF694" s="1">
        <v>15</v>
      </c>
      <c r="AG694" s="6">
        <f t="shared" si="141"/>
        <v>-8.5922009253139864E-3</v>
      </c>
      <c r="AH694" s="21">
        <v>45910</v>
      </c>
      <c r="AI694" s="1">
        <v>12.29</v>
      </c>
      <c r="AJ694" s="1">
        <v>12.29</v>
      </c>
      <c r="AK694" s="6">
        <f t="shared" si="142"/>
        <v>-8.1300813008144956E-4</v>
      </c>
      <c r="AL694" s="21">
        <v>45910</v>
      </c>
      <c r="AM694" s="1">
        <v>2.4</v>
      </c>
      <c r="AN694" s="1">
        <v>2.4</v>
      </c>
      <c r="AO694" s="6">
        <v>0</v>
      </c>
      <c r="AP694" s="21" t="s">
        <v>697</v>
      </c>
      <c r="AQ694" s="1">
        <v>11929.52</v>
      </c>
      <c r="AR694" s="6">
        <v>-1.2758732699527098E-3</v>
      </c>
    </row>
    <row r="695" spans="2:44" x14ac:dyDescent="0.35">
      <c r="B695" s="21">
        <v>45911</v>
      </c>
      <c r="C695" s="1">
        <v>0.65</v>
      </c>
      <c r="D695" s="1">
        <v>0.65</v>
      </c>
      <c r="E695" s="6">
        <f t="shared" si="145"/>
        <v>-2.9850746268656692E-2</v>
      </c>
      <c r="F695" s="21">
        <v>45911</v>
      </c>
      <c r="G695" s="1">
        <v>16.2</v>
      </c>
      <c r="H695" s="1">
        <v>16.2</v>
      </c>
      <c r="I695" s="6">
        <f t="shared" si="143"/>
        <v>0</v>
      </c>
      <c r="J695" s="21">
        <v>45911</v>
      </c>
      <c r="K695" s="1">
        <v>57.5</v>
      </c>
      <c r="L695" s="1">
        <v>57.5</v>
      </c>
      <c r="M695" s="6">
        <f t="shared" si="138"/>
        <v>7.0052539404552583E-3</v>
      </c>
      <c r="N695" s="21">
        <v>45911</v>
      </c>
      <c r="O695" s="1">
        <v>13.3</v>
      </c>
      <c r="P695" s="1">
        <v>13.3</v>
      </c>
      <c r="Q695" s="6">
        <f t="shared" si="139"/>
        <v>1.5267175572519109E-2</v>
      </c>
      <c r="R695" s="21">
        <v>45911</v>
      </c>
      <c r="S695" s="1">
        <v>8.4499999999999993</v>
      </c>
      <c r="T695" s="1">
        <v>8.4499999999999993</v>
      </c>
      <c r="U695" s="6">
        <f t="shared" si="144"/>
        <v>0</v>
      </c>
      <c r="V695" s="21">
        <v>45911</v>
      </c>
      <c r="W695" s="1">
        <v>6.27</v>
      </c>
      <c r="X695" s="1">
        <v>6.27</v>
      </c>
      <c r="Y695" s="6">
        <f t="shared" si="146"/>
        <v>6.4205457463883953E-3</v>
      </c>
      <c r="Z695" s="21">
        <v>45911</v>
      </c>
      <c r="AA695" s="1">
        <v>1.87</v>
      </c>
      <c r="AB695" s="1">
        <v>1.87</v>
      </c>
      <c r="AC695" s="6">
        <f t="shared" si="140"/>
        <v>0</v>
      </c>
      <c r="AD695" s="21">
        <v>45911</v>
      </c>
      <c r="AE695" s="1">
        <v>15.06</v>
      </c>
      <c r="AF695" s="1">
        <v>15.06</v>
      </c>
      <c r="AG695" s="6">
        <f t="shared" si="141"/>
        <v>4.0000000000000036E-3</v>
      </c>
      <c r="AH695" s="21">
        <v>45911</v>
      </c>
      <c r="AI695" s="1">
        <v>12.39</v>
      </c>
      <c r="AJ695" s="1">
        <v>12.39</v>
      </c>
      <c r="AK695" s="6">
        <f t="shared" si="142"/>
        <v>8.1366965012206194E-3</v>
      </c>
      <c r="AL695" s="21">
        <v>45911</v>
      </c>
      <c r="AM695" s="1">
        <v>2.4500000000000002</v>
      </c>
      <c r="AN695" s="1">
        <v>2.4500000000000002</v>
      </c>
      <c r="AO695" s="6">
        <v>2.0833333333333481E-2</v>
      </c>
      <c r="AP695" s="21" t="s">
        <v>698</v>
      </c>
      <c r="AQ695" s="1">
        <v>12019.4</v>
      </c>
      <c r="AR695" s="6">
        <v>7.534251168529682E-3</v>
      </c>
    </row>
    <row r="696" spans="2:44" x14ac:dyDescent="0.35">
      <c r="B696" s="21">
        <v>45912</v>
      </c>
      <c r="C696" s="1">
        <v>0.65</v>
      </c>
      <c r="D696" s="1">
        <v>0.65</v>
      </c>
      <c r="E696" s="6">
        <f t="shared" si="145"/>
        <v>0</v>
      </c>
      <c r="F696" s="21">
        <v>45912</v>
      </c>
      <c r="G696" s="1">
        <v>16</v>
      </c>
      <c r="H696" s="1">
        <v>16</v>
      </c>
      <c r="I696" s="6">
        <f t="shared" si="143"/>
        <v>-1.2345679012345623E-2</v>
      </c>
      <c r="J696" s="21">
        <v>45912</v>
      </c>
      <c r="K696" s="1">
        <v>57.59</v>
      </c>
      <c r="L696" s="1">
        <v>57.59</v>
      </c>
      <c r="M696" s="6">
        <f t="shared" si="138"/>
        <v>1.5652173913043299E-3</v>
      </c>
      <c r="N696" s="21">
        <v>45912</v>
      </c>
      <c r="O696" s="1">
        <v>13.2</v>
      </c>
      <c r="P696" s="1">
        <v>13.2</v>
      </c>
      <c r="Q696" s="6">
        <f t="shared" si="139"/>
        <v>-7.5187969924812581E-3</v>
      </c>
      <c r="R696" s="21">
        <v>45912</v>
      </c>
      <c r="S696" s="1">
        <v>8.48</v>
      </c>
      <c r="T696" s="1">
        <v>8.48</v>
      </c>
      <c r="U696" s="6">
        <f t="shared" si="144"/>
        <v>3.5502958579882726E-3</v>
      </c>
      <c r="V696" s="21">
        <v>45912</v>
      </c>
      <c r="W696" s="1">
        <v>7.99</v>
      </c>
      <c r="X696" s="1">
        <v>7.99</v>
      </c>
      <c r="Y696" s="6">
        <f t="shared" si="146"/>
        <v>0.27432216905901119</v>
      </c>
      <c r="Z696" s="21">
        <v>45912</v>
      </c>
      <c r="AA696" s="1">
        <v>1.92</v>
      </c>
      <c r="AB696" s="1">
        <v>1.92</v>
      </c>
      <c r="AC696" s="6">
        <f t="shared" si="140"/>
        <v>2.6737967914438387E-2</v>
      </c>
      <c r="AD696" s="21">
        <v>45912</v>
      </c>
      <c r="AE696" s="1">
        <v>15</v>
      </c>
      <c r="AF696" s="1">
        <v>15</v>
      </c>
      <c r="AG696" s="6">
        <f t="shared" si="141"/>
        <v>-3.9840637450199168E-3</v>
      </c>
      <c r="AH696" s="21">
        <v>45912</v>
      </c>
      <c r="AI696" s="1">
        <v>12.4</v>
      </c>
      <c r="AJ696" s="1">
        <v>12.4</v>
      </c>
      <c r="AK696" s="6">
        <f t="shared" si="142"/>
        <v>8.0710250201776468E-4</v>
      </c>
      <c r="AL696" s="21">
        <v>45912</v>
      </c>
      <c r="AM696" s="1">
        <v>2.4500000000000002</v>
      </c>
      <c r="AN696" s="1">
        <v>2.4500000000000002</v>
      </c>
      <c r="AO696" s="6">
        <v>0</v>
      </c>
      <c r="AP696" s="21" t="s">
        <v>699</v>
      </c>
      <c r="AQ696" s="1">
        <v>12072.79</v>
      </c>
      <c r="AR696" s="6">
        <v>4.4419854568449324E-3</v>
      </c>
    </row>
    <row r="697" spans="2:44" x14ac:dyDescent="0.35">
      <c r="B697" s="21">
        <v>45915</v>
      </c>
      <c r="C697" s="1">
        <v>0.64</v>
      </c>
      <c r="D697" s="1">
        <v>0.64</v>
      </c>
      <c r="E697" s="6">
        <f t="shared" si="145"/>
        <v>-1.5384615384615441E-2</v>
      </c>
      <c r="F697" s="21">
        <v>45915</v>
      </c>
      <c r="G697" s="1">
        <v>16.170000000000002</v>
      </c>
      <c r="H697" s="1">
        <v>16.170000000000002</v>
      </c>
      <c r="I697" s="6">
        <f t="shared" si="143"/>
        <v>1.0625000000000107E-2</v>
      </c>
      <c r="J697" s="21">
        <v>45915</v>
      </c>
      <c r="K697" s="1">
        <v>57.79</v>
      </c>
      <c r="L697" s="1">
        <v>57.79</v>
      </c>
      <c r="M697" s="6">
        <f t="shared" si="138"/>
        <v>3.4728251432538659E-3</v>
      </c>
      <c r="N697" s="21">
        <v>45915</v>
      </c>
      <c r="O697" s="1">
        <v>13.19</v>
      </c>
      <c r="P697" s="1">
        <v>13.19</v>
      </c>
      <c r="Q697" s="6">
        <f t="shared" si="139"/>
        <v>-7.575757575757347E-4</v>
      </c>
      <c r="R697" s="21">
        <v>45915</v>
      </c>
      <c r="S697" s="1">
        <v>8.4700000000000006</v>
      </c>
      <c r="T697" s="1">
        <v>8.4700000000000006</v>
      </c>
      <c r="U697" s="6">
        <f t="shared" si="144"/>
        <v>-1.179245283018826E-3</v>
      </c>
      <c r="V697" s="21">
        <v>45915</v>
      </c>
      <c r="W697" s="1">
        <v>7.99</v>
      </c>
      <c r="X697" s="1">
        <v>7.99</v>
      </c>
      <c r="Y697" s="6">
        <f t="shared" si="146"/>
        <v>0</v>
      </c>
      <c r="Z697" s="21">
        <v>45915</v>
      </c>
      <c r="AA697" s="1">
        <v>1.92</v>
      </c>
      <c r="AB697" s="1">
        <v>1.92</v>
      </c>
      <c r="AC697" s="6">
        <f t="shared" si="140"/>
        <v>0</v>
      </c>
      <c r="AD697" s="21">
        <v>45915</v>
      </c>
      <c r="AE697" s="1">
        <v>14.95</v>
      </c>
      <c r="AF697" s="1">
        <v>14.95</v>
      </c>
      <c r="AG697" s="6">
        <f t="shared" si="141"/>
        <v>-3.3333333333334103E-3</v>
      </c>
      <c r="AH697" s="21">
        <v>45915</v>
      </c>
      <c r="AI697" s="1">
        <v>12.6</v>
      </c>
      <c r="AJ697" s="1">
        <v>12.6</v>
      </c>
      <c r="AK697" s="6">
        <f t="shared" si="142"/>
        <v>1.6129032258064502E-2</v>
      </c>
      <c r="AL697" s="21">
        <v>45915</v>
      </c>
      <c r="AM697" s="1">
        <v>2.34</v>
      </c>
      <c r="AN697" s="1">
        <v>2.34</v>
      </c>
      <c r="AO697" s="6">
        <v>-4.4897959183673564E-2</v>
      </c>
      <c r="AP697" s="21" t="s">
        <v>700</v>
      </c>
      <c r="AQ697" s="1">
        <v>12154.13</v>
      </c>
      <c r="AR697" s="6">
        <v>6.7374649935929565E-3</v>
      </c>
    </row>
    <row r="698" spans="2:44" x14ac:dyDescent="0.35">
      <c r="B698" s="21">
        <v>45916</v>
      </c>
      <c r="C698" s="1">
        <v>0.64</v>
      </c>
      <c r="D698" s="1">
        <v>0.64</v>
      </c>
      <c r="E698" s="6">
        <f t="shared" si="145"/>
        <v>0</v>
      </c>
      <c r="F698" s="21">
        <v>45916</v>
      </c>
      <c r="G698" s="1">
        <v>16.170000000000002</v>
      </c>
      <c r="H698" s="1">
        <v>16.170000000000002</v>
      </c>
      <c r="I698" s="6">
        <f t="shared" si="143"/>
        <v>0</v>
      </c>
      <c r="J698" s="21">
        <v>45916</v>
      </c>
      <c r="K698" s="1">
        <v>58.99</v>
      </c>
      <c r="L698" s="1">
        <v>58.99</v>
      </c>
      <c r="M698" s="6">
        <f t="shared" si="138"/>
        <v>2.0764838207302461E-2</v>
      </c>
      <c r="N698" s="21">
        <v>45916</v>
      </c>
      <c r="O698" s="1">
        <v>13.18</v>
      </c>
      <c r="P698" s="1">
        <v>13.18</v>
      </c>
      <c r="Q698" s="6">
        <f t="shared" si="139"/>
        <v>-7.5815011372248886E-4</v>
      </c>
      <c r="R698" s="21">
        <v>45916</v>
      </c>
      <c r="S698" s="1">
        <v>8.5</v>
      </c>
      <c r="T698" s="1">
        <v>8.5</v>
      </c>
      <c r="U698" s="6">
        <f t="shared" si="144"/>
        <v>3.5419126328215533E-3</v>
      </c>
      <c r="V698" s="21">
        <v>45916</v>
      </c>
      <c r="W698" s="1">
        <v>7.99</v>
      </c>
      <c r="X698" s="1">
        <v>7.99</v>
      </c>
      <c r="Y698" s="6">
        <f t="shared" si="146"/>
        <v>0</v>
      </c>
      <c r="Z698" s="21">
        <v>45916</v>
      </c>
      <c r="AA698" s="1">
        <v>1.91</v>
      </c>
      <c r="AB698" s="1">
        <v>1.91</v>
      </c>
      <c r="AC698" s="6">
        <f t="shared" si="140"/>
        <v>-5.2083333333333703E-3</v>
      </c>
      <c r="AD698" s="21">
        <v>45916</v>
      </c>
      <c r="AE698" s="1">
        <v>15</v>
      </c>
      <c r="AF698" s="1">
        <v>15</v>
      </c>
      <c r="AG698" s="6">
        <f t="shared" si="141"/>
        <v>3.3444816053511683E-3</v>
      </c>
      <c r="AH698" s="21">
        <v>45916</v>
      </c>
      <c r="AI698" s="1">
        <v>12.6</v>
      </c>
      <c r="AJ698" s="1">
        <v>12.6</v>
      </c>
      <c r="AK698" s="6">
        <f t="shared" si="142"/>
        <v>0</v>
      </c>
      <c r="AL698" s="21">
        <v>45916</v>
      </c>
      <c r="AM698" s="1">
        <v>2.31</v>
      </c>
      <c r="AN698" s="1">
        <v>2.31</v>
      </c>
      <c r="AO698" s="6">
        <v>-1.2820512820512775E-2</v>
      </c>
      <c r="AP698" s="21" t="s">
        <v>701</v>
      </c>
      <c r="AQ698" s="1">
        <v>12214.56</v>
      </c>
      <c r="AR698" s="6">
        <v>4.9719724900096907E-3</v>
      </c>
    </row>
    <row r="699" spans="2:44" x14ac:dyDescent="0.35">
      <c r="B699" s="21">
        <v>45917</v>
      </c>
      <c r="C699" s="1">
        <v>0.64</v>
      </c>
      <c r="D699" s="1">
        <v>0.64</v>
      </c>
      <c r="E699" s="6">
        <f t="shared" si="145"/>
        <v>0</v>
      </c>
      <c r="F699" s="21">
        <v>45917</v>
      </c>
      <c r="G699" s="1">
        <v>16.149999999999999</v>
      </c>
      <c r="H699" s="1">
        <v>16.149999999999999</v>
      </c>
      <c r="I699" s="6">
        <f t="shared" si="143"/>
        <v>-1.2368583797157662E-3</v>
      </c>
      <c r="J699" s="21">
        <v>45917</v>
      </c>
      <c r="K699" s="1">
        <v>62</v>
      </c>
      <c r="L699" s="1">
        <v>62</v>
      </c>
      <c r="M699" s="6">
        <f t="shared" si="138"/>
        <v>5.1025597558908231E-2</v>
      </c>
      <c r="N699" s="21">
        <v>45917</v>
      </c>
      <c r="O699" s="1">
        <v>12.99</v>
      </c>
      <c r="P699" s="1">
        <v>12.99</v>
      </c>
      <c r="Q699" s="6">
        <f t="shared" si="139"/>
        <v>-1.4415781487101653E-2</v>
      </c>
      <c r="R699" s="21">
        <v>45917</v>
      </c>
      <c r="S699" s="1">
        <v>8.7200000000000006</v>
      </c>
      <c r="T699" s="1">
        <v>8.7200000000000006</v>
      </c>
      <c r="U699" s="6">
        <f t="shared" si="144"/>
        <v>2.5882352941176467E-2</v>
      </c>
      <c r="V699" s="21">
        <v>45917</v>
      </c>
      <c r="W699" s="1">
        <v>7.97</v>
      </c>
      <c r="X699" s="1">
        <v>7.97</v>
      </c>
      <c r="Y699" s="6">
        <f t="shared" si="146"/>
        <v>-2.5031289111390187E-3</v>
      </c>
      <c r="Z699" s="21">
        <v>45917</v>
      </c>
      <c r="AA699" s="1">
        <v>1.89</v>
      </c>
      <c r="AB699" s="1">
        <v>1.89</v>
      </c>
      <c r="AC699" s="6">
        <f t="shared" si="140"/>
        <v>-1.0471204188481686E-2</v>
      </c>
      <c r="AD699" s="21">
        <v>45917</v>
      </c>
      <c r="AE699" s="1">
        <v>15</v>
      </c>
      <c r="AF699" s="1">
        <v>15</v>
      </c>
      <c r="AG699" s="6">
        <f t="shared" si="141"/>
        <v>0</v>
      </c>
      <c r="AH699" s="21">
        <v>45917</v>
      </c>
      <c r="AI699" s="1">
        <v>12.75</v>
      </c>
      <c r="AJ699" s="1">
        <v>12.75</v>
      </c>
      <c r="AK699" s="6">
        <f t="shared" si="142"/>
        <v>1.1904761904761862E-2</v>
      </c>
      <c r="AL699" s="21">
        <v>45917</v>
      </c>
      <c r="AM699" s="1">
        <v>2.2999999999999998</v>
      </c>
      <c r="AN699" s="1">
        <v>2.2999999999999998</v>
      </c>
      <c r="AO699" s="6">
        <v>-4.3290043290044045E-3</v>
      </c>
      <c r="AP699" s="21" t="s">
        <v>702</v>
      </c>
      <c r="AQ699" s="1">
        <v>12344.21</v>
      </c>
      <c r="AR699" s="6">
        <v>1.0614381524999716E-2</v>
      </c>
    </row>
    <row r="700" spans="2:44" x14ac:dyDescent="0.35">
      <c r="B700" s="21">
        <v>45918</v>
      </c>
      <c r="C700" s="1">
        <v>0.63</v>
      </c>
      <c r="D700" s="1">
        <v>0.63</v>
      </c>
      <c r="E700" s="6">
        <f t="shared" si="145"/>
        <v>-1.5625E-2</v>
      </c>
      <c r="F700" s="21">
        <v>45918</v>
      </c>
      <c r="G700" s="1">
        <v>15.85</v>
      </c>
      <c r="H700" s="1">
        <v>15.85</v>
      </c>
      <c r="I700" s="6">
        <f t="shared" si="143"/>
        <v>-1.8575851393188736E-2</v>
      </c>
      <c r="J700" s="21">
        <v>45918</v>
      </c>
      <c r="K700" s="1">
        <v>63</v>
      </c>
      <c r="L700" s="1">
        <v>63</v>
      </c>
      <c r="M700" s="7">
        <f t="shared" si="138"/>
        <v>1.6129032258064502E-2</v>
      </c>
      <c r="N700" s="21">
        <v>45918</v>
      </c>
      <c r="O700" s="2">
        <v>13.09</v>
      </c>
      <c r="P700" s="2">
        <v>13.09</v>
      </c>
      <c r="Q700" s="7">
        <f t="shared" si="139"/>
        <v>7.6982294072363011E-3</v>
      </c>
      <c r="R700" s="21">
        <v>45918</v>
      </c>
      <c r="S700" s="1">
        <v>8.85</v>
      </c>
      <c r="T700" s="1">
        <v>8.85</v>
      </c>
      <c r="U700" s="6">
        <f t="shared" si="144"/>
        <v>1.4908256880733939E-2</v>
      </c>
      <c r="V700" s="21">
        <v>45918</v>
      </c>
      <c r="W700" s="1">
        <v>7.8</v>
      </c>
      <c r="X700" s="1">
        <v>7.8</v>
      </c>
      <c r="Y700" s="6">
        <f t="shared" si="146"/>
        <v>-2.1329987452948562E-2</v>
      </c>
      <c r="Z700" s="21">
        <v>45918</v>
      </c>
      <c r="AA700" s="2">
        <v>1.9</v>
      </c>
      <c r="AB700" s="2">
        <v>1.9</v>
      </c>
      <c r="AC700" s="7">
        <f t="shared" si="140"/>
        <v>5.2910052910053462E-3</v>
      </c>
      <c r="AD700" s="21">
        <v>45918</v>
      </c>
      <c r="AE700" s="2">
        <v>15</v>
      </c>
      <c r="AF700" s="2">
        <v>15</v>
      </c>
      <c r="AG700" s="7">
        <f t="shared" si="141"/>
        <v>0</v>
      </c>
      <c r="AH700" s="21">
        <v>45918</v>
      </c>
      <c r="AI700" s="2">
        <v>12.73</v>
      </c>
      <c r="AJ700" s="2">
        <v>12.73</v>
      </c>
      <c r="AK700" s="7">
        <f t="shared" si="142"/>
        <v>-1.5686274509804088E-3</v>
      </c>
      <c r="AL700" s="21">
        <v>45918</v>
      </c>
      <c r="AM700" s="1">
        <v>2.3199999999999998</v>
      </c>
      <c r="AN700" s="1">
        <v>2.3199999999999998</v>
      </c>
      <c r="AO700" s="6">
        <v>8.6956521739129933E-3</v>
      </c>
      <c r="AP700" s="21" t="s">
        <v>703</v>
      </c>
      <c r="AQ700" s="1">
        <v>12362.3</v>
      </c>
      <c r="AR700" s="6">
        <v>1.4654643756060182E-3</v>
      </c>
    </row>
    <row r="701" spans="2:44" x14ac:dyDescent="0.35">
      <c r="B701" s="21">
        <v>45919</v>
      </c>
      <c r="C701" s="1">
        <v>0.62</v>
      </c>
      <c r="D701" s="1">
        <v>0.62</v>
      </c>
      <c r="E701" s="6">
        <f t="shared" si="145"/>
        <v>-1.5873015873015928E-2</v>
      </c>
      <c r="F701" s="21">
        <v>45919</v>
      </c>
      <c r="G701" s="1">
        <v>16.18</v>
      </c>
      <c r="H701" s="1">
        <v>16.18</v>
      </c>
      <c r="I701" s="6">
        <f t="shared" si="143"/>
        <v>2.0820189274447953E-2</v>
      </c>
      <c r="J701" s="21">
        <v>45919</v>
      </c>
      <c r="K701" s="2">
        <v>62</v>
      </c>
      <c r="L701" s="2">
        <v>62</v>
      </c>
      <c r="M701" s="7">
        <f t="shared" si="138"/>
        <v>-1.5873015873015928E-2</v>
      </c>
      <c r="N701" s="21">
        <v>45919</v>
      </c>
      <c r="O701" s="2">
        <v>13.07</v>
      </c>
      <c r="P701" s="2">
        <v>13.07</v>
      </c>
      <c r="Q701" s="7">
        <f t="shared" si="139"/>
        <v>-1.5278838808250317E-3</v>
      </c>
      <c r="R701" s="21">
        <v>45919</v>
      </c>
      <c r="S701" s="1">
        <v>8.7899999999999991</v>
      </c>
      <c r="T701" s="1">
        <v>8.7899999999999991</v>
      </c>
      <c r="U701" s="6">
        <f t="shared" si="144"/>
        <v>-6.7796610169491567E-3</v>
      </c>
      <c r="V701" s="21">
        <v>45919</v>
      </c>
      <c r="W701" s="1">
        <v>7.9</v>
      </c>
      <c r="X701" s="1">
        <v>7.9</v>
      </c>
      <c r="Y701" s="6">
        <f t="shared" si="146"/>
        <v>1.2820512820512997E-2</v>
      </c>
      <c r="Z701" s="21">
        <v>45919</v>
      </c>
      <c r="AA701" s="2">
        <v>1.88</v>
      </c>
      <c r="AB701" s="2">
        <v>1.88</v>
      </c>
      <c r="AC701" s="7">
        <f t="shared" si="140"/>
        <v>-1.0526315789473717E-2</v>
      </c>
      <c r="AD701" s="21">
        <v>45919</v>
      </c>
      <c r="AE701" s="2">
        <v>15</v>
      </c>
      <c r="AF701" s="2">
        <v>15</v>
      </c>
      <c r="AG701" s="7">
        <f t="shared" si="141"/>
        <v>0</v>
      </c>
      <c r="AH701" s="21">
        <v>45919</v>
      </c>
      <c r="AI701" s="2">
        <v>12.7</v>
      </c>
      <c r="AJ701" s="2">
        <v>12.7</v>
      </c>
      <c r="AK701" s="7">
        <f t="shared" si="142"/>
        <v>-2.3566378633150808E-3</v>
      </c>
      <c r="AL701" s="21">
        <v>45919</v>
      </c>
      <c r="AM701" s="1">
        <v>2.2999999999999998</v>
      </c>
      <c r="AN701" s="1">
        <v>2.2999999999999998</v>
      </c>
      <c r="AO701" s="6">
        <v>-8.6206896551723755E-3</v>
      </c>
      <c r="AP701" s="21" t="s">
        <v>704</v>
      </c>
      <c r="AQ701" s="1">
        <v>12374.5</v>
      </c>
      <c r="AR701" s="6">
        <v>9.8687137506781042E-4</v>
      </c>
    </row>
    <row r="702" spans="2:44" x14ac:dyDescent="0.35">
      <c r="B702" s="21">
        <v>45922</v>
      </c>
      <c r="C702" s="1">
        <v>0.63</v>
      </c>
      <c r="D702" s="1">
        <v>0.63</v>
      </c>
      <c r="E702" s="6">
        <f t="shared" si="145"/>
        <v>1.6129032258064502E-2</v>
      </c>
      <c r="F702" s="21">
        <v>45922</v>
      </c>
      <c r="G702" s="1">
        <v>16</v>
      </c>
      <c r="H702" s="1">
        <v>16</v>
      </c>
      <c r="I702" s="6">
        <f t="shared" si="143"/>
        <v>-1.1124845488257096E-2</v>
      </c>
      <c r="J702" s="21">
        <v>45922</v>
      </c>
      <c r="K702" s="2">
        <v>62.15</v>
      </c>
      <c r="L702" s="2">
        <v>62.15</v>
      </c>
      <c r="M702" s="7">
        <f t="shared" si="138"/>
        <v>2.4193548387096975E-3</v>
      </c>
      <c r="N702" s="21">
        <v>45922</v>
      </c>
      <c r="O702" s="2">
        <v>13.18</v>
      </c>
      <c r="P702" s="2">
        <v>13.18</v>
      </c>
      <c r="Q702" s="7">
        <f t="shared" si="139"/>
        <v>8.4162203519508871E-3</v>
      </c>
      <c r="R702" s="21">
        <v>45922</v>
      </c>
      <c r="S702" s="1">
        <v>8.75</v>
      </c>
      <c r="T702" s="1">
        <v>8.75</v>
      </c>
      <c r="U702" s="6">
        <f t="shared" si="144"/>
        <v>-4.55062571103515E-3</v>
      </c>
      <c r="V702" s="21">
        <v>45922</v>
      </c>
      <c r="W702" s="1">
        <v>7.99</v>
      </c>
      <c r="X702" s="1">
        <v>7.99</v>
      </c>
      <c r="Y702" s="6">
        <f t="shared" si="146"/>
        <v>1.13924050632912E-2</v>
      </c>
      <c r="Z702" s="21">
        <v>45922</v>
      </c>
      <c r="AA702" s="2">
        <v>1.88</v>
      </c>
      <c r="AB702" s="2">
        <v>1.88</v>
      </c>
      <c r="AC702" s="7">
        <f t="shared" si="140"/>
        <v>0</v>
      </c>
      <c r="AD702" s="21">
        <v>45922</v>
      </c>
      <c r="AE702" s="2">
        <v>14.99</v>
      </c>
      <c r="AF702" s="2">
        <v>14.99</v>
      </c>
      <c r="AG702" s="7">
        <f t="shared" si="141"/>
        <v>-6.6666666666670427E-4</v>
      </c>
      <c r="AH702" s="21">
        <v>45922</v>
      </c>
      <c r="AI702" s="2">
        <v>12.7</v>
      </c>
      <c r="AJ702" s="2">
        <v>12.7</v>
      </c>
      <c r="AK702" s="7">
        <f t="shared" si="142"/>
        <v>0</v>
      </c>
      <c r="AL702" s="21">
        <v>45922</v>
      </c>
      <c r="AM702" s="1">
        <v>2.2999999999999998</v>
      </c>
      <c r="AN702" s="1">
        <v>2.2999999999999998</v>
      </c>
      <c r="AO702" s="6">
        <v>0</v>
      </c>
      <c r="AP702" s="21" t="s">
        <v>705</v>
      </c>
      <c r="AQ702" s="1">
        <v>12375.31</v>
      </c>
      <c r="AR702" s="6">
        <v>6.5457190189466274E-5</v>
      </c>
    </row>
    <row r="703" spans="2:44" x14ac:dyDescent="0.35">
      <c r="B703" s="21">
        <v>45923</v>
      </c>
      <c r="C703" s="1">
        <v>0.64</v>
      </c>
      <c r="D703" s="1">
        <v>0.64</v>
      </c>
      <c r="E703" s="6">
        <f t="shared" si="145"/>
        <v>1.5873015873015817E-2</v>
      </c>
      <c r="F703" s="21">
        <v>45923</v>
      </c>
      <c r="G703" s="1">
        <v>16.72</v>
      </c>
      <c r="H703" s="1">
        <v>16.72</v>
      </c>
      <c r="I703" s="6">
        <f t="shared" si="143"/>
        <v>4.4999999999999929E-2</v>
      </c>
      <c r="J703" s="21">
        <v>45923</v>
      </c>
      <c r="K703" s="2">
        <v>62.9</v>
      </c>
      <c r="L703" s="2">
        <v>62.9</v>
      </c>
      <c r="M703" s="7">
        <f t="shared" si="138"/>
        <v>1.2067578439259874E-2</v>
      </c>
      <c r="N703" s="21">
        <v>45923</v>
      </c>
      <c r="O703" s="2">
        <v>13.1</v>
      </c>
      <c r="P703" s="2">
        <v>13.1</v>
      </c>
      <c r="Q703" s="7">
        <f t="shared" si="139"/>
        <v>-6.0698027314112224E-3</v>
      </c>
      <c r="R703" s="21">
        <v>45923</v>
      </c>
      <c r="S703" s="1">
        <v>8.6999999999999993</v>
      </c>
      <c r="T703" s="1">
        <v>8.6999999999999993</v>
      </c>
      <c r="U703" s="6">
        <f t="shared" si="144"/>
        <v>-5.7142857142857828E-3</v>
      </c>
      <c r="V703" s="21">
        <v>45923</v>
      </c>
      <c r="W703" s="1">
        <v>7.99</v>
      </c>
      <c r="X703" s="1">
        <v>7.99</v>
      </c>
      <c r="Y703" s="6">
        <f t="shared" si="146"/>
        <v>0</v>
      </c>
      <c r="Z703" s="21">
        <v>45923</v>
      </c>
      <c r="AA703" s="2">
        <v>1.89</v>
      </c>
      <c r="AB703" s="2">
        <v>1.89</v>
      </c>
      <c r="AC703" s="7">
        <f t="shared" si="140"/>
        <v>5.3191489361701372E-3</v>
      </c>
      <c r="AD703" s="21">
        <v>45923</v>
      </c>
      <c r="AE703" s="2">
        <v>15</v>
      </c>
      <c r="AF703" s="2">
        <v>15</v>
      </c>
      <c r="AG703" s="7">
        <f t="shared" si="141"/>
        <v>6.6711140760511434E-4</v>
      </c>
      <c r="AH703" s="21">
        <v>45923</v>
      </c>
      <c r="AI703" s="2">
        <v>12.7</v>
      </c>
      <c r="AJ703" s="2">
        <v>12.7</v>
      </c>
      <c r="AK703" s="7">
        <f t="shared" si="142"/>
        <v>0</v>
      </c>
      <c r="AL703" s="21">
        <v>45923</v>
      </c>
      <c r="AM703" s="1">
        <v>2.2999999999999998</v>
      </c>
      <c r="AN703" s="1">
        <v>2.2999999999999998</v>
      </c>
      <c r="AO703" s="6">
        <v>0</v>
      </c>
      <c r="AP703" s="21" t="s">
        <v>706</v>
      </c>
      <c r="AQ703" s="1">
        <v>12419.39</v>
      </c>
      <c r="AR703" s="6">
        <v>3.5619309738503802E-3</v>
      </c>
    </row>
    <row r="704" spans="2:44" x14ac:dyDescent="0.35">
      <c r="B704" s="21">
        <v>45924</v>
      </c>
      <c r="C704" s="1">
        <v>0.63</v>
      </c>
      <c r="D704" s="1">
        <v>0.63</v>
      </c>
      <c r="E704" s="6">
        <f t="shared" si="145"/>
        <v>-1.5625E-2</v>
      </c>
      <c r="F704" s="21">
        <v>45924</v>
      </c>
      <c r="G704" s="1">
        <v>16.559999999999999</v>
      </c>
      <c r="H704" s="1">
        <v>16.559999999999999</v>
      </c>
      <c r="I704" s="6">
        <f t="shared" si="143"/>
        <v>-9.5693779904306719E-3</v>
      </c>
      <c r="J704" s="21">
        <v>45924</v>
      </c>
      <c r="K704" s="2">
        <v>62.7</v>
      </c>
      <c r="L704" s="2">
        <v>62.7</v>
      </c>
      <c r="M704" s="7">
        <f t="shared" si="138"/>
        <v>-3.1796502384736636E-3</v>
      </c>
      <c r="N704" s="21">
        <v>45924</v>
      </c>
      <c r="O704" s="2">
        <v>13.3</v>
      </c>
      <c r="P704" s="2">
        <v>13.3</v>
      </c>
      <c r="Q704" s="7">
        <f t="shared" si="139"/>
        <v>1.5267175572519109E-2</v>
      </c>
      <c r="R704" s="21">
        <v>45924</v>
      </c>
      <c r="S704" s="1">
        <v>8.6999999999999993</v>
      </c>
      <c r="T704" s="1">
        <v>8.6999999999999993</v>
      </c>
      <c r="U704" s="6">
        <f t="shared" si="144"/>
        <v>0</v>
      </c>
      <c r="V704" s="21">
        <v>45924</v>
      </c>
      <c r="W704" s="1">
        <v>7.99</v>
      </c>
      <c r="X704" s="1">
        <v>7.99</v>
      </c>
      <c r="Y704" s="6">
        <f t="shared" si="146"/>
        <v>0</v>
      </c>
      <c r="Z704" s="21">
        <v>45924</v>
      </c>
      <c r="AA704" s="2">
        <v>1.9</v>
      </c>
      <c r="AB704" s="2">
        <v>1.9</v>
      </c>
      <c r="AC704" s="7">
        <f t="shared" si="140"/>
        <v>5.2910052910053462E-3</v>
      </c>
      <c r="AD704" s="21">
        <v>45924</v>
      </c>
      <c r="AE704" s="2">
        <v>14.98</v>
      </c>
      <c r="AF704" s="2">
        <v>14.98</v>
      </c>
      <c r="AG704" s="7">
        <f t="shared" si="141"/>
        <v>-1.3333333333332975E-3</v>
      </c>
      <c r="AH704" s="21">
        <v>45924</v>
      </c>
      <c r="AI704" s="2">
        <v>12.72</v>
      </c>
      <c r="AJ704" s="2">
        <v>12.72</v>
      </c>
      <c r="AK704" s="7">
        <f t="shared" si="142"/>
        <v>1.5748031496063408E-3</v>
      </c>
      <c r="AL704" s="21">
        <v>45924</v>
      </c>
      <c r="AM704" s="1">
        <v>2.35</v>
      </c>
      <c r="AN704" s="1">
        <v>2.35</v>
      </c>
      <c r="AO704" s="6">
        <v>2.1739130434782705E-2</v>
      </c>
      <c r="AP704" s="21" t="s">
        <v>707</v>
      </c>
      <c r="AQ704" s="1">
        <v>12411.19</v>
      </c>
      <c r="AR704" s="6">
        <v>-6.6025787095813637E-4</v>
      </c>
    </row>
    <row r="705" spans="2:44" x14ac:dyDescent="0.35">
      <c r="B705" s="21">
        <v>45925</v>
      </c>
      <c r="C705" s="1">
        <v>0.63</v>
      </c>
      <c r="D705" s="1">
        <v>0.63</v>
      </c>
      <c r="E705" s="6">
        <f t="shared" si="145"/>
        <v>0</v>
      </c>
      <c r="F705" s="21">
        <v>45925</v>
      </c>
      <c r="G705" s="1">
        <v>16.72</v>
      </c>
      <c r="H705" s="1">
        <v>16.72</v>
      </c>
      <c r="I705" s="6">
        <f t="shared" si="143"/>
        <v>9.6618357487923134E-3</v>
      </c>
      <c r="J705" s="21">
        <v>45925</v>
      </c>
      <c r="K705" s="2">
        <v>62.49</v>
      </c>
      <c r="L705" s="2">
        <v>62.49</v>
      </c>
      <c r="M705" s="7">
        <f t="shared" si="138"/>
        <v>-3.3492822966507685E-3</v>
      </c>
      <c r="N705" s="21">
        <v>45925</v>
      </c>
      <c r="O705" s="2">
        <v>13.38</v>
      </c>
      <c r="P705" s="2">
        <v>13.38</v>
      </c>
      <c r="Q705" s="7">
        <f t="shared" si="139"/>
        <v>6.0150375939849177E-3</v>
      </c>
      <c r="R705" s="21">
        <v>45925</v>
      </c>
      <c r="S705" s="1">
        <v>8.6300000000000008</v>
      </c>
      <c r="T705" s="1">
        <v>8.6300000000000008</v>
      </c>
      <c r="U705" s="6">
        <f t="shared" si="144"/>
        <v>-8.0459770114941209E-3</v>
      </c>
      <c r="V705" s="21">
        <v>45925</v>
      </c>
      <c r="W705" s="1">
        <v>7.99</v>
      </c>
      <c r="X705" s="1">
        <v>7.99</v>
      </c>
      <c r="Y705" s="6">
        <f t="shared" si="146"/>
        <v>0</v>
      </c>
      <c r="Z705" s="21">
        <v>45925</v>
      </c>
      <c r="AA705" s="2">
        <v>1.91</v>
      </c>
      <c r="AB705" s="2">
        <v>1.91</v>
      </c>
      <c r="AC705" s="7">
        <f t="shared" si="140"/>
        <v>5.2631578947368585E-3</v>
      </c>
      <c r="AD705" s="21">
        <v>45925</v>
      </c>
      <c r="AE705" s="2">
        <v>14.92</v>
      </c>
      <c r="AF705" s="2">
        <v>14.92</v>
      </c>
      <c r="AG705" s="7">
        <f t="shared" si="141"/>
        <v>-4.0053404539386328E-3</v>
      </c>
      <c r="AH705" s="21">
        <v>45925</v>
      </c>
      <c r="AI705" s="2">
        <v>12.7</v>
      </c>
      <c r="AJ705" s="2">
        <v>12.7</v>
      </c>
      <c r="AK705" s="7">
        <f t="shared" si="142"/>
        <v>-1.5723270440252124E-3</v>
      </c>
      <c r="AL705" s="21">
        <v>45925</v>
      </c>
      <c r="AM705" s="1">
        <v>2.4500000000000002</v>
      </c>
      <c r="AN705" s="1">
        <v>2.4500000000000002</v>
      </c>
      <c r="AO705" s="6">
        <v>4.2553191489361764E-2</v>
      </c>
      <c r="AP705" s="21" t="s">
        <v>708</v>
      </c>
      <c r="AQ705" s="1">
        <v>12411.34</v>
      </c>
      <c r="AR705" s="6">
        <v>1.2085867672650963E-5</v>
      </c>
    </row>
    <row r="706" spans="2:44" x14ac:dyDescent="0.35">
      <c r="B706" s="21">
        <v>45926</v>
      </c>
      <c r="C706" s="1">
        <v>0.65</v>
      </c>
      <c r="D706" s="1">
        <v>0.65</v>
      </c>
      <c r="E706" s="6">
        <f t="shared" si="145"/>
        <v>3.1746031746031855E-2</v>
      </c>
      <c r="F706" s="21">
        <v>45926</v>
      </c>
      <c r="G706" s="1">
        <v>16.7</v>
      </c>
      <c r="H706" s="1">
        <v>16.7</v>
      </c>
      <c r="I706" s="6">
        <f t="shared" si="143"/>
        <v>-1.1961722488037507E-3</v>
      </c>
      <c r="J706" s="21">
        <v>45926</v>
      </c>
      <c r="K706" s="2">
        <v>62.35</v>
      </c>
      <c r="L706" s="2">
        <v>62.35</v>
      </c>
      <c r="M706" s="7">
        <f t="shared" si="138"/>
        <v>-2.2403584573531532E-3</v>
      </c>
      <c r="N706" s="21">
        <v>45926</v>
      </c>
      <c r="O706" s="2">
        <v>13.28</v>
      </c>
      <c r="P706" s="2">
        <v>13.28</v>
      </c>
      <c r="Q706" s="7">
        <f t="shared" si="139"/>
        <v>-7.4738415545591019E-3</v>
      </c>
      <c r="R706" s="21">
        <v>45926</v>
      </c>
      <c r="S706" s="1">
        <v>8.6199999999999992</v>
      </c>
      <c r="T706" s="1">
        <v>8.6199999999999992</v>
      </c>
      <c r="U706" s="6">
        <f t="shared" si="144"/>
        <v>-1.1587485515645035E-3</v>
      </c>
      <c r="V706" s="21">
        <v>45926</v>
      </c>
      <c r="W706" s="1">
        <v>7.99</v>
      </c>
      <c r="X706" s="1">
        <v>7.99</v>
      </c>
      <c r="Y706" s="6">
        <f t="shared" si="146"/>
        <v>0</v>
      </c>
      <c r="Z706" s="21">
        <v>45926</v>
      </c>
      <c r="AA706" s="2">
        <v>1.91</v>
      </c>
      <c r="AB706" s="2">
        <v>1.91</v>
      </c>
      <c r="AC706" s="7">
        <f t="shared" si="140"/>
        <v>0</v>
      </c>
      <c r="AD706" s="21">
        <v>45926</v>
      </c>
      <c r="AE706" s="2">
        <v>14.93</v>
      </c>
      <c r="AF706" s="2">
        <v>14.93</v>
      </c>
      <c r="AG706" s="7">
        <f t="shared" si="141"/>
        <v>6.7024128686332674E-4</v>
      </c>
      <c r="AH706" s="21">
        <v>45926</v>
      </c>
      <c r="AI706" s="2">
        <v>12.7</v>
      </c>
      <c r="AJ706" s="2">
        <v>12.7</v>
      </c>
      <c r="AK706" s="7">
        <f t="shared" si="142"/>
        <v>0</v>
      </c>
      <c r="AL706" s="21">
        <v>45926</v>
      </c>
      <c r="AM706" s="1">
        <v>2.5</v>
      </c>
      <c r="AN706" s="1">
        <v>2.5</v>
      </c>
      <c r="AO706" s="6">
        <v>2.0408163265306145E-2</v>
      </c>
      <c r="AP706" s="21" t="s">
        <v>709</v>
      </c>
      <c r="AQ706" s="1">
        <v>12417.07</v>
      </c>
      <c r="AR706" s="6">
        <v>4.6167456535717299E-4</v>
      </c>
    </row>
    <row r="707" spans="2:44" x14ac:dyDescent="0.35">
      <c r="B707" s="21">
        <v>45929</v>
      </c>
      <c r="C707" s="1">
        <v>0.66</v>
      </c>
      <c r="D707" s="1">
        <v>0.66</v>
      </c>
      <c r="E707" s="6">
        <f t="shared" si="145"/>
        <v>1.538461538461533E-2</v>
      </c>
      <c r="F707" s="21">
        <v>45929</v>
      </c>
      <c r="G707" s="1">
        <v>16.850000000000001</v>
      </c>
      <c r="H707" s="1">
        <v>16.850000000000001</v>
      </c>
      <c r="I707" s="6">
        <f t="shared" si="143"/>
        <v>8.9820359281438389E-3</v>
      </c>
      <c r="J707" s="21">
        <v>45929</v>
      </c>
      <c r="K707" s="2">
        <v>62.3</v>
      </c>
      <c r="L707" s="2">
        <v>62.3</v>
      </c>
      <c r="M707" s="7">
        <f t="shared" ref="M707:M708" si="147">(L707/L706)-1</f>
        <v>-8.0192461908590307E-4</v>
      </c>
      <c r="N707" s="21">
        <v>45929</v>
      </c>
      <c r="O707" s="2">
        <v>13.18</v>
      </c>
      <c r="P707" s="2">
        <v>13.18</v>
      </c>
      <c r="Q707" s="7">
        <f t="shared" ref="Q707:Q708" si="148">(P707/P706)-1</f>
        <v>-7.5301204819276935E-3</v>
      </c>
      <c r="R707" s="21">
        <v>45929</v>
      </c>
      <c r="S707" s="1">
        <v>8.58</v>
      </c>
      <c r="T707" s="1">
        <v>8.58</v>
      </c>
      <c r="U707" s="6">
        <f t="shared" si="144"/>
        <v>-4.6403712296982924E-3</v>
      </c>
      <c r="V707" s="21">
        <v>45929</v>
      </c>
      <c r="W707" s="1">
        <v>7.97</v>
      </c>
      <c r="X707" s="1">
        <v>7.97</v>
      </c>
      <c r="Y707" s="6">
        <f t="shared" si="146"/>
        <v>-2.5031289111390187E-3</v>
      </c>
      <c r="Z707" s="21">
        <v>45929</v>
      </c>
      <c r="AA707" s="2">
        <v>1.9</v>
      </c>
      <c r="AB707" s="2">
        <v>1.9</v>
      </c>
      <c r="AC707" s="7">
        <f t="shared" ref="AC707:AC708" si="149">(AB707/AB706)-1</f>
        <v>-5.2356020942407877E-3</v>
      </c>
      <c r="AD707" s="21">
        <v>45929</v>
      </c>
      <c r="AE707" s="2">
        <v>14.74</v>
      </c>
      <c r="AF707" s="2">
        <v>14.74</v>
      </c>
      <c r="AG707" s="7">
        <f t="shared" ref="AG707:AG708" si="150">(AF707/AF706)-1</f>
        <v>-1.2726054922973851E-2</v>
      </c>
      <c r="AH707" s="21">
        <v>45929</v>
      </c>
      <c r="AI707" s="2">
        <v>12.6</v>
      </c>
      <c r="AJ707" s="2">
        <v>12.6</v>
      </c>
      <c r="AK707" s="7">
        <f t="shared" ref="AK707:AK708" si="151">(AJ707/AJ706)-1</f>
        <v>-7.8740157480314821E-3</v>
      </c>
      <c r="AL707" s="21">
        <v>45929</v>
      </c>
      <c r="AM707" s="1">
        <v>2.4500000000000002</v>
      </c>
      <c r="AN707" s="1">
        <v>2.4500000000000002</v>
      </c>
      <c r="AO707" s="6">
        <v>-1.9999999999999907E-2</v>
      </c>
      <c r="AP707" s="21" t="s">
        <v>710</v>
      </c>
      <c r="AQ707" s="1">
        <v>12440.85</v>
      </c>
      <c r="AR707" s="6">
        <v>1.9151055764363711E-3</v>
      </c>
    </row>
    <row r="708" spans="2:44" x14ac:dyDescent="0.35">
      <c r="B708" s="21">
        <v>45930</v>
      </c>
      <c r="C708" s="1">
        <v>0.66</v>
      </c>
      <c r="D708" s="1">
        <v>0.66</v>
      </c>
      <c r="E708" s="6">
        <f t="shared" si="145"/>
        <v>0</v>
      </c>
      <c r="F708" s="21">
        <v>45930</v>
      </c>
      <c r="G708" s="1">
        <v>16.850000000000001</v>
      </c>
      <c r="H708" s="1">
        <v>16.850000000000001</v>
      </c>
      <c r="I708" s="6">
        <f t="shared" si="143"/>
        <v>0</v>
      </c>
      <c r="J708" s="21">
        <v>45930</v>
      </c>
      <c r="K708" s="2">
        <v>62.2</v>
      </c>
      <c r="L708" s="2">
        <v>62.2</v>
      </c>
      <c r="M708" s="7">
        <f t="shared" si="147"/>
        <v>-1.6051364365969878E-3</v>
      </c>
      <c r="N708" s="21">
        <v>45930</v>
      </c>
      <c r="O708" s="2">
        <v>13.15</v>
      </c>
      <c r="P708" s="2">
        <v>13.15</v>
      </c>
      <c r="Q708" s="7">
        <f t="shared" si="148"/>
        <v>-2.2761760242792084E-3</v>
      </c>
      <c r="R708" s="21">
        <v>45930</v>
      </c>
      <c r="S708" s="1">
        <v>8.5500000000000007</v>
      </c>
      <c r="T708" s="1">
        <v>8.5500000000000007</v>
      </c>
      <c r="U708" s="6">
        <f t="shared" si="144"/>
        <v>-3.4965034965034336E-3</v>
      </c>
      <c r="V708" s="21">
        <v>45930</v>
      </c>
      <c r="W708" s="1">
        <v>7.97</v>
      </c>
      <c r="X708" s="1">
        <v>7.97</v>
      </c>
      <c r="Y708" s="6">
        <f t="shared" si="146"/>
        <v>0</v>
      </c>
      <c r="Z708" s="21">
        <v>45930</v>
      </c>
      <c r="AA708" s="2">
        <v>1.9</v>
      </c>
      <c r="AB708" s="2">
        <v>1.9</v>
      </c>
      <c r="AC708" s="7">
        <f t="shared" si="149"/>
        <v>0</v>
      </c>
      <c r="AD708" s="21">
        <v>45930</v>
      </c>
      <c r="AE708" s="2">
        <v>14.9</v>
      </c>
      <c r="AF708" s="2">
        <v>14.9</v>
      </c>
      <c r="AG708" s="7">
        <f t="shared" si="150"/>
        <v>1.0854816824966029E-2</v>
      </c>
      <c r="AH708" s="21">
        <v>45930</v>
      </c>
      <c r="AI708" s="2">
        <v>12.5</v>
      </c>
      <c r="AJ708" s="2">
        <v>12.5</v>
      </c>
      <c r="AK708" s="7">
        <f t="shared" si="151"/>
        <v>-7.9365079365079083E-3</v>
      </c>
      <c r="AL708" s="21">
        <v>45930</v>
      </c>
      <c r="AM708" s="1">
        <v>2.4</v>
      </c>
      <c r="AN708" s="1">
        <v>2.4</v>
      </c>
      <c r="AO708" s="6">
        <v>-2.0408163265306256E-2</v>
      </c>
      <c r="AP708" s="21" t="s">
        <v>711</v>
      </c>
      <c r="AQ708" s="1">
        <v>12404.27</v>
      </c>
      <c r="AR708" s="6">
        <v>-2.9403135637837696E-3</v>
      </c>
    </row>
  </sheetData>
  <mergeCells count="110">
    <mergeCell ref="AD5:AG5"/>
    <mergeCell ref="AH5:AK5"/>
    <mergeCell ref="AL5:AO5"/>
    <mergeCell ref="AP20:AR20"/>
    <mergeCell ref="AP4:AR4"/>
    <mergeCell ref="AP5:AR5"/>
    <mergeCell ref="AP6:AR6"/>
    <mergeCell ref="AP7:AR7"/>
    <mergeCell ref="AP8:AR8"/>
    <mergeCell ref="AP9:AR9"/>
    <mergeCell ref="AP10:AR10"/>
    <mergeCell ref="AP11:AR11"/>
    <mergeCell ref="AP12:AR12"/>
    <mergeCell ref="AH4:AK4"/>
    <mergeCell ref="AL4:AO4"/>
    <mergeCell ref="AD4:AG4"/>
    <mergeCell ref="AL10:AO10"/>
    <mergeCell ref="AH8:AK8"/>
    <mergeCell ref="AL8:AO8"/>
    <mergeCell ref="AL20:AO20"/>
    <mergeCell ref="AH20:AK20"/>
    <mergeCell ref="B5:E5"/>
    <mergeCell ref="F5:I5"/>
    <mergeCell ref="J5:M5"/>
    <mergeCell ref="N5:Q5"/>
    <mergeCell ref="R5:U5"/>
    <mergeCell ref="V5:Y5"/>
    <mergeCell ref="Z5:AC5"/>
    <mergeCell ref="R4:U4"/>
    <mergeCell ref="V4:Y4"/>
    <mergeCell ref="Z4:AC4"/>
    <mergeCell ref="B4:E4"/>
    <mergeCell ref="F4:I4"/>
    <mergeCell ref="J4:M4"/>
    <mergeCell ref="N4:Q4"/>
    <mergeCell ref="Z12:AC12"/>
    <mergeCell ref="AD12:AG12"/>
    <mergeCell ref="AH11:AK11"/>
    <mergeCell ref="AL11:AO11"/>
    <mergeCell ref="AH12:AK12"/>
    <mergeCell ref="AL12:AO12"/>
    <mergeCell ref="B12:E12"/>
    <mergeCell ref="F12:I12"/>
    <mergeCell ref="J12:M12"/>
    <mergeCell ref="Z11:AC11"/>
    <mergeCell ref="AD11:AG11"/>
    <mergeCell ref="R11:U11"/>
    <mergeCell ref="V11:Y11"/>
    <mergeCell ref="N12:Q12"/>
    <mergeCell ref="R12:U12"/>
    <mergeCell ref="V12:Y12"/>
    <mergeCell ref="B11:E11"/>
    <mergeCell ref="Z6:AC6"/>
    <mergeCell ref="AD6:AG6"/>
    <mergeCell ref="J6:M6"/>
    <mergeCell ref="AH6:AK6"/>
    <mergeCell ref="AL6:AO6"/>
    <mergeCell ref="B10:E10"/>
    <mergeCell ref="F10:I10"/>
    <mergeCell ref="Z9:AC9"/>
    <mergeCell ref="AD9:AG9"/>
    <mergeCell ref="AH9:AK9"/>
    <mergeCell ref="R9:U9"/>
    <mergeCell ref="V9:Y9"/>
    <mergeCell ref="B9:E9"/>
    <mergeCell ref="F9:I9"/>
    <mergeCell ref="J9:M9"/>
    <mergeCell ref="N9:Q9"/>
    <mergeCell ref="V10:Y10"/>
    <mergeCell ref="Z10:AC10"/>
    <mergeCell ref="AD10:AG10"/>
    <mergeCell ref="J10:M10"/>
    <mergeCell ref="AH10:AK10"/>
    <mergeCell ref="AL9:AO9"/>
    <mergeCell ref="AH7:AK7"/>
    <mergeCell ref="AL7:AO7"/>
    <mergeCell ref="Z20:AC20"/>
    <mergeCell ref="AD20:AG20"/>
    <mergeCell ref="B8:E8"/>
    <mergeCell ref="F8:I8"/>
    <mergeCell ref="Z7:AC7"/>
    <mergeCell ref="AD7:AG7"/>
    <mergeCell ref="R7:U7"/>
    <mergeCell ref="V7:Y7"/>
    <mergeCell ref="B7:E7"/>
    <mergeCell ref="F7:I7"/>
    <mergeCell ref="J7:M7"/>
    <mergeCell ref="N7:Q7"/>
    <mergeCell ref="V8:Y8"/>
    <mergeCell ref="Z8:AC8"/>
    <mergeCell ref="AD8:AG8"/>
    <mergeCell ref="J8:M8"/>
    <mergeCell ref="N8:Q8"/>
    <mergeCell ref="R8:U8"/>
    <mergeCell ref="F11:I11"/>
    <mergeCell ref="J11:M11"/>
    <mergeCell ref="B20:E20"/>
    <mergeCell ref="F20:I20"/>
    <mergeCell ref="J20:M20"/>
    <mergeCell ref="N20:Q20"/>
    <mergeCell ref="V20:Y20"/>
    <mergeCell ref="R20:U20"/>
    <mergeCell ref="N6:Q6"/>
    <mergeCell ref="R6:U6"/>
    <mergeCell ref="N10:Q10"/>
    <mergeCell ref="R10:U10"/>
    <mergeCell ref="B6:E6"/>
    <mergeCell ref="F6:I6"/>
    <mergeCell ref="V6:Y6"/>
    <mergeCell ref="N11:Q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8AE99-D894-49DE-BB91-D861E6F78CCD}">
  <dimension ref="A1:W688"/>
  <sheetViews>
    <sheetView workbookViewId="0">
      <selection activeCell="H5" sqref="H5"/>
    </sheetView>
  </sheetViews>
  <sheetFormatPr defaultRowHeight="14.5" x14ac:dyDescent="0.35"/>
  <cols>
    <col min="1" max="1" width="10.90625" bestFit="1" customWidth="1"/>
    <col min="2" max="2" width="12.54296875" bestFit="1" customWidth="1"/>
    <col min="3" max="3" width="11.1796875" bestFit="1" customWidth="1"/>
    <col min="4" max="4" width="10.6328125" bestFit="1" customWidth="1"/>
    <col min="5" max="5" width="10.36328125" customWidth="1"/>
    <col min="6" max="6" width="10.7265625" customWidth="1"/>
    <col min="7" max="7" width="15.26953125" bestFit="1" customWidth="1"/>
    <col min="8" max="8" width="10.90625" customWidth="1"/>
    <col min="9" max="9" width="15.81640625" bestFit="1" customWidth="1"/>
    <col min="10" max="10" width="11.36328125" customWidth="1"/>
    <col min="11" max="11" width="14.1796875" bestFit="1" customWidth="1"/>
    <col min="13" max="13" width="15.81640625" bestFit="1" customWidth="1"/>
    <col min="14" max="14" width="12.453125" bestFit="1" customWidth="1"/>
    <col min="15" max="15" width="13.08984375" bestFit="1" customWidth="1"/>
    <col min="16" max="16" width="11.81640625" bestFit="1" customWidth="1"/>
    <col min="17" max="19" width="12.453125" bestFit="1" customWidth="1"/>
    <col min="20" max="20" width="16.36328125" bestFit="1" customWidth="1"/>
    <col min="21" max="21" width="11.81640625" bestFit="1" customWidth="1"/>
    <col min="22" max="22" width="16.6328125" bestFit="1" customWidth="1"/>
    <col min="23" max="23" width="11.81640625" bestFit="1" customWidth="1"/>
  </cols>
  <sheetData>
    <row r="1" spans="1:23" x14ac:dyDescent="0.35">
      <c r="A1" s="38" t="s">
        <v>729</v>
      </c>
      <c r="B1" s="38"/>
      <c r="C1" s="38"/>
      <c r="D1" s="38"/>
      <c r="E1" s="38"/>
      <c r="F1" s="38"/>
      <c r="G1" s="38"/>
      <c r="H1" s="38"/>
      <c r="I1" s="38"/>
      <c r="J1" s="38"/>
      <c r="K1" s="11"/>
    </row>
    <row r="2" spans="1:23" ht="15" thickBot="1" x14ac:dyDescent="0.4">
      <c r="A2" s="12" t="s">
        <v>718</v>
      </c>
      <c r="B2" s="12" t="s">
        <v>719</v>
      </c>
      <c r="C2" s="12" t="s">
        <v>720</v>
      </c>
      <c r="D2" s="12" t="s">
        <v>721</v>
      </c>
      <c r="E2" s="12" t="s">
        <v>7</v>
      </c>
      <c r="F2" s="12" t="s">
        <v>8</v>
      </c>
      <c r="G2" s="12" t="s">
        <v>722</v>
      </c>
      <c r="H2" s="12" t="s">
        <v>723</v>
      </c>
      <c r="I2" s="12" t="s">
        <v>724</v>
      </c>
      <c r="J2" s="12" t="s">
        <v>725</v>
      </c>
      <c r="K2" s="12" t="s">
        <v>736</v>
      </c>
    </row>
    <row r="3" spans="1:23" x14ac:dyDescent="0.35">
      <c r="A3">
        <v>0</v>
      </c>
      <c r="B3">
        <v>-4.1859142918058145E-3</v>
      </c>
      <c r="C3">
        <v>-1.0692285453777317E-2</v>
      </c>
      <c r="D3">
        <v>-7.9340364749048709E-3</v>
      </c>
      <c r="E3">
        <v>-1.2875953549390085E-2</v>
      </c>
      <c r="F3">
        <v>-6.2939651980747913E-3</v>
      </c>
      <c r="G3">
        <v>0</v>
      </c>
      <c r="H3">
        <v>-1.0895462454825422E-2</v>
      </c>
      <c r="I3">
        <v>-1.0067629880110673E-2</v>
      </c>
      <c r="J3">
        <v>-4.306122448979588E-2</v>
      </c>
      <c r="K3">
        <f>SUMPRODUCT(Sheet1!$AV$8:$BE$8,Sheet2!A3:J3)</f>
        <v>-1.0251310263525383E-2</v>
      </c>
      <c r="M3" s="14"/>
      <c r="N3" s="14" t="s">
        <v>718</v>
      </c>
      <c r="O3" s="14" t="s">
        <v>719</v>
      </c>
      <c r="P3" s="14" t="s">
        <v>720</v>
      </c>
      <c r="Q3" s="14" t="s">
        <v>721</v>
      </c>
      <c r="R3" s="14" t="s">
        <v>7</v>
      </c>
      <c r="S3" s="14" t="s">
        <v>8</v>
      </c>
      <c r="T3" s="14" t="s">
        <v>722</v>
      </c>
      <c r="U3" s="14" t="s">
        <v>723</v>
      </c>
      <c r="V3" s="14" t="s">
        <v>724</v>
      </c>
      <c r="W3" s="14" t="s">
        <v>725</v>
      </c>
    </row>
    <row r="4" spans="1:23" ht="15" thickBot="1" x14ac:dyDescent="0.4">
      <c r="A4">
        <v>-3.2258064516129115E-2</v>
      </c>
      <c r="B4">
        <v>-1.2603392781952771E-2</v>
      </c>
      <c r="C4">
        <v>2.3782656194505369E-2</v>
      </c>
      <c r="D4">
        <v>-4.0032936188409973E-3</v>
      </c>
      <c r="E4">
        <v>-1.4487760057754206E-2</v>
      </c>
      <c r="F4">
        <v>4.843517138598985E-3</v>
      </c>
      <c r="G4">
        <v>5.2631578947368585E-3</v>
      </c>
      <c r="H4">
        <v>-2.0813034535022146E-2</v>
      </c>
      <c r="I4">
        <v>-1.0182956809771548E-2</v>
      </c>
      <c r="J4">
        <v>-4.499893367455754E-2</v>
      </c>
      <c r="K4">
        <f>SUMPRODUCT(Sheet1!$AV$8:$BE$8,Sheet2!A4:J4)</f>
        <v>5.3018588007128359E-3</v>
      </c>
      <c r="M4" t="s">
        <v>718</v>
      </c>
      <c r="N4">
        <f>VARP(Sheet2!$A$3:$A$688)</f>
        <v>6.1483486629221947E-4</v>
      </c>
      <c r="O4">
        <v>8.4193823899965239E-6</v>
      </c>
      <c r="P4">
        <v>5.0376465179347965E-6</v>
      </c>
      <c r="Q4">
        <v>1.4862963749549128E-6</v>
      </c>
      <c r="R4">
        <v>-8.0487405975994752E-6</v>
      </c>
      <c r="S4">
        <v>3.2716570083274344E-6</v>
      </c>
      <c r="T4">
        <v>3.6547177906221489E-7</v>
      </c>
      <c r="U4">
        <v>9.1149963995733119E-7</v>
      </c>
      <c r="V4">
        <v>2.4113682801802381E-5</v>
      </c>
      <c r="W4" s="13">
        <v>-4.6351158363957026E-6</v>
      </c>
    </row>
    <row r="5" spans="1:23" ht="15" thickBot="1" x14ac:dyDescent="0.4">
      <c r="A5">
        <v>0</v>
      </c>
      <c r="B5">
        <v>-4.1704311372917524E-2</v>
      </c>
      <c r="C5">
        <v>-2.1122338299935928E-3</v>
      </c>
      <c r="D5">
        <v>3.2155075157922486E-3</v>
      </c>
      <c r="E5">
        <v>-4.4118871222841305E-3</v>
      </c>
      <c r="F5">
        <v>-2.3730070448646612E-2</v>
      </c>
      <c r="G5">
        <v>0</v>
      </c>
      <c r="H5">
        <v>0</v>
      </c>
      <c r="I5">
        <v>-2.2876116027660265E-3</v>
      </c>
      <c r="J5">
        <v>4.1871371147834013E-2</v>
      </c>
      <c r="K5">
        <f>SUMPRODUCT(Sheet1!$AV$8:$BE$8,Sheet2!A5:J5)</f>
        <v>-3.9823876433810589E-3</v>
      </c>
      <c r="M5" t="s">
        <v>719</v>
      </c>
      <c r="N5">
        <v>8.4193823899965239E-6</v>
      </c>
      <c r="O5">
        <f>VARP(Sheet2!$B$3:$B$688)</f>
        <v>2.0790741561780136E-4</v>
      </c>
      <c r="P5">
        <v>-6.5250420269883998E-7</v>
      </c>
      <c r="Q5">
        <v>-1.1754640807924283E-6</v>
      </c>
      <c r="R5">
        <v>6.025795715323469E-6</v>
      </c>
      <c r="S5">
        <v>-7.5200889800493041E-7</v>
      </c>
      <c r="T5">
        <v>-2.9940597899867517E-7</v>
      </c>
      <c r="U5">
        <v>2.3912874015023386E-6</v>
      </c>
      <c r="V5">
        <v>8.0255937590850275E-6</v>
      </c>
      <c r="W5" s="13">
        <v>4.0085751333067415E-6</v>
      </c>
    </row>
    <row r="6" spans="1:23" ht="15" thickBot="1" x14ac:dyDescent="0.4">
      <c r="A6">
        <v>0</v>
      </c>
      <c r="B6">
        <v>0</v>
      </c>
      <c r="C6">
        <v>3.1746171448688632E-2</v>
      </c>
      <c r="D6">
        <v>-5.6045492002932962E-3</v>
      </c>
      <c r="E6">
        <v>-1.0334448160535192E-2</v>
      </c>
      <c r="F6">
        <v>1.6141283706798237E-2</v>
      </c>
      <c r="G6">
        <v>5.2356020942407877E-3</v>
      </c>
      <c r="H6">
        <v>0</v>
      </c>
      <c r="I6">
        <v>5.7255909019444662E-3</v>
      </c>
      <c r="J6">
        <v>4.0188618583217206E-2</v>
      </c>
      <c r="K6">
        <f>SUMPRODUCT(Sheet1!$AV$8:$BE$8,Sheet2!A6:J6)</f>
        <v>1.8017663818511262E-2</v>
      </c>
      <c r="M6" t="s">
        <v>720</v>
      </c>
      <c r="N6">
        <v>5.0376465179347965E-6</v>
      </c>
      <c r="O6">
        <v>-6.5250420269883998E-7</v>
      </c>
      <c r="P6">
        <f>VARP(Sheet2!$C$3:$C$688)</f>
        <v>1.5450016132716567E-4</v>
      </c>
      <c r="Q6">
        <v>8.941829034957357E-6</v>
      </c>
      <c r="R6">
        <v>1.7328760421714292E-5</v>
      </c>
      <c r="S6">
        <v>8.8511637562305644E-6</v>
      </c>
      <c r="T6">
        <v>1.3101994630419702E-5</v>
      </c>
      <c r="U6">
        <v>1.127336121995999E-5</v>
      </c>
      <c r="V6">
        <v>1.7037604252043234E-5</v>
      </c>
      <c r="W6" s="13">
        <v>3.0021340435464632E-5</v>
      </c>
    </row>
    <row r="7" spans="1:23" ht="15" thickBot="1" x14ac:dyDescent="0.4">
      <c r="A7">
        <v>0</v>
      </c>
      <c r="B7">
        <v>0</v>
      </c>
      <c r="C7">
        <v>-5.1268052581743273E-3</v>
      </c>
      <c r="D7">
        <v>-8.0581653022737676E-4</v>
      </c>
      <c r="E7">
        <v>1.3433138454259863E-2</v>
      </c>
      <c r="F7">
        <v>0</v>
      </c>
      <c r="G7">
        <v>-5.2083333333333703E-3</v>
      </c>
      <c r="H7">
        <v>-2.5000691008596143E-2</v>
      </c>
      <c r="I7">
        <v>-1.1385990281523095E-2</v>
      </c>
      <c r="J7">
        <v>-4.3478260869565188E-2</v>
      </c>
      <c r="K7">
        <f>SUMPRODUCT(Sheet1!$AV$8:$BE$8,Sheet2!A7:J7)</f>
        <v>-9.9761091780969455E-3</v>
      </c>
      <c r="M7" t="s">
        <v>721</v>
      </c>
      <c r="N7">
        <v>1.4862963749549128E-6</v>
      </c>
      <c r="O7">
        <v>-1.1754640807924283E-6</v>
      </c>
      <c r="P7">
        <v>8.941829034957357E-6</v>
      </c>
      <c r="Q7">
        <f>VARP(Sheet2!$D$3:$D$688)</f>
        <v>2.8982300233374499E-4</v>
      </c>
      <c r="R7">
        <v>2.8234251861637489E-6</v>
      </c>
      <c r="S7">
        <v>-2.7647058009371694E-6</v>
      </c>
      <c r="T7">
        <v>9.456455692300782E-6</v>
      </c>
      <c r="U7">
        <v>2.4021563628975008E-6</v>
      </c>
      <c r="V7">
        <v>2.1337184908683959E-6</v>
      </c>
      <c r="W7" s="13">
        <v>1.7577210246928175E-5</v>
      </c>
    </row>
    <row r="8" spans="1:23" ht="15" thickBot="1" x14ac:dyDescent="0.4">
      <c r="A8">
        <v>5.0000000000000044E-2</v>
      </c>
      <c r="B8">
        <v>0</v>
      </c>
      <c r="C8">
        <v>2.0359954041123007E-2</v>
      </c>
      <c r="D8">
        <v>-2.7800179622060495E-2</v>
      </c>
      <c r="E8">
        <v>-1.4839021624956095E-3</v>
      </c>
      <c r="F8">
        <v>-6.3539525322369172E-3</v>
      </c>
      <c r="G8">
        <v>0</v>
      </c>
      <c r="H8">
        <v>-6.406894498859006E-3</v>
      </c>
      <c r="I8">
        <v>1.1464414194790606E-3</v>
      </c>
      <c r="J8">
        <v>-3.5329599310642057E-2</v>
      </c>
      <c r="K8">
        <f>SUMPRODUCT(Sheet1!$AV$8:$BE$8,Sheet2!A8:J8)</f>
        <v>8.1650012402438889E-3</v>
      </c>
      <c r="M8" t="s">
        <v>7</v>
      </c>
      <c r="N8">
        <v>-8.0487405975994752E-6</v>
      </c>
      <c r="O8">
        <v>6.025795715323469E-6</v>
      </c>
      <c r="P8">
        <v>1.7328760421714292E-5</v>
      </c>
      <c r="Q8">
        <v>2.8234251861637489E-6</v>
      </c>
      <c r="R8">
        <f>VARP(Sheet2!$E$3:$E$688)</f>
        <v>1.5169217079744285E-4</v>
      </c>
      <c r="S8">
        <v>4.2896616523096456E-6</v>
      </c>
      <c r="T8">
        <v>-2.6383545896821552E-7</v>
      </c>
      <c r="U8">
        <v>2.1478978149738348E-5</v>
      </c>
      <c r="V8">
        <v>9.4837468810525123E-6</v>
      </c>
      <c r="W8" s="13">
        <v>2.5469312578545993E-5</v>
      </c>
    </row>
    <row r="9" spans="1:23" ht="15" thickBot="1" x14ac:dyDescent="0.4">
      <c r="A9">
        <v>4.7619047619047672E-2</v>
      </c>
      <c r="B9">
        <v>0</v>
      </c>
      <c r="C9">
        <v>1.0104999558825378E-2</v>
      </c>
      <c r="D9">
        <v>0</v>
      </c>
      <c r="E9">
        <v>-1.1788672188084548E-2</v>
      </c>
      <c r="F9">
        <v>-9.5918751175475547E-3</v>
      </c>
      <c r="G9">
        <v>-1.5706806282722474E-2</v>
      </c>
      <c r="H9">
        <v>-2.5807095881421382E-2</v>
      </c>
      <c r="I9">
        <v>-1.0358806960275913E-2</v>
      </c>
      <c r="J9">
        <v>4.1871371147834013E-2</v>
      </c>
      <c r="K9">
        <f>SUMPRODUCT(Sheet1!$AV$8:$BE$8,Sheet2!A9:J9)</f>
        <v>-3.2974866278875814E-3</v>
      </c>
      <c r="M9" t="s">
        <v>8</v>
      </c>
      <c r="N9">
        <v>3.2716570083274344E-6</v>
      </c>
      <c r="O9">
        <v>-7.5200889800493041E-7</v>
      </c>
      <c r="P9">
        <v>8.8511637562305644E-6</v>
      </c>
      <c r="Q9">
        <v>-2.7647058009371694E-6</v>
      </c>
      <c r="R9">
        <v>4.2896616523096456E-6</v>
      </c>
      <c r="S9">
        <f>VARP(Sheet2!$F$3:$F$688)</f>
        <v>2.2771639119961346E-4</v>
      </c>
      <c r="T9">
        <v>8.9588515059679677E-6</v>
      </c>
      <c r="U9">
        <v>-4.1192155117113208E-6</v>
      </c>
      <c r="V9">
        <v>7.0175592583896086E-6</v>
      </c>
      <c r="W9" s="13">
        <v>-1.0684985220872549E-5</v>
      </c>
    </row>
    <row r="10" spans="1:23" ht="15" thickBot="1" x14ac:dyDescent="0.4">
      <c r="A10">
        <v>0</v>
      </c>
      <c r="B10">
        <v>-2.7529509371346683E-2</v>
      </c>
      <c r="C10">
        <v>3.9258587556050939E-2</v>
      </c>
      <c r="D10">
        <v>-5.3872149088698418E-3</v>
      </c>
      <c r="E10">
        <v>-5.9815484437836242E-3</v>
      </c>
      <c r="F10">
        <v>8.165590581086235E-3</v>
      </c>
      <c r="G10">
        <v>5.3191489361701372E-3</v>
      </c>
      <c r="H10">
        <v>3.972879568884724E-2</v>
      </c>
      <c r="I10">
        <v>0</v>
      </c>
      <c r="J10">
        <v>-4.0188618583217317E-2</v>
      </c>
      <c r="K10">
        <f>SUMPRODUCT(Sheet1!$AV$8:$BE$8,Sheet2!A10:J10)</f>
        <v>2.7756006297456975E-2</v>
      </c>
      <c r="M10" t="s">
        <v>722</v>
      </c>
      <c r="N10">
        <v>3.6547177906221489E-7</v>
      </c>
      <c r="O10">
        <v>-2.9940597899867517E-7</v>
      </c>
      <c r="P10">
        <v>1.3101994630419702E-5</v>
      </c>
      <c r="Q10">
        <v>9.456455692300782E-6</v>
      </c>
      <c r="R10">
        <v>-2.6383545896821552E-7</v>
      </c>
      <c r="S10">
        <v>8.9588515059679677E-6</v>
      </c>
      <c r="T10">
        <f>VARP(Sheet2!$G$3:$G$688)</f>
        <v>1.320062440417173E-4</v>
      </c>
      <c r="U10">
        <v>-9.0133091083146189E-7</v>
      </c>
      <c r="V10">
        <v>1.9287745474819717E-6</v>
      </c>
      <c r="W10" s="13">
        <v>1.3734860319236186E-5</v>
      </c>
    </row>
    <row r="11" spans="1:23" ht="15" thickBot="1" x14ac:dyDescent="0.4">
      <c r="A11">
        <v>1.5151515151515138E-2</v>
      </c>
      <c r="B11">
        <v>1.7807422344592316E-2</v>
      </c>
      <c r="C11">
        <v>2.502361473559489E-2</v>
      </c>
      <c r="D11">
        <v>0</v>
      </c>
      <c r="E11">
        <v>4.2054803834908672E-2</v>
      </c>
      <c r="F11">
        <v>-2.4110001883593912E-2</v>
      </c>
      <c r="G11">
        <v>-1.058201058201047E-2</v>
      </c>
      <c r="H11">
        <v>5.605554851340111E-2</v>
      </c>
      <c r="I11">
        <v>9.310120100549435E-3</v>
      </c>
      <c r="J11">
        <v>3.1431442608307325E-2</v>
      </c>
      <c r="K11">
        <f>SUMPRODUCT(Sheet1!$AV$8:$BE$8,Sheet2!A11:J11)</f>
        <v>2.4394017675073688E-2</v>
      </c>
      <c r="M11" t="s">
        <v>723</v>
      </c>
      <c r="N11">
        <v>9.1149963995733119E-7</v>
      </c>
      <c r="O11">
        <v>2.3912874015023386E-6</v>
      </c>
      <c r="P11">
        <v>1.127336121995999E-5</v>
      </c>
      <c r="Q11">
        <v>2.4021563628975008E-6</v>
      </c>
      <c r="R11">
        <v>2.1478978149738348E-5</v>
      </c>
      <c r="S11">
        <v>-4.1192155117113208E-6</v>
      </c>
      <c r="T11">
        <v>-9.0133091083146189E-7</v>
      </c>
      <c r="U11">
        <f>VARP(Sheet2!$H$3:$H$688)</f>
        <v>2.259162710964803E-4</v>
      </c>
      <c r="V11">
        <v>1.6704339296959939E-6</v>
      </c>
      <c r="W11" s="13">
        <v>2.0210157511919625E-6</v>
      </c>
    </row>
    <row r="12" spans="1:23" ht="15" thickBot="1" x14ac:dyDescent="0.4">
      <c r="A12">
        <v>-1.4925373134328401E-2</v>
      </c>
      <c r="B12">
        <v>-1.3007597290274453E-2</v>
      </c>
      <c r="C12">
        <v>4.4592652755217621E-3</v>
      </c>
      <c r="D12">
        <v>-8.3354657719900693E-3</v>
      </c>
      <c r="E12">
        <v>-7.2102052135329942E-3</v>
      </c>
      <c r="F12">
        <v>4.5937077784211411E-2</v>
      </c>
      <c r="G12">
        <v>0</v>
      </c>
      <c r="H12">
        <v>-2.1712167082327483E-2</v>
      </c>
      <c r="I12">
        <v>-6.9181809796144966E-3</v>
      </c>
      <c r="J12">
        <v>-3.5561569688768557E-2</v>
      </c>
      <c r="K12">
        <f>SUMPRODUCT(Sheet1!$AV$8:$BE$8,Sheet2!A12:J12)</f>
        <v>-1.0142486037928814E-4</v>
      </c>
      <c r="M12" t="s">
        <v>724</v>
      </c>
      <c r="N12">
        <v>2.4113682801802381E-5</v>
      </c>
      <c r="O12">
        <v>8.0255937590850275E-6</v>
      </c>
      <c r="P12">
        <v>1.7037604252043234E-5</v>
      </c>
      <c r="Q12">
        <v>2.1337184908683959E-6</v>
      </c>
      <c r="R12">
        <v>9.4837468810525123E-6</v>
      </c>
      <c r="S12">
        <v>7.0175592583896086E-6</v>
      </c>
      <c r="T12">
        <v>1.9287745474819717E-6</v>
      </c>
      <c r="U12">
        <v>1.6704339296959939E-6</v>
      </c>
      <c r="V12">
        <f>VARP(Sheet2!$I$3:$I$688)</f>
        <v>9.9151657885760449E-5</v>
      </c>
      <c r="W12" s="13">
        <v>1.5957745873794416E-5</v>
      </c>
    </row>
    <row r="13" spans="1:23" ht="15" thickBot="1" x14ac:dyDescent="0.4">
      <c r="A13">
        <v>1.5151515151515138E-2</v>
      </c>
      <c r="B13">
        <v>0</v>
      </c>
      <c r="C13">
        <v>-5.6095911179531166E-3</v>
      </c>
      <c r="D13">
        <v>2.8991670927571045E-2</v>
      </c>
      <c r="E13">
        <v>-2.9083141636543353E-3</v>
      </c>
      <c r="F13">
        <v>9.4113305037830663E-3</v>
      </c>
      <c r="G13">
        <v>1.6042780748662944E-2</v>
      </c>
      <c r="H13">
        <v>8.6295039057706635E-3</v>
      </c>
      <c r="I13">
        <v>3.0161089143069475E-2</v>
      </c>
      <c r="J13">
        <v>-3.681670221124711E-2</v>
      </c>
      <c r="K13">
        <f>SUMPRODUCT(Sheet1!$AV$8:$BE$8,Sheet2!A13:J13)</f>
        <v>5.5475174656807943E-3</v>
      </c>
      <c r="M13" s="13" t="s">
        <v>725</v>
      </c>
      <c r="N13" s="13">
        <v>-4.6351158363957026E-6</v>
      </c>
      <c r="O13" s="13">
        <v>4.0085751333067415E-6</v>
      </c>
      <c r="P13" s="13">
        <v>3.0021340435464632E-5</v>
      </c>
      <c r="Q13" s="13">
        <v>1.7577210246928175E-5</v>
      </c>
      <c r="R13" s="13">
        <v>2.5469312578545993E-5</v>
      </c>
      <c r="S13" s="13">
        <v>-1.0684985220872549E-5</v>
      </c>
      <c r="T13" s="13">
        <v>1.3734860319236186E-5</v>
      </c>
      <c r="U13" s="13">
        <v>2.0210157511919625E-6</v>
      </c>
      <c r="V13" s="13">
        <v>1.5957745873794416E-5</v>
      </c>
      <c r="W13" s="13">
        <f>VARP(Sheet2!$J$3:$J$688)</f>
        <v>5.8791593847077792E-4</v>
      </c>
    </row>
    <row r="14" spans="1:23" ht="15" thickBot="1" x14ac:dyDescent="0.4">
      <c r="A14">
        <v>-1.4925373134328401E-2</v>
      </c>
      <c r="B14">
        <v>-4.5551403600885276E-4</v>
      </c>
      <c r="C14">
        <v>-1.5273949842647405E-2</v>
      </c>
      <c r="D14">
        <v>-1.388076197906507E-2</v>
      </c>
      <c r="E14">
        <v>-1.0184071321457377E-2</v>
      </c>
      <c r="F14">
        <v>-6.2157221206581292E-3</v>
      </c>
      <c r="G14">
        <v>0</v>
      </c>
      <c r="H14">
        <v>-5.2563998594328698E-2</v>
      </c>
      <c r="I14">
        <v>-2.0261480002576104E-2</v>
      </c>
      <c r="J14">
        <v>-4.3701200326302314E-2</v>
      </c>
      <c r="K14">
        <f>SUMPRODUCT(Sheet1!$AV$8:$BE$8,Sheet2!A14:J14)</f>
        <v>-2.3164296405842413E-2</v>
      </c>
    </row>
    <row r="15" spans="1:23" ht="15" thickBot="1" x14ac:dyDescent="0.4">
      <c r="A15">
        <v>1.5151515151515138E-2</v>
      </c>
      <c r="B15">
        <v>1.4096473950488519E-2</v>
      </c>
      <c r="C15">
        <v>-1.026249761798903E-2</v>
      </c>
      <c r="D15">
        <v>1.2832889872613107E-2</v>
      </c>
      <c r="E15">
        <v>-1.4700740864063921E-2</v>
      </c>
      <c r="F15">
        <v>4.7829286239882141E-3</v>
      </c>
      <c r="G15">
        <v>5.2631578947368585E-3</v>
      </c>
      <c r="H15">
        <v>3.2255303365336774E-2</v>
      </c>
      <c r="I15">
        <v>-2.3007546475244389E-3</v>
      </c>
      <c r="J15">
        <v>3.9970753107482437E-2</v>
      </c>
      <c r="K15">
        <f>SUMPRODUCT(Sheet1!$AV$8:$BE$8,Sheet2!A15:J15)</f>
        <v>1.9487387253123889E-3</v>
      </c>
      <c r="M15" s="14"/>
      <c r="N15" t="s">
        <v>718</v>
      </c>
      <c r="O15" t="s">
        <v>719</v>
      </c>
      <c r="P15" t="s">
        <v>720</v>
      </c>
      <c r="Q15" t="s">
        <v>721</v>
      </c>
      <c r="R15" t="s">
        <v>7</v>
      </c>
      <c r="S15" t="s">
        <v>8</v>
      </c>
      <c r="T15" t="s">
        <v>722</v>
      </c>
      <c r="U15" t="s">
        <v>723</v>
      </c>
      <c r="V15" t="s">
        <v>724</v>
      </c>
      <c r="W15" s="13" t="s">
        <v>725</v>
      </c>
    </row>
    <row r="16" spans="1:23" ht="15" thickBot="1" x14ac:dyDescent="0.4">
      <c r="A16">
        <v>-1.4925373134328401E-2</v>
      </c>
      <c r="B16">
        <v>-1.345113870058634E-2</v>
      </c>
      <c r="C16">
        <v>5.5434551529665033E-3</v>
      </c>
      <c r="D16">
        <v>1.6366764309294624E-3</v>
      </c>
      <c r="E16">
        <v>1.3433138454259863E-2</v>
      </c>
      <c r="F16">
        <v>0</v>
      </c>
      <c r="G16">
        <v>-1.0471204188481686E-2</v>
      </c>
      <c r="H16">
        <v>1.3751071063323961E-2</v>
      </c>
      <c r="I16">
        <v>-3.4656792335973075E-3</v>
      </c>
      <c r="J16">
        <v>-4.3941879540660977E-2</v>
      </c>
      <c r="K16">
        <f>SUMPRODUCT(Sheet1!$AV$8:$BE$8,Sheet2!A16:J16)</f>
        <v>4.7552961052623336E-3</v>
      </c>
      <c r="M16" s="14" t="s">
        <v>718</v>
      </c>
      <c r="N16">
        <f>VARP(Sheet2!$A$3:$A$688)</f>
        <v>6.1483486629221947E-4</v>
      </c>
      <c r="O16">
        <v>8.4193823899965239E-6</v>
      </c>
      <c r="P16">
        <v>5.0376465179347965E-6</v>
      </c>
      <c r="Q16">
        <v>1.4862963749549128E-6</v>
      </c>
      <c r="R16">
        <v>-8.0487405975994752E-6</v>
      </c>
      <c r="S16">
        <v>3.2716570083274344E-6</v>
      </c>
      <c r="T16">
        <v>3.6547177906221489E-7</v>
      </c>
      <c r="U16">
        <v>9.1149963995733119E-7</v>
      </c>
      <c r="V16">
        <v>2.4113682801802381E-5</v>
      </c>
      <c r="W16" s="13">
        <v>-4.6351158363957026E-6</v>
      </c>
    </row>
    <row r="17" spans="1:23" ht="15" thickBot="1" x14ac:dyDescent="0.4">
      <c r="A17">
        <v>0</v>
      </c>
      <c r="B17">
        <v>1.3634538772737015E-2</v>
      </c>
      <c r="C17">
        <v>-9.5897241558131618E-3</v>
      </c>
      <c r="D17">
        <v>-4.0803631941027652E-3</v>
      </c>
      <c r="E17">
        <v>0</v>
      </c>
      <c r="F17">
        <v>-4.7601611131453669E-3</v>
      </c>
      <c r="G17">
        <v>-1.058201058201047E-2</v>
      </c>
      <c r="H17">
        <v>-1.22694368328502E-3</v>
      </c>
      <c r="I17">
        <v>-6.9290172432032726E-3</v>
      </c>
      <c r="J17">
        <v>0</v>
      </c>
      <c r="K17">
        <f>SUMPRODUCT(Sheet1!$AV$8:$BE$8,Sheet2!A17:J17)</f>
        <v>-6.4987101630861778E-3</v>
      </c>
      <c r="M17" s="14" t="s">
        <v>719</v>
      </c>
      <c r="O17">
        <f>VARP(Sheet2!$B$3:$B$688)</f>
        <v>2.0790741561780136E-4</v>
      </c>
      <c r="P17">
        <v>-6.5250420269883998E-7</v>
      </c>
      <c r="Q17">
        <v>-1.1754640807924283E-6</v>
      </c>
      <c r="R17">
        <v>6.025795715323469E-6</v>
      </c>
      <c r="S17">
        <v>-7.5200889800493041E-7</v>
      </c>
      <c r="T17">
        <v>-2.9940597899867517E-7</v>
      </c>
      <c r="U17">
        <v>2.3912874015023386E-6</v>
      </c>
      <c r="V17">
        <v>8.0255937590850275E-6</v>
      </c>
      <c r="W17" s="13">
        <v>4.0085751333067415E-6</v>
      </c>
    </row>
    <row r="18" spans="1:23" ht="15" thickBot="1" x14ac:dyDescent="0.4">
      <c r="A18">
        <v>0</v>
      </c>
      <c r="B18">
        <v>-2.2393175413206734E-3</v>
      </c>
      <c r="C18">
        <v>7.5035947172759077E-3</v>
      </c>
      <c r="D18">
        <v>0</v>
      </c>
      <c r="E18">
        <v>4.269970155226166E-2</v>
      </c>
      <c r="F18">
        <v>-7.7262693156732176E-3</v>
      </c>
      <c r="G18">
        <v>-1.0695187165775444E-2</v>
      </c>
      <c r="H18">
        <v>-1.2352756507377438E-2</v>
      </c>
      <c r="I18">
        <v>8.1491344873503291E-3</v>
      </c>
      <c r="J18">
        <v>3.4440495158720497E-2</v>
      </c>
      <c r="K18">
        <f>SUMPRODUCT(Sheet1!$AV$8:$BE$8,Sheet2!A18:J18)</f>
        <v>2.3250696745563924E-3</v>
      </c>
      <c r="M18" s="14" t="s">
        <v>720</v>
      </c>
      <c r="P18">
        <f>VARP(Sheet2!$C$3:$C$688)</f>
        <v>1.5450016132716567E-4</v>
      </c>
      <c r="Q18">
        <v>8.941829034957357E-6</v>
      </c>
      <c r="R18">
        <v>1.7328760421714292E-5</v>
      </c>
      <c r="S18">
        <v>8.8511637562305644E-6</v>
      </c>
      <c r="T18">
        <v>1.3101994630419702E-5</v>
      </c>
      <c r="U18">
        <v>1.127336121995999E-5</v>
      </c>
      <c r="V18">
        <v>1.7037604252043234E-5</v>
      </c>
      <c r="W18" s="13">
        <v>3.0021340435464632E-5</v>
      </c>
    </row>
    <row r="19" spans="1:23" ht="15" thickBot="1" x14ac:dyDescent="0.4">
      <c r="A19">
        <v>1.5151515151515138E-2</v>
      </c>
      <c r="B19">
        <v>-2.7023725915296115E-3</v>
      </c>
      <c r="C19">
        <v>-1.679032877062725E-3</v>
      </c>
      <c r="D19">
        <v>-1.6392984157022172E-2</v>
      </c>
      <c r="E19">
        <v>0</v>
      </c>
      <c r="F19">
        <v>4.6347793845011864E-3</v>
      </c>
      <c r="G19">
        <v>5.4054054054053502E-3</v>
      </c>
      <c r="H19">
        <v>-2.2499239890544254E-2</v>
      </c>
      <c r="I19">
        <v>-2.3113905325443662E-3</v>
      </c>
      <c r="J19">
        <v>-3.3293838862559211E-2</v>
      </c>
      <c r="K19">
        <f>SUMPRODUCT(Sheet1!$AV$8:$BE$8,Sheet2!A19:J19)</f>
        <v>-5.7363011653964692E-3</v>
      </c>
      <c r="M19" s="14" t="s">
        <v>721</v>
      </c>
      <c r="Q19">
        <f>VARP(Sheet2!$D$3:$D$688)</f>
        <v>2.8982300233374499E-4</v>
      </c>
      <c r="R19">
        <v>2.8234251861637489E-6</v>
      </c>
      <c r="S19">
        <v>-2.7647058009371694E-6</v>
      </c>
      <c r="T19">
        <v>9.456455692300782E-6</v>
      </c>
      <c r="U19">
        <v>2.4021563628975008E-6</v>
      </c>
      <c r="V19">
        <v>2.1337184908683959E-6</v>
      </c>
      <c r="W19" s="13">
        <v>1.7577210246928175E-5</v>
      </c>
    </row>
    <row r="20" spans="1:23" ht="15" thickBot="1" x14ac:dyDescent="0.4">
      <c r="A20">
        <v>2.9850746268656581E-2</v>
      </c>
      <c r="B20">
        <v>0</v>
      </c>
      <c r="C20">
        <v>-1.300235459947785E-2</v>
      </c>
      <c r="D20">
        <v>0</v>
      </c>
      <c r="E20">
        <v>1.4071444561707391E-3</v>
      </c>
      <c r="F20">
        <v>-1.7161837977486605E-2</v>
      </c>
      <c r="G20">
        <v>0</v>
      </c>
      <c r="H20">
        <v>-2.5590272868656339E-3</v>
      </c>
      <c r="I20">
        <v>-4.6334908720230272E-3</v>
      </c>
      <c r="J20">
        <v>3.4440495158720497E-2</v>
      </c>
      <c r="K20">
        <f>SUMPRODUCT(Sheet1!$AV$8:$BE$8,Sheet2!A20:J20)</f>
        <v>-9.1535411456908806E-3</v>
      </c>
      <c r="M20" s="14" t="s">
        <v>7</v>
      </c>
      <c r="R20">
        <f>VARP(Sheet2!$E$3:$E$688)</f>
        <v>1.5169217079744285E-4</v>
      </c>
      <c r="S20">
        <v>4.2896616523096456E-6</v>
      </c>
      <c r="T20">
        <v>-2.6383545896821552E-7</v>
      </c>
      <c r="U20">
        <v>2.1478978149738348E-5</v>
      </c>
      <c r="V20">
        <v>9.4837468810525123E-6</v>
      </c>
      <c r="W20" s="13">
        <v>2.5469312578545993E-5</v>
      </c>
    </row>
    <row r="21" spans="1:23" ht="15" thickBot="1" x14ac:dyDescent="0.4">
      <c r="A21">
        <v>4.3478260869565188E-2</v>
      </c>
      <c r="B21">
        <v>-4.4396136005253606E-4</v>
      </c>
      <c r="C21">
        <v>0</v>
      </c>
      <c r="D21">
        <v>1.6249182565181597E-2</v>
      </c>
      <c r="E21">
        <v>-9.8681058985086167E-3</v>
      </c>
      <c r="F21">
        <v>4.6939541870072432E-3</v>
      </c>
      <c r="G21">
        <v>1.0752688172043001E-2</v>
      </c>
      <c r="H21">
        <v>0</v>
      </c>
      <c r="I21">
        <v>0</v>
      </c>
      <c r="J21">
        <v>4.4490521327014143E-2</v>
      </c>
      <c r="K21">
        <f>SUMPRODUCT(Sheet1!$AV$8:$BE$8,Sheet2!A21:J21)</f>
        <v>4.3959448983137893E-4</v>
      </c>
      <c r="M21" s="14" t="s">
        <v>8</v>
      </c>
      <c r="S21">
        <f>VARP(Sheet2!$F$3:$F$688)</f>
        <v>2.2771639119961346E-4</v>
      </c>
      <c r="T21">
        <v>8.9588515059679677E-6</v>
      </c>
      <c r="U21">
        <v>-4.1192155117113208E-6</v>
      </c>
      <c r="V21">
        <v>7.0175592583896086E-6</v>
      </c>
      <c r="W21" s="13">
        <v>-1.0684985220872549E-5</v>
      </c>
    </row>
    <row r="22" spans="1:23" ht="15" thickBot="1" x14ac:dyDescent="0.4">
      <c r="A22">
        <v>-2.777777777777779E-2</v>
      </c>
      <c r="B22">
        <v>-1.7138393677632813E-2</v>
      </c>
      <c r="C22">
        <v>-1.7072586894517516E-2</v>
      </c>
      <c r="D22">
        <v>-3.6884194819426508E-3</v>
      </c>
      <c r="E22">
        <v>1.8513740162559689E-2</v>
      </c>
      <c r="F22">
        <v>9.5309287983553759E-3</v>
      </c>
      <c r="G22">
        <v>-5.3191489361701372E-3</v>
      </c>
      <c r="H22">
        <v>-2.5655927086137842E-3</v>
      </c>
      <c r="I22">
        <v>-1.1571149267826097E-3</v>
      </c>
      <c r="J22">
        <v>1.0606318416425786E-2</v>
      </c>
      <c r="K22">
        <f>SUMPRODUCT(Sheet1!$AV$8:$BE$8,Sheet2!A22:J22)</f>
        <v>-8.348143921394274E-3</v>
      </c>
      <c r="M22" s="14" t="s">
        <v>722</v>
      </c>
      <c r="T22">
        <f>VARP(Sheet2!$G$3:$G$688)</f>
        <v>1.320062440417173E-4</v>
      </c>
      <c r="U22">
        <v>-9.0133091083146189E-7</v>
      </c>
      <c r="V22">
        <v>1.9287745474819717E-6</v>
      </c>
      <c r="W22" s="13">
        <v>1.3734860319236186E-5</v>
      </c>
    </row>
    <row r="23" spans="1:23" ht="15" thickBot="1" x14ac:dyDescent="0.4">
      <c r="A23">
        <v>-1.4285714285714346E-2</v>
      </c>
      <c r="B23">
        <v>-9.1705234288562698E-3</v>
      </c>
      <c r="C23">
        <v>-2.4765859437236859E-4</v>
      </c>
      <c r="D23">
        <v>-7.8206904298336877E-3</v>
      </c>
      <c r="E23">
        <v>-1.3933751345873713E-3</v>
      </c>
      <c r="F23">
        <v>4.8130322102923895E-3</v>
      </c>
      <c r="G23">
        <v>-5.3475935828877219E-3</v>
      </c>
      <c r="H23">
        <v>0</v>
      </c>
      <c r="I23">
        <v>-8.149134487350107E-3</v>
      </c>
      <c r="J23">
        <v>1.0551128072735505E-2</v>
      </c>
      <c r="K23">
        <f>SUMPRODUCT(Sheet1!$AV$8:$BE$8,Sheet2!A23:J23)</f>
        <v>-1.3717263705153595E-3</v>
      </c>
      <c r="M23" s="14" t="s">
        <v>723</v>
      </c>
      <c r="U23">
        <f>VARP(Sheet2!$H$3:$H$688)</f>
        <v>2.259162710964803E-4</v>
      </c>
      <c r="V23">
        <v>1.6704339296959939E-6</v>
      </c>
      <c r="W23" s="13">
        <v>2.0210157511919625E-6</v>
      </c>
    </row>
    <row r="24" spans="1:23" ht="15" thickBot="1" x14ac:dyDescent="0.4">
      <c r="A24">
        <v>-2.8985507246376718E-2</v>
      </c>
      <c r="B24">
        <v>0</v>
      </c>
      <c r="C24">
        <v>5.2145048284746309E-3</v>
      </c>
      <c r="D24">
        <v>5.8067955073985988E-3</v>
      </c>
      <c r="E24">
        <v>0</v>
      </c>
      <c r="F24">
        <v>0</v>
      </c>
      <c r="G24">
        <v>-5.3763440860215006E-3</v>
      </c>
      <c r="H24">
        <v>0</v>
      </c>
      <c r="I24">
        <v>3.5173450757168823E-3</v>
      </c>
      <c r="J24">
        <v>0</v>
      </c>
      <c r="K24">
        <f>SUMPRODUCT(Sheet1!$AV$8:$BE$8,Sheet2!A24:J24)</f>
        <v>3.2205466928111916E-3</v>
      </c>
      <c r="M24" s="14" t="s">
        <v>724</v>
      </c>
      <c r="V24">
        <f>VARP(Sheet2!$I$3:$I$688)</f>
        <v>9.9151657885760449E-5</v>
      </c>
      <c r="W24" s="13">
        <v>1.5957745873794416E-5</v>
      </c>
    </row>
    <row r="25" spans="1:23" ht="15" thickBot="1" x14ac:dyDescent="0.4">
      <c r="A25">
        <v>-2.9850746268656692E-2</v>
      </c>
      <c r="B25">
        <v>-4.6316319228744129E-3</v>
      </c>
      <c r="C25">
        <v>-9.8779325754091429E-3</v>
      </c>
      <c r="D25">
        <v>-4.5351367575882096E-3</v>
      </c>
      <c r="E25">
        <v>-1.3953193378575257E-3</v>
      </c>
      <c r="F25">
        <v>0</v>
      </c>
      <c r="G25">
        <v>5.4054054054053502E-3</v>
      </c>
      <c r="H25">
        <v>-3.8511823556163227E-3</v>
      </c>
      <c r="I25">
        <v>-7.0100334448159884E-3</v>
      </c>
      <c r="J25">
        <v>0</v>
      </c>
      <c r="K25">
        <f>SUMPRODUCT(Sheet1!$AV$8:$BE$8,Sheet2!A25:J25)</f>
        <v>-7.0516149787065866E-3</v>
      </c>
      <c r="M25" s="14" t="s">
        <v>725</v>
      </c>
      <c r="W25" s="13">
        <f>VARP(Sheet2!$J$3:$J$688)</f>
        <v>5.8791593847077792E-4</v>
      </c>
    </row>
    <row r="26" spans="1:23" x14ac:dyDescent="0.35">
      <c r="A26">
        <v>-1.5384615384615441E-2</v>
      </c>
      <c r="B26">
        <v>0</v>
      </c>
      <c r="C26">
        <v>9.9764795679209151E-3</v>
      </c>
      <c r="D26">
        <v>4.1836076077585327E-2</v>
      </c>
      <c r="E26">
        <v>3.5058748809145612E-2</v>
      </c>
      <c r="F26">
        <v>0</v>
      </c>
      <c r="G26">
        <v>-5.3763440860215006E-3</v>
      </c>
      <c r="H26">
        <v>2.7091030999900179E-2</v>
      </c>
      <c r="I26">
        <v>-5.8874248915474769E-3</v>
      </c>
      <c r="J26">
        <v>0</v>
      </c>
      <c r="K26">
        <f>SUMPRODUCT(Sheet1!$AV$8:$BE$8,Sheet2!A26:J26)</f>
        <v>9.722376543808784E-3</v>
      </c>
    </row>
    <row r="27" spans="1:23" x14ac:dyDescent="0.35">
      <c r="A27">
        <v>-4.6875E-2</v>
      </c>
      <c r="B27">
        <v>0</v>
      </c>
      <c r="C27">
        <v>3.4541959650391529E-3</v>
      </c>
      <c r="D27">
        <v>5.9646282621180546E-2</v>
      </c>
      <c r="E27">
        <v>-1.3499417070625963E-3</v>
      </c>
      <c r="F27">
        <v>-6.2638172439203332E-3</v>
      </c>
      <c r="G27">
        <v>5.4054054054053502E-3</v>
      </c>
      <c r="H27">
        <v>-1.2500694483027486E-3</v>
      </c>
      <c r="I27">
        <v>-1.0665546355147715E-2</v>
      </c>
      <c r="J27">
        <v>5.2204820615351366E-3</v>
      </c>
      <c r="K27">
        <f>SUMPRODUCT(Sheet1!$AV$8:$BE$8,Sheet2!A27:J27)</f>
        <v>-1.1525712314199865E-3</v>
      </c>
    </row>
    <row r="28" spans="1:23" x14ac:dyDescent="0.35">
      <c r="A28">
        <v>4.9180327868852514E-2</v>
      </c>
      <c r="B28">
        <v>0</v>
      </c>
      <c r="C28">
        <v>-1.0826276129391466E-2</v>
      </c>
      <c r="D28">
        <v>1.313122260772337E-2</v>
      </c>
      <c r="E28">
        <v>-4.0706605222733394E-3</v>
      </c>
      <c r="F28">
        <v>-1.6685205784204848E-3</v>
      </c>
      <c r="G28">
        <v>0</v>
      </c>
      <c r="H28">
        <v>-3.7827163240897743E-3</v>
      </c>
      <c r="I28">
        <v>2.3944549464398168E-2</v>
      </c>
      <c r="J28">
        <v>0</v>
      </c>
      <c r="K28">
        <f>SUMPRODUCT(Sheet1!$AV$8:$BE$8,Sheet2!A28:J28)</f>
        <v>-1.6765569281820547E-3</v>
      </c>
    </row>
    <row r="29" spans="1:23" x14ac:dyDescent="0.35">
      <c r="A29">
        <v>0</v>
      </c>
      <c r="B29">
        <v>-1.3951651129720188E-2</v>
      </c>
      <c r="C29">
        <v>-1.4937848618765681E-3</v>
      </c>
      <c r="D29">
        <v>-1.222388839278199E-2</v>
      </c>
      <c r="E29">
        <v>-1.3727153543611204E-3</v>
      </c>
      <c r="F29">
        <v>-1.578458681522743E-2</v>
      </c>
      <c r="G29">
        <v>-1.0752688172043001E-2</v>
      </c>
      <c r="H29">
        <v>3.7970795990729389E-3</v>
      </c>
      <c r="I29">
        <v>0</v>
      </c>
      <c r="J29">
        <v>-5.1933701657459475E-3</v>
      </c>
      <c r="K29">
        <f>SUMPRODUCT(Sheet1!$AV$8:$BE$8,Sheet2!A29:J29)</f>
        <v>-1.4910032905949128E-3</v>
      </c>
    </row>
    <row r="30" spans="1:23" x14ac:dyDescent="0.35">
      <c r="A30">
        <v>0</v>
      </c>
      <c r="B30">
        <v>0</v>
      </c>
      <c r="C30">
        <v>-3.733832835350781E-3</v>
      </c>
      <c r="D30">
        <v>-2.5121320926900337E-2</v>
      </c>
      <c r="E30">
        <v>-3.0009575881135397E-2</v>
      </c>
      <c r="F30">
        <v>-2.2452830188679163E-2</v>
      </c>
      <c r="G30">
        <v>-5.4347826086956763E-3</v>
      </c>
      <c r="H30">
        <v>-3.1443829443996263E-2</v>
      </c>
      <c r="I30">
        <v>1.0528428093645514E-2</v>
      </c>
      <c r="J30">
        <v>5.2204820615351366E-3</v>
      </c>
      <c r="K30">
        <f>SUMPRODUCT(Sheet1!$AV$8:$BE$8,Sheet2!A30:J30)</f>
        <v>-8.5811904892260215E-3</v>
      </c>
    </row>
    <row r="31" spans="1:23" x14ac:dyDescent="0.35">
      <c r="A31">
        <v>-1.5625E-2</v>
      </c>
      <c r="B31">
        <v>1.4149053792042565E-2</v>
      </c>
      <c r="C31">
        <v>2.4999376055505618E-3</v>
      </c>
      <c r="D31">
        <v>-1.9229170949779273E-2</v>
      </c>
      <c r="E31">
        <v>3.0938012515325575E-2</v>
      </c>
      <c r="F31">
        <v>6.5624396834587095E-3</v>
      </c>
      <c r="G31">
        <v>0</v>
      </c>
      <c r="H31">
        <v>1.8177902218393216E-2</v>
      </c>
      <c r="I31">
        <v>0</v>
      </c>
      <c r="J31">
        <v>-4.1491712707182327E-2</v>
      </c>
      <c r="K31">
        <f>SUMPRODUCT(Sheet1!$AV$8:$BE$8,Sheet2!A31:J31)</f>
        <v>5.9287182721487015E-3</v>
      </c>
    </row>
    <row r="32" spans="1:23" x14ac:dyDescent="0.35">
      <c r="A32">
        <v>-1.5873015873015928E-2</v>
      </c>
      <c r="B32">
        <v>0</v>
      </c>
      <c r="C32">
        <v>-7.2363043397078997E-3</v>
      </c>
      <c r="D32">
        <v>-1.255045380549924E-2</v>
      </c>
      <c r="E32">
        <v>-4.0929169369535723E-3</v>
      </c>
      <c r="F32">
        <v>-1.534036433365249E-3</v>
      </c>
      <c r="G32">
        <v>-5.464480874316946E-3</v>
      </c>
      <c r="H32">
        <v>1.2691965985531795E-3</v>
      </c>
      <c r="I32">
        <v>1.2735480625388762E-2</v>
      </c>
      <c r="J32">
        <v>4.3287797567583164E-2</v>
      </c>
      <c r="K32">
        <f>SUMPRODUCT(Sheet1!$AV$8:$BE$8,Sheet2!A32:J32)</f>
        <v>-8.7920284428435276E-4</v>
      </c>
    </row>
    <row r="33" spans="1:11" x14ac:dyDescent="0.35">
      <c r="A33">
        <v>0</v>
      </c>
      <c r="B33">
        <v>0</v>
      </c>
      <c r="C33">
        <v>8.2921304171559296E-3</v>
      </c>
      <c r="D33">
        <v>7.9493769224159294E-4</v>
      </c>
      <c r="E33">
        <v>0</v>
      </c>
      <c r="F33">
        <v>-4.9932782792394548E-3</v>
      </c>
      <c r="G33">
        <v>0</v>
      </c>
      <c r="H33">
        <v>-2.5478514387121343E-2</v>
      </c>
      <c r="I33">
        <v>3.5425299677120048E-2</v>
      </c>
      <c r="J33">
        <v>-5.1933701657459475E-3</v>
      </c>
      <c r="K33">
        <f>SUMPRODUCT(Sheet1!$AV$8:$BE$8,Sheet2!A33:J33)</f>
        <v>5.01055715283397E-3</v>
      </c>
    </row>
    <row r="34" spans="1:11" x14ac:dyDescent="0.35">
      <c r="A34">
        <v>-4.8387096774193616E-2</v>
      </c>
      <c r="B34">
        <v>4.6531837573078327E-3</v>
      </c>
      <c r="C34">
        <v>-3.2373459566336082E-3</v>
      </c>
      <c r="D34">
        <v>2.3811135632308522E-2</v>
      </c>
      <c r="E34">
        <v>-2.7387912718475294E-2</v>
      </c>
      <c r="F34">
        <v>-1.5441034549315003E-3</v>
      </c>
      <c r="G34">
        <v>0</v>
      </c>
      <c r="H34">
        <v>0</v>
      </c>
      <c r="I34">
        <v>-2.2080824148770883E-2</v>
      </c>
      <c r="J34">
        <v>0</v>
      </c>
      <c r="K34">
        <f>SUMPRODUCT(Sheet1!$AV$8:$BE$8,Sheet2!A34:J34)</f>
        <v>-6.0796304369198969E-3</v>
      </c>
    </row>
    <row r="35" spans="1:11" x14ac:dyDescent="0.35">
      <c r="A35">
        <v>0</v>
      </c>
      <c r="B35">
        <v>-4.6316319228744129E-3</v>
      </c>
      <c r="C35">
        <v>0</v>
      </c>
      <c r="D35">
        <v>7.7495117983892303E-3</v>
      </c>
      <c r="E35">
        <v>1.9708203779000399E-2</v>
      </c>
      <c r="F35">
        <v>-1.7398028223468698E-3</v>
      </c>
      <c r="G35">
        <v>-1.098901098901095E-2</v>
      </c>
      <c r="H35">
        <v>6.5469996531390962E-3</v>
      </c>
      <c r="I35">
        <v>2.0320165246578981E-2</v>
      </c>
      <c r="J35">
        <v>5.2204820615351366E-3</v>
      </c>
      <c r="K35">
        <f>SUMPRODUCT(Sheet1!$AV$8:$BE$8,Sheet2!A35:J35)</f>
        <v>5.2190544516028583E-3</v>
      </c>
    </row>
    <row r="36" spans="1:11" x14ac:dyDescent="0.35">
      <c r="A36">
        <v>1.6949152542372836E-2</v>
      </c>
      <c r="B36">
        <v>-4.6531837573076107E-3</v>
      </c>
      <c r="C36">
        <v>0</v>
      </c>
      <c r="D36">
        <v>-7.3049853244158136E-3</v>
      </c>
      <c r="E36">
        <v>-1.9327297462119475E-2</v>
      </c>
      <c r="F36">
        <v>3.2920216886136444E-3</v>
      </c>
      <c r="G36">
        <v>1.1111111111111072E-2</v>
      </c>
      <c r="H36">
        <v>1.9470170148610855E-2</v>
      </c>
      <c r="I36">
        <v>-4.4284738213933306E-3</v>
      </c>
      <c r="J36">
        <v>0</v>
      </c>
      <c r="K36">
        <f>SUMPRODUCT(Sheet1!$AV$8:$BE$8,Sheet2!A36:J36)</f>
        <v>3.3430179494593343E-3</v>
      </c>
    </row>
    <row r="37" spans="1:11" x14ac:dyDescent="0.35">
      <c r="A37">
        <v>-1.6666666666666718E-2</v>
      </c>
      <c r="B37">
        <v>9.3498741973634392E-3</v>
      </c>
      <c r="C37">
        <v>-2.499313832309058E-3</v>
      </c>
      <c r="D37">
        <v>6.5832088516397658E-3</v>
      </c>
      <c r="E37">
        <v>7.031810571633601E-3</v>
      </c>
      <c r="F37">
        <v>-3.2812198417294658E-3</v>
      </c>
      <c r="G37">
        <v>0</v>
      </c>
      <c r="H37">
        <v>-3.1844621906733761E-2</v>
      </c>
      <c r="I37">
        <v>0</v>
      </c>
      <c r="J37">
        <v>0</v>
      </c>
      <c r="K37">
        <f>SUMPRODUCT(Sheet1!$AV$8:$BE$8,Sheet2!A37:J37)</f>
        <v>-8.0512051835338969E-3</v>
      </c>
    </row>
    <row r="38" spans="1:11" x14ac:dyDescent="0.35">
      <c r="A38">
        <v>0</v>
      </c>
      <c r="B38">
        <v>0</v>
      </c>
      <c r="C38">
        <v>0</v>
      </c>
      <c r="D38">
        <v>-1.9217720576968356E-3</v>
      </c>
      <c r="E38">
        <v>0</v>
      </c>
      <c r="F38">
        <v>0</v>
      </c>
      <c r="G38">
        <v>-1.6483516483516536E-2</v>
      </c>
      <c r="H38">
        <v>1.3165551352924076E-2</v>
      </c>
      <c r="I38">
        <v>0</v>
      </c>
      <c r="J38">
        <v>0</v>
      </c>
      <c r="K38">
        <f>SUMPRODUCT(Sheet1!$AV$8:$BE$8,Sheet2!A38:J38)</f>
        <v>2.7796488819469573E-3</v>
      </c>
    </row>
    <row r="39" spans="1:11" x14ac:dyDescent="0.35">
      <c r="A39">
        <v>5.0847457627118731E-2</v>
      </c>
      <c r="B39">
        <v>0</v>
      </c>
      <c r="C39">
        <v>-2.3058803910533054E-2</v>
      </c>
      <c r="D39">
        <v>7.7194336742736347E-4</v>
      </c>
      <c r="E39">
        <v>1.3997086579264018E-2</v>
      </c>
      <c r="F39">
        <v>0</v>
      </c>
      <c r="G39">
        <v>-5.5865921787709993E-3</v>
      </c>
      <c r="H39">
        <v>0</v>
      </c>
      <c r="I39">
        <v>-1.1107722027349998E-2</v>
      </c>
      <c r="J39">
        <v>0</v>
      </c>
      <c r="K39">
        <f>SUMPRODUCT(Sheet1!$AV$8:$BE$8,Sheet2!A39:J39)</f>
        <v>-1.328800050635545E-2</v>
      </c>
    </row>
    <row r="40" spans="1:11" x14ac:dyDescent="0.35">
      <c r="A40">
        <v>-3.2258064516129115E-2</v>
      </c>
      <c r="B40">
        <v>0</v>
      </c>
      <c r="C40">
        <v>-1.2827844017513468E-2</v>
      </c>
      <c r="D40">
        <v>1.3099766842557425E-2</v>
      </c>
      <c r="E40">
        <v>-2.0690193628981945E-2</v>
      </c>
      <c r="F40">
        <v>0</v>
      </c>
      <c r="G40">
        <v>1.1235955056179803E-2</v>
      </c>
      <c r="H40">
        <v>4.9350276401751714E-2</v>
      </c>
      <c r="I40">
        <v>-3.367176455468357E-3</v>
      </c>
      <c r="J40">
        <v>-4.1491712707182327E-2</v>
      </c>
      <c r="K40">
        <f>SUMPRODUCT(Sheet1!$AV$8:$BE$8,Sheet2!A40:J40)</f>
        <v>3.2504946809218298E-3</v>
      </c>
    </row>
    <row r="41" spans="1:11" x14ac:dyDescent="0.35">
      <c r="A41">
        <v>1.6666666666666607E-2</v>
      </c>
      <c r="B41">
        <v>0</v>
      </c>
      <c r="C41">
        <v>-2.5937197399361622E-4</v>
      </c>
      <c r="D41">
        <v>-1.2930381855070672E-2</v>
      </c>
      <c r="E41">
        <v>-2.8222913178664877E-3</v>
      </c>
      <c r="F41">
        <v>-1.5491866769945517E-3</v>
      </c>
      <c r="G41">
        <v>0</v>
      </c>
      <c r="H41">
        <v>-9.906680167483084E-3</v>
      </c>
      <c r="I41">
        <v>1.240521999277866E-2</v>
      </c>
      <c r="J41">
        <v>-1.6196898956712169E-2</v>
      </c>
      <c r="K41">
        <f>SUMPRODUCT(Sheet1!$AV$8:$BE$8,Sheet2!A41:J41)</f>
        <v>-3.8949211692679563E-5</v>
      </c>
    </row>
    <row r="42" spans="1:11" x14ac:dyDescent="0.35">
      <c r="A42">
        <v>1.6393442622950838E-2</v>
      </c>
      <c r="B42">
        <v>0</v>
      </c>
      <c r="C42">
        <v>-2.1317259629520691E-2</v>
      </c>
      <c r="D42">
        <v>-1.2718475535999141E-2</v>
      </c>
      <c r="E42">
        <v>2.8302791902523605E-3</v>
      </c>
      <c r="F42">
        <v>0</v>
      </c>
      <c r="G42">
        <v>0</v>
      </c>
      <c r="H42">
        <v>-6.2467177091684034E-3</v>
      </c>
      <c r="I42">
        <v>-5.5789071455865091E-3</v>
      </c>
      <c r="J42">
        <v>1.1014764471525718E-2</v>
      </c>
      <c r="K42">
        <f>SUMPRODUCT(Sheet1!$AV$8:$BE$8,Sheet2!A42:J42)</f>
        <v>-1.275104870013841E-2</v>
      </c>
    </row>
    <row r="43" spans="1:11" x14ac:dyDescent="0.35">
      <c r="A43">
        <v>4.8387096774193505E-2</v>
      </c>
      <c r="B43">
        <v>0</v>
      </c>
      <c r="C43">
        <v>2.2576854085482712E-2</v>
      </c>
      <c r="D43">
        <v>1.2882318994983821E-2</v>
      </c>
      <c r="E43">
        <v>1.4079566291955725E-2</v>
      </c>
      <c r="F43">
        <v>0</v>
      </c>
      <c r="G43">
        <v>0</v>
      </c>
      <c r="H43">
        <v>6.2859844797373832E-3</v>
      </c>
      <c r="I43">
        <v>1.344912388564401E-2</v>
      </c>
      <c r="J43">
        <v>-2.1789522484932822E-2</v>
      </c>
      <c r="K43">
        <f>SUMPRODUCT(Sheet1!$AV$8:$BE$8,Sheet2!A43:J43)</f>
        <v>1.4977073450062779E-2</v>
      </c>
    </row>
    <row r="44" spans="1:11" x14ac:dyDescent="0.35">
      <c r="A44">
        <v>1.538461538461533E-2</v>
      </c>
      <c r="B44">
        <v>1.8518664139845376E-2</v>
      </c>
      <c r="C44">
        <v>1.2728561059071497E-2</v>
      </c>
      <c r="D44">
        <v>0</v>
      </c>
      <c r="E44">
        <v>1.2500393094122542E-2</v>
      </c>
      <c r="F44">
        <v>-1.7455391776569629E-3</v>
      </c>
      <c r="G44">
        <v>0</v>
      </c>
      <c r="H44">
        <v>-1.2493435418336585E-2</v>
      </c>
      <c r="I44">
        <v>-1.105887111043713E-2</v>
      </c>
      <c r="J44">
        <v>5.5687203791470186E-3</v>
      </c>
      <c r="K44">
        <f>SUMPRODUCT(Sheet1!$AV$8:$BE$8,Sheet2!A44:J44)</f>
        <v>1.6633047855727986E-3</v>
      </c>
    </row>
    <row r="45" spans="1:11" x14ac:dyDescent="0.35">
      <c r="A45">
        <v>-1.5151515151515138E-2</v>
      </c>
      <c r="B45">
        <v>-1.3634538772737126E-2</v>
      </c>
      <c r="C45">
        <v>2.5597924861564536E-4</v>
      </c>
      <c r="D45">
        <v>9.2474098487105305E-3</v>
      </c>
      <c r="E45">
        <v>-1.3666081716956491E-3</v>
      </c>
      <c r="F45">
        <v>-1.5543034777539821E-3</v>
      </c>
      <c r="G45">
        <v>-5.5555555555555358E-3</v>
      </c>
      <c r="H45">
        <v>1.2651496067400014E-2</v>
      </c>
      <c r="I45">
        <v>5.5848786534946626E-3</v>
      </c>
      <c r="J45">
        <v>-5.5378814657712772E-3</v>
      </c>
      <c r="K45">
        <f>SUMPRODUCT(Sheet1!$AV$8:$BE$8,Sheet2!A45:J45)</f>
        <v>3.5275739321886787E-3</v>
      </c>
    </row>
    <row r="46" spans="1:11" x14ac:dyDescent="0.35">
      <c r="A46">
        <v>1.538461538461533E-2</v>
      </c>
      <c r="B46">
        <v>9.2127303182578668E-3</v>
      </c>
      <c r="C46">
        <v>-2.5634026290870526E-3</v>
      </c>
      <c r="D46">
        <v>-3.4349189254911927E-3</v>
      </c>
      <c r="E46">
        <v>-1.3840292356738226E-3</v>
      </c>
      <c r="F46">
        <v>0</v>
      </c>
      <c r="G46">
        <v>5.5865921787709993E-3</v>
      </c>
      <c r="H46">
        <v>-2.5000691008596143E-2</v>
      </c>
      <c r="I46">
        <v>4.4481724365816877E-3</v>
      </c>
      <c r="J46">
        <v>0</v>
      </c>
      <c r="K46">
        <f>SUMPRODUCT(Sheet1!$AV$8:$BE$8,Sheet2!A46:J46)</f>
        <v>-5.5676104387875147E-3</v>
      </c>
    </row>
    <row r="47" spans="1:11" x14ac:dyDescent="0.35">
      <c r="A47">
        <v>-1.5151515151515138E-2</v>
      </c>
      <c r="B47">
        <v>9.1363865513631737E-3</v>
      </c>
      <c r="C47">
        <v>0</v>
      </c>
      <c r="D47">
        <v>0</v>
      </c>
      <c r="E47">
        <v>0</v>
      </c>
      <c r="F47">
        <v>-1.7513134851139256E-3</v>
      </c>
      <c r="G47">
        <v>5.5555555555555358E-3</v>
      </c>
      <c r="H47">
        <v>4.8717912372960637E-2</v>
      </c>
      <c r="I47">
        <v>-4.4284738213933306E-3</v>
      </c>
      <c r="J47">
        <v>-1.6646919431279605E-2</v>
      </c>
      <c r="K47">
        <f>SUMPRODUCT(Sheet1!$AV$8:$BE$8,Sheet2!A47:J47)</f>
        <v>9.3654715832365894E-3</v>
      </c>
    </row>
    <row r="48" spans="1:11" x14ac:dyDescent="0.35">
      <c r="A48">
        <v>-1.5384615384615441E-2</v>
      </c>
      <c r="B48">
        <v>-4.5268343670501476E-3</v>
      </c>
      <c r="C48">
        <v>-1.0284238389073552E-2</v>
      </c>
      <c r="D48">
        <v>-2.3007438200191022E-3</v>
      </c>
      <c r="E48">
        <v>-1.3703749844274915E-3</v>
      </c>
      <c r="F48">
        <v>-6.6276803118907601E-3</v>
      </c>
      <c r="G48">
        <v>0</v>
      </c>
      <c r="H48">
        <v>0</v>
      </c>
      <c r="I48">
        <v>-1.1107722027349998E-2</v>
      </c>
      <c r="J48">
        <v>-2.8254714139405945E-2</v>
      </c>
      <c r="K48">
        <f>SUMPRODUCT(Sheet1!$AV$8:$BE$8,Sheet2!A48:J48)</f>
        <v>-7.861675028172423E-3</v>
      </c>
    </row>
    <row r="49" spans="1:11" x14ac:dyDescent="0.35">
      <c r="A49">
        <v>3.125E-2</v>
      </c>
      <c r="B49">
        <v>-1.3634538772737126E-2</v>
      </c>
      <c r="C49">
        <v>-2.4675089004873696E-2</v>
      </c>
      <c r="D49">
        <v>-1.5373662993584114E-3</v>
      </c>
      <c r="E49">
        <v>-2.2034056886227615E-2</v>
      </c>
      <c r="F49">
        <v>0</v>
      </c>
      <c r="G49">
        <v>0</v>
      </c>
      <c r="H49">
        <v>0</v>
      </c>
      <c r="I49">
        <v>0</v>
      </c>
      <c r="J49">
        <v>-1.1593304401735893E-2</v>
      </c>
      <c r="K49">
        <f>SUMPRODUCT(Sheet1!$AV$8:$BE$8,Sheet2!A49:J49)</f>
        <v>-1.2424380183514695E-2</v>
      </c>
    </row>
    <row r="50" spans="1:11" x14ac:dyDescent="0.35">
      <c r="A50">
        <v>0</v>
      </c>
      <c r="B50">
        <v>1.3361198515944306E-2</v>
      </c>
      <c r="C50">
        <v>2.2636962482889489E-2</v>
      </c>
      <c r="D50">
        <v>-6.5351186075910395E-3</v>
      </c>
      <c r="E50">
        <v>0</v>
      </c>
      <c r="F50">
        <v>-1.5698587127158659E-3</v>
      </c>
      <c r="G50">
        <v>0</v>
      </c>
      <c r="H50">
        <v>-1.2218527829589321E-2</v>
      </c>
      <c r="I50">
        <v>0</v>
      </c>
      <c r="J50">
        <v>0</v>
      </c>
      <c r="K50">
        <f>SUMPRODUCT(Sheet1!$AV$8:$BE$8,Sheet2!A50:J50)</f>
        <v>8.5197763819948886E-3</v>
      </c>
    </row>
    <row r="51" spans="1:11" x14ac:dyDescent="0.35">
      <c r="A51">
        <v>0</v>
      </c>
      <c r="B51">
        <v>-4.0937705171282257E-3</v>
      </c>
      <c r="C51">
        <v>-1.0396496380720155E-3</v>
      </c>
      <c r="D51">
        <v>5.4157108450711977E-3</v>
      </c>
      <c r="E51">
        <v>0</v>
      </c>
      <c r="F51">
        <v>4.343553459119498E-2</v>
      </c>
      <c r="G51">
        <v>-1.1049723756906049E-2</v>
      </c>
      <c r="H51">
        <v>-4.7029364275745111E-2</v>
      </c>
      <c r="I51">
        <v>8.9962729726256185E-3</v>
      </c>
      <c r="J51">
        <v>-5.8960045160886265E-3</v>
      </c>
      <c r="K51">
        <f>SUMPRODUCT(Sheet1!$AV$8:$BE$8,Sheet2!A51:J51)</f>
        <v>-5.0544523150940421E-3</v>
      </c>
    </row>
    <row r="52" spans="1:11" x14ac:dyDescent="0.35">
      <c r="A52">
        <v>0</v>
      </c>
      <c r="B52">
        <v>3.1954085391863174E-3</v>
      </c>
      <c r="C52">
        <v>0</v>
      </c>
      <c r="D52">
        <v>-1.0396458022220556E-2</v>
      </c>
      <c r="E52">
        <v>-7.0477557203221242E-3</v>
      </c>
      <c r="F52">
        <v>4.7089847428893883E-3</v>
      </c>
      <c r="G52">
        <v>1.1173184357541999E-2</v>
      </c>
      <c r="H52">
        <v>4.9350276401751714E-2</v>
      </c>
      <c r="I52">
        <v>0</v>
      </c>
      <c r="J52">
        <v>-4.1453719477569484E-2</v>
      </c>
      <c r="K52">
        <f>SUMPRODUCT(Sheet1!$AV$8:$BE$8,Sheet2!A52:J52)</f>
        <v>1.0707681227774357E-2</v>
      </c>
    </row>
    <row r="53" spans="1:11" x14ac:dyDescent="0.35">
      <c r="A53">
        <v>-1.5151515151515138E-2</v>
      </c>
      <c r="B53">
        <v>0</v>
      </c>
      <c r="C53">
        <v>-1.0689181161022909E-2</v>
      </c>
      <c r="D53">
        <v>7.7841158014453349E-3</v>
      </c>
      <c r="E53">
        <v>5.6685883127520764E-3</v>
      </c>
      <c r="F53">
        <v>-1.4998125234345627E-3</v>
      </c>
      <c r="G53">
        <v>-1.1049723756906049E-2</v>
      </c>
      <c r="H53">
        <v>-9.906680167483084E-3</v>
      </c>
      <c r="I53">
        <v>-8.9160616481976929E-3</v>
      </c>
      <c r="J53">
        <v>-3.0871511321748368E-2</v>
      </c>
      <c r="K53">
        <f>SUMPRODUCT(Sheet1!$AV$8:$BE$8,Sheet2!A53:J53)</f>
        <v>-9.1867469359707358E-3</v>
      </c>
    </row>
    <row r="54" spans="1:11" x14ac:dyDescent="0.35">
      <c r="A54">
        <v>0</v>
      </c>
      <c r="B54">
        <v>0</v>
      </c>
      <c r="C54">
        <v>1.3149705008284052E-3</v>
      </c>
      <c r="D54">
        <v>-1.0038114977253931E-2</v>
      </c>
      <c r="E54">
        <v>-5.6366365407339858E-3</v>
      </c>
      <c r="F54">
        <v>1.1077731881336872E-2</v>
      </c>
      <c r="G54">
        <v>5.5865921787709993E-3</v>
      </c>
      <c r="H54">
        <v>-1.2438154730645135E-3</v>
      </c>
      <c r="I54">
        <v>0</v>
      </c>
      <c r="J54">
        <v>-2.5470352509678662E-2</v>
      </c>
      <c r="K54">
        <f>SUMPRODUCT(Sheet1!$AV$8:$BE$8,Sheet2!A54:J54)</f>
        <v>1.224235128843983E-3</v>
      </c>
    </row>
    <row r="55" spans="1:11" x14ac:dyDescent="0.35">
      <c r="A55">
        <v>-1.5384615384615441E-2</v>
      </c>
      <c r="B55">
        <v>0</v>
      </c>
      <c r="C55">
        <v>5.2661069330508514E-3</v>
      </c>
      <c r="D55">
        <v>-5.4602876076753626E-3</v>
      </c>
      <c r="E55">
        <v>1.8434955759317972E-2</v>
      </c>
      <c r="F55">
        <v>9.4707520891366137E-3</v>
      </c>
      <c r="G55">
        <v>-5.5555555555555358E-3</v>
      </c>
      <c r="H55">
        <v>0</v>
      </c>
      <c r="I55">
        <v>0</v>
      </c>
      <c r="J55">
        <v>2.6136046835795845E-2</v>
      </c>
      <c r="K55">
        <f>SUMPRODUCT(Sheet1!$AV$8:$BE$8,Sheet2!A55:J55)</f>
        <v>3.5877023804559323E-3</v>
      </c>
    </row>
    <row r="56" spans="1:11" x14ac:dyDescent="0.35">
      <c r="A56">
        <v>-1.5625E-2</v>
      </c>
      <c r="B56">
        <v>-7.7388729541465473E-3</v>
      </c>
      <c r="C56">
        <v>-5.2385203248492829E-3</v>
      </c>
      <c r="D56">
        <v>-3.920344312378754E-3</v>
      </c>
      <c r="E56">
        <v>0</v>
      </c>
      <c r="F56">
        <v>0</v>
      </c>
      <c r="G56">
        <v>-1.1173184357541888E-2</v>
      </c>
      <c r="H56">
        <v>-1.2592018597442634E-3</v>
      </c>
      <c r="I56">
        <v>-1.1181082123119523E-3</v>
      </c>
      <c r="J56">
        <v>4.4624057596957201E-2</v>
      </c>
      <c r="K56">
        <f>SUMPRODUCT(Sheet1!$AV$8:$BE$8,Sheet2!A56:J56)</f>
        <v>-3.0261527902716626E-3</v>
      </c>
    </row>
    <row r="57" spans="1:11" x14ac:dyDescent="0.35">
      <c r="A57">
        <v>-1.5873015873015928E-2</v>
      </c>
      <c r="B57">
        <v>-2.2906829975223308E-3</v>
      </c>
      <c r="C57">
        <v>5.003458208210354E-3</v>
      </c>
      <c r="D57">
        <v>-5.9842569043951799E-2</v>
      </c>
      <c r="E57">
        <v>0</v>
      </c>
      <c r="F57">
        <v>-7.7262693156732176E-3</v>
      </c>
      <c r="G57">
        <v>0</v>
      </c>
      <c r="H57">
        <v>-3.7546586862851061E-3</v>
      </c>
      <c r="I57">
        <v>-4.503171519370075E-3</v>
      </c>
      <c r="J57">
        <v>1.8270481144343265E-2</v>
      </c>
      <c r="K57">
        <f>SUMPRODUCT(Sheet1!$AV$8:$BE$8,Sheet2!A57:J57)</f>
        <v>1.4271592343722192E-4</v>
      </c>
    </row>
    <row r="58" spans="1:11" x14ac:dyDescent="0.35">
      <c r="A58">
        <v>0</v>
      </c>
      <c r="B58">
        <v>-4.5996938743635418E-3</v>
      </c>
      <c r="C58">
        <v>-1.5449615610776068E-2</v>
      </c>
      <c r="D58">
        <v>-5.9884460234984838E-2</v>
      </c>
      <c r="E58">
        <v>1.5326153797637909E-2</v>
      </c>
      <c r="F58">
        <v>0</v>
      </c>
      <c r="G58">
        <v>-5.6497175141243527E-3</v>
      </c>
      <c r="H58">
        <v>-7.5515256028703126E-3</v>
      </c>
      <c r="I58">
        <v>1.2433277758391093E-2</v>
      </c>
      <c r="J58">
        <v>4.1951344103186239E-2</v>
      </c>
      <c r="K58">
        <f>SUMPRODUCT(Sheet1!$AV$8:$BE$8,Sheet2!A58:J58)</f>
        <v>-6.6019857612631249E-3</v>
      </c>
    </row>
    <row r="59" spans="1:11" x14ac:dyDescent="0.35">
      <c r="A59">
        <v>0</v>
      </c>
      <c r="B59">
        <v>-6.9275005295654779E-3</v>
      </c>
      <c r="C59">
        <v>1.5426609685097237E-2</v>
      </c>
      <c r="D59">
        <v>-4.2761541462129515E-2</v>
      </c>
      <c r="E59">
        <v>5.4819623250974558E-3</v>
      </c>
      <c r="F59">
        <v>-1.6685205784204848E-3</v>
      </c>
      <c r="G59">
        <v>-5.6818181818182323E-3</v>
      </c>
      <c r="H59">
        <v>0</v>
      </c>
      <c r="I59">
        <v>1.2267824088849189E-2</v>
      </c>
      <c r="J59">
        <v>0</v>
      </c>
      <c r="K59">
        <f>SUMPRODUCT(Sheet1!$AV$8:$BE$8,Sheet2!A59:J59)</f>
        <v>9.6894827559743969E-3</v>
      </c>
    </row>
    <row r="60" spans="1:11" x14ac:dyDescent="0.35">
      <c r="A60">
        <v>0</v>
      </c>
      <c r="B60">
        <v>4.6531837573078327E-3</v>
      </c>
      <c r="C60">
        <v>-4.7184402570525918E-3</v>
      </c>
      <c r="D60">
        <v>-2.2798958487690313E-2</v>
      </c>
      <c r="E60">
        <v>2.0464584684768194E-2</v>
      </c>
      <c r="F60">
        <v>0</v>
      </c>
      <c r="G60">
        <v>-1.7142857142857126E-2</v>
      </c>
      <c r="H60">
        <v>7.6089850482743415E-3</v>
      </c>
      <c r="I60">
        <v>4.6307506053268721E-2</v>
      </c>
      <c r="J60">
        <v>0</v>
      </c>
      <c r="K60">
        <f>SUMPRODUCT(Sheet1!$AV$8:$BE$8,Sheet2!A60:J60)</f>
        <v>8.3770966845882529E-3</v>
      </c>
    </row>
    <row r="61" spans="1:11" x14ac:dyDescent="0.35">
      <c r="A61">
        <v>-1.6129032258064502E-2</v>
      </c>
      <c r="B61">
        <v>0</v>
      </c>
      <c r="C61">
        <v>0</v>
      </c>
      <c r="D61">
        <v>4.2854512369481457E-2</v>
      </c>
      <c r="E61">
        <v>-5.3427373582963789E-3</v>
      </c>
      <c r="F61">
        <v>-6.3138347260909278E-3</v>
      </c>
      <c r="G61">
        <v>5.8139534883721034E-3</v>
      </c>
      <c r="H61">
        <v>3.7688092787806493E-3</v>
      </c>
      <c r="I61">
        <v>-1.0485970494648056E-3</v>
      </c>
      <c r="J61">
        <v>0</v>
      </c>
      <c r="K61">
        <f>SUMPRODUCT(Sheet1!$AV$8:$BE$8,Sheet2!A61:J61)</f>
        <v>1.3760393862189123E-5</v>
      </c>
    </row>
    <row r="62" spans="1:11" x14ac:dyDescent="0.35">
      <c r="A62">
        <v>0</v>
      </c>
      <c r="B62">
        <v>2.3118841856111239E-3</v>
      </c>
      <c r="C62">
        <v>0</v>
      </c>
      <c r="D62">
        <v>-2.0549332419337318E-2</v>
      </c>
      <c r="E62">
        <v>-1.3436197084512491E-2</v>
      </c>
      <c r="F62">
        <v>-4.6720239207624914E-3</v>
      </c>
      <c r="G62">
        <v>2.3121387283236983E-2</v>
      </c>
      <c r="H62">
        <v>0</v>
      </c>
      <c r="I62">
        <v>-8.4337785499692952E-3</v>
      </c>
      <c r="J62">
        <v>0</v>
      </c>
      <c r="K62">
        <f>SUMPRODUCT(Sheet1!$AV$8:$BE$8,Sheet2!A62:J62)</f>
        <v>-2.0833311290072258E-3</v>
      </c>
    </row>
    <row r="63" spans="1:11" x14ac:dyDescent="0.35">
      <c r="A63">
        <v>-3.2786885245901676E-2</v>
      </c>
      <c r="B63">
        <v>5.9585919051018843E-2</v>
      </c>
      <c r="C63">
        <v>0</v>
      </c>
      <c r="D63">
        <v>-2.0975164895760345E-2</v>
      </c>
      <c r="E63">
        <v>-5.4600138813912791E-3</v>
      </c>
      <c r="F63">
        <v>-4.8817123544874219E-3</v>
      </c>
      <c r="G63">
        <v>-1.1299435028248594E-2</v>
      </c>
      <c r="H63">
        <v>-1.0017041439793761E-2</v>
      </c>
      <c r="I63">
        <v>2.5528704582512107E-2</v>
      </c>
      <c r="J63">
        <v>0</v>
      </c>
      <c r="K63">
        <f>SUMPRODUCT(Sheet1!$AV$8:$BE$8,Sheet2!A63:J63)</f>
        <v>3.0994110476738048E-3</v>
      </c>
    </row>
    <row r="64" spans="1:11" x14ac:dyDescent="0.35">
      <c r="A64">
        <v>1.6949152542372836E-2</v>
      </c>
      <c r="B64">
        <v>2.3101186157058473E-2</v>
      </c>
      <c r="C64">
        <v>0</v>
      </c>
      <c r="D64">
        <v>-6.0000649885186941E-2</v>
      </c>
      <c r="E64">
        <v>0</v>
      </c>
      <c r="F64">
        <v>-3.2075471698111979E-3</v>
      </c>
      <c r="G64">
        <v>0</v>
      </c>
      <c r="H64">
        <v>1.0118397850365168E-2</v>
      </c>
      <c r="I64">
        <v>-4.1528239202658357E-3</v>
      </c>
      <c r="J64">
        <v>-4.0262287044980916E-2</v>
      </c>
      <c r="K64">
        <f>SUMPRODUCT(Sheet1!$AV$8:$BE$8,Sheet2!A64:J64)</f>
        <v>1.2672098826948916E-3</v>
      </c>
    </row>
    <row r="65" spans="1:11" x14ac:dyDescent="0.35">
      <c r="A65">
        <v>0</v>
      </c>
      <c r="B65">
        <v>-1.5762277641882205E-2</v>
      </c>
      <c r="C65">
        <v>0</v>
      </c>
      <c r="D65">
        <v>2.3299091427616547E-2</v>
      </c>
      <c r="E65">
        <v>5.4899892991733257E-3</v>
      </c>
      <c r="F65">
        <v>6.4357372704901827E-3</v>
      </c>
      <c r="G65">
        <v>-1.7142857142857126E-2</v>
      </c>
      <c r="H65">
        <v>-1.8801003089626844E-2</v>
      </c>
      <c r="I65">
        <v>4.17014178482078E-3</v>
      </c>
      <c r="J65">
        <v>-2.9947002107145071E-2</v>
      </c>
      <c r="K65">
        <f>SUMPRODUCT(Sheet1!$AV$8:$BE$8,Sheet2!A65:J65)</f>
        <v>-2.8635581953310642E-3</v>
      </c>
    </row>
    <row r="66" spans="1:11" x14ac:dyDescent="0.35">
      <c r="A66">
        <v>-1.6666666666666718E-2</v>
      </c>
      <c r="B66">
        <v>-2.161764705882252E-3</v>
      </c>
      <c r="C66">
        <v>1.2896052389665513E-2</v>
      </c>
      <c r="D66">
        <v>-2.4750440564598186E-2</v>
      </c>
      <c r="E66">
        <v>-5.4600138813912791E-3</v>
      </c>
      <c r="F66">
        <v>6.3945834116982958E-3</v>
      </c>
      <c r="G66">
        <v>1.744186046511631E-2</v>
      </c>
      <c r="H66">
        <v>-5.4913866139508549E-2</v>
      </c>
      <c r="I66">
        <v>-1.5567157095396467E-2</v>
      </c>
      <c r="J66">
        <v>-4.31806213796736E-2</v>
      </c>
      <c r="K66">
        <f>SUMPRODUCT(Sheet1!$AV$8:$BE$8,Sheet2!A66:J66)</f>
        <v>-7.9048585464606587E-3</v>
      </c>
    </row>
    <row r="67" spans="1:11" x14ac:dyDescent="0.35">
      <c r="A67">
        <v>1.6949152542372836E-2</v>
      </c>
      <c r="B67">
        <v>-1.0846978026026854E-2</v>
      </c>
      <c r="C67">
        <v>5.9756772174875072E-2</v>
      </c>
      <c r="D67">
        <v>-5.0745596563848139E-3</v>
      </c>
      <c r="E67">
        <v>-5.474480854825492E-3</v>
      </c>
      <c r="F67">
        <v>0</v>
      </c>
      <c r="G67">
        <v>-5.7142857142856718E-3</v>
      </c>
      <c r="H67">
        <v>5.2711000881504821E-2</v>
      </c>
      <c r="I67">
        <v>5.2791437662713658E-3</v>
      </c>
      <c r="J67">
        <v>1.2864611997798425E-2</v>
      </c>
      <c r="K67">
        <f>SUMPRODUCT(Sheet1!$AV$8:$BE$8,Sheet2!A67:J67)</f>
        <v>4.1179945537926477E-2</v>
      </c>
    </row>
    <row r="68" spans="1:11" x14ac:dyDescent="0.35">
      <c r="A68">
        <v>0</v>
      </c>
      <c r="B68">
        <v>-4.3953096830906535E-4</v>
      </c>
      <c r="C68">
        <v>5.9082845666048156E-2</v>
      </c>
      <c r="D68">
        <v>-2.0407571168285399E-2</v>
      </c>
      <c r="E68">
        <v>-4.132360279441083E-3</v>
      </c>
      <c r="F68">
        <v>0</v>
      </c>
      <c r="G68">
        <v>0</v>
      </c>
      <c r="H68">
        <v>-4.3656594615308131E-2</v>
      </c>
      <c r="I68">
        <v>1.3620123252523708E-2</v>
      </c>
      <c r="J68">
        <v>3.1854920872105064E-2</v>
      </c>
      <c r="K68">
        <f>SUMPRODUCT(Sheet1!$AV$8:$BE$8,Sheet2!A68:J68)</f>
        <v>2.229735927479368E-2</v>
      </c>
    </row>
    <row r="69" spans="1:11" x14ac:dyDescent="0.35">
      <c r="A69">
        <v>-5.0000000000000044E-2</v>
      </c>
      <c r="B69">
        <v>4.3972424073035477E-4</v>
      </c>
      <c r="C69">
        <v>-2.7777884737565706E-2</v>
      </c>
      <c r="D69">
        <v>0</v>
      </c>
      <c r="E69">
        <v>9.6769647526737668E-3</v>
      </c>
      <c r="F69">
        <v>0</v>
      </c>
      <c r="G69">
        <v>-2.2988505747126409E-2</v>
      </c>
      <c r="H69">
        <v>2.684653399225323E-2</v>
      </c>
      <c r="I69">
        <v>0</v>
      </c>
      <c r="J69">
        <v>-4.31806213796736E-2</v>
      </c>
      <c r="K69">
        <f>SUMPRODUCT(Sheet1!$AV$8:$BE$8,Sheet2!A69:J69)</f>
        <v>-7.9356893244363451E-3</v>
      </c>
    </row>
    <row r="70" spans="1:11" x14ac:dyDescent="0.35">
      <c r="A70">
        <v>5.2631578947368363E-2</v>
      </c>
      <c r="B70">
        <v>-8.3361890430144747E-3</v>
      </c>
      <c r="C70">
        <v>2.2618807155955434E-2</v>
      </c>
      <c r="D70">
        <v>-3.3337084841341014E-2</v>
      </c>
      <c r="E70">
        <v>6.8547324017926847E-3</v>
      </c>
      <c r="F70">
        <v>8.0358811437115651E-3</v>
      </c>
      <c r="G70">
        <v>1.1764705882352899E-2</v>
      </c>
      <c r="H70">
        <v>1.9612093883685899E-2</v>
      </c>
      <c r="I70">
        <v>2.3786993447044047E-2</v>
      </c>
      <c r="J70">
        <v>-3.8731425426527299E-2</v>
      </c>
      <c r="K70">
        <f>SUMPRODUCT(Sheet1!$AV$8:$BE$8,Sheet2!A70:J70)</f>
        <v>2.0273660275731648E-2</v>
      </c>
    </row>
    <row r="71" spans="1:11" x14ac:dyDescent="0.35">
      <c r="A71">
        <v>-1.6666666666666718E-2</v>
      </c>
      <c r="B71">
        <v>-4.8604590016151361E-3</v>
      </c>
      <c r="C71">
        <v>5.8210689388071835E-3</v>
      </c>
      <c r="D71">
        <v>-4.525929420992314E-2</v>
      </c>
      <c r="E71">
        <v>-2.0408791953545058E-2</v>
      </c>
      <c r="F71">
        <v>0</v>
      </c>
      <c r="G71">
        <v>-1.744186046511631E-2</v>
      </c>
      <c r="H71">
        <v>-5.1283505081574421E-2</v>
      </c>
      <c r="I71">
        <v>2.6261365868311959E-2</v>
      </c>
      <c r="J71">
        <v>0</v>
      </c>
      <c r="K71">
        <f>SUMPRODUCT(Sheet1!$AV$8:$BE$8,Sheet2!A71:J71)</f>
        <v>-3.170160911431197E-3</v>
      </c>
    </row>
    <row r="72" spans="1:11" x14ac:dyDescent="0.35">
      <c r="A72">
        <v>1.6949152542372836E-2</v>
      </c>
      <c r="B72">
        <v>0</v>
      </c>
      <c r="C72">
        <v>-4.6283639388070563E-3</v>
      </c>
      <c r="D72">
        <v>-2.144319574858633E-2</v>
      </c>
      <c r="E72">
        <v>-2.7831063869931949E-3</v>
      </c>
      <c r="F72">
        <v>7.7864293659621886E-3</v>
      </c>
      <c r="G72">
        <v>2.3668639053254559E-2</v>
      </c>
      <c r="H72">
        <v>3.378105810461518E-2</v>
      </c>
      <c r="I72">
        <v>-1.3779749172539657E-2</v>
      </c>
      <c r="J72">
        <v>2.6837472267945417E-2</v>
      </c>
      <c r="K72">
        <f>SUMPRODUCT(Sheet1!$AV$8:$BE$8,Sheet2!A72:J72)</f>
        <v>2.9508376408372864E-3</v>
      </c>
    </row>
    <row r="73" spans="1:11" x14ac:dyDescent="0.35">
      <c r="A73">
        <v>-3.3333333333333326E-2</v>
      </c>
      <c r="B73">
        <v>-4.4539058489601047E-4</v>
      </c>
      <c r="C73">
        <v>-1.1628581707614383E-2</v>
      </c>
      <c r="D73">
        <v>5.9980585835530453E-2</v>
      </c>
      <c r="E73">
        <v>0</v>
      </c>
      <c r="F73">
        <v>1.4164827078734454E-2</v>
      </c>
      <c r="G73">
        <v>-5.7803468208093012E-3</v>
      </c>
      <c r="H73">
        <v>-3.2677188114232814E-2</v>
      </c>
      <c r="I73">
        <v>-7.9792698796830042E-3</v>
      </c>
      <c r="J73">
        <v>0</v>
      </c>
      <c r="K73">
        <f>SUMPRODUCT(Sheet1!$AV$8:$BE$8,Sheet2!A73:J73)</f>
        <v>-1.2896582710668791E-2</v>
      </c>
    </row>
    <row r="74" spans="1:11" x14ac:dyDescent="0.35">
      <c r="A74">
        <v>1.7241379310344751E-2</v>
      </c>
      <c r="B74">
        <v>-1.782356184247269E-3</v>
      </c>
      <c r="C74">
        <v>-2.3522965224367365E-3</v>
      </c>
      <c r="D74">
        <v>1.5772441232341894E-2</v>
      </c>
      <c r="E74">
        <v>1.5326153797637909E-2</v>
      </c>
      <c r="F74">
        <v>-3.0836205332848143E-3</v>
      </c>
      <c r="G74">
        <v>-1.1627906976744207E-2</v>
      </c>
      <c r="H74">
        <v>0</v>
      </c>
      <c r="I74">
        <v>-1.4084669113839654E-2</v>
      </c>
      <c r="J74">
        <v>-3.9169222191246189E-2</v>
      </c>
      <c r="K74">
        <f>SUMPRODUCT(Sheet1!$AV$8:$BE$8,Sheet2!A74:J74)</f>
        <v>-4.1223754742918031E-3</v>
      </c>
    </row>
    <row r="75" spans="1:11" x14ac:dyDescent="0.35">
      <c r="A75">
        <v>1.6949152542372836E-2</v>
      </c>
      <c r="B75">
        <v>1.5593199821446246E-2</v>
      </c>
      <c r="C75">
        <v>-9.4352946715104968E-3</v>
      </c>
      <c r="D75">
        <v>5.3606237816761215E-4</v>
      </c>
      <c r="E75">
        <v>-5.4819623250974558E-3</v>
      </c>
      <c r="F75">
        <v>0</v>
      </c>
      <c r="G75">
        <v>0</v>
      </c>
      <c r="H75">
        <v>3.378105810461518E-2</v>
      </c>
      <c r="I75">
        <v>8.1583585242592793E-3</v>
      </c>
      <c r="J75">
        <v>0</v>
      </c>
      <c r="K75">
        <f>SUMPRODUCT(Sheet1!$AV$8:$BE$8,Sheet2!A75:J75)</f>
        <v>4.2506603410894083E-3</v>
      </c>
    </row>
    <row r="76" spans="1:11" x14ac:dyDescent="0.35">
      <c r="A76">
        <v>0</v>
      </c>
      <c r="B76">
        <v>-1.5353785181101753E-2</v>
      </c>
      <c r="C76">
        <v>7.1409051483430908E-3</v>
      </c>
      <c r="D76">
        <v>1.766840387706381E-2</v>
      </c>
      <c r="E76">
        <v>-4.1380387257963225E-3</v>
      </c>
      <c r="F76">
        <v>-4.7307132459971646E-3</v>
      </c>
      <c r="G76">
        <v>-1.1764705882352899E-2</v>
      </c>
      <c r="H76">
        <v>-3.2677188114232814E-2</v>
      </c>
      <c r="I76">
        <v>-8.092338326888826E-3</v>
      </c>
      <c r="J76">
        <v>0</v>
      </c>
      <c r="K76">
        <f>SUMPRODUCT(Sheet1!$AV$8:$BE$8,Sheet2!A76:J76)</f>
        <v>-5.5991260399591569E-3</v>
      </c>
    </row>
    <row r="77" spans="1:11" x14ac:dyDescent="0.35">
      <c r="A77">
        <v>-3.3333333333333326E-2</v>
      </c>
      <c r="B77">
        <v>0</v>
      </c>
      <c r="C77">
        <v>3.5471033300300547E-3</v>
      </c>
      <c r="D77">
        <v>4.6293748130421752E-2</v>
      </c>
      <c r="E77">
        <v>0</v>
      </c>
      <c r="F77">
        <v>0</v>
      </c>
      <c r="G77">
        <v>1.1904761904761862E-2</v>
      </c>
      <c r="H77">
        <v>-1.3446683898343803E-3</v>
      </c>
      <c r="I77">
        <v>5.1004330115898E-3</v>
      </c>
      <c r="J77">
        <v>0</v>
      </c>
      <c r="K77">
        <f>SUMPRODUCT(Sheet1!$AV$8:$BE$8,Sheet2!A77:J77)</f>
        <v>2.4251843627778997E-3</v>
      </c>
    </row>
    <row r="78" spans="1:11" x14ac:dyDescent="0.35">
      <c r="A78">
        <v>-3.4482758620689502E-2</v>
      </c>
      <c r="B78">
        <v>-2.2243574708903369E-3</v>
      </c>
      <c r="C78">
        <v>1.1779273807377866E-2</v>
      </c>
      <c r="D78">
        <v>-1.2070582315539147E-2</v>
      </c>
      <c r="E78">
        <v>4.1552332418659521E-3</v>
      </c>
      <c r="F78">
        <v>0</v>
      </c>
      <c r="G78">
        <v>-1.1764705882352899E-2</v>
      </c>
      <c r="H78">
        <v>-9.4702353346000079E-3</v>
      </c>
      <c r="I78">
        <v>5.0745506061593559E-3</v>
      </c>
      <c r="J78">
        <v>-4.0838531843899628E-2</v>
      </c>
      <c r="K78">
        <f>SUMPRODUCT(Sheet1!$AV$8:$BE$8,Sheet2!A78:J78)</f>
        <v>4.6219030579757623E-3</v>
      </c>
    </row>
    <row r="79" spans="1:11" x14ac:dyDescent="0.35">
      <c r="A79">
        <v>5.3571428571428381E-2</v>
      </c>
      <c r="B79">
        <v>0</v>
      </c>
      <c r="C79">
        <v>1.165762974438378E-3</v>
      </c>
      <c r="D79">
        <v>-3.3077319319122389E-2</v>
      </c>
      <c r="E79">
        <v>4.1380387257965445E-3</v>
      </c>
      <c r="F79">
        <v>0</v>
      </c>
      <c r="G79">
        <v>5.9523809523809312E-3</v>
      </c>
      <c r="H79">
        <v>2.4589173513774654E-2</v>
      </c>
      <c r="I79">
        <v>0</v>
      </c>
      <c r="J79">
        <v>-4.2577327384103469E-2</v>
      </c>
      <c r="K79">
        <f>SUMPRODUCT(Sheet1!$AV$8:$BE$8,Sheet2!A79:J79)</f>
        <v>5.681645700267148E-3</v>
      </c>
    </row>
    <row r="80" spans="1:11" x14ac:dyDescent="0.35">
      <c r="A80">
        <v>-1.6949152542372947E-2</v>
      </c>
      <c r="B80">
        <v>4.466215242760363E-3</v>
      </c>
      <c r="C80">
        <v>0</v>
      </c>
      <c r="D80">
        <v>-1.5790544827668729E-2</v>
      </c>
      <c r="E80">
        <v>3.4336365756939546E-2</v>
      </c>
      <c r="F80">
        <v>0</v>
      </c>
      <c r="G80">
        <v>1.7751479289940919E-2</v>
      </c>
      <c r="H80">
        <v>0</v>
      </c>
      <c r="I80">
        <v>-5.0489295576122695E-3</v>
      </c>
      <c r="J80">
        <v>4.4470774091627252E-2</v>
      </c>
      <c r="K80">
        <f>SUMPRODUCT(Sheet1!$AV$8:$BE$8,Sheet2!A80:J80)</f>
        <v>-5.4212761441063532E-4</v>
      </c>
    </row>
    <row r="81" spans="1:11" x14ac:dyDescent="0.35">
      <c r="A81">
        <v>-3.4482758620689502E-2</v>
      </c>
      <c r="B81">
        <v>-8.9078116979202093E-4</v>
      </c>
      <c r="C81">
        <v>-2.3210741931367629E-4</v>
      </c>
      <c r="D81">
        <v>-2.0319418089816521E-2</v>
      </c>
      <c r="E81">
        <v>-3.9841835430668437E-3</v>
      </c>
      <c r="F81">
        <v>-1.4625228519196121E-3</v>
      </c>
      <c r="G81">
        <v>2.3255813953488413E-2</v>
      </c>
      <c r="H81">
        <v>0</v>
      </c>
      <c r="I81">
        <v>4.0526731385572834E-3</v>
      </c>
      <c r="J81">
        <v>-1.4217651062542469E-2</v>
      </c>
      <c r="K81">
        <f>SUMPRODUCT(Sheet1!$AV$8:$BE$8,Sheet2!A81:J81)</f>
        <v>4.5935135165179767E-4</v>
      </c>
    </row>
    <row r="82" spans="1:11" x14ac:dyDescent="0.35">
      <c r="A82">
        <v>-3.5714285714285698E-2</v>
      </c>
      <c r="B82">
        <v>9.7846618813750563E-3</v>
      </c>
      <c r="C82">
        <v>4.8831261293680317E-3</v>
      </c>
      <c r="D82">
        <v>-5.9497277800885207E-2</v>
      </c>
      <c r="E82">
        <v>-1.328341987682613E-3</v>
      </c>
      <c r="F82">
        <v>0</v>
      </c>
      <c r="G82">
        <v>-1.1363636363636354E-2</v>
      </c>
      <c r="H82">
        <v>-2.000412760186332E-2</v>
      </c>
      <c r="I82">
        <v>1.0177528479733411E-3</v>
      </c>
      <c r="J82">
        <v>2.8845416187188277E-2</v>
      </c>
      <c r="K82">
        <f>SUMPRODUCT(Sheet1!$AV$8:$BE$8,Sheet2!A82:J82)</f>
        <v>-1.4496098550207883E-3</v>
      </c>
    </row>
    <row r="83" spans="1:11" x14ac:dyDescent="0.35">
      <c r="A83">
        <v>1.8518518518518601E-2</v>
      </c>
      <c r="B83">
        <v>-6.6070560065846218E-3</v>
      </c>
      <c r="C83">
        <v>2.8636557914232696E-2</v>
      </c>
      <c r="D83">
        <v>-2.205295084456016E-2</v>
      </c>
      <c r="E83">
        <v>-2.5377871825876586E-2</v>
      </c>
      <c r="F83">
        <v>-1.6477480776271314E-3</v>
      </c>
      <c r="G83">
        <v>5.7471264367816577E-3</v>
      </c>
      <c r="H83">
        <v>1.3598279155823567E-2</v>
      </c>
      <c r="I83">
        <v>-4.0437650919090684E-3</v>
      </c>
      <c r="J83">
        <v>0</v>
      </c>
      <c r="K83">
        <f>SUMPRODUCT(Sheet1!$AV$8:$BE$8,Sheet2!A83:J83)</f>
        <v>1.5671391376598912E-2</v>
      </c>
    </row>
    <row r="84" spans="1:11" x14ac:dyDescent="0.35">
      <c r="A84">
        <v>0</v>
      </c>
      <c r="B84">
        <v>1.9952998598996796E-2</v>
      </c>
      <c r="C84">
        <v>-1.7369169723740363E-2</v>
      </c>
      <c r="D84">
        <v>8.3086974716182205E-3</v>
      </c>
      <c r="E84">
        <v>1.0964470153998818E-2</v>
      </c>
      <c r="F84">
        <v>0</v>
      </c>
      <c r="G84">
        <v>5.7142857142857828E-3</v>
      </c>
      <c r="H84">
        <v>4.0366264488076453E-3</v>
      </c>
      <c r="I84">
        <v>2.0300917601474566E-3</v>
      </c>
      <c r="J84">
        <v>2.7962120647230027E-2</v>
      </c>
      <c r="K84">
        <f>SUMPRODUCT(Sheet1!$AV$8:$BE$8,Sheet2!A84:J84)</f>
        <v>-6.8283034796996428E-3</v>
      </c>
    </row>
    <row r="85" spans="1:11" x14ac:dyDescent="0.35">
      <c r="A85">
        <v>3.6363636363636154E-2</v>
      </c>
      <c r="B85">
        <v>1.7391496998028222E-2</v>
      </c>
      <c r="C85">
        <v>-9.5961904761904249E-3</v>
      </c>
      <c r="D85">
        <v>5.8906612936682201E-4</v>
      </c>
      <c r="E85">
        <v>-1.0845554396514578E-2</v>
      </c>
      <c r="F85">
        <v>-3.1175499724922506E-3</v>
      </c>
      <c r="G85">
        <v>-1.1363636363636354E-2</v>
      </c>
      <c r="H85">
        <v>-4.0203976054985491E-3</v>
      </c>
      <c r="I85">
        <v>0</v>
      </c>
      <c r="J85">
        <v>-3.4020020310459809E-2</v>
      </c>
      <c r="K85">
        <f>SUMPRODUCT(Sheet1!$AV$8:$BE$8,Sheet2!A85:J85)</f>
        <v>-5.7414370748146244E-3</v>
      </c>
    </row>
    <row r="86" spans="1:11" x14ac:dyDescent="0.35">
      <c r="A86">
        <v>0</v>
      </c>
      <c r="B86">
        <v>0</v>
      </c>
      <c r="C86">
        <v>-1.0193052569227312E-3</v>
      </c>
      <c r="D86">
        <v>-6.4759126822186985E-3</v>
      </c>
      <c r="E86">
        <v>6.8547324017926847E-3</v>
      </c>
      <c r="F86">
        <v>0</v>
      </c>
      <c r="G86">
        <v>5.7471264367816577E-3</v>
      </c>
      <c r="H86">
        <v>-6.7079233634596003E-3</v>
      </c>
      <c r="I86">
        <v>-3.033179744842518E-3</v>
      </c>
      <c r="J86">
        <v>0</v>
      </c>
      <c r="K86">
        <f>SUMPRODUCT(Sheet1!$AV$8:$BE$8,Sheet2!A86:J86)</f>
        <v>-2.4446992473823523E-3</v>
      </c>
    </row>
    <row r="87" spans="1:11" x14ac:dyDescent="0.35">
      <c r="A87">
        <v>0</v>
      </c>
      <c r="B87">
        <v>-2.1340533948870366E-3</v>
      </c>
      <c r="C87">
        <v>1.8373916123765932E-2</v>
      </c>
      <c r="D87">
        <v>-2.363493121628979E-3</v>
      </c>
      <c r="E87">
        <v>-6.8080649384655301E-3</v>
      </c>
      <c r="F87">
        <v>-3.1272994849154134E-3</v>
      </c>
      <c r="G87">
        <v>1.1428571428571344E-2</v>
      </c>
      <c r="H87">
        <v>6.7532234689455795E-3</v>
      </c>
      <c r="I87">
        <v>-1.0218774676017395E-3</v>
      </c>
      <c r="J87">
        <v>7.0586468423818882E-3</v>
      </c>
      <c r="K87">
        <f>SUMPRODUCT(Sheet1!$AV$8:$BE$8,Sheet2!A87:J87)</f>
        <v>9.8773577507696199E-3</v>
      </c>
    </row>
    <row r="88" spans="1:11" x14ac:dyDescent="0.35">
      <c r="A88">
        <v>1.7543859649122862E-2</v>
      </c>
      <c r="B88">
        <v>0</v>
      </c>
      <c r="C88">
        <v>1.253364991984518E-2</v>
      </c>
      <c r="D88">
        <v>-5.9396050162652259E-4</v>
      </c>
      <c r="E88">
        <v>0</v>
      </c>
      <c r="F88">
        <v>1.8822661007566133E-2</v>
      </c>
      <c r="G88">
        <v>1.1299435028248705E-2</v>
      </c>
      <c r="H88">
        <v>-6.7079233634596003E-3</v>
      </c>
      <c r="I88">
        <v>-1.0159482959036681E-2</v>
      </c>
      <c r="J88">
        <v>0</v>
      </c>
      <c r="K88">
        <f>SUMPRODUCT(Sheet1!$AV$8:$BE$8,Sheet2!A88:J88)</f>
        <v>4.3778121846106827E-3</v>
      </c>
    </row>
    <row r="89" spans="1:11" x14ac:dyDescent="0.35">
      <c r="A89">
        <v>0</v>
      </c>
      <c r="B89">
        <v>-2.138617318435676E-3</v>
      </c>
      <c r="C89">
        <v>1.4850468441354403E-2</v>
      </c>
      <c r="D89">
        <v>0</v>
      </c>
      <c r="E89">
        <v>1.3709464803585591E-2</v>
      </c>
      <c r="F89">
        <v>0</v>
      </c>
      <c r="G89">
        <v>-5.5865921787709993E-3</v>
      </c>
      <c r="H89">
        <v>0</v>
      </c>
      <c r="I89">
        <v>8.2086572562651838E-3</v>
      </c>
      <c r="J89">
        <v>-2.1027514726716823E-2</v>
      </c>
      <c r="K89">
        <f>SUMPRODUCT(Sheet1!$AV$8:$BE$8,Sheet2!A89:J89)</f>
        <v>8.8435109230852044E-3</v>
      </c>
    </row>
    <row r="90" spans="1:11" x14ac:dyDescent="0.35">
      <c r="A90">
        <v>-3.4482758620689502E-2</v>
      </c>
      <c r="B90">
        <v>-1.2881074224729949E-2</v>
      </c>
      <c r="C90">
        <v>1.4633159172860344E-2</v>
      </c>
      <c r="D90">
        <v>-1.4250016883906258E-2</v>
      </c>
      <c r="E90">
        <v>-1.3524057217165208E-2</v>
      </c>
      <c r="F90">
        <v>0</v>
      </c>
      <c r="G90">
        <v>1.1235955056179803E-2</v>
      </c>
      <c r="H90">
        <v>-1.3446683898343803E-3</v>
      </c>
      <c r="I90">
        <v>-2.0267200913188788E-3</v>
      </c>
      <c r="J90">
        <v>-7.1597227511613903E-3</v>
      </c>
      <c r="K90">
        <f>SUMPRODUCT(Sheet1!$AV$8:$BE$8,Sheet2!A90:J90)</f>
        <v>6.1889722088274493E-3</v>
      </c>
    </row>
    <row r="91" spans="1:11" x14ac:dyDescent="0.35">
      <c r="A91">
        <v>0</v>
      </c>
      <c r="B91">
        <v>-4.7780460966981853E-3</v>
      </c>
      <c r="C91">
        <v>-2.8844236048404914E-2</v>
      </c>
      <c r="D91">
        <v>0</v>
      </c>
      <c r="E91">
        <v>-2.7294862052387181E-3</v>
      </c>
      <c r="F91">
        <v>0</v>
      </c>
      <c r="G91">
        <v>0</v>
      </c>
      <c r="H91">
        <v>0</v>
      </c>
      <c r="I91">
        <v>5.1004330115898E-3</v>
      </c>
      <c r="J91">
        <v>0</v>
      </c>
      <c r="K91">
        <f>SUMPRODUCT(Sheet1!$AV$8:$BE$8,Sheet2!A91:J91)</f>
        <v>-1.3196763306362691E-2</v>
      </c>
    </row>
    <row r="92" spans="1:11" x14ac:dyDescent="0.35">
      <c r="A92">
        <v>0</v>
      </c>
      <c r="B92">
        <v>4.3780238045765252E-4</v>
      </c>
      <c r="C92">
        <v>1.4604018625631543E-2</v>
      </c>
      <c r="D92">
        <v>-7.8377637708961778E-3</v>
      </c>
      <c r="E92">
        <v>2.3341886322991945E-2</v>
      </c>
      <c r="F92">
        <v>4.7092917949647095E-3</v>
      </c>
      <c r="G92">
        <v>-1.1111111111111072E-2</v>
      </c>
      <c r="H92">
        <v>-5.4158375847159768E-3</v>
      </c>
      <c r="I92">
        <v>5.0745506061593559E-3</v>
      </c>
      <c r="J92">
        <v>0</v>
      </c>
      <c r="K92">
        <f>SUMPRODUCT(Sheet1!$AV$8:$BE$8,Sheet2!A92:J92)</f>
        <v>7.5426405299614399E-3</v>
      </c>
    </row>
    <row r="93" spans="1:11" x14ac:dyDescent="0.35">
      <c r="A93">
        <v>-3.5714285714285698E-2</v>
      </c>
      <c r="B93">
        <v>-2.1880539670531274E-3</v>
      </c>
      <c r="C93">
        <v>-4.6372288509241022E-3</v>
      </c>
      <c r="D93">
        <v>1.8230029830956784E-3</v>
      </c>
      <c r="E93">
        <v>-2.013494210254374E-2</v>
      </c>
      <c r="F93">
        <v>1.4422210203712815E-3</v>
      </c>
      <c r="G93">
        <v>-5.6179775280899014E-3</v>
      </c>
      <c r="H93">
        <v>5.445328600009125E-3</v>
      </c>
      <c r="I93">
        <v>-2.0218825459544787E-3</v>
      </c>
      <c r="J93">
        <v>2.1634062140391208E-2</v>
      </c>
      <c r="K93">
        <f>SUMPRODUCT(Sheet1!$AV$8:$BE$8,Sheet2!A93:J93)</f>
        <v>-1.4991283404446414E-3</v>
      </c>
    </row>
    <row r="94" spans="1:11" x14ac:dyDescent="0.35">
      <c r="A94">
        <v>-1.851851851851849E-2</v>
      </c>
      <c r="B94">
        <v>-2.185418648905757E-3</v>
      </c>
      <c r="C94">
        <v>0</v>
      </c>
      <c r="D94">
        <v>-3.0259167355940475E-3</v>
      </c>
      <c r="E94">
        <v>0</v>
      </c>
      <c r="F94">
        <v>1.6201620162017427E-3</v>
      </c>
      <c r="G94">
        <v>5.6497175141243527E-3</v>
      </c>
      <c r="H94">
        <v>-1.2178154126958107E-2</v>
      </c>
      <c r="I94">
        <v>2.0259788372039012E-3</v>
      </c>
      <c r="J94">
        <v>-4.227678906660659E-2</v>
      </c>
      <c r="K94">
        <f>SUMPRODUCT(Sheet1!$AV$8:$BE$8,Sheet2!A94:J94)</f>
        <v>-2.1818871160111434E-3</v>
      </c>
    </row>
    <row r="95" spans="1:11" x14ac:dyDescent="0.35">
      <c r="A95">
        <v>-1.8867924528301883E-2</v>
      </c>
      <c r="B95">
        <v>-6.138534201469148E-3</v>
      </c>
      <c r="C95">
        <v>4.9028670309922973E-3</v>
      </c>
      <c r="D95">
        <v>-3.0420143666042287E-3</v>
      </c>
      <c r="E95">
        <v>1.3709464803585591E-2</v>
      </c>
      <c r="F95">
        <v>0</v>
      </c>
      <c r="G95">
        <v>5.6179775280897903E-3</v>
      </c>
      <c r="H95">
        <v>1.0950065882139093E-2</v>
      </c>
      <c r="I95">
        <v>-1.0167180802514997E-3</v>
      </c>
      <c r="J95">
        <v>-7.3702367884586062E-3</v>
      </c>
      <c r="K95">
        <f>SUMPRODUCT(Sheet1!$AV$8:$BE$8,Sheet2!A95:J95)</f>
        <v>4.5124688124541365E-3</v>
      </c>
    </row>
    <row r="96" spans="1:11" x14ac:dyDescent="0.35">
      <c r="A96">
        <v>3.8461538461538547E-2</v>
      </c>
      <c r="B96">
        <v>0</v>
      </c>
      <c r="C96">
        <v>7.3220987563460405E-4</v>
      </c>
      <c r="D96">
        <v>2.4410371634038253E-3</v>
      </c>
      <c r="E96">
        <v>-1.6216629694790763E-2</v>
      </c>
      <c r="F96">
        <v>4.4931703810209278E-3</v>
      </c>
      <c r="G96">
        <v>-5.5865921787709993E-3</v>
      </c>
      <c r="H96">
        <v>0</v>
      </c>
      <c r="I96">
        <v>-9.0903833921239796E-3</v>
      </c>
      <c r="J96">
        <v>-4.4391785150079022E-2</v>
      </c>
      <c r="K96">
        <f>SUMPRODUCT(Sheet1!$AV$8:$BE$8,Sheet2!A96:J96)</f>
        <v>-1.2294236621764193E-3</v>
      </c>
    </row>
    <row r="97" spans="1:11" x14ac:dyDescent="0.35">
      <c r="A97">
        <v>-1.851851851851849E-2</v>
      </c>
      <c r="B97">
        <v>1.2795142792894065E-2</v>
      </c>
      <c r="C97">
        <v>7.3167413660613079E-4</v>
      </c>
      <c r="D97">
        <v>1.5814268814898336E-2</v>
      </c>
      <c r="E97">
        <v>2.7369566907704534E-3</v>
      </c>
      <c r="F97">
        <v>1.6103059581320522E-3</v>
      </c>
      <c r="G97">
        <v>0</v>
      </c>
      <c r="H97">
        <v>-4.0599250936329545E-3</v>
      </c>
      <c r="I97">
        <v>7.1429405105101207E-3</v>
      </c>
      <c r="J97">
        <v>-3.87667383038518E-2</v>
      </c>
      <c r="K97">
        <f>SUMPRODUCT(Sheet1!$AV$8:$BE$8,Sheet2!A97:J97)</f>
        <v>1.094992371842102E-3</v>
      </c>
    </row>
    <row r="98" spans="1:11" x14ac:dyDescent="0.35">
      <c r="A98">
        <v>3.7735849056603765E-2</v>
      </c>
      <c r="B98">
        <v>0</v>
      </c>
      <c r="C98">
        <v>4.627119017701653E-2</v>
      </c>
      <c r="D98">
        <v>-2.9964791370139521E-3</v>
      </c>
      <c r="E98">
        <v>1.0964470153998818E-2</v>
      </c>
      <c r="F98">
        <v>-1.607717041800516E-3</v>
      </c>
      <c r="G98">
        <v>-5.6179775280899014E-3</v>
      </c>
      <c r="H98">
        <v>-8.1679929000134655E-3</v>
      </c>
      <c r="I98">
        <v>-7.0922807708798663E-3</v>
      </c>
      <c r="J98">
        <v>4.0330208960357661E-2</v>
      </c>
      <c r="K98">
        <f>SUMPRODUCT(Sheet1!$AV$8:$BE$8,Sheet2!A98:J98)</f>
        <v>1.9566708040778726E-2</v>
      </c>
    </row>
    <row r="99" spans="1:11" x14ac:dyDescent="0.35">
      <c r="A99">
        <v>1.8181818181818299E-2</v>
      </c>
      <c r="B99">
        <v>-2.6125506042911084E-3</v>
      </c>
      <c r="C99">
        <v>-2.0016012810248229E-2</v>
      </c>
      <c r="D99">
        <v>-2.998654362393216E-3</v>
      </c>
      <c r="E99">
        <v>-1.3499417070625963E-3</v>
      </c>
      <c r="F99">
        <v>-1.4313830738951205E-3</v>
      </c>
      <c r="G99">
        <v>-1.1299435028248594E-2</v>
      </c>
      <c r="H99">
        <v>8.2352584324192346E-3</v>
      </c>
      <c r="I99">
        <v>0</v>
      </c>
      <c r="J99">
        <v>3.0996858984956299E-2</v>
      </c>
      <c r="K99">
        <f>SUMPRODUCT(Sheet1!$AV$8:$BE$8,Sheet2!A99:J99)</f>
        <v>-8.1263834208915846E-3</v>
      </c>
    </row>
    <row r="100" spans="1:11" x14ac:dyDescent="0.35">
      <c r="A100">
        <v>5.3571428571428381E-2</v>
      </c>
      <c r="B100">
        <v>4.3780238045765252E-4</v>
      </c>
      <c r="C100">
        <v>4.7478786836372411E-3</v>
      </c>
      <c r="D100">
        <v>5.3610578240613993E-2</v>
      </c>
      <c r="E100">
        <v>-2.7188940092165437E-3</v>
      </c>
      <c r="F100">
        <v>4.4794839634472172E-3</v>
      </c>
      <c r="G100">
        <v>0</v>
      </c>
      <c r="H100">
        <v>-1.3538109779028806E-3</v>
      </c>
      <c r="I100">
        <v>-3.0695969840917048E-3</v>
      </c>
      <c r="J100">
        <v>3.7601218632245637E-2</v>
      </c>
      <c r="K100">
        <f>SUMPRODUCT(Sheet1!$AV$8:$BE$8,Sheet2!A100:J100)</f>
        <v>1.9131921500950256E-3</v>
      </c>
    </row>
    <row r="101" spans="1:11" x14ac:dyDescent="0.35">
      <c r="A101">
        <v>-3.3898305084745783E-2</v>
      </c>
      <c r="B101">
        <v>2.4016673712942138E-2</v>
      </c>
      <c r="C101">
        <v>2.3645046131022252E-3</v>
      </c>
      <c r="D101">
        <v>-2.28890984166219E-3</v>
      </c>
      <c r="E101">
        <v>0</v>
      </c>
      <c r="F101">
        <v>0</v>
      </c>
      <c r="G101">
        <v>0</v>
      </c>
      <c r="H101">
        <v>0</v>
      </c>
      <c r="I101">
        <v>-7.1649339702164472E-3</v>
      </c>
      <c r="J101">
        <v>2.897542883634685E-2</v>
      </c>
      <c r="K101">
        <f>SUMPRODUCT(Sheet1!$AV$8:$BE$8,Sheet2!A101:J101)</f>
        <v>1.7506438418509875E-4</v>
      </c>
    </row>
    <row r="102" spans="1:11" x14ac:dyDescent="0.35">
      <c r="A102">
        <v>0</v>
      </c>
      <c r="B102">
        <v>1.918717088823052E-2</v>
      </c>
      <c r="C102">
        <v>2.3589269195189999E-3</v>
      </c>
      <c r="D102">
        <v>5.6161321228158201E-2</v>
      </c>
      <c r="E102">
        <v>6.8080649384656411E-3</v>
      </c>
      <c r="F102">
        <v>9.0973956475204343E-3</v>
      </c>
      <c r="G102">
        <v>5.7142857142857828E-3</v>
      </c>
      <c r="H102">
        <v>1.3556462667008162E-3</v>
      </c>
      <c r="I102">
        <v>-4.1153719164190861E-3</v>
      </c>
      <c r="J102">
        <v>4.2201697078921629E-2</v>
      </c>
      <c r="K102">
        <f>SUMPRODUCT(Sheet1!$AV$8:$BE$8,Sheet2!A102:J102)</f>
        <v>1.8435753912193474E-3</v>
      </c>
    </row>
    <row r="103" spans="1:11" x14ac:dyDescent="0.35">
      <c r="A103">
        <v>1.7543859649122862E-2</v>
      </c>
      <c r="B103">
        <v>0</v>
      </c>
      <c r="C103">
        <v>3.5318380110960224E-3</v>
      </c>
      <c r="D103">
        <v>4.39493983338477E-2</v>
      </c>
      <c r="E103">
        <v>-2.7078711848849135E-3</v>
      </c>
      <c r="F103">
        <v>1.4141771256850344E-3</v>
      </c>
      <c r="G103">
        <v>-2.2727272727272707E-2</v>
      </c>
      <c r="H103">
        <v>6.7991395779118946E-3</v>
      </c>
      <c r="I103">
        <v>3.1022437984726814E-3</v>
      </c>
      <c r="J103">
        <v>2.0318466748324715E-2</v>
      </c>
      <c r="K103">
        <f>SUMPRODUCT(Sheet1!$AV$8:$BE$8,Sheet2!A103:J103)</f>
        <v>3.9085649186493664E-3</v>
      </c>
    </row>
    <row r="104" spans="1:11" x14ac:dyDescent="0.35">
      <c r="A104">
        <v>5.1724137931034475E-2</v>
      </c>
      <c r="B104">
        <v>-2.0894037381848918E-3</v>
      </c>
      <c r="C104">
        <v>1.5237798795973534E-2</v>
      </c>
      <c r="D104">
        <v>-1.9749131061877812E-2</v>
      </c>
      <c r="E104">
        <v>-1.0845554396514578E-2</v>
      </c>
      <c r="F104">
        <v>-3.0008826125331733E-3</v>
      </c>
      <c r="G104">
        <v>0</v>
      </c>
      <c r="H104">
        <v>5.2711000881504821E-2</v>
      </c>
      <c r="I104">
        <v>1.1355454041101609E-2</v>
      </c>
      <c r="J104">
        <v>-6.6379492973659415E-3</v>
      </c>
      <c r="K104">
        <f>SUMPRODUCT(Sheet1!$AV$8:$BE$8,Sheet2!A104:J104)</f>
        <v>2.0364525694651792E-2</v>
      </c>
    </row>
    <row r="105" spans="1:11" x14ac:dyDescent="0.35">
      <c r="A105">
        <v>-1.6393442622950838E-2</v>
      </c>
      <c r="B105">
        <v>-6.2884571558796676E-3</v>
      </c>
      <c r="C105">
        <v>1.3859371624870276E-2</v>
      </c>
      <c r="D105">
        <v>-2.3861642274363715E-2</v>
      </c>
      <c r="E105">
        <v>-9.5842186070315138E-3</v>
      </c>
      <c r="F105">
        <v>3.9128895184135981E-2</v>
      </c>
      <c r="G105">
        <v>0</v>
      </c>
      <c r="H105">
        <v>1.2773385940760829E-3</v>
      </c>
      <c r="I105">
        <v>1.02008660231796E-2</v>
      </c>
      <c r="J105">
        <v>0</v>
      </c>
      <c r="K105">
        <f>SUMPRODUCT(Sheet1!$AV$8:$BE$8,Sheet2!A105:J105)</f>
        <v>1.219951446250302E-2</v>
      </c>
    </row>
    <row r="106" spans="1:11" x14ac:dyDescent="0.35">
      <c r="A106">
        <v>0</v>
      </c>
      <c r="B106">
        <v>-8.4424473063720029E-3</v>
      </c>
      <c r="C106">
        <v>1.9360558617750989E-2</v>
      </c>
      <c r="D106">
        <v>9.2355782892867833E-3</v>
      </c>
      <c r="E106">
        <v>9.6769647526737668E-3</v>
      </c>
      <c r="F106">
        <v>-7.1562446754132036E-3</v>
      </c>
      <c r="G106">
        <v>0</v>
      </c>
      <c r="H106">
        <v>0</v>
      </c>
      <c r="I106">
        <v>-6.0656476378635471E-3</v>
      </c>
      <c r="J106">
        <v>4.0022748276107301E-2</v>
      </c>
      <c r="K106">
        <f>SUMPRODUCT(Sheet1!$AV$8:$BE$8,Sheet2!A106:J106)</f>
        <v>7.7440914073011215E-3</v>
      </c>
    </row>
    <row r="107" spans="1:11" x14ac:dyDescent="0.35">
      <c r="A107">
        <v>0</v>
      </c>
      <c r="B107">
        <v>8.5143290809874816E-3</v>
      </c>
      <c r="C107">
        <v>2.793303622597243E-2</v>
      </c>
      <c r="D107">
        <v>-6.9964313915125143E-3</v>
      </c>
      <c r="E107">
        <v>0</v>
      </c>
      <c r="F107">
        <v>1.9907327956066423E-2</v>
      </c>
      <c r="G107">
        <v>1.744186046511631E-2</v>
      </c>
      <c r="H107">
        <v>-2.5641752540787266E-2</v>
      </c>
      <c r="I107">
        <v>5.0797414795182849E-3</v>
      </c>
      <c r="J107">
        <v>-1.2850307587149778E-2</v>
      </c>
      <c r="K107">
        <f>SUMPRODUCT(Sheet1!$AV$8:$BE$8,Sheet2!A107:J107)</f>
        <v>1.0992400155189519E-2</v>
      </c>
    </row>
    <row r="108" spans="1:11" x14ac:dyDescent="0.35">
      <c r="A108">
        <v>0</v>
      </c>
      <c r="B108">
        <v>-8.4424473063720029E-3</v>
      </c>
      <c r="C108">
        <v>9.7827655415776427E-3</v>
      </c>
      <c r="D108">
        <v>-4.8759138485816589E-3</v>
      </c>
      <c r="E108">
        <v>1.0964470153998818E-2</v>
      </c>
      <c r="F108">
        <v>-1.4975601548039674E-2</v>
      </c>
      <c r="G108">
        <v>-1.7142857142857126E-2</v>
      </c>
      <c r="H108">
        <v>1.3165551352924076E-2</v>
      </c>
      <c r="I108">
        <v>-1.0061874747007149E-3</v>
      </c>
      <c r="J108">
        <v>-3.8983520288048745E-2</v>
      </c>
      <c r="K108">
        <f>SUMPRODUCT(Sheet1!$AV$8:$BE$8,Sheet2!A108:J108)</f>
        <v>5.9482222792497921E-3</v>
      </c>
    </row>
    <row r="109" spans="1:11" x14ac:dyDescent="0.35">
      <c r="A109">
        <v>1.6666666666666607E-2</v>
      </c>
      <c r="B109">
        <v>1.7057569296374808E-3</v>
      </c>
      <c r="C109">
        <v>-9.6879902048345734E-3</v>
      </c>
      <c r="D109">
        <v>2.1742496980208248E-3</v>
      </c>
      <c r="E109">
        <v>8.1303307357181165E-3</v>
      </c>
      <c r="F109">
        <v>1.2128459173214923E-2</v>
      </c>
      <c r="G109">
        <v>0</v>
      </c>
      <c r="H109">
        <v>0</v>
      </c>
      <c r="I109">
        <v>-3.033179744842518E-3</v>
      </c>
      <c r="J109">
        <v>4.0564882196123753E-2</v>
      </c>
      <c r="K109">
        <f>SUMPRODUCT(Sheet1!$AV$8:$BE$8,Sheet2!A109:J109)</f>
        <v>-4.0852961568577659E-3</v>
      </c>
    </row>
    <row r="110" spans="1:11" x14ac:dyDescent="0.35">
      <c r="A110">
        <v>0</v>
      </c>
      <c r="B110">
        <v>-4.2571306939120923E-4</v>
      </c>
      <c r="C110">
        <v>-2.1956290747858431E-2</v>
      </c>
      <c r="D110">
        <v>0</v>
      </c>
      <c r="E110">
        <v>-5.3714355275570336E-3</v>
      </c>
      <c r="F110">
        <v>-4.3881856540084474E-3</v>
      </c>
      <c r="G110">
        <v>1.1627906976744207E-2</v>
      </c>
      <c r="H110">
        <v>-6.5044152487615525E-3</v>
      </c>
      <c r="I110">
        <v>4.0526731385572834E-3</v>
      </c>
      <c r="J110">
        <v>3.8983520288048856E-2</v>
      </c>
      <c r="K110">
        <f>SUMPRODUCT(Sheet1!$AV$8:$BE$8,Sheet2!A110:J110)</f>
        <v>-1.164426278076444E-2</v>
      </c>
    </row>
    <row r="111" spans="1:11" x14ac:dyDescent="0.35">
      <c r="A111">
        <v>-4.9180327868852514E-2</v>
      </c>
      <c r="B111">
        <v>-6.4245084168268463E-4</v>
      </c>
      <c r="C111">
        <v>-6.4447119495421035E-3</v>
      </c>
      <c r="D111">
        <v>-5.9770313871408964E-3</v>
      </c>
      <c r="E111">
        <v>6.7467299013233006E-3</v>
      </c>
      <c r="F111">
        <v>1.2035938294626236E-2</v>
      </c>
      <c r="G111">
        <v>0</v>
      </c>
      <c r="H111">
        <v>6.5469996531390962E-3</v>
      </c>
      <c r="I111">
        <v>-1.6168391834846418E-2</v>
      </c>
      <c r="J111">
        <v>4.3718760413195668E-2</v>
      </c>
      <c r="K111">
        <f>SUMPRODUCT(Sheet1!$AV$8:$BE$8,Sheet2!A111:J111)</f>
        <v>-3.6740918159800583E-3</v>
      </c>
    </row>
    <row r="112" spans="1:11" x14ac:dyDescent="0.35">
      <c r="A112">
        <v>1.7241379310344751E-2</v>
      </c>
      <c r="B112">
        <v>0</v>
      </c>
      <c r="C112">
        <v>-6.267148599256922E-3</v>
      </c>
      <c r="D112">
        <v>-5.4657720791698727E-3</v>
      </c>
      <c r="E112">
        <v>1.2080965261526355E-2</v>
      </c>
      <c r="F112">
        <v>-1.5075376884421399E-3</v>
      </c>
      <c r="G112">
        <v>-1.1494252873563204E-2</v>
      </c>
      <c r="H112">
        <v>-2.5974585397372407E-2</v>
      </c>
      <c r="I112">
        <v>4.1026485005937197E-3</v>
      </c>
      <c r="J112">
        <v>2.9947002107145071E-2</v>
      </c>
      <c r="K112">
        <f>SUMPRODUCT(Sheet1!$AV$8:$BE$8,Sheet2!A112:J112)</f>
        <v>-7.7241790734113155E-3</v>
      </c>
    </row>
    <row r="113" spans="1:11" x14ac:dyDescent="0.35">
      <c r="A113">
        <v>-1.6949152542372947E-2</v>
      </c>
      <c r="B113">
        <v>-2.7159191869579047E-3</v>
      </c>
      <c r="C113">
        <v>-9.4549159449822673E-3</v>
      </c>
      <c r="D113">
        <v>-4.9456046017256616E-3</v>
      </c>
      <c r="E113">
        <v>1.3363162715274157E-3</v>
      </c>
      <c r="F113">
        <v>-1.5098137896326635E-3</v>
      </c>
      <c r="G113">
        <v>5.8139534883721034E-3</v>
      </c>
      <c r="H113">
        <v>2.6667256324075739E-2</v>
      </c>
      <c r="I113">
        <v>0</v>
      </c>
      <c r="J113">
        <v>3.4903905765654164E-2</v>
      </c>
      <c r="K113">
        <f>SUMPRODUCT(Sheet1!$AV$8:$BE$8,Sheet2!A113:J113)</f>
        <v>9.4574803178739189E-4</v>
      </c>
    </row>
    <row r="114" spans="1:11" x14ac:dyDescent="0.35">
      <c r="A114">
        <v>5.1724137931034475E-2</v>
      </c>
      <c r="B114">
        <v>-1.3051634351437968E-2</v>
      </c>
      <c r="C114">
        <v>-1.1348597368221469E-3</v>
      </c>
      <c r="D114">
        <v>-5.5294095470281857E-3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4.4929012160785931E-2</v>
      </c>
      <c r="K114">
        <f>SUMPRODUCT(Sheet1!$AV$8:$BE$8,Sheet2!A114:J114)</f>
        <v>-6.110079870547165E-4</v>
      </c>
    </row>
    <row r="115" spans="1:11" x14ac:dyDescent="0.35">
      <c r="A115">
        <v>1.6393442622950838E-2</v>
      </c>
      <c r="B115">
        <v>-2.5340329505008641E-2</v>
      </c>
      <c r="C115">
        <v>8.8729469511044101E-3</v>
      </c>
      <c r="D115">
        <v>-3.8857893838970536E-3</v>
      </c>
      <c r="E115">
        <v>7.947218473534301E-3</v>
      </c>
      <c r="F115">
        <v>-3.0241935483870108E-3</v>
      </c>
      <c r="G115">
        <v>2.8901734104046284E-2</v>
      </c>
      <c r="H115">
        <v>0</v>
      </c>
      <c r="I115">
        <v>6.1463894352344894E-3</v>
      </c>
      <c r="J115">
        <v>4.299719085019782E-2</v>
      </c>
      <c r="K115">
        <f>SUMPRODUCT(Sheet1!$AV$8:$BE$8,Sheet2!A115:J115)</f>
        <v>5.0855044303722919E-3</v>
      </c>
    </row>
    <row r="116" spans="1:11" x14ac:dyDescent="0.35">
      <c r="A116">
        <v>3.2258064516129004E-2</v>
      </c>
      <c r="B116">
        <v>6.2193175315483629E-3</v>
      </c>
      <c r="C116">
        <v>0</v>
      </c>
      <c r="D116">
        <v>-2.2327375137960459E-3</v>
      </c>
      <c r="E116">
        <v>-1.3240107110980004E-3</v>
      </c>
      <c r="F116">
        <v>3.0333670374114163E-3</v>
      </c>
      <c r="G116">
        <v>1.1235955056179803E-2</v>
      </c>
      <c r="H116">
        <v>-2.5974585397372407E-2</v>
      </c>
      <c r="I116">
        <v>-5.0848838156408727E-3</v>
      </c>
      <c r="J116">
        <v>5.1668224042213939E-3</v>
      </c>
      <c r="K116">
        <f>SUMPRODUCT(Sheet1!$AV$8:$BE$8,Sheet2!A116:J116)</f>
        <v>-6.1112208369443833E-3</v>
      </c>
    </row>
    <row r="117" spans="1:11" x14ac:dyDescent="0.35">
      <c r="A117">
        <v>-4.6875E-2</v>
      </c>
      <c r="B117">
        <v>-1.1299181370568734E-3</v>
      </c>
      <c r="C117">
        <v>9.0160587915089074E-4</v>
      </c>
      <c r="D117">
        <v>-5.0285438201675969E-3</v>
      </c>
      <c r="E117">
        <v>7.8950112466669164E-3</v>
      </c>
      <c r="F117">
        <v>1.5120967741935054E-3</v>
      </c>
      <c r="G117">
        <v>3.3333333333333437E-2</v>
      </c>
      <c r="H117">
        <v>2.532578571849764E-2</v>
      </c>
      <c r="I117">
        <v>-1.0291916167664006E-3</v>
      </c>
      <c r="J117">
        <v>2.0506370645813954E-2</v>
      </c>
      <c r="K117">
        <f>SUMPRODUCT(Sheet1!$AV$8:$BE$8,Sheet2!A117:J117)</f>
        <v>5.8158672898836715E-3</v>
      </c>
    </row>
    <row r="118" spans="1:11" x14ac:dyDescent="0.35">
      <c r="A118">
        <v>3.2786885245901676E-2</v>
      </c>
      <c r="B118">
        <v>-4.494819720272325E-3</v>
      </c>
      <c r="C118">
        <v>5.8602580009177174E-3</v>
      </c>
      <c r="D118">
        <v>-1.6855045332276997E-2</v>
      </c>
      <c r="E118">
        <v>0</v>
      </c>
      <c r="F118">
        <v>0</v>
      </c>
      <c r="G118">
        <v>2.1505376344086002E-2</v>
      </c>
      <c r="H118">
        <v>-2.4700232912557185E-2</v>
      </c>
      <c r="I118">
        <v>7.1649339702162251E-3</v>
      </c>
      <c r="J118">
        <v>5.036973529096489E-3</v>
      </c>
      <c r="K118">
        <f>SUMPRODUCT(Sheet1!$AV$8:$BE$8,Sheet2!A118:J118)</f>
        <v>-1.0270997073952833E-3</v>
      </c>
    </row>
    <row r="119" spans="1:11" x14ac:dyDescent="0.35">
      <c r="A119">
        <v>1.5873015873015817E-2</v>
      </c>
      <c r="B119">
        <v>-1.977620083228615E-2</v>
      </c>
      <c r="C119">
        <v>-1.2770818055550914E-2</v>
      </c>
      <c r="D119">
        <v>-5.7125031681971583E-3</v>
      </c>
      <c r="E119">
        <v>-2.6012030564135369E-3</v>
      </c>
      <c r="F119">
        <v>-3.0196275792653271E-3</v>
      </c>
      <c r="G119">
        <v>-1.0526315789473717E-2</v>
      </c>
      <c r="H119">
        <v>-4.6671383925939058E-2</v>
      </c>
      <c r="I119">
        <v>-4.0568187101873709E-3</v>
      </c>
      <c r="J119">
        <v>-4.499893367455754E-2</v>
      </c>
      <c r="K119">
        <f>SUMPRODUCT(Sheet1!$AV$8:$BE$8,Sheet2!A119:J119)</f>
        <v>-1.7523915460189922E-2</v>
      </c>
    </row>
    <row r="120" spans="1:11" x14ac:dyDescent="0.35">
      <c r="A120">
        <v>-4.6875E-2</v>
      </c>
      <c r="B120">
        <v>-2.0175189430288953E-2</v>
      </c>
      <c r="C120">
        <v>2.042241467839645E-2</v>
      </c>
      <c r="D120">
        <v>-2.1843993882113111E-2</v>
      </c>
      <c r="E120">
        <v>7.8535970956508105E-3</v>
      </c>
      <c r="F120">
        <v>0</v>
      </c>
      <c r="G120">
        <v>1.0638297872340496E-2</v>
      </c>
      <c r="H120">
        <v>2.6581104066800698E-2</v>
      </c>
      <c r="I120">
        <v>8.1583585242592793E-3</v>
      </c>
      <c r="J120">
        <v>0</v>
      </c>
      <c r="K120">
        <f>SUMPRODUCT(Sheet1!$AV$8:$BE$8,Sheet2!A120:J120)</f>
        <v>1.69410410776384E-2</v>
      </c>
    </row>
    <row r="121" spans="1:11" x14ac:dyDescent="0.35">
      <c r="A121">
        <v>-1.6393442622950838E-2</v>
      </c>
      <c r="B121">
        <v>3.8235224984525695E-2</v>
      </c>
      <c r="C121">
        <v>3.1577075841339841E-2</v>
      </c>
      <c r="D121">
        <v>-9.9831609333653759E-3</v>
      </c>
      <c r="E121">
        <v>2.5964860692494485E-2</v>
      </c>
      <c r="F121">
        <v>-3.0287733467945221E-3</v>
      </c>
      <c r="G121">
        <v>1.0526315789473717E-2</v>
      </c>
      <c r="H121">
        <v>4.2220849839581964E-2</v>
      </c>
      <c r="I121">
        <v>-3.033179744842518E-3</v>
      </c>
      <c r="J121">
        <v>1.5687807056721681E-2</v>
      </c>
      <c r="K121">
        <f>SUMPRODUCT(Sheet1!$AV$8:$BE$8,Sheet2!A121:J121)</f>
        <v>2.423331402092883E-2</v>
      </c>
    </row>
    <row r="122" spans="1:11" x14ac:dyDescent="0.35">
      <c r="A122">
        <v>1.6666666666666607E-2</v>
      </c>
      <c r="B122">
        <v>-2.8322177026812834E-2</v>
      </c>
      <c r="C122">
        <v>-8.4062580282203703E-3</v>
      </c>
      <c r="D122">
        <v>2.6701224368579579E-2</v>
      </c>
      <c r="E122">
        <v>1.2754188102779285E-3</v>
      </c>
      <c r="F122">
        <v>1.5189873417722488E-3</v>
      </c>
      <c r="G122">
        <v>5.2083333333332593E-3</v>
      </c>
      <c r="H122">
        <v>0</v>
      </c>
      <c r="I122">
        <v>3.0424079149056205E-3</v>
      </c>
      <c r="J122">
        <v>-4.122464684219207E-2</v>
      </c>
      <c r="K122">
        <f>SUMPRODUCT(Sheet1!$AV$8:$BE$8,Sheet2!A122:J122)</f>
        <v>-3.8641626754814216E-3</v>
      </c>
    </row>
    <row r="123" spans="1:11" x14ac:dyDescent="0.35">
      <c r="A123">
        <v>-1.6393442622950838E-2</v>
      </c>
      <c r="B123">
        <v>1.9820127681386746E-2</v>
      </c>
      <c r="C123">
        <v>0</v>
      </c>
      <c r="D123">
        <v>-5.7785608162298496E-3</v>
      </c>
      <c r="E123">
        <v>-1.273794189208477E-3</v>
      </c>
      <c r="F123">
        <v>1.5166835187057082E-3</v>
      </c>
      <c r="G123">
        <v>1.5544041450777257E-2</v>
      </c>
      <c r="H123">
        <v>-6.5325471152735126E-3</v>
      </c>
      <c r="I123">
        <v>-3.033179744842518E-3</v>
      </c>
      <c r="J123">
        <v>3.7665539184773333E-2</v>
      </c>
      <c r="K123">
        <f>SUMPRODUCT(Sheet1!$AV$8:$BE$8,Sheet2!A123:J123)</f>
        <v>-1.4803596938368266E-3</v>
      </c>
    </row>
    <row r="124" spans="1:11" x14ac:dyDescent="0.35">
      <c r="A124">
        <v>-3.3333333333333326E-2</v>
      </c>
      <c r="B124">
        <v>6.2904576955296054E-3</v>
      </c>
      <c r="C124">
        <v>9.7827655415776427E-3</v>
      </c>
      <c r="D124">
        <v>0</v>
      </c>
      <c r="E124">
        <v>0</v>
      </c>
      <c r="F124">
        <v>-1.5143866733972056E-3</v>
      </c>
      <c r="G124">
        <v>2.5510204081632626E-2</v>
      </c>
      <c r="H124">
        <v>-3.4201338376491086E-2</v>
      </c>
      <c r="I124">
        <v>4.0526731385572834E-3</v>
      </c>
      <c r="J124">
        <v>0</v>
      </c>
      <c r="K124">
        <f>SUMPRODUCT(Sheet1!$AV$8:$BE$8,Sheet2!A124:J124)</f>
        <v>-1.7133815001863489E-3</v>
      </c>
    </row>
    <row r="125" spans="1:11" x14ac:dyDescent="0.35">
      <c r="A125">
        <v>-1.7241379310344862E-2</v>
      </c>
      <c r="B125">
        <v>-5.6835381727915468E-3</v>
      </c>
      <c r="C125">
        <v>8.6064948182396073E-4</v>
      </c>
      <c r="D125">
        <v>1.1049029655833653E-2</v>
      </c>
      <c r="E125">
        <v>0</v>
      </c>
      <c r="F125">
        <v>-1.5166835187058192E-3</v>
      </c>
      <c r="G125">
        <v>4.9751243781095411E-3</v>
      </c>
      <c r="H125">
        <v>4.0865203572881148E-2</v>
      </c>
      <c r="I125">
        <v>1.0177528479733411E-3</v>
      </c>
      <c r="J125">
        <v>0</v>
      </c>
      <c r="K125">
        <f>SUMPRODUCT(Sheet1!$AV$8:$BE$8,Sheet2!A125:J125)</f>
        <v>9.0378735000491203E-3</v>
      </c>
    </row>
    <row r="126" spans="1:11" x14ac:dyDescent="0.35">
      <c r="A126">
        <v>1.7543859649122862E-2</v>
      </c>
      <c r="B126">
        <v>0</v>
      </c>
      <c r="C126">
        <v>-8.599094012433639E-4</v>
      </c>
      <c r="D126">
        <v>3.5073836213098231E-2</v>
      </c>
      <c r="E126">
        <v>0</v>
      </c>
      <c r="F126">
        <v>0</v>
      </c>
      <c r="G126">
        <v>1.4851485148514865E-2</v>
      </c>
      <c r="H126">
        <v>-3.010043124656292E-2</v>
      </c>
      <c r="I126">
        <v>0</v>
      </c>
      <c r="J126">
        <v>0</v>
      </c>
      <c r="K126">
        <f>SUMPRODUCT(Sheet1!$AV$8:$BE$8,Sheet2!A126:J126)</f>
        <v>-6.7751745342668106E-3</v>
      </c>
    </row>
    <row r="127" spans="1:11" x14ac:dyDescent="0.35">
      <c r="A127">
        <v>5.1724137931034475E-2</v>
      </c>
      <c r="B127">
        <v>0</v>
      </c>
      <c r="C127">
        <v>-4.3194860785888967E-4</v>
      </c>
      <c r="D127">
        <v>-1.6617278178291395E-3</v>
      </c>
      <c r="E127">
        <v>1.8987976669867068E-2</v>
      </c>
      <c r="F127">
        <v>-5.9071729957805852E-3</v>
      </c>
      <c r="G127">
        <v>9.7560975609756184E-3</v>
      </c>
      <c r="H127">
        <v>0</v>
      </c>
      <c r="I127">
        <v>1.0513789238963289E-2</v>
      </c>
      <c r="J127">
        <v>0</v>
      </c>
      <c r="K127">
        <f>SUMPRODUCT(Sheet1!$AV$8:$BE$8,Sheet2!A127:J127)</f>
        <v>1.4331563477975545E-3</v>
      </c>
    </row>
    <row r="128" spans="1:11" x14ac:dyDescent="0.35">
      <c r="A128">
        <v>0</v>
      </c>
      <c r="B128">
        <v>0</v>
      </c>
      <c r="C128">
        <v>-2.1444306536611002E-4</v>
      </c>
      <c r="D128">
        <v>-3.8985861296405577E-3</v>
      </c>
      <c r="E128">
        <v>-6.2020082693443612E-3</v>
      </c>
      <c r="F128">
        <v>0</v>
      </c>
      <c r="G128">
        <v>-1.4492753623188359E-2</v>
      </c>
      <c r="H128">
        <v>2.4290531467279441E-2</v>
      </c>
      <c r="I128">
        <v>-7.237346077770046E-3</v>
      </c>
      <c r="J128">
        <v>-1.558011049723762E-2</v>
      </c>
      <c r="K128">
        <f>SUMPRODUCT(Sheet1!$AV$8:$BE$8,Sheet2!A128:J128)</f>
        <v>3.5528619272964623E-3</v>
      </c>
    </row>
    <row r="129" spans="1:11" x14ac:dyDescent="0.35">
      <c r="A129">
        <v>0</v>
      </c>
      <c r="B129">
        <v>0</v>
      </c>
      <c r="C129">
        <v>-6.4671701743213017E-4</v>
      </c>
      <c r="D129">
        <v>-5.5912065569607705E-4</v>
      </c>
      <c r="E129">
        <v>1.1250265336446574E-2</v>
      </c>
      <c r="F129">
        <v>-4.5840407470287836E-3</v>
      </c>
      <c r="G129">
        <v>-1.4705882352941346E-2</v>
      </c>
      <c r="H129">
        <v>5.2585579024033713E-3</v>
      </c>
      <c r="I129">
        <v>-2.0845329955084813E-3</v>
      </c>
      <c r="J129">
        <v>0</v>
      </c>
      <c r="K129">
        <f>SUMPRODUCT(Sheet1!$AV$8:$BE$8,Sheet2!A129:J129)</f>
        <v>8.3886168706452321E-5</v>
      </c>
    </row>
    <row r="130" spans="1:11" x14ac:dyDescent="0.35">
      <c r="A130">
        <v>-4.9180327868852514E-2</v>
      </c>
      <c r="B130">
        <v>0</v>
      </c>
      <c r="C130">
        <v>1.9414065929777014E-3</v>
      </c>
      <c r="D130">
        <v>-5.0285438201675969E-3</v>
      </c>
      <c r="E130">
        <v>-1.2454520011194736E-3</v>
      </c>
      <c r="F130">
        <v>-1.6544431178577623E-2</v>
      </c>
      <c r="G130">
        <v>-4.9751243781093191E-3</v>
      </c>
      <c r="H130">
        <v>-1.8344901537436065E-2</v>
      </c>
      <c r="I130">
        <v>0</v>
      </c>
      <c r="J130">
        <v>0</v>
      </c>
      <c r="K130">
        <f>SUMPRODUCT(Sheet1!$AV$8:$BE$8,Sheet2!A130:J130)</f>
        <v>-4.3545868194038283E-3</v>
      </c>
    </row>
    <row r="131" spans="1:11" x14ac:dyDescent="0.35">
      <c r="A131">
        <v>1.7241379310344751E-2</v>
      </c>
      <c r="B131">
        <v>0</v>
      </c>
      <c r="C131">
        <v>-2.174576282188978E-4</v>
      </c>
      <c r="D131">
        <v>-8.9897834656987863E-3</v>
      </c>
      <c r="E131">
        <v>0</v>
      </c>
      <c r="F131">
        <v>0</v>
      </c>
      <c r="G131">
        <v>1.4999999999999902E-2</v>
      </c>
      <c r="H131">
        <v>0</v>
      </c>
      <c r="I131">
        <v>-2.0888873501134775E-3</v>
      </c>
      <c r="J131">
        <v>0</v>
      </c>
      <c r="K131">
        <f>SUMPRODUCT(Sheet1!$AV$8:$BE$8,Sheet2!A131:J131)</f>
        <v>-5.0609582234571065E-4</v>
      </c>
    </row>
    <row r="132" spans="1:11" x14ac:dyDescent="0.35">
      <c r="A132">
        <v>1.6949152542372836E-2</v>
      </c>
      <c r="B132">
        <v>-1.7125242607604063E-3</v>
      </c>
      <c r="C132">
        <v>9.2553215664250565E-3</v>
      </c>
      <c r="D132">
        <v>-7.9366102743966271E-3</v>
      </c>
      <c r="E132">
        <v>-8.6589791371844971E-3</v>
      </c>
      <c r="F132">
        <v>0</v>
      </c>
      <c r="G132">
        <v>4.9261083743843415E-3</v>
      </c>
      <c r="H132">
        <v>-1.3285113292492712E-3</v>
      </c>
      <c r="I132">
        <v>-2.0816949622982639E-3</v>
      </c>
      <c r="J132">
        <v>0</v>
      </c>
      <c r="K132">
        <f>SUMPRODUCT(Sheet1!$AV$8:$BE$8,Sheet2!A132:J132)</f>
        <v>3.75625176533953E-3</v>
      </c>
    </row>
    <row r="133" spans="1:11" x14ac:dyDescent="0.35">
      <c r="A133">
        <v>-5.0000000000000044E-2</v>
      </c>
      <c r="B133">
        <v>1.1436413540713009E-3</v>
      </c>
      <c r="C133">
        <v>8.5271317829458404E-3</v>
      </c>
      <c r="D133">
        <v>-1.143800406829043E-3</v>
      </c>
      <c r="E133">
        <v>1.1236272666883318E-2</v>
      </c>
      <c r="F133">
        <v>-1.5435310440513383E-2</v>
      </c>
      <c r="G133">
        <v>-1.4705882352941346E-2</v>
      </c>
      <c r="H133">
        <v>2.9650432340551314E-2</v>
      </c>
      <c r="I133">
        <v>-5.6612738735397738E-2</v>
      </c>
      <c r="J133">
        <v>0</v>
      </c>
      <c r="K133">
        <f>SUMPRODUCT(Sheet1!$AV$8:$BE$8,Sheet2!A133:J133)</f>
        <v>-1.6399111567460337E-3</v>
      </c>
    </row>
    <row r="134" spans="1:11" x14ac:dyDescent="0.35">
      <c r="A134">
        <v>3.5087719298245723E-2</v>
      </c>
      <c r="B134">
        <v>-5.711674663011479E-4</v>
      </c>
      <c r="C134">
        <v>1.0588726833173912E-3</v>
      </c>
      <c r="D134">
        <v>-1.544597487263899E-2</v>
      </c>
      <c r="E134">
        <v>-1.234136523732321E-2</v>
      </c>
      <c r="F134">
        <v>0</v>
      </c>
      <c r="G134">
        <v>9.9502487562188602E-3</v>
      </c>
      <c r="H134">
        <v>-1.3350368211767494E-3</v>
      </c>
      <c r="I134">
        <v>2.2222768202646126E-2</v>
      </c>
      <c r="J134">
        <v>0</v>
      </c>
      <c r="K134">
        <f>SUMPRODUCT(Sheet1!$AV$8:$BE$8,Sheet2!A134:J134)</f>
        <v>4.3916837612906377E-3</v>
      </c>
    </row>
    <row r="135" spans="1:11" x14ac:dyDescent="0.35">
      <c r="A135">
        <v>-5.0847457627118509E-2</v>
      </c>
      <c r="B135">
        <v>-1.6017068617365848E-2</v>
      </c>
      <c r="C135">
        <v>-3.1668859698030793E-3</v>
      </c>
      <c r="D135">
        <v>0</v>
      </c>
      <c r="E135">
        <v>-1.0004952947003432E-2</v>
      </c>
      <c r="F135">
        <v>0</v>
      </c>
      <c r="G135">
        <v>9.8522167487684609E-3</v>
      </c>
      <c r="H135">
        <v>0</v>
      </c>
      <c r="I135">
        <v>0</v>
      </c>
      <c r="J135">
        <v>-4.2092266247614751E-2</v>
      </c>
      <c r="K135">
        <f>SUMPRODUCT(Sheet1!$AV$8:$BE$8,Sheet2!A135:J135)</f>
        <v>-1.9398757946855404E-3</v>
      </c>
    </row>
    <row r="136" spans="1:11" x14ac:dyDescent="0.35">
      <c r="A136">
        <v>5.3571428571428381E-2</v>
      </c>
      <c r="B136">
        <v>1.1623674815887552E-2</v>
      </c>
      <c r="C136">
        <v>-4.2380600807341295E-3</v>
      </c>
      <c r="D136">
        <v>0</v>
      </c>
      <c r="E136">
        <v>-2.5300894822607445E-3</v>
      </c>
      <c r="F136">
        <v>0</v>
      </c>
      <c r="G136">
        <v>-4.8780487804876982E-3</v>
      </c>
      <c r="H136">
        <v>0</v>
      </c>
      <c r="I136">
        <v>0</v>
      </c>
      <c r="J136">
        <v>-2.1970939770330489E-2</v>
      </c>
      <c r="K136">
        <f>SUMPRODUCT(Sheet1!$AV$8:$BE$8,Sheet2!A136:J136)</f>
        <v>-1.9918585746825841E-3</v>
      </c>
    </row>
    <row r="137" spans="1:11" x14ac:dyDescent="0.35">
      <c r="A137">
        <v>-1.6949152542372947E-2</v>
      </c>
      <c r="B137">
        <v>-8.6195018142291024E-3</v>
      </c>
      <c r="C137">
        <v>0</v>
      </c>
      <c r="D137">
        <v>0</v>
      </c>
      <c r="E137">
        <v>-1.2653874263768072E-2</v>
      </c>
      <c r="F137">
        <v>0</v>
      </c>
      <c r="G137">
        <v>-9.8039215686274161E-3</v>
      </c>
      <c r="H137">
        <v>1.8787373505059879E-2</v>
      </c>
      <c r="I137">
        <v>0</v>
      </c>
      <c r="J137">
        <v>2.8095608937878103E-2</v>
      </c>
      <c r="K137">
        <f>SUMPRODUCT(Sheet1!$AV$8:$BE$8,Sheet2!A137:J137)</f>
        <v>3.8326366742482366E-3</v>
      </c>
    </row>
    <row r="138" spans="1:11" x14ac:dyDescent="0.35">
      <c r="A138">
        <v>-1.7241379310344862E-2</v>
      </c>
      <c r="B138">
        <v>-5.7911480371868329E-3</v>
      </c>
      <c r="C138">
        <v>-4.2560976784046245E-3</v>
      </c>
      <c r="D138">
        <v>2.3261500234597055E-3</v>
      </c>
      <c r="E138">
        <v>8.9697814160063505E-3</v>
      </c>
      <c r="F138">
        <v>0</v>
      </c>
      <c r="G138">
        <v>0</v>
      </c>
      <c r="H138">
        <v>-2.3717813051146397E-2</v>
      </c>
      <c r="I138">
        <v>-5.4319088592991172E-3</v>
      </c>
      <c r="J138">
        <v>-3.2805034378277642E-2</v>
      </c>
      <c r="K138">
        <f>SUMPRODUCT(Sheet1!$AV$8:$BE$8,Sheet2!A138:J138)</f>
        <v>-8.2217432247531034E-3</v>
      </c>
    </row>
    <row r="139" spans="1:11" x14ac:dyDescent="0.35">
      <c r="A139">
        <v>-5.2631578947368252E-2</v>
      </c>
      <c r="B139">
        <v>-8.7528541915842251E-3</v>
      </c>
      <c r="C139">
        <v>2.1371447359512796E-3</v>
      </c>
      <c r="D139">
        <v>2.1783418493489304E-2</v>
      </c>
      <c r="E139">
        <v>0</v>
      </c>
      <c r="F139">
        <v>7.7505724854678437E-3</v>
      </c>
      <c r="G139">
        <v>0</v>
      </c>
      <c r="H139">
        <v>-1.3440471717202085E-3</v>
      </c>
      <c r="I139">
        <v>-5.4615756404059468E-3</v>
      </c>
      <c r="J139">
        <v>-3.9520453039339598E-2</v>
      </c>
      <c r="K139">
        <f>SUMPRODUCT(Sheet1!$AV$8:$BE$8,Sheet2!A139:J139)</f>
        <v>1.6299800048075891E-4</v>
      </c>
    </row>
    <row r="140" spans="1:11" x14ac:dyDescent="0.35">
      <c r="A140">
        <v>5.5555555555555358E-2</v>
      </c>
      <c r="B140">
        <v>-1.4706458462285799E-2</v>
      </c>
      <c r="C140">
        <v>2.1325870886810261E-3</v>
      </c>
      <c r="D140">
        <v>-1.8073416398350695E-2</v>
      </c>
      <c r="E140">
        <v>3.5588929167385874E-2</v>
      </c>
      <c r="F140">
        <v>0</v>
      </c>
      <c r="G140">
        <v>2.9702970297029729E-2</v>
      </c>
      <c r="H140">
        <v>1.2156119303628143E-2</v>
      </c>
      <c r="I140">
        <v>0</v>
      </c>
      <c r="J140">
        <v>-1.1792009032177253E-2</v>
      </c>
      <c r="K140">
        <f>SUMPRODUCT(Sheet1!$AV$8:$BE$8,Sheet2!A140:J140)</f>
        <v>3.6439187739413085E-3</v>
      </c>
    </row>
    <row r="141" spans="1:11" x14ac:dyDescent="0.35">
      <c r="A141">
        <v>0</v>
      </c>
      <c r="B141">
        <v>-5.964025001192752E-4</v>
      </c>
      <c r="C141">
        <v>2.1280488392023678E-3</v>
      </c>
      <c r="D141">
        <v>-6.1112644403260585E-4</v>
      </c>
      <c r="E141">
        <v>-1.2362828170578988E-3</v>
      </c>
      <c r="F141">
        <v>0</v>
      </c>
      <c r="G141">
        <v>1.9230769230769162E-2</v>
      </c>
      <c r="H141">
        <v>-2.659384338227988E-3</v>
      </c>
      <c r="I141">
        <v>-1.0995285998930848E-2</v>
      </c>
      <c r="J141">
        <v>-4.1637575372897473E-2</v>
      </c>
      <c r="K141">
        <f>SUMPRODUCT(Sheet1!$AV$8:$BE$8,Sheet2!A141:J141)</f>
        <v>-1.7508204970880126E-3</v>
      </c>
    </row>
    <row r="142" spans="1:11" x14ac:dyDescent="0.35">
      <c r="A142">
        <v>-5.2631578947368252E-2</v>
      </c>
      <c r="B142">
        <v>0</v>
      </c>
      <c r="C142">
        <v>-4.2470597278807531E-3</v>
      </c>
      <c r="D142">
        <v>-2.4525758621823934E-3</v>
      </c>
      <c r="E142">
        <v>7.3712465751518685E-3</v>
      </c>
      <c r="F142">
        <v>7.8657577346616936E-3</v>
      </c>
      <c r="G142">
        <v>1.8867924528301883E-2</v>
      </c>
      <c r="H142">
        <v>-9.3756719948391298E-3</v>
      </c>
      <c r="I142">
        <v>-2.223505276218396E-3</v>
      </c>
      <c r="J142">
        <v>3.0995430160937865E-2</v>
      </c>
      <c r="K142">
        <f>SUMPRODUCT(Sheet1!$AV$8:$BE$8,Sheet2!A142:J142)</f>
        <v>-3.6706874395489625E-3</v>
      </c>
    </row>
    <row r="143" spans="1:11" x14ac:dyDescent="0.35">
      <c r="A143">
        <v>3.7037037037036979E-2</v>
      </c>
      <c r="B143">
        <v>0</v>
      </c>
      <c r="C143">
        <v>0</v>
      </c>
      <c r="D143">
        <v>-2.465197215777204E-3</v>
      </c>
      <c r="E143">
        <v>6.1023594869600295E-3</v>
      </c>
      <c r="F143">
        <v>0</v>
      </c>
      <c r="G143">
        <v>1.388888888888884E-2</v>
      </c>
      <c r="H143">
        <v>8.1040795357520956E-3</v>
      </c>
      <c r="I143">
        <v>2.2284602693851685E-3</v>
      </c>
      <c r="J143">
        <v>2.7815250208774955E-2</v>
      </c>
      <c r="K143">
        <f>SUMPRODUCT(Sheet1!$AV$8:$BE$8,Sheet2!A143:J143)</f>
        <v>2.2537989373781144E-3</v>
      </c>
    </row>
    <row r="144" spans="1:11" x14ac:dyDescent="0.35">
      <c r="A144">
        <v>1.7857142857142572E-2</v>
      </c>
      <c r="B144">
        <v>-3.580550449955866E-3</v>
      </c>
      <c r="C144">
        <v>0</v>
      </c>
      <c r="D144">
        <v>-2.4646817058504578E-3</v>
      </c>
      <c r="E144">
        <v>-3.6364634363893478E-3</v>
      </c>
      <c r="F144">
        <v>0</v>
      </c>
      <c r="G144">
        <v>-9.1324200913242004E-3</v>
      </c>
      <c r="H144">
        <v>-4.019465698166802E-3</v>
      </c>
      <c r="I144">
        <v>0</v>
      </c>
      <c r="J144">
        <v>1.8749999999999822E-2</v>
      </c>
      <c r="K144">
        <f>SUMPRODUCT(Sheet1!$AV$8:$BE$8,Sheet2!A144:J144)</f>
        <v>-8.7421428366882747E-4</v>
      </c>
    </row>
    <row r="145" spans="1:11" x14ac:dyDescent="0.35">
      <c r="A145">
        <v>0</v>
      </c>
      <c r="B145">
        <v>-1.0788235951736391E-2</v>
      </c>
      <c r="C145">
        <v>2.1325870886810261E-3</v>
      </c>
      <c r="D145">
        <v>-9.2802967575266182E-3</v>
      </c>
      <c r="E145">
        <v>1.9047487880123448E-2</v>
      </c>
      <c r="F145">
        <v>0</v>
      </c>
      <c r="G145">
        <v>-4.6082949308754451E-3</v>
      </c>
      <c r="H145">
        <v>4.0356870036464265E-3</v>
      </c>
      <c r="I145">
        <v>-3.3291156345588435E-3</v>
      </c>
      <c r="J145">
        <v>0</v>
      </c>
      <c r="K145">
        <f>SUMPRODUCT(Sheet1!$AV$8:$BE$8,Sheet2!A145:J145)</f>
        <v>1.2533338843773848E-3</v>
      </c>
    </row>
    <row r="146" spans="1:11" x14ac:dyDescent="0.35">
      <c r="A146">
        <v>-1.754385964912264E-2</v>
      </c>
      <c r="B146">
        <v>-1.8187248744732765E-2</v>
      </c>
      <c r="C146">
        <v>-2.1280488392023678E-3</v>
      </c>
      <c r="D146">
        <v>4.9945173972345547E-3</v>
      </c>
      <c r="E146">
        <v>5.0681839683206498E-3</v>
      </c>
      <c r="F146">
        <v>0</v>
      </c>
      <c r="G146">
        <v>-9.2592592592593004E-3</v>
      </c>
      <c r="H146">
        <v>0</v>
      </c>
      <c r="I146">
        <v>1.0723265789083225E-3</v>
      </c>
      <c r="J146">
        <v>4.2944785276073594E-2</v>
      </c>
      <c r="K146">
        <f>SUMPRODUCT(Sheet1!$AV$8:$BE$8,Sheet2!A146:J146)</f>
        <v>-9.2675085808805835E-4</v>
      </c>
    </row>
    <row r="147" spans="1:11" x14ac:dyDescent="0.35">
      <c r="A147">
        <v>1.7857142857142572E-2</v>
      </c>
      <c r="B147">
        <v>0</v>
      </c>
      <c r="C147">
        <v>4.0496638682492314E-3</v>
      </c>
      <c r="D147">
        <v>-3.7256089042053686E-3</v>
      </c>
      <c r="E147">
        <v>0</v>
      </c>
      <c r="F147">
        <v>0</v>
      </c>
      <c r="G147">
        <v>-1.4018691588785215E-2</v>
      </c>
      <c r="H147">
        <v>0</v>
      </c>
      <c r="I147">
        <v>-3.4351567982862097E-3</v>
      </c>
      <c r="J147">
        <v>2.3529411764705799E-2</v>
      </c>
      <c r="K147">
        <f>SUMPRODUCT(Sheet1!$AV$8:$BE$8,Sheet2!A147:J147)</f>
        <v>1.3811954762588941E-3</v>
      </c>
    </row>
    <row r="148" spans="1:11" x14ac:dyDescent="0.35">
      <c r="A148">
        <v>0</v>
      </c>
      <c r="B148">
        <v>0</v>
      </c>
      <c r="C148">
        <v>-6.1573158972157982E-3</v>
      </c>
      <c r="D148">
        <v>0</v>
      </c>
      <c r="E148">
        <v>-5.042627006965672E-3</v>
      </c>
      <c r="F148">
        <v>0</v>
      </c>
      <c r="G148">
        <v>-4.7393364928909332E-3</v>
      </c>
      <c r="H148">
        <v>-1.3350368211767494E-3</v>
      </c>
      <c r="I148">
        <v>0</v>
      </c>
      <c r="J148">
        <v>0</v>
      </c>
      <c r="K148">
        <f>SUMPRODUCT(Sheet1!$AV$8:$BE$8,Sheet2!A148:J148)</f>
        <v>-3.3265074547891541E-3</v>
      </c>
    </row>
    <row r="149" spans="1:11" x14ac:dyDescent="0.35">
      <c r="A149">
        <v>0</v>
      </c>
      <c r="B149">
        <v>-6.1664953751283669E-4</v>
      </c>
      <c r="C149">
        <v>-4.2742894719027813E-3</v>
      </c>
      <c r="D149">
        <v>-9.3488524283643626E-3</v>
      </c>
      <c r="E149">
        <v>-6.3250935924640261E-3</v>
      </c>
      <c r="F149">
        <v>-7.804370447450526E-3</v>
      </c>
      <c r="G149">
        <v>0</v>
      </c>
      <c r="H149">
        <v>-1.3425712971481096E-2</v>
      </c>
      <c r="I149">
        <v>-1.1489992587101594E-2</v>
      </c>
      <c r="J149">
        <v>2.8735632183908066E-2</v>
      </c>
      <c r="K149">
        <f>SUMPRODUCT(Sheet1!$AV$8:$BE$8,Sheet2!A149:J149)</f>
        <v>-7.7725930459938159E-3</v>
      </c>
    </row>
    <row r="150" spans="1:11" x14ac:dyDescent="0.35">
      <c r="A150">
        <v>-1.754385964912264E-2</v>
      </c>
      <c r="B150">
        <v>0</v>
      </c>
      <c r="C150">
        <v>6.4389561704234488E-3</v>
      </c>
      <c r="D150">
        <v>-1.1958126335515074E-2</v>
      </c>
      <c r="E150">
        <v>0</v>
      </c>
      <c r="F150">
        <v>0</v>
      </c>
      <c r="G150">
        <v>-1.4285714285714457E-2</v>
      </c>
      <c r="H150">
        <v>-1.3550135501355642E-3</v>
      </c>
      <c r="I150">
        <v>0</v>
      </c>
      <c r="J150">
        <v>1.6759776536312776E-2</v>
      </c>
      <c r="K150">
        <f>SUMPRODUCT(Sheet1!$AV$8:$BE$8,Sheet2!A150:J150)</f>
        <v>2.9024141305117844E-3</v>
      </c>
    </row>
    <row r="151" spans="1:11" x14ac:dyDescent="0.35">
      <c r="A151">
        <v>-5.3571428571428603E-2</v>
      </c>
      <c r="B151">
        <v>-5.5614973262031464E-3</v>
      </c>
      <c r="C151">
        <v>-5.9699572195952566E-3</v>
      </c>
      <c r="D151">
        <v>-3.5667260211356466E-2</v>
      </c>
      <c r="E151">
        <v>-7.6438665451626919E-3</v>
      </c>
      <c r="F151">
        <v>0</v>
      </c>
      <c r="G151">
        <v>-4.8309178743960457E-3</v>
      </c>
      <c r="H151">
        <v>0</v>
      </c>
      <c r="I151">
        <v>-9.3113360829896186E-3</v>
      </c>
      <c r="J151">
        <v>0</v>
      </c>
      <c r="K151">
        <f>SUMPRODUCT(Sheet1!$AV$8:$BE$8,Sheet2!A151:J151)</f>
        <v>-4.8279847655486726E-3</v>
      </c>
    </row>
    <row r="152" spans="1:11" x14ac:dyDescent="0.35">
      <c r="A152">
        <v>-5.6603773584905759E-2</v>
      </c>
      <c r="B152">
        <v>3.1106772341444877E-3</v>
      </c>
      <c r="C152">
        <v>-2.5757683620573069E-3</v>
      </c>
      <c r="D152">
        <v>-1.1234603711380964E-2</v>
      </c>
      <c r="E152">
        <v>-1.9256863255711965E-2</v>
      </c>
      <c r="F152">
        <v>7.8657577346616936E-3</v>
      </c>
      <c r="G152">
        <v>0</v>
      </c>
      <c r="H152">
        <v>-5.4565880276038481E-3</v>
      </c>
      <c r="I152">
        <v>0</v>
      </c>
      <c r="J152">
        <v>-4.3956043956044022E-2</v>
      </c>
      <c r="K152">
        <f>SUMPRODUCT(Sheet1!$AV$8:$BE$8,Sheet2!A152:J152)</f>
        <v>-1.947675133281757E-3</v>
      </c>
    </row>
    <row r="153" spans="1:11" x14ac:dyDescent="0.35">
      <c r="A153">
        <v>6.0000000000000053E-2</v>
      </c>
      <c r="B153">
        <v>1.2371134020618957E-3</v>
      </c>
      <c r="C153">
        <v>0</v>
      </c>
      <c r="D153">
        <v>-1.8030781119196426E-2</v>
      </c>
      <c r="E153">
        <v>-5.2266756107104406E-3</v>
      </c>
      <c r="F153">
        <v>0</v>
      </c>
      <c r="G153">
        <v>1.4563106796116498E-2</v>
      </c>
      <c r="H153">
        <v>-8.2151187524754921E-3</v>
      </c>
      <c r="I153">
        <v>3.519838516369056E-3</v>
      </c>
      <c r="J153">
        <v>-3.4482758620689724E-2</v>
      </c>
      <c r="K153">
        <f>SUMPRODUCT(Sheet1!$AV$8:$BE$8,Sheet2!A153:J153)</f>
        <v>-1.1712922274017318E-3</v>
      </c>
    </row>
    <row r="154" spans="1:11" x14ac:dyDescent="0.35">
      <c r="A154">
        <v>5.6603773584905648E-2</v>
      </c>
      <c r="B154">
        <v>0</v>
      </c>
      <c r="C154">
        <v>-4.2986263861042318E-3</v>
      </c>
      <c r="D154">
        <v>-3.4027732237450481E-3</v>
      </c>
      <c r="E154">
        <v>2.4992273327526737E-2</v>
      </c>
      <c r="F154">
        <v>0</v>
      </c>
      <c r="G154">
        <v>-1.4354066985645786E-2</v>
      </c>
      <c r="H154">
        <v>-5.531971541408387E-3</v>
      </c>
      <c r="I154">
        <v>0</v>
      </c>
      <c r="J154">
        <v>0</v>
      </c>
      <c r="K154">
        <f>SUMPRODUCT(Sheet1!$AV$8:$BE$8,Sheet2!A154:J154)</f>
        <v>-3.0851339137634142E-3</v>
      </c>
    </row>
    <row r="155" spans="1:11" x14ac:dyDescent="0.35">
      <c r="A155">
        <v>0</v>
      </c>
      <c r="B155">
        <v>0</v>
      </c>
      <c r="C155">
        <v>-1.0817397764186776E-3</v>
      </c>
      <c r="D155">
        <v>5.4615643324023022E-3</v>
      </c>
      <c r="E155">
        <v>-1.1554117953427201E-2</v>
      </c>
      <c r="F155">
        <v>0</v>
      </c>
      <c r="G155">
        <v>1.4563106796116498E-2</v>
      </c>
      <c r="H155">
        <v>0</v>
      </c>
      <c r="I155">
        <v>-3.5074927084380869E-3</v>
      </c>
      <c r="J155">
        <v>-5.9523809523809312E-3</v>
      </c>
      <c r="K155">
        <f>SUMPRODUCT(Sheet1!$AV$8:$BE$8,Sheet2!A155:J155)</f>
        <v>-1.2996172191364712E-3</v>
      </c>
    </row>
    <row r="156" spans="1:11" x14ac:dyDescent="0.35">
      <c r="A156">
        <v>0</v>
      </c>
      <c r="B156">
        <v>0</v>
      </c>
      <c r="C156">
        <v>1.947283099735353E-3</v>
      </c>
      <c r="D156">
        <v>-1.3597923226271735E-3</v>
      </c>
      <c r="E156">
        <v>1.2992595468537704E-2</v>
      </c>
      <c r="F156">
        <v>0</v>
      </c>
      <c r="G156">
        <v>1.4354066985646119E-2</v>
      </c>
      <c r="H156">
        <v>1.3891987565630037E-2</v>
      </c>
      <c r="I156">
        <v>-2.346559010912741E-3</v>
      </c>
      <c r="J156">
        <v>4.1916167664670656E-2</v>
      </c>
      <c r="K156">
        <f>SUMPRODUCT(Sheet1!$AV$8:$BE$8,Sheet2!A156:J156)</f>
        <v>3.6378997989517589E-3</v>
      </c>
    </row>
    <row r="157" spans="1:11" x14ac:dyDescent="0.35">
      <c r="A157">
        <v>0</v>
      </c>
      <c r="B157">
        <v>0</v>
      </c>
      <c r="C157">
        <v>-1.9434985578393738E-3</v>
      </c>
      <c r="D157">
        <v>0</v>
      </c>
      <c r="E157">
        <v>-2.5734036000274463E-3</v>
      </c>
      <c r="F157">
        <v>0</v>
      </c>
      <c r="G157">
        <v>0</v>
      </c>
      <c r="H157">
        <v>0</v>
      </c>
      <c r="I157">
        <v>0</v>
      </c>
      <c r="J157">
        <v>0</v>
      </c>
      <c r="K157">
        <f>SUMPRODUCT(Sheet1!$AV$8:$BE$8,Sheet2!A157:J157)</f>
        <v>-9.6818754498649475E-4</v>
      </c>
    </row>
    <row r="158" spans="1:11" x14ac:dyDescent="0.35">
      <c r="A158">
        <v>-5.3571428571428603E-2</v>
      </c>
      <c r="B158">
        <v>-1.0510708401976987E-2</v>
      </c>
      <c r="C158">
        <v>8.0011481468191814E-3</v>
      </c>
      <c r="D158">
        <v>-7.478119038257125E-3</v>
      </c>
      <c r="E158">
        <v>-8.9889799223242806E-3</v>
      </c>
      <c r="F158">
        <v>0</v>
      </c>
      <c r="G158">
        <v>0</v>
      </c>
      <c r="H158">
        <v>-1.3701644490735965E-2</v>
      </c>
      <c r="I158">
        <v>2.3533428596719697E-2</v>
      </c>
      <c r="J158">
        <v>0</v>
      </c>
      <c r="K158">
        <f>SUMPRODUCT(Sheet1!$AV$8:$BE$8,Sheet2!A158:J158)</f>
        <v>5.316143383516902E-3</v>
      </c>
    </row>
    <row r="159" spans="1:11" x14ac:dyDescent="0.35">
      <c r="A159">
        <v>1.8867924528301883E-2</v>
      </c>
      <c r="B159">
        <v>-8.1249375645167099E-3</v>
      </c>
      <c r="C159">
        <v>3.860416653183707E-3</v>
      </c>
      <c r="D159">
        <v>-4.1780686245020404E-2</v>
      </c>
      <c r="E159">
        <v>-1.1673960006647111E-2</v>
      </c>
      <c r="F159">
        <v>-1.5608740894901274E-3</v>
      </c>
      <c r="G159">
        <v>-4.7169811320755262E-3</v>
      </c>
      <c r="H159">
        <v>1.2508738268409925E-2</v>
      </c>
      <c r="I159">
        <v>-2.5290338522362066E-2</v>
      </c>
      <c r="J159">
        <v>0</v>
      </c>
      <c r="K159">
        <f>SUMPRODUCT(Sheet1!$AV$8:$BE$8,Sheet2!A159:J159)</f>
        <v>-6.4111723097592856E-4</v>
      </c>
    </row>
    <row r="160" spans="1:11" x14ac:dyDescent="0.35">
      <c r="A160">
        <v>-3.703703703703709E-2</v>
      </c>
      <c r="B160">
        <v>1.2597777553966516E-2</v>
      </c>
      <c r="C160">
        <v>-6.411434207854283E-3</v>
      </c>
      <c r="D160">
        <v>-2.7876458518359626E-2</v>
      </c>
      <c r="E160">
        <v>-5.2543821547169633E-3</v>
      </c>
      <c r="F160">
        <v>1.5633142261595179E-3</v>
      </c>
      <c r="G160">
        <v>1.8957345971563955E-2</v>
      </c>
      <c r="H160">
        <v>0</v>
      </c>
      <c r="I160">
        <v>2.3576236167972553E-3</v>
      </c>
      <c r="J160">
        <v>0</v>
      </c>
      <c r="K160">
        <f>SUMPRODUCT(Sheet1!$AV$8:$BE$8,Sheet2!A160:J160)</f>
        <v>-2.4184784235347905E-3</v>
      </c>
    </row>
    <row r="161" spans="1:11" x14ac:dyDescent="0.35">
      <c r="A161">
        <v>-1.9230769230769273E-2</v>
      </c>
      <c r="B161">
        <v>-1.6800802327412545E-2</v>
      </c>
      <c r="C161">
        <v>1.9368150584939681E-3</v>
      </c>
      <c r="D161">
        <v>2.8675839364894262E-2</v>
      </c>
      <c r="E161">
        <v>1.5832323858354203E-2</v>
      </c>
      <c r="F161">
        <v>0</v>
      </c>
      <c r="G161">
        <v>9.302325581395321E-3</v>
      </c>
      <c r="H161">
        <v>0</v>
      </c>
      <c r="I161">
        <v>0</v>
      </c>
      <c r="J161">
        <v>-5.7471264367816577E-3</v>
      </c>
      <c r="K161">
        <f>SUMPRODUCT(Sheet1!$AV$8:$BE$8,Sheet2!A161:J161)</f>
        <v>8.2527221692511583E-4</v>
      </c>
    </row>
    <row r="162" spans="1:11" x14ac:dyDescent="0.35">
      <c r="A162">
        <v>1.9607843137254832E-2</v>
      </c>
      <c r="B162">
        <v>0</v>
      </c>
      <c r="C162">
        <v>-1.266372010944361E-2</v>
      </c>
      <c r="D162">
        <v>2.1445196459743521E-2</v>
      </c>
      <c r="E162">
        <v>-1.2895532322028114E-3</v>
      </c>
      <c r="F162">
        <v>0</v>
      </c>
      <c r="G162">
        <v>1.3824884792626779E-2</v>
      </c>
      <c r="H162">
        <v>-1.3808502511972742E-3</v>
      </c>
      <c r="I162">
        <v>0</v>
      </c>
      <c r="J162">
        <v>0</v>
      </c>
      <c r="K162">
        <f>SUMPRODUCT(Sheet1!$AV$8:$BE$8,Sheet2!A162:J162)</f>
        <v>-6.4870591058563071E-3</v>
      </c>
    </row>
    <row r="163" spans="1:11" x14ac:dyDescent="0.35">
      <c r="A163">
        <v>1.9230769230769162E-2</v>
      </c>
      <c r="B163">
        <v>0</v>
      </c>
      <c r="C163">
        <v>1.2826146843147868E-2</v>
      </c>
      <c r="D163">
        <v>1.3994138502244846E-2</v>
      </c>
      <c r="E163">
        <v>1.2912183269697675E-3</v>
      </c>
      <c r="F163">
        <v>6.070065903572619E-3</v>
      </c>
      <c r="G163">
        <v>0</v>
      </c>
      <c r="H163">
        <v>2.7508090614887237E-3</v>
      </c>
      <c r="I163">
        <v>-2.3520783014453484E-3</v>
      </c>
      <c r="J163">
        <v>0</v>
      </c>
      <c r="K163">
        <f>SUMPRODUCT(Sheet1!$AV$8:$BE$8,Sheet2!A163:J163)</f>
        <v>6.9266406683437661E-3</v>
      </c>
    </row>
    <row r="164" spans="1:11" x14ac:dyDescent="0.35">
      <c r="A164">
        <v>-3.7735849056603765E-2</v>
      </c>
      <c r="B164">
        <v>1.7087892633744106E-2</v>
      </c>
      <c r="C164">
        <v>-1.266372010944361E-2</v>
      </c>
      <c r="D164">
        <v>0</v>
      </c>
      <c r="E164">
        <v>-1.2895532322028114E-3</v>
      </c>
      <c r="F164">
        <v>0</v>
      </c>
      <c r="G164">
        <v>4.5454545454544082E-3</v>
      </c>
      <c r="H164">
        <v>0</v>
      </c>
      <c r="I164">
        <v>-3.536435425196216E-3</v>
      </c>
      <c r="J164">
        <v>0</v>
      </c>
      <c r="K164">
        <f>SUMPRODUCT(Sheet1!$AV$8:$BE$8,Sheet2!A164:J164)</f>
        <v>-6.6469327677507488E-3</v>
      </c>
    </row>
    <row r="165" spans="1:11" x14ac:dyDescent="0.35">
      <c r="A165">
        <v>-1.9607843137254943E-2</v>
      </c>
      <c r="B165">
        <v>-7.4679442017753228E-3</v>
      </c>
      <c r="C165">
        <v>1.3042594220199044E-2</v>
      </c>
      <c r="D165">
        <v>0</v>
      </c>
      <c r="E165">
        <v>6.4977438389448583E-3</v>
      </c>
      <c r="F165">
        <v>0</v>
      </c>
      <c r="G165">
        <v>-4.5248868778279272E-3</v>
      </c>
      <c r="H165">
        <v>0</v>
      </c>
      <c r="I165">
        <v>5.9149769761110971E-3</v>
      </c>
      <c r="J165">
        <v>0</v>
      </c>
      <c r="K165">
        <f>SUMPRODUCT(Sheet1!$AV$8:$BE$8,Sheet2!A165:J165)</f>
        <v>7.4523746020265062E-3</v>
      </c>
    </row>
    <row r="166" spans="1:11" x14ac:dyDescent="0.35">
      <c r="A166">
        <v>6.0000000000000053E-2</v>
      </c>
      <c r="B166">
        <v>-1.4413601897317774E-2</v>
      </c>
      <c r="C166">
        <v>-4.506298134353659E-3</v>
      </c>
      <c r="D166">
        <v>-1.1731224127735085E-2</v>
      </c>
      <c r="E166">
        <v>-5.1729132467961403E-3</v>
      </c>
      <c r="F166">
        <v>0</v>
      </c>
      <c r="G166">
        <v>2.7272727272727115E-2</v>
      </c>
      <c r="H166">
        <v>0</v>
      </c>
      <c r="I166">
        <v>0</v>
      </c>
      <c r="J166">
        <v>0</v>
      </c>
      <c r="K166">
        <f>SUMPRODUCT(Sheet1!$AV$8:$BE$8,Sheet2!A166:J166)</f>
        <v>-2.4293448520748035E-3</v>
      </c>
    </row>
    <row r="167" spans="1:11" x14ac:dyDescent="0.35">
      <c r="A167">
        <v>1.8867924528301883E-2</v>
      </c>
      <c r="B167">
        <v>2.1623087221026571E-2</v>
      </c>
      <c r="C167">
        <v>2.1462786455028748E-4</v>
      </c>
      <c r="D167">
        <v>4.8918043577448334E-3</v>
      </c>
      <c r="E167">
        <v>0</v>
      </c>
      <c r="F167">
        <v>-3.102913290811915E-3</v>
      </c>
      <c r="G167">
        <v>4.4247787610620648E-3</v>
      </c>
      <c r="H167">
        <v>9.5940851144982187E-3</v>
      </c>
      <c r="I167">
        <v>0</v>
      </c>
      <c r="J167">
        <v>0</v>
      </c>
      <c r="K167">
        <f>SUMPRODUCT(Sheet1!$AV$8:$BE$8,Sheet2!A167:J167)</f>
        <v>2.1494201440468881E-3</v>
      </c>
    </row>
    <row r="168" spans="1:11" x14ac:dyDescent="0.35">
      <c r="A168">
        <v>1.8518518518518601E-2</v>
      </c>
      <c r="B168">
        <v>-4.3541725413439591E-3</v>
      </c>
      <c r="C168">
        <v>0</v>
      </c>
      <c r="D168">
        <v>-2.7838358876640656E-3</v>
      </c>
      <c r="E168">
        <v>-6.4893646523752624E-3</v>
      </c>
      <c r="F168">
        <v>0</v>
      </c>
      <c r="G168">
        <v>0</v>
      </c>
      <c r="H168">
        <v>-9.5029133549353606E-3</v>
      </c>
      <c r="I168">
        <v>2.2357389445996967E-2</v>
      </c>
      <c r="J168">
        <v>0</v>
      </c>
      <c r="K168">
        <f>SUMPRODUCT(Sheet1!$AV$8:$BE$8,Sheet2!A168:J168)</f>
        <v>2.1685553292525219E-3</v>
      </c>
    </row>
    <row r="169" spans="1:11" x14ac:dyDescent="0.35">
      <c r="A169">
        <v>3.6363636363636154E-2</v>
      </c>
      <c r="B169">
        <v>6.2474489583430604E-4</v>
      </c>
      <c r="C169">
        <v>-1.0761602861091291E-3</v>
      </c>
      <c r="D169">
        <v>-2.5781314145387535E-2</v>
      </c>
      <c r="E169">
        <v>0</v>
      </c>
      <c r="F169">
        <v>-2.9396507003286443E-3</v>
      </c>
      <c r="G169">
        <v>-1.3215859030836885E-2</v>
      </c>
      <c r="H169">
        <v>1.0958381621605673E-2</v>
      </c>
      <c r="I169">
        <v>-1.0352888789936565E-2</v>
      </c>
      <c r="J169">
        <v>5.7803468208093012E-3</v>
      </c>
      <c r="K169">
        <f>SUMPRODUCT(Sheet1!$AV$8:$BE$8,Sheet2!A169:J169)</f>
        <v>-4.2317470244657808E-4</v>
      </c>
    </row>
    <row r="170" spans="1:11" x14ac:dyDescent="0.35">
      <c r="A170">
        <v>-1.754385964912264E-2</v>
      </c>
      <c r="B170">
        <v>-1.8813892311276836E-3</v>
      </c>
      <c r="C170">
        <v>-5.3931077580032794E-3</v>
      </c>
      <c r="D170">
        <v>-3.505236785448862E-2</v>
      </c>
      <c r="E170">
        <v>6.5317515701326379E-3</v>
      </c>
      <c r="F170">
        <v>0</v>
      </c>
      <c r="G170">
        <v>0</v>
      </c>
      <c r="H170">
        <v>0</v>
      </c>
      <c r="I170">
        <v>0</v>
      </c>
      <c r="J170">
        <v>0</v>
      </c>
      <c r="K170">
        <f>SUMPRODUCT(Sheet1!$AV$8:$BE$8,Sheet2!A170:J170)</f>
        <v>-2.6115701558915572E-3</v>
      </c>
    </row>
    <row r="171" spans="1:11" x14ac:dyDescent="0.35">
      <c r="A171">
        <v>0</v>
      </c>
      <c r="B171">
        <v>-5.6297853175200085E-3</v>
      </c>
      <c r="C171">
        <v>-6.5087847323348491E-3</v>
      </c>
      <c r="D171">
        <v>-1.4085625357301734E-2</v>
      </c>
      <c r="E171">
        <v>-2.5929726281926913E-3</v>
      </c>
      <c r="F171">
        <v>-1.5608740894901274E-3</v>
      </c>
      <c r="G171">
        <v>4.4642857142855874E-3</v>
      </c>
      <c r="H171">
        <v>-1.0839597179092775E-2</v>
      </c>
      <c r="I171">
        <v>-5.824271966004213E-3</v>
      </c>
      <c r="J171">
        <v>0</v>
      </c>
      <c r="K171">
        <f>SUMPRODUCT(Sheet1!$AV$8:$BE$8,Sheet2!A171:J171)</f>
        <v>-6.8102633226004711E-3</v>
      </c>
    </row>
    <row r="172" spans="1:11" x14ac:dyDescent="0.35">
      <c r="A172">
        <v>0</v>
      </c>
      <c r="B172">
        <v>-8.1863398840827939E-3</v>
      </c>
      <c r="C172">
        <v>-2.1739273644749701E-4</v>
      </c>
      <c r="D172">
        <v>-3.7609728597889358E-3</v>
      </c>
      <c r="E172">
        <v>2.2132321252311238E-2</v>
      </c>
      <c r="F172">
        <v>0</v>
      </c>
      <c r="G172">
        <v>4.444444444444251E-3</v>
      </c>
      <c r="H172">
        <v>0</v>
      </c>
      <c r="I172">
        <v>-2.3383284722919839E-3</v>
      </c>
      <c r="J172">
        <v>0</v>
      </c>
      <c r="K172">
        <f>SUMPRODUCT(Sheet1!$AV$8:$BE$8,Sheet2!A172:J172)</f>
        <v>-5.0010782864168041E-4</v>
      </c>
    </row>
    <row r="173" spans="1:11" x14ac:dyDescent="0.35">
      <c r="A173">
        <v>0</v>
      </c>
      <c r="B173">
        <v>-2.5395993133018213E-2</v>
      </c>
      <c r="C173">
        <v>-8.7305457085251614E-4</v>
      </c>
      <c r="D173">
        <v>7.5503423522469415E-3</v>
      </c>
      <c r="E173">
        <v>-6.3653550589610752E-3</v>
      </c>
      <c r="F173">
        <v>0</v>
      </c>
      <c r="G173">
        <v>-4.4247787610618428E-3</v>
      </c>
      <c r="H173">
        <v>-6.8508222453680379E-3</v>
      </c>
      <c r="I173">
        <v>-1.1719045338844936E-3</v>
      </c>
      <c r="J173">
        <v>0</v>
      </c>
      <c r="K173">
        <f>SUMPRODUCT(Sheet1!$AV$8:$BE$8,Sheet2!A173:J173)</f>
        <v>-2.4789763536492856E-3</v>
      </c>
    </row>
    <row r="174" spans="1:11" x14ac:dyDescent="0.35">
      <c r="A174">
        <v>0</v>
      </c>
      <c r="B174">
        <v>1.5636388879247454E-2</v>
      </c>
      <c r="C174">
        <v>3.2776398355245373E-3</v>
      </c>
      <c r="D174">
        <v>-3.746880942256281E-3</v>
      </c>
      <c r="E174">
        <v>5.1194305660118289E-3</v>
      </c>
      <c r="F174">
        <v>0</v>
      </c>
      <c r="G174">
        <v>-8.8888888888889461E-3</v>
      </c>
      <c r="H174">
        <v>4.1358936484490183E-3</v>
      </c>
      <c r="I174">
        <v>8.2255724468554003E-3</v>
      </c>
      <c r="J174">
        <v>-3.4482758620689724E-2</v>
      </c>
      <c r="K174">
        <f>SUMPRODUCT(Sheet1!$AV$8:$BE$8,Sheet2!A174:J174)</f>
        <v>4.2039683394445304E-3</v>
      </c>
    </row>
    <row r="175" spans="1:11" x14ac:dyDescent="0.35">
      <c r="A175">
        <v>0</v>
      </c>
      <c r="B175">
        <v>-3.4003725031184318E-2</v>
      </c>
      <c r="C175">
        <v>-1.0878817857037371E-3</v>
      </c>
      <c r="D175">
        <v>1.6541837803011994E-2</v>
      </c>
      <c r="E175">
        <v>1.0213948167617781E-2</v>
      </c>
      <c r="F175">
        <v>0</v>
      </c>
      <c r="G175">
        <v>0</v>
      </c>
      <c r="H175">
        <v>0</v>
      </c>
      <c r="I175">
        <v>-9.3221717531938308E-3</v>
      </c>
      <c r="J175">
        <v>-4.1666666666666519E-2</v>
      </c>
      <c r="K175">
        <f>SUMPRODUCT(Sheet1!$AV$8:$BE$8,Sheet2!A175:J175)</f>
        <v>-2.7973681721210493E-3</v>
      </c>
    </row>
    <row r="176" spans="1:11" x14ac:dyDescent="0.35">
      <c r="A176">
        <v>-3.5714285714285698E-2</v>
      </c>
      <c r="B176">
        <v>2.6568552880618324E-2</v>
      </c>
      <c r="C176">
        <v>-9.1600039482776507E-3</v>
      </c>
      <c r="D176">
        <v>-3.6997718341996721E-3</v>
      </c>
      <c r="E176">
        <v>0</v>
      </c>
      <c r="F176">
        <v>0</v>
      </c>
      <c r="G176">
        <v>0</v>
      </c>
      <c r="H176">
        <v>-8.2377169755810664E-3</v>
      </c>
      <c r="I176">
        <v>0</v>
      </c>
      <c r="J176">
        <v>0</v>
      </c>
      <c r="K176">
        <f>SUMPRODUCT(Sheet1!$AV$8:$BE$8,Sheet2!A176:J176)</f>
        <v>-5.8630986308936348E-3</v>
      </c>
    </row>
    <row r="177" spans="1:11" x14ac:dyDescent="0.35">
      <c r="A177">
        <v>3.7037037037036979E-2</v>
      </c>
      <c r="B177">
        <v>-6.5477728956664372E-4</v>
      </c>
      <c r="C177">
        <v>-6.6080904278986718E-4</v>
      </c>
      <c r="D177">
        <v>-4.4530324355701589E-3</v>
      </c>
      <c r="E177">
        <v>7.5762682160718242E-3</v>
      </c>
      <c r="F177">
        <v>0</v>
      </c>
      <c r="G177">
        <v>-1.3452914798206206E-2</v>
      </c>
      <c r="H177">
        <v>8.3061406110946923E-3</v>
      </c>
      <c r="I177">
        <v>0</v>
      </c>
      <c r="J177">
        <v>0</v>
      </c>
      <c r="K177">
        <f>SUMPRODUCT(Sheet1!$AV$8:$BE$8,Sheet2!A177:J177)</f>
        <v>1.4776127175324088E-3</v>
      </c>
    </row>
    <row r="178" spans="1:11" x14ac:dyDescent="0.35">
      <c r="A178">
        <v>-1.7857142857142905E-2</v>
      </c>
      <c r="B178">
        <v>-6.4658516819826595E-4</v>
      </c>
      <c r="C178">
        <v>-2.2263056285654059E-4</v>
      </c>
      <c r="D178">
        <v>5.2237673426680509E-3</v>
      </c>
      <c r="E178">
        <v>2.5019734817570694E-3</v>
      </c>
      <c r="F178">
        <v>-1.5633142261594069E-3</v>
      </c>
      <c r="G178">
        <v>4.5454545454544082E-3</v>
      </c>
      <c r="H178">
        <v>2.7508090614887237E-3</v>
      </c>
      <c r="I178">
        <v>4.698630829080841E-3</v>
      </c>
      <c r="J178">
        <v>0</v>
      </c>
      <c r="K178">
        <f>SUMPRODUCT(Sheet1!$AV$8:$BE$8,Sheet2!A178:J178)</f>
        <v>1.2469830410627761E-3</v>
      </c>
    </row>
    <row r="179" spans="1:11" x14ac:dyDescent="0.35">
      <c r="A179">
        <v>5.4545454545454453E-2</v>
      </c>
      <c r="B179">
        <v>-9.0666758684944115E-3</v>
      </c>
      <c r="C179">
        <v>-2.2002127093858626E-3</v>
      </c>
      <c r="D179">
        <v>-5.9355904998767972E-3</v>
      </c>
      <c r="E179">
        <v>0</v>
      </c>
      <c r="F179">
        <v>-1.5657620041754639E-3</v>
      </c>
      <c r="G179">
        <v>-4.5248868778279272E-3</v>
      </c>
      <c r="H179">
        <v>0</v>
      </c>
      <c r="I179">
        <v>-5.8458211807301819E-3</v>
      </c>
      <c r="J179">
        <v>-3.1055900621118071E-2</v>
      </c>
      <c r="K179">
        <f>SUMPRODUCT(Sheet1!$AV$8:$BE$8,Sheet2!A179:J179)</f>
        <v>-2.5278929071958431E-3</v>
      </c>
    </row>
    <row r="180" spans="1:11" x14ac:dyDescent="0.35">
      <c r="A180">
        <v>1.7241379310344751E-2</v>
      </c>
      <c r="B180">
        <v>-7.1908625552808969E-3</v>
      </c>
      <c r="C180">
        <v>-6.4053454489737538E-3</v>
      </c>
      <c r="D180">
        <v>-7.5137485611975752E-4</v>
      </c>
      <c r="E180">
        <v>0</v>
      </c>
      <c r="F180">
        <v>0</v>
      </c>
      <c r="G180">
        <v>0</v>
      </c>
      <c r="H180">
        <v>-1.3642965071074542E-3</v>
      </c>
      <c r="I180">
        <v>4.7041566028909187E-3</v>
      </c>
      <c r="J180">
        <v>-4.4871794871794934E-2</v>
      </c>
      <c r="K180">
        <f>SUMPRODUCT(Sheet1!$AV$8:$BE$8,Sheet2!A180:J180)</f>
        <v>-2.7268936157580845E-3</v>
      </c>
    </row>
    <row r="181" spans="1:11" x14ac:dyDescent="0.35">
      <c r="A181">
        <v>3.3898305084745894E-2</v>
      </c>
      <c r="B181">
        <v>-6.5765244383653165E-4</v>
      </c>
      <c r="C181">
        <v>-2.2222967196902421E-2</v>
      </c>
      <c r="D181">
        <v>2.3158147348212088E-2</v>
      </c>
      <c r="E181">
        <v>-6.2459961563100519E-3</v>
      </c>
      <c r="F181">
        <v>-4.7046523784631811E-3</v>
      </c>
      <c r="G181">
        <v>-1.8181818181818188E-2</v>
      </c>
      <c r="H181">
        <v>-1.3808502511972742E-3</v>
      </c>
      <c r="I181">
        <v>-4.6821311248442798E-3</v>
      </c>
      <c r="J181">
        <v>-2.684563758389269E-2</v>
      </c>
      <c r="K181">
        <f>SUMPRODUCT(Sheet1!$AV$8:$BE$8,Sheet2!A181:J181)</f>
        <v>-1.2570930540295575E-2</v>
      </c>
    </row>
    <row r="182" spans="1:11" x14ac:dyDescent="0.35">
      <c r="A182">
        <v>-1.6393442622950838E-2</v>
      </c>
      <c r="B182">
        <v>-1.1854308703396543E-2</v>
      </c>
      <c r="C182">
        <v>-4.5428675265543061E-3</v>
      </c>
      <c r="D182">
        <v>0</v>
      </c>
      <c r="E182">
        <v>-7.5476766048884203E-3</v>
      </c>
      <c r="F182">
        <v>1.5756302521008347E-3</v>
      </c>
      <c r="G182">
        <v>-1.3888888888888951E-2</v>
      </c>
      <c r="H182">
        <v>0</v>
      </c>
      <c r="I182">
        <v>-1.1760391507226964E-2</v>
      </c>
      <c r="J182">
        <v>-4.1379310344827669E-2</v>
      </c>
      <c r="K182">
        <f>SUMPRODUCT(Sheet1!$AV$8:$BE$8,Sheet2!A182:J182)</f>
        <v>-4.6532458101669113E-3</v>
      </c>
    </row>
    <row r="183" spans="1:11" x14ac:dyDescent="0.35">
      <c r="A183">
        <v>-1.6666666666666718E-2</v>
      </c>
      <c r="B183">
        <v>0</v>
      </c>
      <c r="C183">
        <v>-4.5663547346051603E-2</v>
      </c>
      <c r="D183">
        <v>-2.7739337789765783E-2</v>
      </c>
      <c r="E183">
        <v>-1.3951663103196399E-2</v>
      </c>
      <c r="F183">
        <v>0</v>
      </c>
      <c r="G183">
        <v>-1.8779342723004744E-2</v>
      </c>
      <c r="H183">
        <v>-3.8452486025301602E-2</v>
      </c>
      <c r="I183">
        <v>0</v>
      </c>
      <c r="J183">
        <v>-1.4388489208632893E-2</v>
      </c>
      <c r="K183">
        <f>SUMPRODUCT(Sheet1!$AV$8:$BE$8,Sheet2!A183:J183)</f>
        <v>-3.0563659512006583E-2</v>
      </c>
    </row>
    <row r="184" spans="1:11" x14ac:dyDescent="0.35">
      <c r="A184">
        <v>0</v>
      </c>
      <c r="B184">
        <v>0</v>
      </c>
      <c r="C184">
        <v>-7.1783545002761517E-3</v>
      </c>
      <c r="D184">
        <v>6.0068994909816542E-3</v>
      </c>
      <c r="E184">
        <v>0</v>
      </c>
      <c r="F184">
        <v>3.1463030938647663E-3</v>
      </c>
      <c r="G184">
        <v>-4.7846889952152249E-3</v>
      </c>
      <c r="H184">
        <v>0</v>
      </c>
      <c r="I184">
        <v>-1.1900344214257341E-2</v>
      </c>
      <c r="J184">
        <v>-1.4598540145985384E-2</v>
      </c>
      <c r="K184">
        <f>SUMPRODUCT(Sheet1!$AV$8:$BE$8,Sheet2!A184:J184)</f>
        <v>-5.5520016092926493E-3</v>
      </c>
    </row>
    <row r="185" spans="1:11" x14ac:dyDescent="0.35">
      <c r="A185">
        <v>3.3898305084745894E-2</v>
      </c>
      <c r="B185">
        <v>0</v>
      </c>
      <c r="C185">
        <v>-2.4093582557235038E-2</v>
      </c>
      <c r="D185">
        <v>-7.5137485611975752E-4</v>
      </c>
      <c r="E185">
        <v>-1.027900146842875E-2</v>
      </c>
      <c r="F185">
        <v>0</v>
      </c>
      <c r="G185">
        <v>0</v>
      </c>
      <c r="H185">
        <v>0</v>
      </c>
      <c r="I185">
        <v>1.806550201375301E-2</v>
      </c>
      <c r="J185">
        <v>-3.703703703703709E-2</v>
      </c>
      <c r="K185">
        <f>SUMPRODUCT(Sheet1!$AV$8:$BE$8,Sheet2!A185:J185)</f>
        <v>-8.4816865821338988E-3</v>
      </c>
    </row>
    <row r="186" spans="1:11" x14ac:dyDescent="0.35">
      <c r="A186">
        <v>0</v>
      </c>
      <c r="B186">
        <v>-1.3337358812246958E-2</v>
      </c>
      <c r="C186">
        <v>2.4196732547138389E-2</v>
      </c>
      <c r="D186">
        <v>-5.9675225981921098E-3</v>
      </c>
      <c r="E186">
        <v>1.1689176072547713E-2</v>
      </c>
      <c r="F186">
        <v>-1.568217459487653E-3</v>
      </c>
      <c r="G186">
        <v>0</v>
      </c>
      <c r="H186">
        <v>0</v>
      </c>
      <c r="I186">
        <v>0</v>
      </c>
      <c r="J186">
        <v>-2.3076923076923106E-2</v>
      </c>
      <c r="K186">
        <f>SUMPRODUCT(Sheet1!$AV$8:$BE$8,Sheet2!A186:J186)</f>
        <v>1.153517629414787E-2</v>
      </c>
    </row>
    <row r="187" spans="1:11" x14ac:dyDescent="0.35">
      <c r="A187">
        <v>-4.9180327868852514E-2</v>
      </c>
      <c r="B187">
        <v>1.3517648541137905E-2</v>
      </c>
      <c r="C187">
        <v>-9.6376953906363028E-4</v>
      </c>
      <c r="D187">
        <v>-7.5645400115875727E-4</v>
      </c>
      <c r="E187">
        <v>-1.1554117953427201E-2</v>
      </c>
      <c r="F187">
        <v>0</v>
      </c>
      <c r="G187">
        <v>-1.4423076923077094E-2</v>
      </c>
      <c r="H187">
        <v>-2.0010402961784357E-2</v>
      </c>
      <c r="I187">
        <v>0</v>
      </c>
      <c r="J187">
        <v>7.8740157480314821E-3</v>
      </c>
      <c r="K187">
        <f>SUMPRODUCT(Sheet1!$AV$8:$BE$8,Sheet2!A187:J187)</f>
        <v>-4.5813488288433289E-3</v>
      </c>
    </row>
    <row r="188" spans="1:11" x14ac:dyDescent="0.35">
      <c r="A188">
        <v>1.7241379310344751E-2</v>
      </c>
      <c r="B188">
        <v>0</v>
      </c>
      <c r="C188">
        <v>-2.1733036764143288E-3</v>
      </c>
      <c r="D188">
        <v>0</v>
      </c>
      <c r="E188">
        <v>0</v>
      </c>
      <c r="F188">
        <v>-1.5706806282722585E-3</v>
      </c>
      <c r="G188">
        <v>4.8780487804878092E-3</v>
      </c>
      <c r="H188">
        <v>1.4674201504885076E-3</v>
      </c>
      <c r="I188">
        <v>-5.9149769761110971E-3</v>
      </c>
      <c r="J188">
        <v>1.5625E-2</v>
      </c>
      <c r="K188">
        <f>SUMPRODUCT(Sheet1!$AV$8:$BE$8,Sheet2!A188:J188)</f>
        <v>-1.978765972324562E-3</v>
      </c>
    </row>
    <row r="189" spans="1:11" x14ac:dyDescent="0.35">
      <c r="A189">
        <v>0</v>
      </c>
      <c r="B189">
        <v>1.9997158485472788E-2</v>
      </c>
      <c r="C189">
        <v>2.7811017876687272E-2</v>
      </c>
      <c r="D189">
        <v>-2.255778368365946E-2</v>
      </c>
      <c r="E189">
        <v>0</v>
      </c>
      <c r="F189">
        <v>-2.9715084775389089E-3</v>
      </c>
      <c r="G189">
        <v>0</v>
      </c>
      <c r="H189">
        <v>1.8923805960842977E-2</v>
      </c>
      <c r="I189">
        <v>0</v>
      </c>
      <c r="J189">
        <v>3.8461538461538547E-2</v>
      </c>
      <c r="K189">
        <f>SUMPRODUCT(Sheet1!$AV$8:$BE$8,Sheet2!A189:J189)</f>
        <v>1.7688569119518605E-2</v>
      </c>
    </row>
    <row r="190" spans="1:11" x14ac:dyDescent="0.35">
      <c r="A190">
        <v>-5.0847457627118509E-2</v>
      </c>
      <c r="B190">
        <v>0</v>
      </c>
      <c r="C190">
        <v>0</v>
      </c>
      <c r="D190">
        <v>-2.3844639075876084E-2</v>
      </c>
      <c r="E190">
        <v>4.5453284894201085E-2</v>
      </c>
      <c r="F190">
        <v>1.4025245441795509E-3</v>
      </c>
      <c r="G190">
        <v>0</v>
      </c>
      <c r="H190">
        <v>0</v>
      </c>
      <c r="I190">
        <v>0</v>
      </c>
      <c r="J190">
        <v>4.4444444444444287E-2</v>
      </c>
      <c r="K190">
        <f>SUMPRODUCT(Sheet1!$AV$8:$BE$8,Sheet2!A190:J190)</f>
        <v>5.6704249750990136E-4</v>
      </c>
    </row>
    <row r="191" spans="1:11" x14ac:dyDescent="0.35">
      <c r="A191">
        <v>-3.5714285714285698E-2</v>
      </c>
      <c r="B191">
        <v>-5.8763101995334965E-3</v>
      </c>
      <c r="C191">
        <v>0</v>
      </c>
      <c r="D191">
        <v>-1.8121966659632838E-2</v>
      </c>
      <c r="E191">
        <v>-1.8634940845668191E-2</v>
      </c>
      <c r="F191">
        <v>-1.4005602240896309E-3</v>
      </c>
      <c r="G191">
        <v>0</v>
      </c>
      <c r="H191">
        <v>0</v>
      </c>
      <c r="I191">
        <v>0</v>
      </c>
      <c r="J191">
        <v>2.1276595744680771E-2</v>
      </c>
      <c r="K191">
        <f>SUMPRODUCT(Sheet1!$AV$8:$BE$8,Sheet2!A191:J191)</f>
        <v>-2.7927297699727134E-4</v>
      </c>
    </row>
    <row r="192" spans="1:11" x14ac:dyDescent="0.35">
      <c r="A192">
        <v>1.8518518518518601E-2</v>
      </c>
      <c r="B192">
        <v>0</v>
      </c>
      <c r="C192">
        <v>-7.0565768503103588E-3</v>
      </c>
      <c r="D192">
        <v>8.0204250051578718E-3</v>
      </c>
      <c r="E192">
        <v>-3.7977591869280403E-3</v>
      </c>
      <c r="F192">
        <v>0</v>
      </c>
      <c r="G192">
        <v>0</v>
      </c>
      <c r="H192">
        <v>-4.2835724994645386E-3</v>
      </c>
      <c r="I192">
        <v>0</v>
      </c>
      <c r="J192">
        <v>3.4722222222222321E-2</v>
      </c>
      <c r="K192">
        <f>SUMPRODUCT(Sheet1!$AV$8:$BE$8,Sheet2!A192:J192)</f>
        <v>-4.2898459455140625E-3</v>
      </c>
    </row>
    <row r="193" spans="1:11" x14ac:dyDescent="0.35">
      <c r="A193">
        <v>3.6363636363636154E-2</v>
      </c>
      <c r="B193">
        <v>4.5361799760055499E-2</v>
      </c>
      <c r="C193">
        <v>7.1067260085437844E-3</v>
      </c>
      <c r="D193">
        <v>-4.7756713655862093E-3</v>
      </c>
      <c r="E193">
        <v>3.8122371455704407E-3</v>
      </c>
      <c r="F193">
        <v>0</v>
      </c>
      <c r="G193">
        <v>0</v>
      </c>
      <c r="H193">
        <v>-1.0048243861967343E-2</v>
      </c>
      <c r="I193">
        <v>-1.1900344214257341E-2</v>
      </c>
      <c r="J193">
        <v>4.0268456375838868E-2</v>
      </c>
      <c r="K193">
        <f>SUMPRODUCT(Sheet1!$AV$8:$BE$8,Sheet2!A193:J193)</f>
        <v>-1.9770611974822926E-4</v>
      </c>
    </row>
    <row r="194" spans="1:11" x14ac:dyDescent="0.35">
      <c r="A194">
        <v>0</v>
      </c>
      <c r="B194">
        <v>-4.0251983279301129E-2</v>
      </c>
      <c r="C194">
        <v>0</v>
      </c>
      <c r="D194">
        <v>0</v>
      </c>
      <c r="E194">
        <v>-1.2569096241433764E-3</v>
      </c>
      <c r="F194">
        <v>0</v>
      </c>
      <c r="G194">
        <v>-1.4563106796116609E-2</v>
      </c>
      <c r="H194">
        <v>5.8045691581822823E-3</v>
      </c>
      <c r="I194">
        <v>1.0839301208251939E-2</v>
      </c>
      <c r="J194">
        <v>0</v>
      </c>
      <c r="K194">
        <f>SUMPRODUCT(Sheet1!$AV$8:$BE$8,Sheet2!A194:J194)</f>
        <v>2.759953922781444E-3</v>
      </c>
    </row>
    <row r="195" spans="1:11" x14ac:dyDescent="0.35">
      <c r="A195">
        <v>0</v>
      </c>
      <c r="B195">
        <v>3.8666992528454847E-2</v>
      </c>
      <c r="C195">
        <v>0</v>
      </c>
      <c r="D195">
        <v>0</v>
      </c>
      <c r="E195">
        <v>-1.9012693171669093E-2</v>
      </c>
      <c r="F195">
        <v>2.9803646563815178E-3</v>
      </c>
      <c r="G195">
        <v>4.9261083743843415E-3</v>
      </c>
      <c r="H195">
        <v>-8.6566058698268611E-3</v>
      </c>
      <c r="I195">
        <v>0</v>
      </c>
      <c r="J195">
        <v>0</v>
      </c>
      <c r="K195">
        <f>SUMPRODUCT(Sheet1!$AV$8:$BE$8,Sheet2!A195:J195)</f>
        <v>-1.2003145790253783E-3</v>
      </c>
    </row>
    <row r="196" spans="1:11" x14ac:dyDescent="0.35">
      <c r="A196">
        <v>-5.2631578947368252E-2</v>
      </c>
      <c r="B196">
        <v>-4.4202423570144367E-3</v>
      </c>
      <c r="C196">
        <v>-2.3533754787503636E-3</v>
      </c>
      <c r="D196">
        <v>-7.1978817662230465E-3</v>
      </c>
      <c r="E196">
        <v>-3.8762363262659916E-3</v>
      </c>
      <c r="F196">
        <v>-6.1178115714036752E-3</v>
      </c>
      <c r="G196">
        <v>-4.9019607843138191E-3</v>
      </c>
      <c r="H196">
        <v>-4.3583158222429974E-3</v>
      </c>
      <c r="I196">
        <v>1.1914522906630864E-3</v>
      </c>
      <c r="J196">
        <v>0</v>
      </c>
      <c r="K196">
        <f>SUMPRODUCT(Sheet1!$AV$8:$BE$8,Sheet2!A196:J196)</f>
        <v>-2.4537111125796942E-3</v>
      </c>
    </row>
    <row r="197" spans="1:11" x14ac:dyDescent="0.35">
      <c r="A197">
        <v>3.7037037037036979E-2</v>
      </c>
      <c r="B197">
        <v>-1.2661219528665724E-3</v>
      </c>
      <c r="C197">
        <v>1.1794634597594778E-2</v>
      </c>
      <c r="D197">
        <v>-1.6140029863371819E-3</v>
      </c>
      <c r="E197">
        <v>5.1930427075832508E-3</v>
      </c>
      <c r="F197">
        <v>0</v>
      </c>
      <c r="G197">
        <v>-4.9261083743841194E-3</v>
      </c>
      <c r="H197">
        <v>-1.4539201125615131E-3</v>
      </c>
      <c r="I197">
        <v>-1.1900344214257341E-3</v>
      </c>
      <c r="J197">
        <v>0</v>
      </c>
      <c r="K197">
        <f>SUMPRODUCT(Sheet1!$AV$8:$BE$8,Sheet2!A197:J197)</f>
        <v>5.2480264102061714E-3</v>
      </c>
    </row>
    <row r="198" spans="1:11" x14ac:dyDescent="0.35">
      <c r="A198">
        <v>0</v>
      </c>
      <c r="B198">
        <v>-1.6497354676222487E-2</v>
      </c>
      <c r="C198">
        <v>1.7480439560439542E-2</v>
      </c>
      <c r="D198">
        <v>-8.0398360910827193E-4</v>
      </c>
      <c r="E198">
        <v>0</v>
      </c>
      <c r="F198">
        <v>0</v>
      </c>
      <c r="G198">
        <v>1.980198019801982E-2</v>
      </c>
      <c r="H198">
        <v>-1.4716933867735538E-3</v>
      </c>
      <c r="I198">
        <v>0</v>
      </c>
      <c r="J198">
        <v>0</v>
      </c>
      <c r="K198">
        <f>SUMPRODUCT(Sheet1!$AV$8:$BE$8,Sheet2!A198:J198)</f>
        <v>8.0105297585595994E-3</v>
      </c>
    </row>
    <row r="199" spans="1:11" x14ac:dyDescent="0.35">
      <c r="A199">
        <v>-3.5714285714285698E-2</v>
      </c>
      <c r="B199">
        <v>-7.7425453295522084E-3</v>
      </c>
      <c r="C199">
        <v>6.6460224091571263E-3</v>
      </c>
      <c r="D199">
        <v>-3.1501717410300945E-2</v>
      </c>
      <c r="E199">
        <v>0</v>
      </c>
      <c r="F199">
        <v>1.5828350334154973E-3</v>
      </c>
      <c r="G199">
        <v>9.7087378640776656E-3</v>
      </c>
      <c r="H199">
        <v>0</v>
      </c>
      <c r="I199">
        <v>-4.7658091626524568E-3</v>
      </c>
      <c r="J199">
        <v>0</v>
      </c>
      <c r="K199">
        <f>SUMPRODUCT(Sheet1!$AV$8:$BE$8,Sheet2!A199:J199)</f>
        <v>2.3679243165971205E-3</v>
      </c>
    </row>
    <row r="200" spans="1:11" x14ac:dyDescent="0.35">
      <c r="A200">
        <v>1.8518518518518601E-2</v>
      </c>
      <c r="B200">
        <v>-7.8029601018456685E-3</v>
      </c>
      <c r="C200">
        <v>-1.684353638732583E-2</v>
      </c>
      <c r="D200">
        <v>-3.2526353403609098E-2</v>
      </c>
      <c r="E200">
        <v>1.2812211553032693E-3</v>
      </c>
      <c r="F200">
        <v>0</v>
      </c>
      <c r="G200">
        <v>2.4038461538461453E-2</v>
      </c>
      <c r="H200">
        <v>-4.3902286054752215E-3</v>
      </c>
      <c r="I200">
        <v>0</v>
      </c>
      <c r="J200">
        <v>0</v>
      </c>
      <c r="K200">
        <f>SUMPRODUCT(Sheet1!$AV$8:$BE$8,Sheet2!A200:J200)</f>
        <v>-9.2484348366484812E-3</v>
      </c>
    </row>
    <row r="201" spans="1:11" x14ac:dyDescent="0.35">
      <c r="A201">
        <v>-1.8181818181818188E-2</v>
      </c>
      <c r="B201">
        <v>7.8643251169612238E-3</v>
      </c>
      <c r="C201">
        <v>-4.6269944091938964E-3</v>
      </c>
      <c r="D201">
        <v>2.93077498407186E-2</v>
      </c>
      <c r="E201">
        <v>2.3197578425977028E-2</v>
      </c>
      <c r="F201">
        <v>0</v>
      </c>
      <c r="G201">
        <v>0</v>
      </c>
      <c r="H201">
        <v>0</v>
      </c>
      <c r="I201">
        <v>-5.9857885793728194E-3</v>
      </c>
      <c r="J201">
        <v>-2.5806451612903292E-2</v>
      </c>
      <c r="K201">
        <f>SUMPRODUCT(Sheet1!$AV$8:$BE$8,Sheet2!A201:J201)</f>
        <v>-3.1991442108053342E-3</v>
      </c>
    </row>
    <row r="202" spans="1:11" x14ac:dyDescent="0.35">
      <c r="A202">
        <v>0</v>
      </c>
      <c r="B202">
        <v>-1.1708770319306616E-2</v>
      </c>
      <c r="C202">
        <v>-4.6520113107725303E-3</v>
      </c>
      <c r="D202">
        <v>-3.6851973123536608E-2</v>
      </c>
      <c r="E202">
        <v>-1.762902401635158E-2</v>
      </c>
      <c r="F202">
        <v>-3.1606672519755019E-3</v>
      </c>
      <c r="G202">
        <v>-3.7558685446009377E-2</v>
      </c>
      <c r="H202">
        <v>0</v>
      </c>
      <c r="I202">
        <v>-1.0852251388906886E-2</v>
      </c>
      <c r="J202">
        <v>-3.3112582781457012E-2</v>
      </c>
      <c r="K202">
        <f>SUMPRODUCT(Sheet1!$AV$8:$BE$8,Sheet2!A202:J202)</f>
        <v>-4.9899114915592582E-3</v>
      </c>
    </row>
    <row r="203" spans="1:11" x14ac:dyDescent="0.35">
      <c r="A203">
        <v>1.8518518518518601E-2</v>
      </c>
      <c r="B203">
        <v>0</v>
      </c>
      <c r="C203">
        <v>0</v>
      </c>
      <c r="D203">
        <v>-2.6088576351697368E-2</v>
      </c>
      <c r="E203">
        <v>-6.4061323660256075E-3</v>
      </c>
      <c r="F203">
        <v>0</v>
      </c>
      <c r="G203">
        <v>4.8780487804878092E-3</v>
      </c>
      <c r="H203">
        <v>-1.4709124696840825E-2</v>
      </c>
      <c r="I203">
        <v>-4.8703211531663237E-3</v>
      </c>
      <c r="J203">
        <v>4.1095890410958846E-2</v>
      </c>
      <c r="K203">
        <f>SUMPRODUCT(Sheet1!$AV$8:$BE$8,Sheet2!A203:J203)</f>
        <v>-3.9789062424310916E-3</v>
      </c>
    </row>
    <row r="204" spans="1:11" x14ac:dyDescent="0.35">
      <c r="A204">
        <v>0</v>
      </c>
      <c r="B204">
        <v>-1.9734132513122393E-2</v>
      </c>
      <c r="C204">
        <v>1.6354613128806594E-2</v>
      </c>
      <c r="D204">
        <v>5.982938678703964E-2</v>
      </c>
      <c r="E204">
        <v>6.4474354912036347E-3</v>
      </c>
      <c r="F204">
        <v>3.1706887440550169E-3</v>
      </c>
      <c r="G204">
        <v>-4.8543689320389438E-3</v>
      </c>
      <c r="H204">
        <v>-7.4643564989451683E-3</v>
      </c>
      <c r="I204">
        <v>-9.7883145416989281E-3</v>
      </c>
      <c r="J204">
        <v>1.3157894736842035E-2</v>
      </c>
      <c r="K204">
        <f>SUMPRODUCT(Sheet1!$AV$8:$BE$8,Sheet2!A204:J204)</f>
        <v>4.632123649528753E-3</v>
      </c>
    </row>
    <row r="205" spans="1:11" x14ac:dyDescent="0.35">
      <c r="A205">
        <v>0</v>
      </c>
      <c r="B205">
        <v>0</v>
      </c>
      <c r="C205">
        <v>-2.2888691599154409E-4</v>
      </c>
      <c r="D205">
        <v>5.9808698790831949E-2</v>
      </c>
      <c r="E205">
        <v>-6.4061323660256075E-3</v>
      </c>
      <c r="F205">
        <v>-3.1606672519755019E-3</v>
      </c>
      <c r="G205">
        <v>0</v>
      </c>
      <c r="H205">
        <v>-1.9533954941462484E-2</v>
      </c>
      <c r="I205">
        <v>-1.1120706835846761E-2</v>
      </c>
      <c r="J205">
        <v>0</v>
      </c>
      <c r="K205">
        <f>SUMPRODUCT(Sheet1!$AV$8:$BE$8,Sheet2!A205:J205)</f>
        <v>-6.6830577512897657E-3</v>
      </c>
    </row>
    <row r="206" spans="1:11" x14ac:dyDescent="0.35">
      <c r="A206">
        <v>0</v>
      </c>
      <c r="B206">
        <v>0</v>
      </c>
      <c r="C206">
        <v>-3.4514336457546202E-3</v>
      </c>
      <c r="D206">
        <v>5.9617873441863756E-2</v>
      </c>
      <c r="E206">
        <v>0</v>
      </c>
      <c r="F206">
        <v>0</v>
      </c>
      <c r="G206">
        <v>0</v>
      </c>
      <c r="H206">
        <v>-1.8412062282373021E-2</v>
      </c>
      <c r="I206">
        <v>0</v>
      </c>
      <c r="J206">
        <v>-3.8961038961038974E-2</v>
      </c>
      <c r="K206">
        <f>SUMPRODUCT(Sheet1!$AV$8:$BE$8,Sheet2!A206:J206)</f>
        <v>-5.6736141173665657E-3</v>
      </c>
    </row>
    <row r="207" spans="1:11" x14ac:dyDescent="0.35">
      <c r="A207">
        <v>0</v>
      </c>
      <c r="B207">
        <v>-1.3417959147186354E-2</v>
      </c>
      <c r="C207">
        <v>0</v>
      </c>
      <c r="D207">
        <v>3.9011651265568492E-2</v>
      </c>
      <c r="E207">
        <v>0</v>
      </c>
      <c r="F207">
        <v>0</v>
      </c>
      <c r="G207">
        <v>4.8780487804878092E-3</v>
      </c>
      <c r="H207">
        <v>1.5628398842092883E-2</v>
      </c>
      <c r="I207">
        <v>-1.2508733272424299E-2</v>
      </c>
      <c r="J207">
        <v>0</v>
      </c>
      <c r="K207">
        <f>SUMPRODUCT(Sheet1!$AV$8:$BE$8,Sheet2!A207:J207)</f>
        <v>7.280034166000887E-4</v>
      </c>
    </row>
    <row r="208" spans="1:11" x14ac:dyDescent="0.35">
      <c r="A208">
        <v>0</v>
      </c>
      <c r="B208">
        <v>3.3978471240621033E-3</v>
      </c>
      <c r="C208">
        <v>-7.8422226940628725E-3</v>
      </c>
      <c r="D208">
        <v>-5.7043424461544423E-2</v>
      </c>
      <c r="E208">
        <v>0</v>
      </c>
      <c r="F208">
        <v>0</v>
      </c>
      <c r="G208">
        <v>-4.8543689320389438E-3</v>
      </c>
      <c r="H208">
        <v>1.5387910440384234E-2</v>
      </c>
      <c r="I208">
        <v>6.326788848524334E-3</v>
      </c>
      <c r="J208">
        <v>0</v>
      </c>
      <c r="K208">
        <f>SUMPRODUCT(Sheet1!$AV$8:$BE$8,Sheet2!A208:J208)</f>
        <v>6.7398419227536759E-4</v>
      </c>
    </row>
    <row r="209" spans="1:11" x14ac:dyDescent="0.35">
      <c r="A209">
        <v>-1.8181818181818188E-2</v>
      </c>
      <c r="B209">
        <v>0</v>
      </c>
      <c r="C209">
        <v>-2.3260056553862096E-3</v>
      </c>
      <c r="D209">
        <v>-2.8327961354558728E-2</v>
      </c>
      <c r="E209">
        <v>0</v>
      </c>
      <c r="F209">
        <v>0</v>
      </c>
      <c r="G209">
        <v>0</v>
      </c>
      <c r="H209">
        <v>0</v>
      </c>
      <c r="I209">
        <v>-6.2870122495335412E-3</v>
      </c>
      <c r="J209">
        <v>0</v>
      </c>
      <c r="K209">
        <f>SUMPRODUCT(Sheet1!$AV$8:$BE$8,Sheet2!A209:J209)</f>
        <v>-2.3397350805238765E-3</v>
      </c>
    </row>
    <row r="210" spans="1:11" x14ac:dyDescent="0.35">
      <c r="A210">
        <v>1.8518518518518601E-2</v>
      </c>
      <c r="B210">
        <v>-6.1044437822267428E-3</v>
      </c>
      <c r="C210">
        <v>-9.3257142857142705E-3</v>
      </c>
      <c r="D210">
        <v>-2.4427094323697052E-2</v>
      </c>
      <c r="E210">
        <v>-9.0374309449350321E-3</v>
      </c>
      <c r="F210">
        <v>0</v>
      </c>
      <c r="G210">
        <v>-4.8780487804876982E-3</v>
      </c>
      <c r="H210">
        <v>0</v>
      </c>
      <c r="I210">
        <v>-6.326788848524445E-3</v>
      </c>
      <c r="J210">
        <v>-4.0540540540540571E-2</v>
      </c>
      <c r="K210">
        <f>SUMPRODUCT(Sheet1!$AV$8:$BE$8,Sheet2!A210:J210)</f>
        <v>-6.0176085646860659E-3</v>
      </c>
    </row>
    <row r="211" spans="1:11" x14ac:dyDescent="0.35">
      <c r="A211">
        <v>0</v>
      </c>
      <c r="B211">
        <v>-1.9779580785549977E-2</v>
      </c>
      <c r="C211">
        <v>1.176687739375204E-2</v>
      </c>
      <c r="D211">
        <v>8.0809129528209844E-3</v>
      </c>
      <c r="E211">
        <v>2.4732034866747243E-2</v>
      </c>
      <c r="F211">
        <v>0</v>
      </c>
      <c r="G211">
        <v>0</v>
      </c>
      <c r="H211">
        <v>0</v>
      </c>
      <c r="I211">
        <v>-8.9139007558330929E-3</v>
      </c>
      <c r="J211">
        <v>0</v>
      </c>
      <c r="K211">
        <f>SUMPRODUCT(Sheet1!$AV$8:$BE$8,Sheet2!A211:J211)</f>
        <v>3.9613107910031926E-3</v>
      </c>
    </row>
    <row r="212" spans="1:11" x14ac:dyDescent="0.35">
      <c r="A212">
        <v>0</v>
      </c>
      <c r="B212">
        <v>3.2710453626976665E-2</v>
      </c>
      <c r="C212">
        <v>-4.6660445273949414E-4</v>
      </c>
      <c r="D212">
        <v>-4.0080676307772123E-3</v>
      </c>
      <c r="E212">
        <v>-8.8861755528422126E-3</v>
      </c>
      <c r="F212">
        <v>-9.3359168574951301E-3</v>
      </c>
      <c r="G212">
        <v>0</v>
      </c>
      <c r="H212">
        <v>0</v>
      </c>
      <c r="I212">
        <v>2.5697351514899491E-3</v>
      </c>
      <c r="J212">
        <v>-4.2253521126760396E-2</v>
      </c>
      <c r="K212">
        <f>SUMPRODUCT(Sheet1!$AV$8:$BE$8,Sheet2!A212:J212)</f>
        <v>-2.7961950651086504E-4</v>
      </c>
    </row>
    <row r="213" spans="1:11" x14ac:dyDescent="0.35">
      <c r="A213">
        <v>0</v>
      </c>
      <c r="B213">
        <v>6.7315891037988962E-4</v>
      </c>
      <c r="C213">
        <v>0</v>
      </c>
      <c r="D213">
        <v>0</v>
      </c>
      <c r="E213">
        <v>0</v>
      </c>
      <c r="F213">
        <v>1.6002844950213646E-3</v>
      </c>
      <c r="G213">
        <v>-4.9019607843138191E-3</v>
      </c>
      <c r="H213">
        <v>6.0521490808196354E-3</v>
      </c>
      <c r="I213">
        <v>1.2815742692959597E-2</v>
      </c>
      <c r="J213">
        <v>0</v>
      </c>
      <c r="K213">
        <f>SUMPRODUCT(Sheet1!$AV$8:$BE$8,Sheet2!A213:J213)</f>
        <v>3.8773782393858227E-3</v>
      </c>
    </row>
    <row r="214" spans="1:11" x14ac:dyDescent="0.35">
      <c r="A214">
        <v>3.6363636363636154E-2</v>
      </c>
      <c r="B214">
        <v>-3.2325769127275805E-2</v>
      </c>
      <c r="C214">
        <v>0</v>
      </c>
      <c r="D214">
        <v>1.2873983179374271E-2</v>
      </c>
      <c r="E214">
        <v>0</v>
      </c>
      <c r="F214">
        <v>-3.1954553523876328E-3</v>
      </c>
      <c r="G214">
        <v>4.9261083743843415E-3</v>
      </c>
      <c r="H214">
        <v>3.9158763950712938E-2</v>
      </c>
      <c r="I214">
        <v>-6.326788848524445E-3</v>
      </c>
      <c r="J214">
        <v>4.4117647058823373E-2</v>
      </c>
      <c r="K214">
        <f>SUMPRODUCT(Sheet1!$AV$8:$BE$8,Sheet2!A214:J214)</f>
        <v>6.4689491077773035E-3</v>
      </c>
    </row>
    <row r="215" spans="1:11" x14ac:dyDescent="0.35">
      <c r="A215">
        <v>5.2631578947368363E-2</v>
      </c>
      <c r="B215">
        <v>2.853011512151693E-2</v>
      </c>
      <c r="C215">
        <v>-3.0255699268177949E-3</v>
      </c>
      <c r="D215">
        <v>7.9120654744690988E-4</v>
      </c>
      <c r="E215">
        <v>0</v>
      </c>
      <c r="F215">
        <v>0</v>
      </c>
      <c r="G215">
        <v>0</v>
      </c>
      <c r="H215">
        <v>0</v>
      </c>
      <c r="I215">
        <v>1.2734143936904418E-2</v>
      </c>
      <c r="J215">
        <v>4.2253521126760507E-2</v>
      </c>
      <c r="K215">
        <f>SUMPRODUCT(Sheet1!$AV$8:$BE$8,Sheet2!A215:J215)</f>
        <v>1.445047988658111E-3</v>
      </c>
    </row>
    <row r="216" spans="1:11" x14ac:dyDescent="0.35">
      <c r="A216">
        <v>0</v>
      </c>
      <c r="B216">
        <v>-3.9237951047186415E-2</v>
      </c>
      <c r="C216">
        <v>-9.3330939329608897E-3</v>
      </c>
      <c r="D216">
        <v>3.9699069154588429E-3</v>
      </c>
      <c r="E216">
        <v>-3.8464170830196931E-3</v>
      </c>
      <c r="F216">
        <v>-4.8085485307213238E-3</v>
      </c>
      <c r="G216">
        <v>0</v>
      </c>
      <c r="H216">
        <v>0</v>
      </c>
      <c r="I216">
        <v>1.8874557205051268E-2</v>
      </c>
      <c r="J216">
        <v>2.0270270270270396E-2</v>
      </c>
      <c r="K216">
        <f>SUMPRODUCT(Sheet1!$AV$8:$BE$8,Sheet2!A216:J216)</f>
        <v>-1.8527993074831193E-3</v>
      </c>
    </row>
    <row r="217" spans="1:11" x14ac:dyDescent="0.35">
      <c r="A217">
        <v>1.6666666666666607E-2</v>
      </c>
      <c r="B217">
        <v>2.7464590563736957E-2</v>
      </c>
      <c r="C217">
        <v>1.2957013703303488E-2</v>
      </c>
      <c r="D217">
        <v>3.4783492235525237E-2</v>
      </c>
      <c r="E217">
        <v>0</v>
      </c>
      <c r="F217">
        <v>0</v>
      </c>
      <c r="G217">
        <v>4.9019607843137081E-3</v>
      </c>
      <c r="H217">
        <v>-3.6239756642662102E-2</v>
      </c>
      <c r="I217">
        <v>3.4568327184903991E-2</v>
      </c>
      <c r="J217">
        <v>0</v>
      </c>
      <c r="K217">
        <f>SUMPRODUCT(Sheet1!$AV$8:$BE$8,Sheet2!A217:J217)</f>
        <v>5.6578976410289038E-3</v>
      </c>
    </row>
    <row r="218" spans="1:11" x14ac:dyDescent="0.35">
      <c r="A218">
        <v>0</v>
      </c>
      <c r="B218">
        <v>-2.6730449706951043E-2</v>
      </c>
      <c r="C218">
        <v>0</v>
      </c>
      <c r="D218">
        <v>-3.5905408722690546E-2</v>
      </c>
      <c r="E218">
        <v>-9.0142083711215459E-3</v>
      </c>
      <c r="F218">
        <v>0</v>
      </c>
      <c r="G218">
        <v>4.8780487804878092E-3</v>
      </c>
      <c r="H218">
        <v>3.4591043045557823E-2</v>
      </c>
      <c r="I218">
        <v>-9.5429883406230598E-3</v>
      </c>
      <c r="J218">
        <v>-3.9735099337748325E-2</v>
      </c>
      <c r="K218">
        <f>SUMPRODUCT(Sheet1!$AV$8:$BE$8,Sheet2!A218:J218)</f>
        <v>4.9554425603920193E-3</v>
      </c>
    </row>
    <row r="219" spans="1:11" x14ac:dyDescent="0.35">
      <c r="A219">
        <v>0</v>
      </c>
      <c r="B219">
        <v>-7.0349873370234572E-4</v>
      </c>
      <c r="C219">
        <v>1.162651997277564E-2</v>
      </c>
      <c r="D219">
        <v>-5.5507460406376552E-3</v>
      </c>
      <c r="E219">
        <v>-4.5453284894201196E-2</v>
      </c>
      <c r="F219">
        <v>0</v>
      </c>
      <c r="G219">
        <v>1.4563106796116498E-2</v>
      </c>
      <c r="H219">
        <v>0</v>
      </c>
      <c r="I219">
        <v>-1.8078452194408068E-2</v>
      </c>
      <c r="J219">
        <v>4.1379310344827669E-2</v>
      </c>
      <c r="K219">
        <f>SUMPRODUCT(Sheet1!$AV$8:$BE$8,Sheet2!A219:J219)</f>
        <v>1.9837232844891802E-3</v>
      </c>
    </row>
    <row r="220" spans="1:11" x14ac:dyDescent="0.35">
      <c r="A220">
        <v>-1.6393442622950838E-2</v>
      </c>
      <c r="B220">
        <v>-7.0399399258447293E-4</v>
      </c>
      <c r="C220">
        <v>-1.9999861280656894E-2</v>
      </c>
      <c r="D220">
        <v>2.7891574491328619E-2</v>
      </c>
      <c r="E220">
        <v>1.2245787332946012E-2</v>
      </c>
      <c r="F220">
        <v>-1.6105941302791971E-3</v>
      </c>
      <c r="G220">
        <v>9.5693779904306719E-3</v>
      </c>
      <c r="H220">
        <v>-1.4475834695307777E-3</v>
      </c>
      <c r="I220">
        <v>-6.1327037970009268E-3</v>
      </c>
      <c r="J220">
        <v>0</v>
      </c>
      <c r="K220">
        <f>SUMPRODUCT(Sheet1!$AV$8:$BE$8,Sheet2!A220:J220)</f>
        <v>-1.1307408605437793E-2</v>
      </c>
    </row>
    <row r="221" spans="1:11" x14ac:dyDescent="0.35">
      <c r="A221">
        <v>3.3333333333333437E-2</v>
      </c>
      <c r="B221">
        <v>0</v>
      </c>
      <c r="C221">
        <v>-3.0504096112674572E-3</v>
      </c>
      <c r="D221">
        <v>2.170447374539175E-2</v>
      </c>
      <c r="E221">
        <v>-1.3446608211471922E-2</v>
      </c>
      <c r="F221">
        <v>0</v>
      </c>
      <c r="G221">
        <v>-4.7393364928909332E-3</v>
      </c>
      <c r="H221">
        <v>1.4496820052376513E-3</v>
      </c>
      <c r="I221">
        <v>-1.2341091854879416E-2</v>
      </c>
      <c r="J221">
        <v>0</v>
      </c>
      <c r="K221">
        <f>SUMPRODUCT(Sheet1!$AV$8:$BE$8,Sheet2!A221:J221)</f>
        <v>-3.6447236280745809E-3</v>
      </c>
    </row>
    <row r="222" spans="1:11" x14ac:dyDescent="0.35">
      <c r="A222">
        <v>0</v>
      </c>
      <c r="B222">
        <v>0</v>
      </c>
      <c r="C222">
        <v>9.4135019150016763E-3</v>
      </c>
      <c r="D222">
        <v>-6.826493295408298E-3</v>
      </c>
      <c r="E222">
        <v>0</v>
      </c>
      <c r="F222">
        <v>0</v>
      </c>
      <c r="G222">
        <v>-9.52380952380949E-3</v>
      </c>
      <c r="H222">
        <v>1.4631488831815531E-3</v>
      </c>
      <c r="I222">
        <v>1.1245767721825173E-2</v>
      </c>
      <c r="J222">
        <v>-3.3112582781457012E-2</v>
      </c>
      <c r="K222">
        <f>SUMPRODUCT(Sheet1!$AV$8:$BE$8,Sheet2!A222:J222)</f>
        <v>6.9748338568596802E-3</v>
      </c>
    </row>
    <row r="223" spans="1:11" x14ac:dyDescent="0.35">
      <c r="A223">
        <v>3.2258064516129004E-2</v>
      </c>
      <c r="B223">
        <v>2.8207777569039916E-2</v>
      </c>
      <c r="C223">
        <v>-2.3314285714285399E-3</v>
      </c>
      <c r="D223">
        <v>-1.0694705834219831E-2</v>
      </c>
      <c r="E223">
        <v>-6.8076688098216431E-3</v>
      </c>
      <c r="F223">
        <v>1.6131923283744243E-3</v>
      </c>
      <c r="G223">
        <v>0</v>
      </c>
      <c r="H223">
        <v>7.2584280141125834E-3</v>
      </c>
      <c r="I223">
        <v>7.4138045572311739E-3</v>
      </c>
      <c r="J223">
        <v>0</v>
      </c>
      <c r="K223">
        <f>SUMPRODUCT(Sheet1!$AV$8:$BE$8,Sheet2!A223:J223)</f>
        <v>2.2739070186139684E-3</v>
      </c>
    </row>
    <row r="224" spans="1:11" x14ac:dyDescent="0.35">
      <c r="A224">
        <v>1.5625E-2</v>
      </c>
      <c r="B224">
        <v>0</v>
      </c>
      <c r="C224">
        <v>-2.3368768328446698E-3</v>
      </c>
      <c r="D224">
        <v>2.1620638032141537E-2</v>
      </c>
      <c r="E224">
        <v>-4.1155276955974207E-3</v>
      </c>
      <c r="F224">
        <v>0</v>
      </c>
      <c r="G224">
        <v>-9.6153846153845812E-3</v>
      </c>
      <c r="H224">
        <v>3.8900719069222101E-2</v>
      </c>
      <c r="I224">
        <v>1.2265407594000965E-3</v>
      </c>
      <c r="J224">
        <v>0</v>
      </c>
      <c r="K224">
        <f>SUMPRODUCT(Sheet1!$AV$8:$BE$8,Sheet2!A224:J224)</f>
        <v>7.2762999695146231E-3</v>
      </c>
    </row>
    <row r="225" spans="1:11" x14ac:dyDescent="0.35">
      <c r="A225">
        <v>4.6153846153846212E-2</v>
      </c>
      <c r="B225">
        <v>-1.9202835661365047E-2</v>
      </c>
      <c r="C225">
        <v>0</v>
      </c>
      <c r="D225">
        <v>1.2087404972594973E-2</v>
      </c>
      <c r="E225">
        <v>1.9280262364516076E-2</v>
      </c>
      <c r="F225">
        <v>0</v>
      </c>
      <c r="G225">
        <v>-4.8543689320389438E-3</v>
      </c>
      <c r="H225">
        <v>-1.3961709269684208E-3</v>
      </c>
      <c r="I225">
        <v>-7.3502292006955017E-3</v>
      </c>
      <c r="J225">
        <v>0</v>
      </c>
      <c r="K225">
        <f>SUMPRODUCT(Sheet1!$AV$8:$BE$8,Sheet2!A225:J225)</f>
        <v>-1.8143638910231206E-3</v>
      </c>
    </row>
    <row r="226" spans="1:11" x14ac:dyDescent="0.35">
      <c r="A226">
        <v>2.9411764705882248E-2</v>
      </c>
      <c r="B226">
        <v>0</v>
      </c>
      <c r="C226">
        <v>7.0270518532127291E-3</v>
      </c>
      <c r="D226">
        <v>-1.1943044556435467E-2</v>
      </c>
      <c r="E226">
        <v>-8.1087320367057014E-3</v>
      </c>
      <c r="F226">
        <v>-3.0422333571940019E-3</v>
      </c>
      <c r="G226">
        <v>-4.8780487804876982E-3</v>
      </c>
      <c r="H226">
        <v>-2.7769101482902792E-2</v>
      </c>
      <c r="I226">
        <v>4.9364367419517663E-3</v>
      </c>
      <c r="J226">
        <v>0</v>
      </c>
      <c r="K226">
        <f>SUMPRODUCT(Sheet1!$AV$8:$BE$8,Sheet2!A226:J226)</f>
        <v>-1.8057968708005143E-3</v>
      </c>
    </row>
    <row r="227" spans="1:11" x14ac:dyDescent="0.35">
      <c r="A227">
        <v>1.4285714285714235E-2</v>
      </c>
      <c r="B227">
        <v>5.73392572721938E-2</v>
      </c>
      <c r="C227">
        <v>-6.9780169661588509E-3</v>
      </c>
      <c r="D227">
        <v>1.284843381882661E-2</v>
      </c>
      <c r="E227">
        <v>0</v>
      </c>
      <c r="F227">
        <v>1.4360078980435453E-3</v>
      </c>
      <c r="G227">
        <v>-9.8039215686274161E-3</v>
      </c>
      <c r="H227">
        <v>9.9899030076797679E-3</v>
      </c>
      <c r="I227">
        <v>-4.9121880364453308E-3</v>
      </c>
      <c r="J227">
        <v>-2.0547945205479423E-2</v>
      </c>
      <c r="K227">
        <f>SUMPRODUCT(Sheet1!$AV$8:$BE$8,Sheet2!A227:J227)</f>
        <v>-1.4125503982819125E-3</v>
      </c>
    </row>
    <row r="228" spans="1:11" x14ac:dyDescent="0.35">
      <c r="A228">
        <v>0</v>
      </c>
      <c r="B228">
        <v>1.1240607133733427E-2</v>
      </c>
      <c r="C228">
        <v>0</v>
      </c>
      <c r="D228">
        <v>-8.9605448267041643E-3</v>
      </c>
      <c r="E228">
        <v>5.4548628283825895E-3</v>
      </c>
      <c r="F228">
        <v>-1.4339487363326242E-3</v>
      </c>
      <c r="G228">
        <v>0</v>
      </c>
      <c r="H228">
        <v>1.4238325330586665E-3</v>
      </c>
      <c r="I228">
        <v>0</v>
      </c>
      <c r="J228">
        <v>4.1958041958042092E-2</v>
      </c>
      <c r="K228">
        <f>SUMPRODUCT(Sheet1!$AV$8:$BE$8,Sheet2!A228:J228)</f>
        <v>4.7371592564638429E-4</v>
      </c>
    </row>
    <row r="229" spans="1:11" x14ac:dyDescent="0.35">
      <c r="A229">
        <v>1.4084507042253502E-2</v>
      </c>
      <c r="B229">
        <v>4.6440113944230088E-2</v>
      </c>
      <c r="C229">
        <v>2.3423506177375764E-3</v>
      </c>
      <c r="D229">
        <v>1.6566787382141124E-2</v>
      </c>
      <c r="E229">
        <v>1.3599340287322459E-3</v>
      </c>
      <c r="F229">
        <v>-1.615508885298822E-3</v>
      </c>
      <c r="G229">
        <v>-4.9504950495050659E-3</v>
      </c>
      <c r="H229">
        <v>3.1068019905313715E-2</v>
      </c>
      <c r="I229">
        <v>0</v>
      </c>
      <c r="J229">
        <v>0</v>
      </c>
      <c r="K229">
        <f>SUMPRODUCT(Sheet1!$AV$8:$BE$8,Sheet2!A229:J229)</f>
        <v>8.1878356359042399E-3</v>
      </c>
    </row>
    <row r="230" spans="1:11" x14ac:dyDescent="0.35">
      <c r="A230">
        <v>-1.3888888888888951E-2</v>
      </c>
      <c r="B230">
        <v>5.4993173720488953E-2</v>
      </c>
      <c r="C230">
        <v>8.6460918114141805E-3</v>
      </c>
      <c r="D230">
        <v>5.1889524504709073E-3</v>
      </c>
      <c r="E230">
        <v>0</v>
      </c>
      <c r="F230">
        <v>0</v>
      </c>
      <c r="G230">
        <v>0</v>
      </c>
      <c r="H230">
        <v>2.7403288981471929E-2</v>
      </c>
      <c r="I230">
        <v>-6.1705459274397079E-3</v>
      </c>
      <c r="J230">
        <v>-4.0268456375838979E-2</v>
      </c>
      <c r="K230">
        <f>SUMPRODUCT(Sheet1!$AV$8:$BE$8,Sheet2!A230:J230)</f>
        <v>9.4502399810350978E-3</v>
      </c>
    </row>
    <row r="231" spans="1:11" x14ac:dyDescent="0.35">
      <c r="A231">
        <v>-1.4084507042253502E-2</v>
      </c>
      <c r="B231">
        <v>4.7423656592755492E-3</v>
      </c>
      <c r="C231">
        <v>0</v>
      </c>
      <c r="D231">
        <v>-1.6212674933499649E-2</v>
      </c>
      <c r="E231">
        <v>0</v>
      </c>
      <c r="F231">
        <v>-1.6181229773463146E-3</v>
      </c>
      <c r="G231">
        <v>-1.492537313432829E-2</v>
      </c>
      <c r="H231">
        <v>-1.3421860498321614E-3</v>
      </c>
      <c r="I231">
        <v>0</v>
      </c>
      <c r="J231">
        <v>0</v>
      </c>
      <c r="K231">
        <f>SUMPRODUCT(Sheet1!$AV$8:$BE$8,Sheet2!A231:J231)</f>
        <v>-3.5972649112979589E-4</v>
      </c>
    </row>
    <row r="232" spans="1:11" x14ac:dyDescent="0.35">
      <c r="A232">
        <v>0</v>
      </c>
      <c r="B232">
        <v>-1.1780320581791237E-3</v>
      </c>
      <c r="C232">
        <v>1.9223175440742146E-2</v>
      </c>
      <c r="D232">
        <v>1.4233333600776721E-2</v>
      </c>
      <c r="E232">
        <v>8.1196272484287402E-3</v>
      </c>
      <c r="F232">
        <v>1.6207455429497752E-3</v>
      </c>
      <c r="G232">
        <v>-1.5151515151515138E-2</v>
      </c>
      <c r="H232">
        <v>-1.3296921691140495E-3</v>
      </c>
      <c r="I232">
        <v>-2.4835431882819226E-3</v>
      </c>
      <c r="J232">
        <v>4.1958041958042092E-2</v>
      </c>
      <c r="K232">
        <f>SUMPRODUCT(Sheet1!$AV$8:$BE$8,Sheet2!A232:J232)</f>
        <v>8.9251243542390769E-3</v>
      </c>
    </row>
    <row r="233" spans="1:11" x14ac:dyDescent="0.35">
      <c r="A233">
        <v>1.4285714285714235E-2</v>
      </c>
      <c r="B233">
        <v>-1.122022943678691E-2</v>
      </c>
      <c r="C233">
        <v>-2.2724623370567687E-2</v>
      </c>
      <c r="D233">
        <v>9.6035946238854919E-3</v>
      </c>
      <c r="E233">
        <v>-2.6942975479025133E-3</v>
      </c>
      <c r="F233">
        <v>-3.2362459546926292E-3</v>
      </c>
      <c r="G233">
        <v>-5.12820512820511E-3</v>
      </c>
      <c r="H233">
        <v>0</v>
      </c>
      <c r="I233">
        <v>2.4897265316503603E-3</v>
      </c>
      <c r="J233">
        <v>-3.3557046979865834E-2</v>
      </c>
      <c r="K233">
        <f>SUMPRODUCT(Sheet1!$AV$8:$BE$8,Sheet2!A233:J233)</f>
        <v>-1.1156201817543704E-2</v>
      </c>
    </row>
    <row r="234" spans="1:11" x14ac:dyDescent="0.35">
      <c r="A234">
        <v>-1.4084507042253502E-2</v>
      </c>
      <c r="B234">
        <v>-7.1568300014313024E-3</v>
      </c>
      <c r="C234">
        <v>-2.3260056553862096E-3</v>
      </c>
      <c r="D234">
        <v>2.4133202742409487E-2</v>
      </c>
      <c r="E234">
        <v>-2.6872063113423383E-3</v>
      </c>
      <c r="F234">
        <v>-1.6233766233765268E-3</v>
      </c>
      <c r="G234">
        <v>0</v>
      </c>
      <c r="H234">
        <v>2.674378650784548E-2</v>
      </c>
      <c r="I234">
        <v>-1.2417715941409613E-3</v>
      </c>
      <c r="J234">
        <v>-4.1666666666666741E-2</v>
      </c>
      <c r="K234">
        <f>SUMPRODUCT(Sheet1!$AV$8:$BE$8,Sheet2!A234:J234)</f>
        <v>3.9117387660881449E-3</v>
      </c>
    </row>
    <row r="235" spans="1:11" x14ac:dyDescent="0.35">
      <c r="A235">
        <v>1.4285714285714235E-2</v>
      </c>
      <c r="B235">
        <v>7.2084194338988272E-3</v>
      </c>
      <c r="C235">
        <v>2.3310769230769246E-2</v>
      </c>
      <c r="D235">
        <v>5.0005738112543607E-2</v>
      </c>
      <c r="E235">
        <v>-2.8342122705397488E-2</v>
      </c>
      <c r="F235">
        <v>0</v>
      </c>
      <c r="G235">
        <v>-1.0309278350515427E-2</v>
      </c>
      <c r="H235">
        <v>-2.3439678732779301E-2</v>
      </c>
      <c r="I235">
        <v>1.243315508021392E-2</v>
      </c>
      <c r="J235">
        <v>4.3478260869565188E-2</v>
      </c>
      <c r="K235">
        <f>SUMPRODUCT(Sheet1!$AV$8:$BE$8,Sheet2!A235:J235)</f>
        <v>8.8181836819369187E-3</v>
      </c>
    </row>
    <row r="236" spans="1:11" x14ac:dyDescent="0.35">
      <c r="A236">
        <v>4.2253521126760507E-2</v>
      </c>
      <c r="B236">
        <v>5.3755745344084005E-3</v>
      </c>
      <c r="C236">
        <v>0</v>
      </c>
      <c r="D236">
        <v>4.6939325711704116E-2</v>
      </c>
      <c r="E236">
        <v>1.1106991918143239E-2</v>
      </c>
      <c r="F236">
        <v>-1.6260162601626771E-3</v>
      </c>
      <c r="G236">
        <v>-1.041666666666663E-2</v>
      </c>
      <c r="H236">
        <v>0</v>
      </c>
      <c r="I236">
        <v>-1.2280470091113882E-3</v>
      </c>
      <c r="J236">
        <v>-4.1666666666666741E-2</v>
      </c>
      <c r="K236">
        <f>SUMPRODUCT(Sheet1!$AV$8:$BE$8,Sheet2!A236:J236)</f>
        <v>-3.2981245294924465E-4</v>
      </c>
    </row>
    <row r="237" spans="1:11" x14ac:dyDescent="0.35">
      <c r="A237">
        <v>2.7027027027026973E-2</v>
      </c>
      <c r="B237">
        <v>-3.5592818160247175E-3</v>
      </c>
      <c r="C237">
        <v>0</v>
      </c>
      <c r="D237">
        <v>1.299388236604182E-2</v>
      </c>
      <c r="E237">
        <v>-3.845476944737769E-2</v>
      </c>
      <c r="F237">
        <v>0</v>
      </c>
      <c r="G237">
        <v>3.1578947368421151E-2</v>
      </c>
      <c r="H237">
        <v>7.9960019990004128E-3</v>
      </c>
      <c r="I237">
        <v>0</v>
      </c>
      <c r="J237">
        <v>0</v>
      </c>
      <c r="K237">
        <f>SUMPRODUCT(Sheet1!$AV$8:$BE$8,Sheet2!A237:J237)</f>
        <v>1.3601531918119025E-3</v>
      </c>
    </row>
    <row r="238" spans="1:11" x14ac:dyDescent="0.35">
      <c r="A238">
        <v>0</v>
      </c>
      <c r="B238">
        <v>-1.7939355453246986E-3</v>
      </c>
      <c r="C238">
        <v>-4.556638396723045E-3</v>
      </c>
      <c r="D238">
        <v>-8.3407763655101164E-3</v>
      </c>
      <c r="E238">
        <v>2.8522619810256167E-3</v>
      </c>
      <c r="F238">
        <v>0</v>
      </c>
      <c r="G238">
        <v>5.1020408163264808E-3</v>
      </c>
      <c r="H238">
        <v>-1.3173737516820605E-3</v>
      </c>
      <c r="I238">
        <v>8.6068987400347297E-3</v>
      </c>
      <c r="J238">
        <v>7.2463768115942351E-3</v>
      </c>
      <c r="K238">
        <f>SUMPRODUCT(Sheet1!$AV$8:$BE$8,Sheet2!A238:J238)</f>
        <v>-8.4059419931680846E-4</v>
      </c>
    </row>
    <row r="239" spans="1:11" x14ac:dyDescent="0.35">
      <c r="A239">
        <v>-3.9473684210526327E-2</v>
      </c>
      <c r="B239">
        <v>0</v>
      </c>
      <c r="C239">
        <v>4.577496392546232E-3</v>
      </c>
      <c r="D239">
        <v>9.05525994900791E-3</v>
      </c>
      <c r="E239">
        <v>0</v>
      </c>
      <c r="F239">
        <v>0</v>
      </c>
      <c r="G239">
        <v>-1.0152284263959421E-2</v>
      </c>
      <c r="H239">
        <v>-1.3332955093472432E-3</v>
      </c>
      <c r="I239">
        <v>-2.4381291946309336E-3</v>
      </c>
      <c r="J239">
        <v>7.194244604316502E-3</v>
      </c>
      <c r="K239">
        <f>SUMPRODUCT(Sheet1!$AV$8:$BE$8,Sheet2!A239:J239)</f>
        <v>1.5063516837234264E-3</v>
      </c>
    </row>
    <row r="240" spans="1:11" x14ac:dyDescent="0.35">
      <c r="A240">
        <v>2.7397260273972712E-2</v>
      </c>
      <c r="B240">
        <v>0</v>
      </c>
      <c r="C240">
        <v>1.3439677805116013E-2</v>
      </c>
      <c r="D240">
        <v>-1.6664034660093474E-2</v>
      </c>
      <c r="E240">
        <v>2.422850537650767E-2</v>
      </c>
      <c r="F240">
        <v>-4.7050307636626876E-3</v>
      </c>
      <c r="G240">
        <v>5.12820512820511E-3</v>
      </c>
      <c r="H240">
        <v>0</v>
      </c>
      <c r="I240">
        <v>-1.2220440987096293E-3</v>
      </c>
      <c r="J240">
        <v>0</v>
      </c>
      <c r="K240">
        <f>SUMPRODUCT(Sheet1!$AV$8:$BE$8,Sheet2!A240:J240)</f>
        <v>6.1042723137763374E-3</v>
      </c>
    </row>
    <row r="241" spans="1:11" x14ac:dyDescent="0.35">
      <c r="A241">
        <v>-1.3333333333333308E-2</v>
      </c>
      <c r="B241">
        <v>0</v>
      </c>
      <c r="C241">
        <v>-9.0195480053567589E-4</v>
      </c>
      <c r="D241">
        <v>-9.1260752988493454E-3</v>
      </c>
      <c r="E241">
        <v>-2.7917198776395979E-3</v>
      </c>
      <c r="F241">
        <v>-1.6181818181818297E-2</v>
      </c>
      <c r="G241">
        <v>-1.5306122448979553E-2</v>
      </c>
      <c r="H241">
        <v>-1.3208726281104255E-3</v>
      </c>
      <c r="I241">
        <v>-2.4470786354248153E-3</v>
      </c>
      <c r="J241">
        <v>0</v>
      </c>
      <c r="K241">
        <f>SUMPRODUCT(Sheet1!$AV$8:$BE$8,Sheet2!A241:J241)</f>
        <v>-2.5978496005249607E-3</v>
      </c>
    </row>
    <row r="242" spans="1:11" x14ac:dyDescent="0.35">
      <c r="A242">
        <v>1.3513513513513598E-2</v>
      </c>
      <c r="B242">
        <v>-5.964025001192752E-4</v>
      </c>
      <c r="C242">
        <v>7.8737752376556447E-3</v>
      </c>
      <c r="D242">
        <v>0</v>
      </c>
      <c r="E242">
        <v>4.1844119486553755E-3</v>
      </c>
      <c r="F242">
        <v>-1.6632785067454137E-3</v>
      </c>
      <c r="G242">
        <v>-5.1813471502590858E-3</v>
      </c>
      <c r="H242">
        <v>1.4605702908341067E-2</v>
      </c>
      <c r="I242">
        <v>-1.2265407594001854E-2</v>
      </c>
      <c r="J242">
        <v>0</v>
      </c>
      <c r="K242">
        <f>SUMPRODUCT(Sheet1!$AV$8:$BE$8,Sheet2!A242:J242)</f>
        <v>4.4619167446804959E-3</v>
      </c>
    </row>
    <row r="243" spans="1:11" x14ac:dyDescent="0.35">
      <c r="A243">
        <v>-1.3333333333333308E-2</v>
      </c>
      <c r="B243">
        <v>-5.3708256749336325E-3</v>
      </c>
      <c r="C243">
        <v>4.2428671006065066E-3</v>
      </c>
      <c r="D243">
        <v>0</v>
      </c>
      <c r="E243">
        <v>-1.1106991918143461E-2</v>
      </c>
      <c r="F243">
        <v>8.1451314328024882E-3</v>
      </c>
      <c r="G243">
        <v>0</v>
      </c>
      <c r="H243">
        <v>5.24235373272397E-3</v>
      </c>
      <c r="I243">
        <v>-6.2088579707049174E-3</v>
      </c>
      <c r="J243">
        <v>4.2857142857142927E-2</v>
      </c>
      <c r="K243">
        <f>SUMPRODUCT(Sheet1!$AV$8:$BE$8,Sheet2!A243:J243)</f>
        <v>2.6485266704676675E-3</v>
      </c>
    </row>
    <row r="244" spans="1:11" x14ac:dyDescent="0.35">
      <c r="A244">
        <v>0</v>
      </c>
      <c r="B244">
        <v>0</v>
      </c>
      <c r="C244">
        <v>2.2130644571793923E-4</v>
      </c>
      <c r="D244">
        <v>-6.6239632440501239E-4</v>
      </c>
      <c r="E244">
        <v>1.405092523168272E-2</v>
      </c>
      <c r="F244">
        <v>-3.1215571061328218E-3</v>
      </c>
      <c r="G244">
        <v>-1.5625E-2</v>
      </c>
      <c r="H244">
        <v>-2.6075073902616097E-3</v>
      </c>
      <c r="I244">
        <v>0</v>
      </c>
      <c r="J244">
        <v>4.1095890410958846E-2</v>
      </c>
      <c r="K244">
        <f>SUMPRODUCT(Sheet1!$AV$8:$BE$8,Sheet2!A244:J244)</f>
        <v>-5.0199672186347145E-4</v>
      </c>
    </row>
    <row r="245" spans="1:11" x14ac:dyDescent="0.35">
      <c r="A245">
        <v>-5.4054054054054057E-2</v>
      </c>
      <c r="B245">
        <v>-1.5015519503375985E-2</v>
      </c>
      <c r="C245">
        <v>-6.6645434888281674E-3</v>
      </c>
      <c r="D245">
        <v>-6.5789937594753489E-3</v>
      </c>
      <c r="E245">
        <v>-2.780119190216257E-3</v>
      </c>
      <c r="F245">
        <v>-3.3155277214957923E-3</v>
      </c>
      <c r="G245">
        <v>-5.2910052910053462E-3</v>
      </c>
      <c r="H245">
        <v>-2.6143242600903394E-3</v>
      </c>
      <c r="I245">
        <v>-3.762025044338202E-3</v>
      </c>
      <c r="J245">
        <v>-3.9473684210526327E-2</v>
      </c>
      <c r="K245">
        <f>SUMPRODUCT(Sheet1!$AV$8:$BE$8,Sheet2!A245:J245)</f>
        <v>-5.1325014275810021E-3</v>
      </c>
    </row>
    <row r="246" spans="1:11" x14ac:dyDescent="0.35">
      <c r="A246">
        <v>1.4285714285714235E-2</v>
      </c>
      <c r="B246">
        <v>3.0456358069310685E-3</v>
      </c>
      <c r="C246">
        <v>-4.4750883374338191E-3</v>
      </c>
      <c r="D246">
        <v>-5.9624366491105585E-3</v>
      </c>
      <c r="E246">
        <v>0</v>
      </c>
      <c r="F246">
        <v>1.6632785067456357E-3</v>
      </c>
      <c r="G246">
        <v>5.3191489361701372E-3</v>
      </c>
      <c r="H246">
        <v>0</v>
      </c>
      <c r="I246">
        <v>0</v>
      </c>
      <c r="J246">
        <v>0</v>
      </c>
      <c r="K246">
        <f>SUMPRODUCT(Sheet1!$AV$8:$BE$8,Sheet2!A246:J246)</f>
        <v>-2.00300580445772E-3</v>
      </c>
    </row>
    <row r="247" spans="1:11" x14ac:dyDescent="0.35">
      <c r="A247">
        <v>1.4084507042253502E-2</v>
      </c>
      <c r="B247">
        <v>-5.4735955693023808E-3</v>
      </c>
      <c r="C247">
        <v>-4.4952047759008185E-3</v>
      </c>
      <c r="D247">
        <v>0</v>
      </c>
      <c r="E247">
        <v>4.1669756061393226E-3</v>
      </c>
      <c r="F247">
        <v>-3.3210332103320583E-3</v>
      </c>
      <c r="G247">
        <v>-1.058201058201047E-2</v>
      </c>
      <c r="H247">
        <v>-1.4395447282105844E-2</v>
      </c>
      <c r="I247">
        <v>-2.5084965204724696E-3</v>
      </c>
      <c r="J247">
        <v>4.1095890410958846E-2</v>
      </c>
      <c r="K247">
        <f>SUMPRODUCT(Sheet1!$AV$8:$BE$8,Sheet2!A247:J247)</f>
        <v>-5.9365716957871474E-3</v>
      </c>
    </row>
    <row r="248" spans="1:11" x14ac:dyDescent="0.35">
      <c r="A248">
        <v>0</v>
      </c>
      <c r="B248">
        <v>1.4671160829140328E-2</v>
      </c>
      <c r="C248">
        <v>1.4898435238630325E-2</v>
      </c>
      <c r="D248">
        <v>3.8659830622241875E-2</v>
      </c>
      <c r="E248">
        <v>1.3837202433693685E-2</v>
      </c>
      <c r="F248">
        <v>-1.6660496112551604E-3</v>
      </c>
      <c r="G248">
        <v>-5.3475935828877219E-3</v>
      </c>
      <c r="H248">
        <v>1.1946241911398703E-2</v>
      </c>
      <c r="I248">
        <v>0</v>
      </c>
      <c r="J248">
        <v>-1.3157894736842146E-2</v>
      </c>
      <c r="K248">
        <f>SUMPRODUCT(Sheet1!$AV$8:$BE$8,Sheet2!A248:J248)</f>
        <v>9.9178071549543851E-3</v>
      </c>
    </row>
    <row r="249" spans="1:11" x14ac:dyDescent="0.35">
      <c r="A249">
        <v>-1.3888888888888951E-2</v>
      </c>
      <c r="B249">
        <v>0</v>
      </c>
      <c r="C249">
        <v>-4.4626379894641133E-4</v>
      </c>
      <c r="D249">
        <v>-5.1286987130129136E-3</v>
      </c>
      <c r="E249">
        <v>9.5407338353747928E-3</v>
      </c>
      <c r="F249">
        <v>0</v>
      </c>
      <c r="G249">
        <v>5.3763440860215006E-3</v>
      </c>
      <c r="H249">
        <v>3.935071323167838E-3</v>
      </c>
      <c r="I249">
        <v>0</v>
      </c>
      <c r="J249">
        <v>-4.0000000000000036E-2</v>
      </c>
      <c r="K249">
        <f>SUMPRODUCT(Sheet1!$AV$8:$BE$8,Sheet2!A249:J249)</f>
        <v>5.7959912982896581E-4</v>
      </c>
    </row>
    <row r="250" spans="1:11" x14ac:dyDescent="0.35">
      <c r="A250">
        <v>-1.4084507042253502E-2</v>
      </c>
      <c r="B250">
        <v>0</v>
      </c>
      <c r="C250">
        <v>1.3360322527584678E-3</v>
      </c>
      <c r="D250">
        <v>-8.3891921774583711E-3</v>
      </c>
      <c r="E250">
        <v>1.0821261614820887E-2</v>
      </c>
      <c r="F250">
        <v>0</v>
      </c>
      <c r="G250">
        <v>0</v>
      </c>
      <c r="H250">
        <v>0</v>
      </c>
      <c r="I250">
        <v>0</v>
      </c>
      <c r="J250">
        <v>4.1666666666666741E-2</v>
      </c>
      <c r="K250">
        <f>SUMPRODUCT(Sheet1!$AV$8:$BE$8,Sheet2!A250:J250)</f>
        <v>8.3897156733208494E-4</v>
      </c>
    </row>
    <row r="251" spans="1:11" x14ac:dyDescent="0.35">
      <c r="A251">
        <v>0</v>
      </c>
      <c r="B251">
        <v>-1.2035818596141112E-3</v>
      </c>
      <c r="C251">
        <v>1.9557820278583327E-2</v>
      </c>
      <c r="D251">
        <v>-7.8050956124212645E-3</v>
      </c>
      <c r="E251">
        <v>0</v>
      </c>
      <c r="F251">
        <v>0</v>
      </c>
      <c r="G251">
        <v>1.6042780748662944E-2</v>
      </c>
      <c r="H251">
        <v>-2.6037656610905513E-3</v>
      </c>
      <c r="I251">
        <v>1.0072740055704132E-2</v>
      </c>
      <c r="J251">
        <v>0</v>
      </c>
      <c r="K251">
        <f>SUMPRODUCT(Sheet1!$AV$8:$BE$8,Sheet2!A251:J251)</f>
        <v>1.0916365871095622E-2</v>
      </c>
    </row>
    <row r="252" spans="1:11" x14ac:dyDescent="0.35">
      <c r="A252">
        <v>-1.4285714285714346E-2</v>
      </c>
      <c r="B252">
        <v>-1.8075483217918631E-3</v>
      </c>
      <c r="C252">
        <v>2.6140223392048245E-3</v>
      </c>
      <c r="D252">
        <v>2.8192953868629411E-2</v>
      </c>
      <c r="E252">
        <v>2.6692169345399197E-3</v>
      </c>
      <c r="F252">
        <v>-1.3165214166512063E-2</v>
      </c>
      <c r="G252">
        <v>3.1578947368421151E-2</v>
      </c>
      <c r="H252">
        <v>-2.6245982399752954E-3</v>
      </c>
      <c r="I252">
        <v>-3.7345897974754294E-3</v>
      </c>
      <c r="J252">
        <v>0</v>
      </c>
      <c r="K252">
        <f>SUMPRODUCT(Sheet1!$AV$8:$BE$8,Sheet2!A252:J252)</f>
        <v>-1.1269618799323879E-3</v>
      </c>
    </row>
    <row r="253" spans="1:11" x14ac:dyDescent="0.35">
      <c r="A253">
        <v>2.898550724637694E-2</v>
      </c>
      <c r="B253">
        <v>-1.2072143127329626E-3</v>
      </c>
      <c r="C253">
        <v>3.0433813015702249E-3</v>
      </c>
      <c r="D253">
        <v>1.7221121661315619E-2</v>
      </c>
      <c r="E253">
        <v>-2.6621111822905386E-3</v>
      </c>
      <c r="F253">
        <v>6.7643742953775732E-3</v>
      </c>
      <c r="G253">
        <v>5.1020408163264808E-3</v>
      </c>
      <c r="H253">
        <v>3.9402212152768179E-3</v>
      </c>
      <c r="I253">
        <v>0</v>
      </c>
      <c r="J253">
        <v>0</v>
      </c>
      <c r="K253">
        <f>SUMPRODUCT(Sheet1!$AV$8:$BE$8,Sheet2!A253:J253)</f>
        <v>2.8640262027696053E-3</v>
      </c>
    </row>
    <row r="254" spans="1:11" x14ac:dyDescent="0.35">
      <c r="A254">
        <v>-4.2253521126760396E-2</v>
      </c>
      <c r="B254">
        <v>-7.8644351869011642E-3</v>
      </c>
      <c r="C254">
        <v>-1.6037168303624005E-2</v>
      </c>
      <c r="D254">
        <v>-3.7606355474074649E-3</v>
      </c>
      <c r="E254">
        <v>9.3493962145649867E-3</v>
      </c>
      <c r="F254">
        <v>0</v>
      </c>
      <c r="G254">
        <v>5.0761421319795996E-3</v>
      </c>
      <c r="H254">
        <v>3.533682823582196E-2</v>
      </c>
      <c r="I254">
        <v>-1.2495297468694266E-3</v>
      </c>
      <c r="J254">
        <v>0</v>
      </c>
      <c r="K254">
        <f>SUMPRODUCT(Sheet1!$AV$8:$BE$8,Sheet2!A254:J254)</f>
        <v>-6.4797637018031433E-4</v>
      </c>
    </row>
    <row r="255" spans="1:11" x14ac:dyDescent="0.35">
      <c r="A255">
        <v>-4.4117647058823595E-2</v>
      </c>
      <c r="B255">
        <v>-9.145029116278236E-3</v>
      </c>
      <c r="C255">
        <v>-9.2507983133243155E-3</v>
      </c>
      <c r="D255">
        <v>-4.0276101947408494E-2</v>
      </c>
      <c r="E255">
        <v>-1.7210413926717849E-2</v>
      </c>
      <c r="F255">
        <v>-3.9753639417693165E-2</v>
      </c>
      <c r="G255">
        <v>2.020202020202011E-2</v>
      </c>
      <c r="H255">
        <v>-1.2590877706023518E-3</v>
      </c>
      <c r="I255">
        <v>-1.1273289836550737E-2</v>
      </c>
      <c r="J255">
        <v>0</v>
      </c>
      <c r="K255">
        <f>SUMPRODUCT(Sheet1!$AV$8:$BE$8,Sheet2!A255:J255)</f>
        <v>-1.0602919768867779E-2</v>
      </c>
    </row>
    <row r="256" spans="1:11" x14ac:dyDescent="0.35">
      <c r="A256">
        <v>3.0769230769230882E-2</v>
      </c>
      <c r="B256">
        <v>-3.0819419512956303E-3</v>
      </c>
      <c r="C256">
        <v>-1.0893370404778557E-2</v>
      </c>
      <c r="D256">
        <v>-1.6393212339158247E-2</v>
      </c>
      <c r="E256">
        <v>-9.4393921952342641E-3</v>
      </c>
      <c r="F256">
        <v>-1.0301263362487822E-2</v>
      </c>
      <c r="G256">
        <v>-4.9504950495050659E-3</v>
      </c>
      <c r="H256">
        <v>-1.8991459943066169E-2</v>
      </c>
      <c r="I256">
        <v>-2.5307155394097558E-3</v>
      </c>
      <c r="J256">
        <v>-1.3333333333333308E-2</v>
      </c>
      <c r="K256">
        <f>SUMPRODUCT(Sheet1!$AV$8:$BE$8,Sheet2!A256:J256)</f>
        <v>-1.0843982495752361E-2</v>
      </c>
    </row>
    <row r="257" spans="1:11" x14ac:dyDescent="0.35">
      <c r="A257">
        <v>0</v>
      </c>
      <c r="B257">
        <v>-1.2341212744090502E-2</v>
      </c>
      <c r="C257">
        <v>2.2379329637356449E-4</v>
      </c>
      <c r="D257">
        <v>1.1996401079676033E-2</v>
      </c>
      <c r="E257">
        <v>-3.4006391632771749E-2</v>
      </c>
      <c r="F257">
        <v>-7.0699135899449095E-3</v>
      </c>
      <c r="G257">
        <v>-1.492537313432829E-2</v>
      </c>
      <c r="H257">
        <v>-2.5701612568918009E-3</v>
      </c>
      <c r="I257">
        <v>-5.0742726193886423E-3</v>
      </c>
      <c r="J257">
        <v>2.7027027027026973E-2</v>
      </c>
      <c r="K257">
        <f>SUMPRODUCT(Sheet1!$AV$8:$BE$8,Sheet2!A257:J257)</f>
        <v>-2.3536586933843593E-3</v>
      </c>
    </row>
    <row r="258" spans="1:11" x14ac:dyDescent="0.35">
      <c r="A258">
        <v>-1.4925373134328401E-2</v>
      </c>
      <c r="B258">
        <v>0</v>
      </c>
      <c r="C258">
        <v>0</v>
      </c>
      <c r="D258">
        <v>-1.2517463767093395E-2</v>
      </c>
      <c r="E258">
        <v>0</v>
      </c>
      <c r="F258">
        <v>0</v>
      </c>
      <c r="G258">
        <v>-1.0101010101010055E-2</v>
      </c>
      <c r="H258">
        <v>-2.975769918124771E-2</v>
      </c>
      <c r="I258">
        <v>-1.7850532636860872E-2</v>
      </c>
      <c r="J258">
        <v>0</v>
      </c>
      <c r="K258">
        <f>SUMPRODUCT(Sheet1!$AV$8:$BE$8,Sheet2!A258:J258)</f>
        <v>-9.6998358226553817E-3</v>
      </c>
    </row>
    <row r="259" spans="1:11" x14ac:dyDescent="0.35">
      <c r="A259">
        <v>0</v>
      </c>
      <c r="B259">
        <v>-1.2503746129000071E-2</v>
      </c>
      <c r="C259">
        <v>-1.4831463721392213E-2</v>
      </c>
      <c r="D259">
        <v>-8.0029725326550283E-3</v>
      </c>
      <c r="E259">
        <v>-7.0527376351523507E-3</v>
      </c>
      <c r="F259">
        <v>-1.7800632911393333E-3</v>
      </c>
      <c r="G259">
        <v>1.0204081632652962E-2</v>
      </c>
      <c r="H259">
        <v>1.3279074748340225E-3</v>
      </c>
      <c r="I259">
        <v>3.8946354537459094E-3</v>
      </c>
      <c r="J259">
        <v>0</v>
      </c>
      <c r="K259">
        <f>SUMPRODUCT(Sheet1!$AV$8:$BE$8,Sheet2!A259:J259)</f>
        <v>-6.588562709790597E-3</v>
      </c>
    </row>
    <row r="260" spans="1:11" x14ac:dyDescent="0.35">
      <c r="A260">
        <v>-3.0303030303030276E-2</v>
      </c>
      <c r="B260">
        <v>-2.9749962064372526E-2</v>
      </c>
      <c r="C260">
        <v>-7.7562059971232333E-3</v>
      </c>
      <c r="D260">
        <v>-3.3624340911055373E-2</v>
      </c>
      <c r="E260">
        <v>-1.1343328789943929E-2</v>
      </c>
      <c r="F260">
        <v>-3.3287101248266282E-2</v>
      </c>
      <c r="G260">
        <v>-5.050505050505083E-3</v>
      </c>
      <c r="H260">
        <v>-1.4644649783253527E-2</v>
      </c>
      <c r="I260">
        <v>-3.8795261137993808E-3</v>
      </c>
      <c r="J260">
        <v>0</v>
      </c>
      <c r="K260">
        <f>SUMPRODUCT(Sheet1!$AV$8:$BE$8,Sheet2!A260:J260)</f>
        <v>-1.0957375067345645E-2</v>
      </c>
    </row>
    <row r="261" spans="1:11" x14ac:dyDescent="0.35">
      <c r="A261">
        <v>0</v>
      </c>
      <c r="B261">
        <v>-1.9549407870156355E-3</v>
      </c>
      <c r="C261">
        <v>1.3792170680279714E-2</v>
      </c>
      <c r="D261">
        <v>-4.8747763864043225E-3</v>
      </c>
      <c r="E261">
        <v>1.8657802423369674E-2</v>
      </c>
      <c r="F261">
        <v>1.8036482885837257E-2</v>
      </c>
      <c r="G261">
        <v>-2.0304568527918843E-2</v>
      </c>
      <c r="H261">
        <v>0</v>
      </c>
      <c r="I261">
        <v>2.4666024540391129E-2</v>
      </c>
      <c r="J261">
        <v>-2.6315789473684181E-2</v>
      </c>
      <c r="K261">
        <f>SUMPRODUCT(Sheet1!$AV$8:$BE$8,Sheet2!A261:J261)</f>
        <v>1.3050709505131436E-2</v>
      </c>
    </row>
    <row r="262" spans="1:11" x14ac:dyDescent="0.35">
      <c r="A262">
        <v>-1.5625E-2</v>
      </c>
      <c r="B262">
        <v>4.5756868753699775E-2</v>
      </c>
      <c r="C262">
        <v>0</v>
      </c>
      <c r="D262">
        <v>-6.9884499573051873E-3</v>
      </c>
      <c r="E262">
        <v>1.398517270936539E-3</v>
      </c>
      <c r="F262">
        <v>1.6106301590497196E-2</v>
      </c>
      <c r="G262">
        <v>2.0725388601036343E-2</v>
      </c>
      <c r="H262">
        <v>-1.3458560657587659E-3</v>
      </c>
      <c r="I262">
        <v>2.0284998092747086E-2</v>
      </c>
      <c r="J262">
        <v>0</v>
      </c>
      <c r="K262">
        <f>SUMPRODUCT(Sheet1!$AV$8:$BE$8,Sheet2!A262:J262)</f>
        <v>5.5962059907624789E-3</v>
      </c>
    </row>
    <row r="263" spans="1:11" x14ac:dyDescent="0.35">
      <c r="A263">
        <v>0</v>
      </c>
      <c r="B263">
        <v>-9.3736472311942709E-3</v>
      </c>
      <c r="C263">
        <v>-2.2679925700153092E-3</v>
      </c>
      <c r="D263">
        <v>-3.9442420402344358E-2</v>
      </c>
      <c r="E263">
        <v>0</v>
      </c>
      <c r="F263">
        <v>-2.2785813354467832E-2</v>
      </c>
      <c r="G263">
        <v>-1.0152284263959421E-2</v>
      </c>
      <c r="H263">
        <v>0</v>
      </c>
      <c r="I263">
        <v>6.2088579707049174E-3</v>
      </c>
      <c r="J263">
        <v>0</v>
      </c>
      <c r="K263">
        <f>SUMPRODUCT(Sheet1!$AV$8:$BE$8,Sheet2!A263:J263)</f>
        <v>-1.9996977755065209E-3</v>
      </c>
    </row>
    <row r="264" spans="1:11" x14ac:dyDescent="0.35">
      <c r="A264">
        <v>0</v>
      </c>
      <c r="B264">
        <v>1.5134708146355313E-2</v>
      </c>
      <c r="C264">
        <v>-1.0906310642995631E-2</v>
      </c>
      <c r="D264">
        <v>-1.3922917451941297E-2</v>
      </c>
      <c r="E264">
        <v>8.4394521864488148E-3</v>
      </c>
      <c r="F264">
        <v>7.0965125709649968E-3</v>
      </c>
      <c r="G264">
        <v>0</v>
      </c>
      <c r="H264">
        <v>0</v>
      </c>
      <c r="I264">
        <v>-3.7023275564638247E-3</v>
      </c>
      <c r="J264">
        <v>-2.7027027027027084E-2</v>
      </c>
      <c r="K264">
        <f>SUMPRODUCT(Sheet1!$AV$8:$BE$8,Sheet2!A264:J264)</f>
        <v>-5.2350691174742189E-3</v>
      </c>
    </row>
    <row r="265" spans="1:11" x14ac:dyDescent="0.35">
      <c r="A265">
        <v>1.5873015873015817E-2</v>
      </c>
      <c r="B265">
        <v>-5.5877946009487145E-3</v>
      </c>
      <c r="C265">
        <v>1.3324782917655931E-2</v>
      </c>
      <c r="D265">
        <v>-2.5284500402163013E-2</v>
      </c>
      <c r="E265">
        <v>1.8137415492748055E-2</v>
      </c>
      <c r="F265">
        <v>0</v>
      </c>
      <c r="G265">
        <v>-1.5384615384615441E-2</v>
      </c>
      <c r="H265">
        <v>0</v>
      </c>
      <c r="I265">
        <v>-8.6708666870896067E-3</v>
      </c>
      <c r="J265">
        <v>-2.777777777777779E-2</v>
      </c>
      <c r="K265">
        <f>SUMPRODUCT(Sheet1!$AV$8:$BE$8,Sheet2!A265:J265)</f>
        <v>4.8364893568674161E-3</v>
      </c>
    </row>
    <row r="266" spans="1:11" x14ac:dyDescent="0.35">
      <c r="A266">
        <v>3.125E-2</v>
      </c>
      <c r="B266">
        <v>-1.8755619193499995E-2</v>
      </c>
      <c r="C266">
        <v>2.7229594053275186E-3</v>
      </c>
      <c r="D266">
        <v>-1.6781594169744007E-2</v>
      </c>
      <c r="E266">
        <v>-2.7496636049846312E-3</v>
      </c>
      <c r="F266">
        <v>-7.0465069458424123E-3</v>
      </c>
      <c r="G266">
        <v>5.2083333333332593E-3</v>
      </c>
      <c r="H266">
        <v>1.4882332483190375E-2</v>
      </c>
      <c r="I266">
        <v>9.9962379749556352E-3</v>
      </c>
      <c r="J266">
        <v>0</v>
      </c>
      <c r="K266">
        <f>SUMPRODUCT(Sheet1!$AV$8:$BE$8,Sheet2!A266:J266)</f>
        <v>5.5130508422357163E-3</v>
      </c>
    </row>
    <row r="267" spans="1:11" x14ac:dyDescent="0.35">
      <c r="A267">
        <v>-1.5151515151515138E-2</v>
      </c>
      <c r="B267">
        <v>6.3713720932205842E-3</v>
      </c>
      <c r="C267">
        <v>1.7637526652451996E-2</v>
      </c>
      <c r="D267">
        <v>0</v>
      </c>
      <c r="E267">
        <v>-8.2277367124251599E-3</v>
      </c>
      <c r="F267">
        <v>7.0965125709649968E-3</v>
      </c>
      <c r="G267">
        <v>5.1813471502590858E-3</v>
      </c>
      <c r="H267">
        <v>-2.6700935246661839E-3</v>
      </c>
      <c r="I267">
        <v>-1.1134464960357526E-2</v>
      </c>
      <c r="J267">
        <v>0</v>
      </c>
      <c r="K267">
        <f>SUMPRODUCT(Sheet1!$AV$8:$BE$8,Sheet2!A267:J267)</f>
        <v>6.5539114090996733E-3</v>
      </c>
    </row>
    <row r="268" spans="1:11" x14ac:dyDescent="0.35">
      <c r="A268">
        <v>1.538461538461533E-2</v>
      </c>
      <c r="B268">
        <v>0</v>
      </c>
      <c r="C268">
        <v>1.7777703280309698E-2</v>
      </c>
      <c r="D268">
        <v>7.8110717787627237E-4</v>
      </c>
      <c r="E268">
        <v>-2.780119190216257E-3</v>
      </c>
      <c r="F268">
        <v>0</v>
      </c>
      <c r="G268">
        <v>-1.5463917525773252E-2</v>
      </c>
      <c r="H268">
        <v>2.6772420112244344E-3</v>
      </c>
      <c r="I268">
        <v>1.2510930248199603E-3</v>
      </c>
      <c r="J268">
        <v>3.5714285714285809E-2</v>
      </c>
      <c r="K268">
        <f>SUMPRODUCT(Sheet1!$AV$8:$BE$8,Sheet2!A268:J268)</f>
        <v>9.5605636297866597E-3</v>
      </c>
    </row>
    <row r="269" spans="1:11" x14ac:dyDescent="0.35">
      <c r="A269">
        <v>1.5151515151515138E-2</v>
      </c>
      <c r="B269">
        <v>-5.058083660703816E-3</v>
      </c>
      <c r="C269">
        <v>4.3676177049913889E-3</v>
      </c>
      <c r="D269">
        <v>-7.7551562655683304E-3</v>
      </c>
      <c r="E269">
        <v>-6.940016312004138E-3</v>
      </c>
      <c r="F269">
        <v>1.4294342661566484E-2</v>
      </c>
      <c r="G269">
        <v>-5.2356020942407877E-3</v>
      </c>
      <c r="H269">
        <v>0</v>
      </c>
      <c r="I269">
        <v>-6.2610845380770552E-3</v>
      </c>
      <c r="J269">
        <v>1.379310344827589E-2</v>
      </c>
      <c r="K269">
        <f>SUMPRODUCT(Sheet1!$AV$8:$BE$8,Sheet2!A269:J269)</f>
        <v>2.080461118356408E-3</v>
      </c>
    </row>
    <row r="270" spans="1:11" x14ac:dyDescent="0.35">
      <c r="A270">
        <v>1.4925373134328401E-2</v>
      </c>
      <c r="B270">
        <v>0</v>
      </c>
      <c r="C270">
        <v>1.0855163909695431E-3</v>
      </c>
      <c r="D270">
        <v>-1.2501882813676701E-2</v>
      </c>
      <c r="E270">
        <v>-2.0980482924425559E-2</v>
      </c>
      <c r="F270">
        <v>-1.409289400555791E-2</v>
      </c>
      <c r="G270">
        <v>0</v>
      </c>
      <c r="H270">
        <v>-1.3336189048333003E-2</v>
      </c>
      <c r="I270">
        <v>3.7857278061705912E-3</v>
      </c>
      <c r="J270">
        <v>0</v>
      </c>
      <c r="K270">
        <f>SUMPRODUCT(Sheet1!$AV$8:$BE$8,Sheet2!A270:J270)</f>
        <v>-2.9242255018879001E-3</v>
      </c>
    </row>
    <row r="271" spans="1:11" x14ac:dyDescent="0.35">
      <c r="A271">
        <v>1.4705882352941124E-2</v>
      </c>
      <c r="B271">
        <v>8.269644642524332E-3</v>
      </c>
      <c r="C271">
        <v>6.5158637860149859E-3</v>
      </c>
      <c r="D271">
        <v>-1.6609043454681172E-2</v>
      </c>
      <c r="E271">
        <v>2.8568378023855256E-2</v>
      </c>
      <c r="F271">
        <v>-1.7716931749547027E-2</v>
      </c>
      <c r="G271">
        <v>-1.0526315789473717E-2</v>
      </c>
      <c r="H271">
        <v>1.2156119303628143E-2</v>
      </c>
      <c r="I271">
        <v>-1.0034751218986449E-2</v>
      </c>
      <c r="J271">
        <v>0</v>
      </c>
      <c r="K271">
        <f>SUMPRODUCT(Sheet1!$AV$8:$BE$8,Sheet2!A271:J271)</f>
        <v>2.6251398432402036E-3</v>
      </c>
    </row>
    <row r="272" spans="1:11" x14ac:dyDescent="0.35">
      <c r="A272">
        <v>0</v>
      </c>
      <c r="B272">
        <v>0</v>
      </c>
      <c r="C272">
        <v>0</v>
      </c>
      <c r="D272">
        <v>-1.1262581000965E-2</v>
      </c>
      <c r="E272">
        <v>-1.3791058055905303E-3</v>
      </c>
      <c r="F272">
        <v>1.8036482885837257E-2</v>
      </c>
      <c r="G272">
        <v>-5.3191489361701372E-3</v>
      </c>
      <c r="H272">
        <v>-1.3296921691140495E-3</v>
      </c>
      <c r="I272">
        <v>-6.326788848524445E-3</v>
      </c>
      <c r="J272">
        <v>-4.081632653061229E-2</v>
      </c>
      <c r="K272">
        <f>SUMPRODUCT(Sheet1!$AV$8:$BE$8,Sheet2!A272:J272)</f>
        <v>-5.8195596290118269E-5</v>
      </c>
    </row>
    <row r="273" spans="1:11" x14ac:dyDescent="0.35">
      <c r="A273">
        <v>-1.4492753623188248E-2</v>
      </c>
      <c r="B273">
        <v>8.8320812114488501E-3</v>
      </c>
      <c r="C273">
        <v>2.1578940516333578E-3</v>
      </c>
      <c r="D273">
        <v>4.8814286087797809E-2</v>
      </c>
      <c r="E273">
        <v>1.3810103650024885E-3</v>
      </c>
      <c r="F273">
        <v>-3.9259110126837027E-2</v>
      </c>
      <c r="G273">
        <v>2.1390374331550666E-2</v>
      </c>
      <c r="H273">
        <v>-1.3314626045125566E-3</v>
      </c>
      <c r="I273">
        <v>6.3670719684520982E-3</v>
      </c>
      <c r="J273">
        <v>0</v>
      </c>
      <c r="K273">
        <f>SUMPRODUCT(Sheet1!$AV$8:$BE$8,Sheet2!A273:J273)</f>
        <v>-1.2526832416921642E-3</v>
      </c>
    </row>
    <row r="274" spans="1:11" x14ac:dyDescent="0.35">
      <c r="A274">
        <v>1.4705882352941124E-2</v>
      </c>
      <c r="B274">
        <v>0</v>
      </c>
      <c r="C274">
        <v>0</v>
      </c>
      <c r="D274">
        <v>8.5340114008409795E-3</v>
      </c>
      <c r="E274">
        <v>8.3339512122784232E-3</v>
      </c>
      <c r="F274">
        <v>3.1642917015926253E-2</v>
      </c>
      <c r="G274">
        <v>0</v>
      </c>
      <c r="H274">
        <v>0</v>
      </c>
      <c r="I274">
        <v>0</v>
      </c>
      <c r="J274">
        <v>0</v>
      </c>
      <c r="K274">
        <f>SUMPRODUCT(Sheet1!$AV$8:$BE$8,Sheet2!A274:J274)</f>
        <v>2.7780952293460937E-3</v>
      </c>
    </row>
    <row r="275" spans="1:11" x14ac:dyDescent="0.35">
      <c r="A275">
        <v>0</v>
      </c>
      <c r="B275">
        <v>-5.6310339944521948E-3</v>
      </c>
      <c r="C275">
        <v>3.0138970533311049E-3</v>
      </c>
      <c r="D275">
        <v>0</v>
      </c>
      <c r="E275">
        <v>-1.367707398855833E-3</v>
      </c>
      <c r="F275">
        <v>8.9376396506195555E-3</v>
      </c>
      <c r="G275">
        <v>0</v>
      </c>
      <c r="H275">
        <v>-4.0283850620027595E-3</v>
      </c>
      <c r="I275">
        <v>-6.326788848524445E-3</v>
      </c>
      <c r="J275">
        <v>0</v>
      </c>
      <c r="K275">
        <f>SUMPRODUCT(Sheet1!$AV$8:$BE$8,Sheet2!A275:J275)</f>
        <v>9.3773697473725813E-5</v>
      </c>
    </row>
    <row r="276" spans="1:11" x14ac:dyDescent="0.35">
      <c r="A276">
        <v>0</v>
      </c>
      <c r="B276">
        <v>0</v>
      </c>
      <c r="C276">
        <v>-1.2877426457493457E-2</v>
      </c>
      <c r="D276">
        <v>-1.9230610781995505E-2</v>
      </c>
      <c r="E276">
        <v>-6.9068096135720403E-3</v>
      </c>
      <c r="F276">
        <v>-2.67767263942017E-2</v>
      </c>
      <c r="G276">
        <v>-1.5706806282722474E-2</v>
      </c>
      <c r="H276">
        <v>-2.5534732417883066E-2</v>
      </c>
      <c r="I276">
        <v>0</v>
      </c>
      <c r="J276">
        <v>4.2553191489361764E-2</v>
      </c>
      <c r="K276">
        <f>SUMPRODUCT(Sheet1!$AV$8:$BE$8,Sheet2!A276:J276)</f>
        <v>-1.3921927617267833E-2</v>
      </c>
    </row>
    <row r="277" spans="1:11" x14ac:dyDescent="0.35">
      <c r="A277">
        <v>1.449275362318847E-2</v>
      </c>
      <c r="B277">
        <v>0</v>
      </c>
      <c r="C277">
        <v>2.164942366609246E-4</v>
      </c>
      <c r="D277">
        <v>1.882639559793331E-2</v>
      </c>
      <c r="E277">
        <v>-5.5460814117297419E-3</v>
      </c>
      <c r="F277">
        <v>9.3090608191972457E-3</v>
      </c>
      <c r="G277">
        <v>-5.3191489361701372E-3</v>
      </c>
      <c r="H277">
        <v>6.8980797636633007E-3</v>
      </c>
      <c r="I277">
        <v>-6.3670719684522092E-3</v>
      </c>
      <c r="J277">
        <v>0</v>
      </c>
      <c r="K277">
        <f>SUMPRODUCT(Sheet1!$AV$8:$BE$8,Sheet2!A277:J277)</f>
        <v>1.1021530698725125E-3</v>
      </c>
    </row>
    <row r="278" spans="1:11" x14ac:dyDescent="0.35">
      <c r="A278">
        <v>0</v>
      </c>
      <c r="B278">
        <v>-6.2828277751247885E-4</v>
      </c>
      <c r="C278">
        <v>0</v>
      </c>
      <c r="D278">
        <v>-3.0022428180348837E-2</v>
      </c>
      <c r="E278">
        <v>4.190214878990739E-3</v>
      </c>
      <c r="F278">
        <v>-1.844640295142308E-3</v>
      </c>
      <c r="G278">
        <v>0</v>
      </c>
      <c r="H278">
        <v>-6.8508222453680379E-3</v>
      </c>
      <c r="I278">
        <v>3.8447228078879458E-3</v>
      </c>
      <c r="J278">
        <v>1.3605442176870763E-2</v>
      </c>
      <c r="K278">
        <f>SUMPRODUCT(Sheet1!$AV$8:$BE$8,Sheet2!A278:J278)</f>
        <v>-8.1148133815178952E-4</v>
      </c>
    </row>
    <row r="279" spans="1:11" x14ac:dyDescent="0.35">
      <c r="A279">
        <v>0</v>
      </c>
      <c r="B279">
        <v>6.2867776492492311E-4</v>
      </c>
      <c r="C279">
        <v>-2.1644737705128758E-4</v>
      </c>
      <c r="D279">
        <v>1.1901219875037006E-2</v>
      </c>
      <c r="E279">
        <v>-1.3958599388198545E-3</v>
      </c>
      <c r="F279">
        <v>-3.6550308008213572E-2</v>
      </c>
      <c r="G279">
        <v>-5.3475935828877219E-3</v>
      </c>
      <c r="H279">
        <v>0</v>
      </c>
      <c r="I279">
        <v>-3.8299975290337906E-3</v>
      </c>
      <c r="J279">
        <v>0</v>
      </c>
      <c r="K279">
        <f>SUMPRODUCT(Sheet1!$AV$8:$BE$8,Sheet2!A279:J279)</f>
        <v>-3.9793833823074058E-3</v>
      </c>
    </row>
    <row r="280" spans="1:11" x14ac:dyDescent="0.35">
      <c r="A280">
        <v>-2.857142857142847E-2</v>
      </c>
      <c r="B280">
        <v>0</v>
      </c>
      <c r="C280">
        <v>-1.9582887770699386E-3</v>
      </c>
      <c r="D280">
        <v>-3.9148149703868151E-3</v>
      </c>
      <c r="E280">
        <v>1.3978110873187344E-3</v>
      </c>
      <c r="F280">
        <v>1.7050298380221651E-2</v>
      </c>
      <c r="G280">
        <v>0</v>
      </c>
      <c r="H280">
        <v>2.069423929098968E-2</v>
      </c>
      <c r="I280">
        <v>1.9223614039439507E-2</v>
      </c>
      <c r="J280">
        <v>1.3422818791946289E-2</v>
      </c>
      <c r="K280">
        <f>SUMPRODUCT(Sheet1!$AV$8:$BE$8,Sheet2!A280:J280)</f>
        <v>8.6013813727476816E-3</v>
      </c>
    </row>
    <row r="281" spans="1:11" x14ac:dyDescent="0.35">
      <c r="A281">
        <v>0</v>
      </c>
      <c r="B281">
        <v>-3.1414138875625053E-3</v>
      </c>
      <c r="C281">
        <v>1.0911684376242459E-3</v>
      </c>
      <c r="D281">
        <v>2.2830588096382609E-2</v>
      </c>
      <c r="E281">
        <v>-2.643224139467204E-2</v>
      </c>
      <c r="F281">
        <v>-1.4878457669740275E-2</v>
      </c>
      <c r="G281">
        <v>-5.3763440860215006E-3</v>
      </c>
      <c r="H281">
        <v>-3.5136973415724748E-2</v>
      </c>
      <c r="I281">
        <v>2.0131959654957843E-2</v>
      </c>
      <c r="J281">
        <v>6.6225165562914245E-3</v>
      </c>
      <c r="K281">
        <f>SUMPRODUCT(Sheet1!$AV$8:$BE$8,Sheet2!A281:J281)</f>
        <v>-4.5268834192981628E-3</v>
      </c>
    </row>
    <row r="282" spans="1:11" x14ac:dyDescent="0.35">
      <c r="A282">
        <v>1.4705882352941124E-2</v>
      </c>
      <c r="B282">
        <v>0</v>
      </c>
      <c r="C282">
        <v>-5.8766944742656424E-3</v>
      </c>
      <c r="D282">
        <v>-3.075629143441394E-3</v>
      </c>
      <c r="E282">
        <v>0</v>
      </c>
      <c r="F282">
        <v>1.7017655817911148E-2</v>
      </c>
      <c r="G282">
        <v>0</v>
      </c>
      <c r="H282">
        <v>-1.9603137701918349E-2</v>
      </c>
      <c r="I282">
        <v>-1.3558468409961333E-2</v>
      </c>
      <c r="J282">
        <v>0</v>
      </c>
      <c r="K282">
        <f>SUMPRODUCT(Sheet1!$AV$8:$BE$8,Sheet2!A282:J282)</f>
        <v>-8.1436748819981742E-3</v>
      </c>
    </row>
    <row r="283" spans="1:11" x14ac:dyDescent="0.35">
      <c r="A283">
        <v>0</v>
      </c>
      <c r="B283">
        <v>0</v>
      </c>
      <c r="C283">
        <v>-1.7295073034283015E-2</v>
      </c>
      <c r="D283">
        <v>-1.5450402388691775E-2</v>
      </c>
      <c r="E283">
        <v>0</v>
      </c>
      <c r="F283">
        <v>0</v>
      </c>
      <c r="G283">
        <v>0</v>
      </c>
      <c r="H283">
        <v>1.4227580087506908E-3</v>
      </c>
      <c r="I283">
        <v>0</v>
      </c>
      <c r="J283">
        <v>0</v>
      </c>
      <c r="K283">
        <f>SUMPRODUCT(Sheet1!$AV$8:$BE$8,Sheet2!A283:J283)</f>
        <v>-8.1480739731448846E-3</v>
      </c>
    </row>
    <row r="284" spans="1:11" x14ac:dyDescent="0.35">
      <c r="A284">
        <v>-4.3478260869565077E-2</v>
      </c>
      <c r="B284">
        <v>0</v>
      </c>
      <c r="C284">
        <v>8.0183891976906008E-3</v>
      </c>
      <c r="D284">
        <v>1.1769647582643872E-2</v>
      </c>
      <c r="E284">
        <v>1.1424300661968978E-2</v>
      </c>
      <c r="F284">
        <v>-1.6732901066722428E-2</v>
      </c>
      <c r="G284">
        <v>5.4054054054053502E-3</v>
      </c>
      <c r="H284">
        <v>2.5680196764386931E-2</v>
      </c>
      <c r="I284">
        <v>7.4971784812167819E-3</v>
      </c>
      <c r="J284">
        <v>0</v>
      </c>
      <c r="K284">
        <f>SUMPRODUCT(Sheet1!$AV$8:$BE$8,Sheet2!A284:J284)</f>
        <v>9.4205779189554164E-3</v>
      </c>
    </row>
    <row r="285" spans="1:11" x14ac:dyDescent="0.35">
      <c r="A285">
        <v>3.0303030303030276E-2</v>
      </c>
      <c r="B285">
        <v>-6.3110304374863757E-3</v>
      </c>
      <c r="C285">
        <v>-3.3138635515015391E-3</v>
      </c>
      <c r="D285">
        <v>-1.5502009365970348E-2</v>
      </c>
      <c r="E285">
        <v>1.4130385607214579E-2</v>
      </c>
      <c r="F285">
        <v>0</v>
      </c>
      <c r="G285">
        <v>5.3763440860215006E-3</v>
      </c>
      <c r="H285">
        <v>0</v>
      </c>
      <c r="I285">
        <v>-7.441389059291037E-3</v>
      </c>
      <c r="J285">
        <v>0</v>
      </c>
      <c r="K285">
        <f>SUMPRODUCT(Sheet1!$AV$8:$BE$8,Sheet2!A285:J285)</f>
        <v>-3.0232984953327451E-3</v>
      </c>
    </row>
    <row r="286" spans="1:11" x14ac:dyDescent="0.35">
      <c r="A286">
        <v>0</v>
      </c>
      <c r="B286">
        <v>0</v>
      </c>
      <c r="C286">
        <v>1.8848801503890122E-2</v>
      </c>
      <c r="D286">
        <v>6.2916951311051683E-3</v>
      </c>
      <c r="E286">
        <v>-5.5763740185582611E-3</v>
      </c>
      <c r="F286">
        <v>-1.9144862795148487E-3</v>
      </c>
      <c r="G286">
        <v>1.0695187165775222E-2</v>
      </c>
      <c r="H286">
        <v>0</v>
      </c>
      <c r="I286">
        <v>0</v>
      </c>
      <c r="J286">
        <v>0</v>
      </c>
      <c r="K286">
        <f>SUMPRODUCT(Sheet1!$AV$8:$BE$8,Sheet2!A286:J286)</f>
        <v>9.0022867839565819E-3</v>
      </c>
    </row>
    <row r="287" spans="1:11" x14ac:dyDescent="0.35">
      <c r="A287">
        <v>0</v>
      </c>
      <c r="B287">
        <v>-9.5224403156105586E-3</v>
      </c>
      <c r="C287">
        <v>8.703417347082798E-3</v>
      </c>
      <c r="D287">
        <v>-1.7214935255416286E-2</v>
      </c>
      <c r="E287">
        <v>0</v>
      </c>
      <c r="F287">
        <v>0</v>
      </c>
      <c r="G287">
        <v>5.2910052910053462E-3</v>
      </c>
      <c r="H287">
        <v>-1.9466785820673183E-2</v>
      </c>
      <c r="I287">
        <v>7.4971784812167819E-3</v>
      </c>
      <c r="J287">
        <v>0</v>
      </c>
      <c r="K287">
        <f>SUMPRODUCT(Sheet1!$AV$8:$BE$8,Sheet2!A287:J287)</f>
        <v>1.4509666858647148E-3</v>
      </c>
    </row>
    <row r="288" spans="1:11" x14ac:dyDescent="0.35">
      <c r="A288">
        <v>-1.4705882352941235E-2</v>
      </c>
      <c r="B288">
        <v>9.6139889515971522E-3</v>
      </c>
      <c r="C288">
        <v>9.7088958612698839E-3</v>
      </c>
      <c r="D288">
        <v>2.6274720495305326E-2</v>
      </c>
      <c r="E288">
        <v>-5.5926906225233219E-3</v>
      </c>
      <c r="F288">
        <v>1.9181585677747748E-3</v>
      </c>
      <c r="G288">
        <v>-5.2631578947368585E-3</v>
      </c>
      <c r="H288">
        <v>0</v>
      </c>
      <c r="I288">
        <v>-7.441389059291037E-3</v>
      </c>
      <c r="J288">
        <v>0</v>
      </c>
      <c r="K288">
        <f>SUMPRODUCT(Sheet1!$AV$8:$BE$8,Sheet2!A288:J288)</f>
        <v>3.5689474047781397E-3</v>
      </c>
    </row>
    <row r="289" spans="1:11" x14ac:dyDescent="0.35">
      <c r="A289">
        <v>-1.4925373134328401E-2</v>
      </c>
      <c r="B289">
        <v>0</v>
      </c>
      <c r="C289">
        <v>7.4783948528012179E-3</v>
      </c>
      <c r="D289">
        <v>7.761213873793027E-3</v>
      </c>
      <c r="E289">
        <v>5.6241447239808728E-3</v>
      </c>
      <c r="F289">
        <v>5.2967453733248293E-2</v>
      </c>
      <c r="G289">
        <v>-1.058201058201047E-2</v>
      </c>
      <c r="H289">
        <v>3.2612823356067633E-2</v>
      </c>
      <c r="I289">
        <v>0</v>
      </c>
      <c r="J289">
        <v>-2.6315789473684181E-2</v>
      </c>
      <c r="K289">
        <f>SUMPRODUCT(Sheet1!$AV$8:$BE$8,Sheet2!A289:J289)</f>
        <v>1.506037705629684E-2</v>
      </c>
    </row>
    <row r="290" spans="1:11" x14ac:dyDescent="0.35">
      <c r="A290">
        <v>3.0303030303030276E-2</v>
      </c>
      <c r="B290">
        <v>0</v>
      </c>
      <c r="C290">
        <v>5.3016026389631765E-3</v>
      </c>
      <c r="D290">
        <v>-9.2351330848642332E-3</v>
      </c>
      <c r="E290">
        <v>8.4039896520271551E-3</v>
      </c>
      <c r="F290">
        <v>0</v>
      </c>
      <c r="G290">
        <v>2.6737967914438387E-2</v>
      </c>
      <c r="H290">
        <v>-1.368049426301754E-3</v>
      </c>
      <c r="I290">
        <v>4.9981189874779286E-3</v>
      </c>
      <c r="J290">
        <v>1.3513513513513598E-2</v>
      </c>
      <c r="K290">
        <f>SUMPRODUCT(Sheet1!$AV$8:$BE$8,Sheet2!A290:J290)</f>
        <v>3.3539222261339801E-3</v>
      </c>
    </row>
    <row r="291" spans="1:11" x14ac:dyDescent="0.35">
      <c r="A291">
        <v>2.9411764705882248E-2</v>
      </c>
      <c r="B291">
        <v>-3.1797846879835223E-3</v>
      </c>
      <c r="C291">
        <v>6.120227622818275E-3</v>
      </c>
      <c r="D291">
        <v>7.7399380804954454E-4</v>
      </c>
      <c r="E291">
        <v>-2.7730407058649265E-3</v>
      </c>
      <c r="F291">
        <v>-5.4545454545454897E-3</v>
      </c>
      <c r="G291">
        <v>1.5625E-2</v>
      </c>
      <c r="H291">
        <v>-1.3699235494277762E-3</v>
      </c>
      <c r="I291">
        <v>1.2433155080213698E-3</v>
      </c>
      <c r="J291">
        <v>4.0000000000000036E-2</v>
      </c>
      <c r="K291">
        <f>SUMPRODUCT(Sheet1!$AV$8:$BE$8,Sheet2!A291:J291)</f>
        <v>2.510767445748636E-3</v>
      </c>
    </row>
    <row r="292" spans="1:11" x14ac:dyDescent="0.35">
      <c r="A292">
        <v>0</v>
      </c>
      <c r="B292">
        <v>0</v>
      </c>
      <c r="C292">
        <v>2.746680922540623E-2</v>
      </c>
      <c r="D292">
        <v>-6.2121098720155921E-3</v>
      </c>
      <c r="E292">
        <v>-1.113787770640029E-2</v>
      </c>
      <c r="F292">
        <v>5.4844606946984342E-3</v>
      </c>
      <c r="G292">
        <v>-1.025641025641022E-2</v>
      </c>
      <c r="H292">
        <v>-1.9293742809098124E-2</v>
      </c>
      <c r="I292">
        <v>0</v>
      </c>
      <c r="J292">
        <v>1.9230769230769162E-2</v>
      </c>
      <c r="K292">
        <f>SUMPRODUCT(Sheet1!$AV$8:$BE$8,Sheet2!A292:J292)</f>
        <v>9.7827924450493136E-3</v>
      </c>
    </row>
    <row r="293" spans="1:11" x14ac:dyDescent="0.35">
      <c r="A293">
        <v>0</v>
      </c>
      <c r="B293">
        <v>0</v>
      </c>
      <c r="C293">
        <v>0</v>
      </c>
      <c r="D293">
        <v>-7.807400712958823E-3</v>
      </c>
      <c r="E293">
        <v>-7.0527376351523507E-3</v>
      </c>
      <c r="F293">
        <v>0</v>
      </c>
      <c r="G293">
        <v>1.0362694300518172E-2</v>
      </c>
      <c r="H293">
        <v>1.8259483199470461E-2</v>
      </c>
      <c r="I293">
        <v>1.862657391211453E-2</v>
      </c>
      <c r="J293">
        <v>0</v>
      </c>
      <c r="K293">
        <f>SUMPRODUCT(Sheet1!$AV$8:$BE$8,Sheet2!A293:J293)</f>
        <v>7.3692195019810849E-3</v>
      </c>
    </row>
    <row r="294" spans="1:11" x14ac:dyDescent="0.35">
      <c r="A294">
        <v>0</v>
      </c>
      <c r="B294">
        <v>1.911411627966153E-2</v>
      </c>
      <c r="C294">
        <v>7.1426372340752664E-3</v>
      </c>
      <c r="D294">
        <v>-2.3699280587674565E-3</v>
      </c>
      <c r="E294">
        <v>-2.8320460396789038E-3</v>
      </c>
      <c r="F294">
        <v>-1.8181818181819409E-3</v>
      </c>
      <c r="G294">
        <v>-1.025641025641022E-2</v>
      </c>
      <c r="H294">
        <v>-2.7474150664695829E-3</v>
      </c>
      <c r="I294">
        <v>-1.2190645973153558E-3</v>
      </c>
      <c r="J294">
        <v>0</v>
      </c>
      <c r="K294">
        <f>SUMPRODUCT(Sheet1!$AV$8:$BE$8,Sheet2!A294:J294)</f>
        <v>2.7511539674619123E-3</v>
      </c>
    </row>
    <row r="295" spans="1:11" x14ac:dyDescent="0.35">
      <c r="A295">
        <v>1.4285714285714235E-2</v>
      </c>
      <c r="B295">
        <v>0</v>
      </c>
      <c r="C295">
        <v>-7.0919817809432795E-3</v>
      </c>
      <c r="D295">
        <v>-2.0517719464358097E-2</v>
      </c>
      <c r="E295">
        <v>-4.2677277766809407E-3</v>
      </c>
      <c r="F295">
        <v>1.9631653511434921E-2</v>
      </c>
      <c r="G295">
        <v>2.5906735751295429E-2</v>
      </c>
      <c r="H295">
        <v>0</v>
      </c>
      <c r="I295">
        <v>1.221864951768481E-2</v>
      </c>
      <c r="J295">
        <v>0</v>
      </c>
      <c r="K295">
        <f>SUMPRODUCT(Sheet1!$AV$8:$BE$8,Sheet2!A295:J295)</f>
        <v>5.2920518682467144E-4</v>
      </c>
    </row>
    <row r="296" spans="1:11" x14ac:dyDescent="0.35">
      <c r="A296">
        <v>0</v>
      </c>
      <c r="B296">
        <v>0</v>
      </c>
      <c r="C296">
        <v>-1.0190572950341537E-3</v>
      </c>
      <c r="D296">
        <v>1.5311450790171044E-2</v>
      </c>
      <c r="E296">
        <v>7.1382813214972973E-3</v>
      </c>
      <c r="F296">
        <v>0</v>
      </c>
      <c r="G296">
        <v>-5.050505050505083E-3</v>
      </c>
      <c r="H296">
        <v>-1.3923038184673331E-3</v>
      </c>
      <c r="I296">
        <v>7.2349142960868029E-3</v>
      </c>
      <c r="J296">
        <v>0</v>
      </c>
      <c r="K296">
        <f>SUMPRODUCT(Sheet1!$AV$8:$BE$8,Sheet2!A296:J296)</f>
        <v>6.4537698209000396E-4</v>
      </c>
    </row>
    <row r="297" spans="1:11" x14ac:dyDescent="0.35">
      <c r="A297">
        <v>0</v>
      </c>
      <c r="B297">
        <v>0</v>
      </c>
      <c r="C297">
        <v>-1.899968873178226E-2</v>
      </c>
      <c r="D297">
        <v>-9.52097590002976E-3</v>
      </c>
      <c r="E297">
        <v>3.4045131001060103E-2</v>
      </c>
      <c r="F297">
        <v>1.2306470821754623E-2</v>
      </c>
      <c r="G297">
        <v>0</v>
      </c>
      <c r="H297">
        <v>1.3942450311481558E-3</v>
      </c>
      <c r="I297">
        <v>0</v>
      </c>
      <c r="J297">
        <v>0</v>
      </c>
      <c r="K297">
        <f>SUMPRODUCT(Sheet1!$AV$8:$BE$8,Sheet2!A297:J297)</f>
        <v>-7.6811874310951482E-3</v>
      </c>
    </row>
    <row r="298" spans="1:11" x14ac:dyDescent="0.35">
      <c r="A298">
        <v>0</v>
      </c>
      <c r="B298">
        <v>0</v>
      </c>
      <c r="C298">
        <v>1.6034481675326839E-2</v>
      </c>
      <c r="D298">
        <v>2.1628116551516863E-2</v>
      </c>
      <c r="E298">
        <v>4.1155276955975317E-3</v>
      </c>
      <c r="F298">
        <v>-1.7254901960784386E-2</v>
      </c>
      <c r="G298">
        <v>-5.0761421319797106E-3</v>
      </c>
      <c r="H298">
        <v>-4.1620997126522452E-3</v>
      </c>
      <c r="I298">
        <v>2.5153184696977471E-2</v>
      </c>
      <c r="J298">
        <v>0</v>
      </c>
      <c r="K298">
        <f>SUMPRODUCT(Sheet1!$AV$8:$BE$8,Sheet2!A298:J298)</f>
        <v>1.0317334838339704E-2</v>
      </c>
    </row>
    <row r="299" spans="1:11" x14ac:dyDescent="0.35">
      <c r="A299">
        <v>1.4084507042253502E-2</v>
      </c>
      <c r="B299">
        <v>0</v>
      </c>
      <c r="C299">
        <v>-4.919330402142208E-3</v>
      </c>
      <c r="D299">
        <v>0</v>
      </c>
      <c r="E299">
        <v>-1.7751134059714957E-2</v>
      </c>
      <c r="F299">
        <v>3.1723862729449381E-2</v>
      </c>
      <c r="G299">
        <v>0</v>
      </c>
      <c r="H299">
        <v>-1.3832492972201127E-3</v>
      </c>
      <c r="I299">
        <v>3.5033526708354579E-3</v>
      </c>
      <c r="J299">
        <v>-4.4025157232704393E-2</v>
      </c>
      <c r="K299">
        <f>SUMPRODUCT(Sheet1!$AV$8:$BE$8,Sheet2!A299:J299)</f>
        <v>4.5662923370663158E-4</v>
      </c>
    </row>
    <row r="300" spans="1:11" x14ac:dyDescent="0.35">
      <c r="A300">
        <v>4.1666666666666741E-2</v>
      </c>
      <c r="B300">
        <v>0</v>
      </c>
      <c r="C300">
        <v>1.0316101507952258E-3</v>
      </c>
      <c r="D300">
        <v>4.5490822027135058E-2</v>
      </c>
      <c r="E300">
        <v>1.8071931335570612E-2</v>
      </c>
      <c r="F300">
        <v>2.9201315026107011E-2</v>
      </c>
      <c r="G300">
        <v>-5.1020408163264808E-3</v>
      </c>
      <c r="H300">
        <v>-2.6422400953232117E-2</v>
      </c>
      <c r="I300">
        <v>5.8185367318592807E-3</v>
      </c>
      <c r="J300">
        <v>0</v>
      </c>
      <c r="K300">
        <f>SUMPRODUCT(Sheet1!$AV$8:$BE$8,Sheet2!A300:J300)</f>
        <v>-1.3212071445060081E-3</v>
      </c>
    </row>
    <row r="301" spans="1:11" x14ac:dyDescent="0.35">
      <c r="A301">
        <v>2.6666666666666616E-2</v>
      </c>
      <c r="B301">
        <v>4.3746461989277785E-2</v>
      </c>
      <c r="C301">
        <v>8.2288559375962578E-3</v>
      </c>
      <c r="D301">
        <v>-1.7251908396946569E-2</v>
      </c>
      <c r="E301">
        <v>-1.3652474511005153E-2</v>
      </c>
      <c r="F301">
        <v>8.2675685832394041E-3</v>
      </c>
      <c r="G301">
        <v>5.12820512820511E-3</v>
      </c>
      <c r="H301">
        <v>3.2861120460178084E-2</v>
      </c>
      <c r="I301">
        <v>-9.2558035381055115E-3</v>
      </c>
      <c r="J301">
        <v>0</v>
      </c>
      <c r="K301">
        <f>SUMPRODUCT(Sheet1!$AV$8:$BE$8,Sheet2!A301:J301)</f>
        <v>1.0373477055742177E-2</v>
      </c>
    </row>
    <row r="302" spans="1:11" x14ac:dyDescent="0.35">
      <c r="A302">
        <v>-1.2987012987012991E-2</v>
      </c>
      <c r="B302">
        <v>5.3892597643943496E-2</v>
      </c>
      <c r="C302">
        <v>-2.0405775684246175E-2</v>
      </c>
      <c r="D302">
        <v>-4.9622658479350434E-2</v>
      </c>
      <c r="E302">
        <v>4.1553909172915571E-3</v>
      </c>
      <c r="F302">
        <v>-8.1997763697353454E-3</v>
      </c>
      <c r="G302">
        <v>-5.1020408163264808E-3</v>
      </c>
      <c r="H302">
        <v>-6.9170838640875143E-3</v>
      </c>
      <c r="I302">
        <v>-1.402596750295082E-2</v>
      </c>
      <c r="J302">
        <v>0</v>
      </c>
      <c r="K302">
        <f>SUMPRODUCT(Sheet1!$AV$8:$BE$8,Sheet2!A302:J302)</f>
        <v>-1.4075739351398468E-2</v>
      </c>
    </row>
    <row r="303" spans="1:11" x14ac:dyDescent="0.35">
      <c r="A303">
        <v>0</v>
      </c>
      <c r="B303">
        <v>-5.6835381727915468E-3</v>
      </c>
      <c r="C303">
        <v>2.0830845239516949E-2</v>
      </c>
      <c r="D303">
        <v>-4.009153948070221E-3</v>
      </c>
      <c r="E303">
        <v>4.1234684260131882E-3</v>
      </c>
      <c r="F303">
        <v>-1.6910935738444488E-3</v>
      </c>
      <c r="G303">
        <v>1.538461538461533E-2</v>
      </c>
      <c r="H303">
        <v>0</v>
      </c>
      <c r="I303">
        <v>-9.4751722469148536E-3</v>
      </c>
      <c r="J303">
        <v>0</v>
      </c>
      <c r="K303">
        <f>SUMPRODUCT(Sheet1!$AV$8:$BE$8,Sheet2!A303:J303)</f>
        <v>8.1717446353674287E-3</v>
      </c>
    </row>
    <row r="304" spans="1:11" x14ac:dyDescent="0.35">
      <c r="A304">
        <v>1.3157894736842035E-2</v>
      </c>
      <c r="B304">
        <v>5.7160254214712047E-3</v>
      </c>
      <c r="C304">
        <v>-1.0202887842123198E-2</v>
      </c>
      <c r="D304">
        <v>-5.9679704236058395E-2</v>
      </c>
      <c r="E304">
        <v>-1.0984981813915273E-2</v>
      </c>
      <c r="F304">
        <v>-3.1996988518726566E-3</v>
      </c>
      <c r="G304">
        <v>-1.0101010101010055E-2</v>
      </c>
      <c r="H304">
        <v>0</v>
      </c>
      <c r="I304">
        <v>-3.5871787289302182E-3</v>
      </c>
      <c r="J304">
        <v>0</v>
      </c>
      <c r="K304">
        <f>SUMPRODUCT(Sheet1!$AV$8:$BE$8,Sheet2!A304:J304)</f>
        <v>-5.9502844929203071E-3</v>
      </c>
    </row>
    <row r="305" spans="1:11" x14ac:dyDescent="0.35">
      <c r="A305">
        <v>-1.2987012987012991E-2</v>
      </c>
      <c r="B305">
        <v>-6.251135194042412E-3</v>
      </c>
      <c r="C305">
        <v>1.8351705775499605E-2</v>
      </c>
      <c r="D305">
        <v>-1.8868444501602966E-2</v>
      </c>
      <c r="E305">
        <v>-1.8047008230147488E-2</v>
      </c>
      <c r="F305">
        <v>1.1706948640483272E-2</v>
      </c>
      <c r="G305">
        <v>-5.1020408163264808E-3</v>
      </c>
      <c r="H305">
        <v>0</v>
      </c>
      <c r="I305">
        <v>0</v>
      </c>
      <c r="J305">
        <v>0</v>
      </c>
      <c r="K305">
        <f>SUMPRODUCT(Sheet1!$AV$8:$BE$8,Sheet2!A305:J305)</f>
        <v>9.7554744331167353E-3</v>
      </c>
    </row>
    <row r="306" spans="1:11" x14ac:dyDescent="0.35">
      <c r="A306">
        <v>-2.6315789473684181E-2</v>
      </c>
      <c r="B306">
        <v>-5.7192902292285686E-3</v>
      </c>
      <c r="C306">
        <v>-7.898691492871035E-3</v>
      </c>
      <c r="D306">
        <v>-1.4858854922522369E-2</v>
      </c>
      <c r="E306">
        <v>1.1311123863601891E-2</v>
      </c>
      <c r="F306">
        <v>0</v>
      </c>
      <c r="G306">
        <v>0</v>
      </c>
      <c r="H306">
        <v>-2.7890882515250182E-3</v>
      </c>
      <c r="I306">
        <v>-9.6131513071304742E-3</v>
      </c>
      <c r="J306">
        <v>0</v>
      </c>
      <c r="K306">
        <f>SUMPRODUCT(Sheet1!$AV$8:$BE$8,Sheet2!A306:J306)</f>
        <v>-6.2803298585048031E-3</v>
      </c>
    </row>
    <row r="307" spans="1:11" x14ac:dyDescent="0.35">
      <c r="A307">
        <v>4.0540540540540571E-2</v>
      </c>
      <c r="B307">
        <v>-8.0500003829686584E-3</v>
      </c>
      <c r="C307">
        <v>0</v>
      </c>
      <c r="D307">
        <v>1.1537949780455747E-2</v>
      </c>
      <c r="E307">
        <v>0</v>
      </c>
      <c r="F307">
        <v>0</v>
      </c>
      <c r="G307">
        <v>-1.025641025641022E-2</v>
      </c>
      <c r="H307">
        <v>1.3909661980255894E-3</v>
      </c>
      <c r="I307">
        <v>4.8597448959650791E-3</v>
      </c>
      <c r="J307">
        <v>0</v>
      </c>
      <c r="K307">
        <f>SUMPRODUCT(Sheet1!$AV$8:$BE$8,Sheet2!A307:J307)</f>
        <v>1.1177046157540896E-3</v>
      </c>
    </row>
    <row r="308" spans="1:11" x14ac:dyDescent="0.35">
      <c r="A308">
        <v>-1.2987012987012991E-2</v>
      </c>
      <c r="B308">
        <v>-5.7911480371852786E-4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-1.2058190493479115E-3</v>
      </c>
      <c r="J308">
        <v>0</v>
      </c>
      <c r="K308">
        <f>SUMPRODUCT(Sheet1!$AV$8:$BE$8,Sheet2!A308:J308)</f>
        <v>-2.3847088844443712E-4</v>
      </c>
    </row>
    <row r="309" spans="1:11" x14ac:dyDescent="0.35">
      <c r="A309">
        <v>0</v>
      </c>
      <c r="B309">
        <v>-1.3922260938091569E-2</v>
      </c>
      <c r="C309">
        <v>6.1235799390413348E-3</v>
      </c>
      <c r="D309">
        <v>0</v>
      </c>
      <c r="E309">
        <v>1.4036764376483823E-3</v>
      </c>
      <c r="F309">
        <v>0</v>
      </c>
      <c r="G309">
        <v>0</v>
      </c>
      <c r="H309">
        <v>2.7930040476156215E-3</v>
      </c>
      <c r="I309">
        <v>-9.6711798839458352E-3</v>
      </c>
      <c r="J309">
        <v>0</v>
      </c>
      <c r="K309">
        <f>SUMPRODUCT(Sheet1!$AV$8:$BE$8,Sheet2!A309:J309)</f>
        <v>1.5561530202813207E-3</v>
      </c>
    </row>
    <row r="310" spans="1:11" x14ac:dyDescent="0.35">
      <c r="A310">
        <v>-3.9473684210526327E-2</v>
      </c>
      <c r="B310">
        <v>1.7652451206995323E-2</v>
      </c>
      <c r="C310">
        <v>0</v>
      </c>
      <c r="D310">
        <v>1.3153938665063203E-2</v>
      </c>
      <c r="E310">
        <v>1.674594771924065E-2</v>
      </c>
      <c r="F310">
        <v>0</v>
      </c>
      <c r="G310">
        <v>0</v>
      </c>
      <c r="H310">
        <v>-2.7852249031874443E-3</v>
      </c>
      <c r="I310">
        <v>0</v>
      </c>
      <c r="J310">
        <v>0</v>
      </c>
      <c r="K310">
        <f>SUMPRODUCT(Sheet1!$AV$8:$BE$8,Sheet2!A310:J310)</f>
        <v>-2.3264116052072254E-4</v>
      </c>
    </row>
    <row r="311" spans="1:11" x14ac:dyDescent="0.35">
      <c r="A311">
        <v>1.3698630136986356E-2</v>
      </c>
      <c r="B311">
        <v>-3.472329155246201E-3</v>
      </c>
      <c r="C311">
        <v>1.8268109755537054E-3</v>
      </c>
      <c r="D311">
        <v>1.2983158988055354E-2</v>
      </c>
      <c r="E311">
        <v>-5.4851578082834029E-3</v>
      </c>
      <c r="F311">
        <v>-8.3986562150055732E-3</v>
      </c>
      <c r="G311">
        <v>-1.5544041450777257E-2</v>
      </c>
      <c r="H311">
        <v>-1.3890340985467375E-3</v>
      </c>
      <c r="I311">
        <v>0</v>
      </c>
      <c r="J311">
        <v>0</v>
      </c>
      <c r="K311">
        <f>SUMPRODUCT(Sheet1!$AV$8:$BE$8,Sheet2!A311:J311)</f>
        <v>-2.0800840118435422E-4</v>
      </c>
    </row>
    <row r="312" spans="1:11" x14ac:dyDescent="0.35">
      <c r="A312">
        <v>-4.0540540540540571E-2</v>
      </c>
      <c r="B312">
        <v>5.7945037200712868E-4</v>
      </c>
      <c r="C312">
        <v>1.2125988100035734E-3</v>
      </c>
      <c r="D312">
        <v>2.4791269957521678E-2</v>
      </c>
      <c r="E312">
        <v>4.1439315735143367E-3</v>
      </c>
      <c r="F312">
        <v>5.0818746470919773E-3</v>
      </c>
      <c r="G312">
        <v>1.0526315789473717E-2</v>
      </c>
      <c r="H312">
        <v>0</v>
      </c>
      <c r="I312">
        <v>0</v>
      </c>
      <c r="J312">
        <v>-1.3157894736842146E-2</v>
      </c>
      <c r="K312">
        <f>SUMPRODUCT(Sheet1!$AV$8:$BE$8,Sheet2!A312:J312)</f>
        <v>1.0327939276786977E-3</v>
      </c>
    </row>
    <row r="313" spans="1:11" x14ac:dyDescent="0.35">
      <c r="A313">
        <v>0</v>
      </c>
      <c r="B313">
        <v>-3.4746888223121664E-3</v>
      </c>
      <c r="C313">
        <v>9.5059992129178372E-3</v>
      </c>
      <c r="D313">
        <v>-1.0005360014293418E-2</v>
      </c>
      <c r="E313">
        <v>-5.5073357712472903E-3</v>
      </c>
      <c r="F313">
        <v>0</v>
      </c>
      <c r="G313">
        <v>1.0416666666666741E-2</v>
      </c>
      <c r="H313">
        <v>0</v>
      </c>
      <c r="I313">
        <v>8.5465604026846442E-3</v>
      </c>
      <c r="J313">
        <v>-4.0000000000000036E-2</v>
      </c>
      <c r="K313">
        <f>SUMPRODUCT(Sheet1!$AV$8:$BE$8,Sheet2!A313:J313)</f>
        <v>6.0905555636315599E-3</v>
      </c>
    </row>
    <row r="314" spans="1:11" x14ac:dyDescent="0.35">
      <c r="A314">
        <v>1.4084507042253502E-2</v>
      </c>
      <c r="B314">
        <v>0</v>
      </c>
      <c r="C314">
        <v>1.1616486707826112E-2</v>
      </c>
      <c r="D314">
        <v>0</v>
      </c>
      <c r="E314">
        <v>0</v>
      </c>
      <c r="F314">
        <v>0</v>
      </c>
      <c r="G314">
        <v>-1.0309278350515427E-2</v>
      </c>
      <c r="H314">
        <v>0</v>
      </c>
      <c r="I314">
        <v>3.6262022355082468E-3</v>
      </c>
      <c r="J314">
        <v>2.7777777777777901E-2</v>
      </c>
      <c r="K314">
        <f>SUMPRODUCT(Sheet1!$AV$8:$BE$8,Sheet2!A314:J314)</f>
        <v>6.4401802576417979E-3</v>
      </c>
    </row>
    <row r="315" spans="1:11" x14ac:dyDescent="0.35">
      <c r="A315">
        <v>-1.3888888888888951E-2</v>
      </c>
      <c r="B315">
        <v>-1.1057044119698101E-2</v>
      </c>
      <c r="C315">
        <v>2.9705484342186894E-2</v>
      </c>
      <c r="D315">
        <v>-3.3748420862660389E-3</v>
      </c>
      <c r="E315">
        <v>5.5378344852028416E-3</v>
      </c>
      <c r="F315">
        <v>0</v>
      </c>
      <c r="G315">
        <v>5.2083333333332593E-3</v>
      </c>
      <c r="H315">
        <v>5.8659886329643918E-2</v>
      </c>
      <c r="I315">
        <v>0</v>
      </c>
      <c r="J315">
        <v>1.3513513513513598E-2</v>
      </c>
      <c r="K315">
        <f>SUMPRODUCT(Sheet1!$AV$8:$BE$8,Sheet2!A315:J315)</f>
        <v>2.6825011681341569E-2</v>
      </c>
    </row>
    <row r="316" spans="1:11" x14ac:dyDescent="0.35">
      <c r="A316">
        <v>-1.4084507042253502E-2</v>
      </c>
      <c r="B316">
        <v>-5.8763153152452396E-4</v>
      </c>
      <c r="C316">
        <v>-1.5384526120041819E-2</v>
      </c>
      <c r="D316">
        <v>-2.5351755609076543E-3</v>
      </c>
      <c r="E316">
        <v>-5.5073357712472903E-3</v>
      </c>
      <c r="F316">
        <v>-1.6853932584268705E-3</v>
      </c>
      <c r="G316">
        <v>-5.1813471502590858E-3</v>
      </c>
      <c r="H316">
        <v>5.9365375377921081E-2</v>
      </c>
      <c r="I316">
        <v>6.0218340045843366E-3</v>
      </c>
      <c r="J316">
        <v>-4.0000000000000036E-2</v>
      </c>
      <c r="K316">
        <f>SUMPRODUCT(Sheet1!$AV$8:$BE$8,Sheet2!A316:J316)</f>
        <v>5.875716317237021E-3</v>
      </c>
    </row>
    <row r="317" spans="1:11" x14ac:dyDescent="0.35">
      <c r="A317">
        <v>-4.2857142857142705E-2</v>
      </c>
      <c r="B317">
        <v>0</v>
      </c>
      <c r="C317">
        <v>-5.8604453820634284E-3</v>
      </c>
      <c r="D317">
        <v>1.3561352867490939E-2</v>
      </c>
      <c r="E317">
        <v>1.5210585386024045E-2</v>
      </c>
      <c r="F317">
        <v>-1.6882386043894915E-3</v>
      </c>
      <c r="G317">
        <v>-1.041666666666663E-2</v>
      </c>
      <c r="H317">
        <v>4.1088765603328747E-2</v>
      </c>
      <c r="I317">
        <v>0</v>
      </c>
      <c r="J317">
        <v>-4.1666666666666741E-2</v>
      </c>
      <c r="K317">
        <f>SUMPRODUCT(Sheet1!$AV$8:$BE$8,Sheet2!A317:J317)</f>
        <v>5.6712865029648609E-3</v>
      </c>
    </row>
    <row r="318" spans="1:11" x14ac:dyDescent="0.35">
      <c r="A318">
        <v>-4.4776119402985093E-2</v>
      </c>
      <c r="B318">
        <v>0</v>
      </c>
      <c r="C318">
        <v>-1.9649975548672316E-3</v>
      </c>
      <c r="D318">
        <v>-5.85706609349812E-3</v>
      </c>
      <c r="E318">
        <v>6.8222151106973605E-3</v>
      </c>
      <c r="F318">
        <v>1.6910935738445598E-3</v>
      </c>
      <c r="G318">
        <v>1.0526315789473717E-2</v>
      </c>
      <c r="H318">
        <v>1.3168513418305272E-2</v>
      </c>
      <c r="I318">
        <v>0</v>
      </c>
      <c r="J318">
        <v>-3.6231884057970842E-2</v>
      </c>
      <c r="K318">
        <f>SUMPRODUCT(Sheet1!$AV$8:$BE$8,Sheet2!A318:J318)</f>
        <v>1.9222178112531523E-3</v>
      </c>
    </row>
    <row r="319" spans="1:11" x14ac:dyDescent="0.35">
      <c r="A319">
        <v>0</v>
      </c>
      <c r="B319">
        <v>-1.7639311361283827E-3</v>
      </c>
      <c r="C319">
        <v>7.8754654899002574E-3</v>
      </c>
      <c r="D319">
        <v>-7.5671585319712076E-3</v>
      </c>
      <c r="E319">
        <v>-5.417900744058346E-3</v>
      </c>
      <c r="F319">
        <v>0</v>
      </c>
      <c r="G319">
        <v>0</v>
      </c>
      <c r="H319">
        <v>3.5401362952474091E-3</v>
      </c>
      <c r="I319">
        <v>5.9857885793728194E-3</v>
      </c>
      <c r="J319">
        <v>3.7593984962405846E-2</v>
      </c>
      <c r="K319">
        <f>SUMPRODUCT(Sheet1!$AV$8:$BE$8,Sheet2!A319:J319)</f>
        <v>5.774232654051273E-3</v>
      </c>
    </row>
    <row r="320" spans="1:11" x14ac:dyDescent="0.35">
      <c r="A320">
        <v>3.125E-2</v>
      </c>
      <c r="B320">
        <v>-2.122813768838705E-2</v>
      </c>
      <c r="C320">
        <v>1.1523480085092963E-2</v>
      </c>
      <c r="D320">
        <v>1.5258791278615735E-2</v>
      </c>
      <c r="E320">
        <v>-1.3654851830331438E-3</v>
      </c>
      <c r="F320">
        <v>5.0647158131680303E-3</v>
      </c>
      <c r="G320">
        <v>-1.041666666666663E-2</v>
      </c>
      <c r="H320">
        <v>0</v>
      </c>
      <c r="I320">
        <v>-5.9501721071286706E-3</v>
      </c>
      <c r="J320">
        <v>2.898550724637694E-2</v>
      </c>
      <c r="K320">
        <f>SUMPRODUCT(Sheet1!$AV$8:$BE$8,Sheet2!A320:J320)</f>
        <v>4.7093967085533517E-3</v>
      </c>
    </row>
    <row r="321" spans="1:11" x14ac:dyDescent="0.35">
      <c r="A321">
        <v>0</v>
      </c>
      <c r="B321">
        <v>0</v>
      </c>
      <c r="C321">
        <v>1.9224887490709719E-4</v>
      </c>
      <c r="D321">
        <v>8.3417525727109698E-3</v>
      </c>
      <c r="E321">
        <v>0</v>
      </c>
      <c r="F321">
        <v>0</v>
      </c>
      <c r="G321">
        <v>0</v>
      </c>
      <c r="H321">
        <v>0</v>
      </c>
      <c r="I321">
        <v>2.3943154317491722E-3</v>
      </c>
      <c r="J321">
        <v>-4.2253521126760396E-2</v>
      </c>
      <c r="K321">
        <f>SUMPRODUCT(Sheet1!$AV$8:$BE$8,Sheet2!A321:J321)</f>
        <v>4.4349679676814038E-4</v>
      </c>
    </row>
    <row r="322" spans="1:11" x14ac:dyDescent="0.35">
      <c r="A322">
        <v>-1.5151515151515138E-2</v>
      </c>
      <c r="B322">
        <v>-1.8053727894212779E-3</v>
      </c>
      <c r="C322">
        <v>-9.6688421561519355E-4</v>
      </c>
      <c r="D322">
        <v>-8.2461429331437408E-4</v>
      </c>
      <c r="E322">
        <v>5.4548628283825895E-3</v>
      </c>
      <c r="F322">
        <v>-6.7189249720044364E-3</v>
      </c>
      <c r="G322">
        <v>0</v>
      </c>
      <c r="H322">
        <v>9.4112607561767092E-3</v>
      </c>
      <c r="I322">
        <v>0</v>
      </c>
      <c r="J322">
        <v>0</v>
      </c>
      <c r="K322">
        <f>SUMPRODUCT(Sheet1!$AV$8:$BE$8,Sheet2!A322:J322)</f>
        <v>9.537745735766867E-4</v>
      </c>
    </row>
    <row r="323" spans="1:11" x14ac:dyDescent="0.35">
      <c r="A323">
        <v>0</v>
      </c>
      <c r="B323">
        <v>-4.3447505285242327E-2</v>
      </c>
      <c r="C323">
        <v>4.8332696865371894E-3</v>
      </c>
      <c r="D323">
        <v>-7.4542760034432831E-3</v>
      </c>
      <c r="E323">
        <v>-1.0836070080004534E-2</v>
      </c>
      <c r="F323">
        <v>0</v>
      </c>
      <c r="G323">
        <v>-1.0526315789473717E-2</v>
      </c>
      <c r="H323">
        <v>5.8275087368946377E-2</v>
      </c>
      <c r="I323">
        <v>5.9714909464492205E-3</v>
      </c>
      <c r="J323">
        <v>4.4117647058823373E-2</v>
      </c>
      <c r="K323">
        <f>SUMPRODUCT(Sheet1!$AV$8:$BE$8,Sheet2!A323:J323)</f>
        <v>1.526860410290409E-2</v>
      </c>
    </row>
    <row r="324" spans="1:11" x14ac:dyDescent="0.35">
      <c r="A324">
        <v>3.0769230769230882E-2</v>
      </c>
      <c r="B324">
        <v>1.9554950503369861E-2</v>
      </c>
      <c r="C324">
        <v>-5.7731863056542654E-4</v>
      </c>
      <c r="D324">
        <v>-3.343853657228113E-3</v>
      </c>
      <c r="E324">
        <v>-1.5064646346457544E-2</v>
      </c>
      <c r="F324">
        <v>-1.6910935738444488E-3</v>
      </c>
      <c r="G324">
        <v>-5.3191489361701372E-3</v>
      </c>
      <c r="H324">
        <v>4.4050525421929665E-2</v>
      </c>
      <c r="I324">
        <v>-2.374417565583764E-3</v>
      </c>
      <c r="J324">
        <v>3.5211267605633756E-2</v>
      </c>
      <c r="K324">
        <f>SUMPRODUCT(Sheet1!$AV$8:$BE$8,Sheet2!A324:J324)</f>
        <v>8.6572922412709169E-3</v>
      </c>
    </row>
    <row r="325" spans="1:11" x14ac:dyDescent="0.35">
      <c r="A325">
        <v>1.4925373134328401E-2</v>
      </c>
      <c r="B325">
        <v>1.4852668452503437E-2</v>
      </c>
      <c r="C325">
        <v>-1.5413732445471728E-3</v>
      </c>
      <c r="D325">
        <v>-2.5118190054990164E-3</v>
      </c>
      <c r="E325">
        <v>0</v>
      </c>
      <c r="F325">
        <v>0</v>
      </c>
      <c r="G325">
        <v>1.0695187165775222E-2</v>
      </c>
      <c r="H325">
        <v>2.1124214902175087E-3</v>
      </c>
      <c r="I325">
        <v>-1.1900344214257341E-2</v>
      </c>
      <c r="J325">
        <v>-6.8027210884353817E-3</v>
      </c>
      <c r="K325">
        <f>SUMPRODUCT(Sheet1!$AV$8:$BE$8,Sheet2!A325:J325)</f>
        <v>-2.4064551569168901E-3</v>
      </c>
    </row>
    <row r="326" spans="1:11" x14ac:dyDescent="0.35">
      <c r="A326">
        <v>1.4705882352941124E-2</v>
      </c>
      <c r="B326">
        <v>1.2190664923209305E-2</v>
      </c>
      <c r="C326">
        <v>8.5182590190338026E-3</v>
      </c>
      <c r="D326">
        <v>-4.1999046702581033E-3</v>
      </c>
      <c r="E326">
        <v>-1.3958599388198545E-3</v>
      </c>
      <c r="F326">
        <v>0</v>
      </c>
      <c r="G326">
        <v>-5.2910052910053462E-3</v>
      </c>
      <c r="H326">
        <v>-1.0528570301315598E-2</v>
      </c>
      <c r="I326">
        <v>4.8174672036676025E-3</v>
      </c>
      <c r="J326">
        <v>-4.1095890410958957E-2</v>
      </c>
      <c r="K326">
        <f>SUMPRODUCT(Sheet1!$AV$8:$BE$8,Sheet2!A326:J326)</f>
        <v>2.9053125944814937E-3</v>
      </c>
    </row>
    <row r="327" spans="1:11" x14ac:dyDescent="0.35">
      <c r="A327">
        <v>-4.3478260869565077E-2</v>
      </c>
      <c r="B327">
        <v>-6.0179092980710003E-3</v>
      </c>
      <c r="C327">
        <v>-1.1086864400672192E-2</v>
      </c>
      <c r="D327">
        <v>-1.34927659267019E-2</v>
      </c>
      <c r="E327">
        <v>0</v>
      </c>
      <c r="F327">
        <v>0</v>
      </c>
      <c r="G327">
        <v>-5.3191489361701372E-3</v>
      </c>
      <c r="H327">
        <v>-2.3400207343609258E-2</v>
      </c>
      <c r="I327">
        <v>-4.7943704811125309E-3</v>
      </c>
      <c r="J327">
        <v>4.2857142857142927E-2</v>
      </c>
      <c r="K327">
        <f>SUMPRODUCT(Sheet1!$AV$8:$BE$8,Sheet2!A327:J327)</f>
        <v>-1.1243216284657355E-2</v>
      </c>
    </row>
    <row r="328" spans="1:11" x14ac:dyDescent="0.35">
      <c r="A328">
        <v>3.0303030303030276E-2</v>
      </c>
      <c r="B328">
        <v>0</v>
      </c>
      <c r="C328">
        <v>-1.1001279693106936E-2</v>
      </c>
      <c r="D328">
        <v>-4.2661491138127339E-3</v>
      </c>
      <c r="E328">
        <v>1.3978110873187344E-3</v>
      </c>
      <c r="F328">
        <v>-1.5057406361754233E-2</v>
      </c>
      <c r="G328">
        <v>-5.3475935828877219E-3</v>
      </c>
      <c r="H328">
        <v>-8.7141140650700555E-3</v>
      </c>
      <c r="I328">
        <v>-3.6131004027506464E-3</v>
      </c>
      <c r="J328">
        <v>0</v>
      </c>
      <c r="K328">
        <f>SUMPRODUCT(Sheet1!$AV$8:$BE$8,Sheet2!A328:J328)</f>
        <v>-9.1882360122875952E-3</v>
      </c>
    </row>
    <row r="329" spans="1:11" x14ac:dyDescent="0.35">
      <c r="A329">
        <v>0</v>
      </c>
      <c r="B329">
        <v>-3.0352443533154805E-3</v>
      </c>
      <c r="C329">
        <v>2.2244360802530005E-2</v>
      </c>
      <c r="D329">
        <v>-7.732195722928048E-3</v>
      </c>
      <c r="E329">
        <v>-4.1727302426420865E-3</v>
      </c>
      <c r="F329">
        <v>0</v>
      </c>
      <c r="G329">
        <v>1.0752688172043001E-2</v>
      </c>
      <c r="H329">
        <v>-1.099133873093594E-2</v>
      </c>
      <c r="I329">
        <v>3.6262022355082468E-3</v>
      </c>
      <c r="J329">
        <v>-4.1095890410958957E-2</v>
      </c>
      <c r="K329">
        <f>SUMPRODUCT(Sheet1!$AV$8:$BE$8,Sheet2!A329:J329)</f>
        <v>9.0633487429170149E-3</v>
      </c>
    </row>
    <row r="330" spans="1:11" x14ac:dyDescent="0.35">
      <c r="A330">
        <v>4.4117647058823373E-2</v>
      </c>
      <c r="B330">
        <v>2.1279007627406976E-2</v>
      </c>
      <c r="C330">
        <v>1.9044241459645228E-2</v>
      </c>
      <c r="D330">
        <v>0</v>
      </c>
      <c r="E330">
        <v>1.9549365503049421E-2</v>
      </c>
      <c r="F330">
        <v>0</v>
      </c>
      <c r="G330">
        <v>-1.0638297872340274E-2</v>
      </c>
      <c r="H330">
        <v>2.2215082934723185E-2</v>
      </c>
      <c r="I330">
        <v>1.2043668009168673E-2</v>
      </c>
      <c r="J330">
        <v>0</v>
      </c>
      <c r="K330">
        <f>SUMPRODUCT(Sheet1!$AV$8:$BE$8,Sheet2!A330:J330)</f>
        <v>1.672244394891307E-2</v>
      </c>
    </row>
    <row r="331" spans="1:11" x14ac:dyDescent="0.35">
      <c r="A331">
        <v>1.4084507042253502E-2</v>
      </c>
      <c r="B331">
        <v>8.9272972330136646E-3</v>
      </c>
      <c r="C331">
        <v>1.3346386402926624E-2</v>
      </c>
      <c r="D331">
        <v>1.1248552235348486E-2</v>
      </c>
      <c r="E331">
        <v>-1.3748318024923156E-3</v>
      </c>
      <c r="F331">
        <v>0</v>
      </c>
      <c r="G331">
        <v>1.0752688172043001E-2</v>
      </c>
      <c r="H331">
        <v>-1.0860328952728926E-2</v>
      </c>
      <c r="I331">
        <v>1.1900344214257341E-2</v>
      </c>
      <c r="J331">
        <v>4.2857142857142927E-2</v>
      </c>
      <c r="K331">
        <f>SUMPRODUCT(Sheet1!$AV$8:$BE$8,Sheet2!A331:J331)</f>
        <v>6.7227698418845204E-3</v>
      </c>
    </row>
    <row r="332" spans="1:11" x14ac:dyDescent="0.35">
      <c r="A332">
        <v>0</v>
      </c>
      <c r="B332">
        <v>1.180297982020484E-2</v>
      </c>
      <c r="C332">
        <v>1.2157053268778695E-2</v>
      </c>
      <c r="D332">
        <v>8.5212435518000618E-4</v>
      </c>
      <c r="E332">
        <v>-6.8543308239843448E-3</v>
      </c>
      <c r="F332">
        <v>0</v>
      </c>
      <c r="G332">
        <v>-1.5957446808510523E-2</v>
      </c>
      <c r="H332">
        <v>-8.8024854076445003E-3</v>
      </c>
      <c r="I332">
        <v>4.7041566028909187E-3</v>
      </c>
      <c r="J332">
        <v>-4.1095890410958957E-2</v>
      </c>
      <c r="K332">
        <f>SUMPRODUCT(Sheet1!$AV$8:$BE$8,Sheet2!A332:J332)</f>
        <v>4.9805505819119078E-3</v>
      </c>
    </row>
    <row r="333" spans="1:11" x14ac:dyDescent="0.35">
      <c r="A333">
        <v>-4.1666666666666741E-2</v>
      </c>
      <c r="B333">
        <v>-5.9025458612282922E-4</v>
      </c>
      <c r="C333">
        <v>-2.0027586206896597E-3</v>
      </c>
      <c r="D333">
        <v>0</v>
      </c>
      <c r="E333">
        <v>-2.757705353192752E-3</v>
      </c>
      <c r="F333">
        <v>-8.4081788648957545E-3</v>
      </c>
      <c r="G333">
        <v>0</v>
      </c>
      <c r="H333">
        <v>1.4413259248705845E-2</v>
      </c>
      <c r="I333">
        <v>-2.3410655624221954E-3</v>
      </c>
      <c r="J333">
        <v>4.2857142857142927E-2</v>
      </c>
      <c r="K333">
        <f>SUMPRODUCT(Sheet1!$AV$8:$BE$8,Sheet2!A333:J333)</f>
        <v>9.7695433493726752E-4</v>
      </c>
    </row>
    <row r="334" spans="1:11" x14ac:dyDescent="0.35">
      <c r="A334">
        <v>1.449275362318847E-2</v>
      </c>
      <c r="B334">
        <v>-8.1674204628464642E-3</v>
      </c>
      <c r="C334">
        <v>-7.0209578355547864E-3</v>
      </c>
      <c r="D334">
        <v>0</v>
      </c>
      <c r="E334">
        <v>4.1553909172915571E-3</v>
      </c>
      <c r="F334">
        <v>2.563114280208123E-2</v>
      </c>
      <c r="G334">
        <v>-5.4054054054054612E-3</v>
      </c>
      <c r="H334">
        <v>-5.4539921818309578E-3</v>
      </c>
      <c r="I334">
        <v>-2.346559010912741E-3</v>
      </c>
      <c r="J334">
        <v>0</v>
      </c>
      <c r="K334">
        <f>SUMPRODUCT(Sheet1!$AV$8:$BE$8,Sheet2!A334:J334)</f>
        <v>-2.9068497190420628E-3</v>
      </c>
    </row>
    <row r="335" spans="1:11" x14ac:dyDescent="0.35">
      <c r="A335">
        <v>1.4285714285714235E-2</v>
      </c>
      <c r="B335">
        <v>0</v>
      </c>
      <c r="C335">
        <v>-4.2423601329495408E-3</v>
      </c>
      <c r="D335">
        <v>0</v>
      </c>
      <c r="E335">
        <v>-6.9068096135720403E-3</v>
      </c>
      <c r="F335">
        <v>0</v>
      </c>
      <c r="G335">
        <v>1.0869565217391353E-2</v>
      </c>
      <c r="H335">
        <v>5.4839013368479517E-3</v>
      </c>
      <c r="I335">
        <v>-5.8801957536134264E-3</v>
      </c>
      <c r="J335">
        <v>0</v>
      </c>
      <c r="K335">
        <f>SUMPRODUCT(Sheet1!$AV$8:$BE$8,Sheet2!A335:J335)</f>
        <v>-2.0906413528952034E-3</v>
      </c>
    </row>
    <row r="336" spans="1:11" x14ac:dyDescent="0.35">
      <c r="A336">
        <v>-4.2253521126760396E-2</v>
      </c>
      <c r="B336">
        <v>-5.8763153152446845E-3</v>
      </c>
      <c r="C336">
        <v>-1.6026949204663077E-2</v>
      </c>
      <c r="D336">
        <v>0</v>
      </c>
      <c r="E336">
        <v>-2.7730407058649265E-3</v>
      </c>
      <c r="F336">
        <v>0</v>
      </c>
      <c r="G336">
        <v>-5.3763440860215006E-3</v>
      </c>
      <c r="H336">
        <v>-5.4539921818309578E-3</v>
      </c>
      <c r="I336">
        <v>-5.9149769761110971E-3</v>
      </c>
      <c r="J336">
        <v>-4.1095890410958957E-2</v>
      </c>
      <c r="K336">
        <f>SUMPRODUCT(Sheet1!$AV$8:$BE$8,Sheet2!A336:J336)</f>
        <v>-1.031639517671813E-2</v>
      </c>
    </row>
    <row r="337" spans="1:11" x14ac:dyDescent="0.35">
      <c r="A337">
        <v>0</v>
      </c>
      <c r="B337">
        <v>0</v>
      </c>
      <c r="C337">
        <v>4.12526954886272E-3</v>
      </c>
      <c r="D337">
        <v>-1.7027977149552953E-3</v>
      </c>
      <c r="E337">
        <v>-1.3978110873186234E-3</v>
      </c>
      <c r="F337">
        <v>0</v>
      </c>
      <c r="G337">
        <v>3.7837837837837673E-2</v>
      </c>
      <c r="H337">
        <v>-5.495669365467859E-3</v>
      </c>
      <c r="I337">
        <v>0</v>
      </c>
      <c r="J337">
        <v>7.1428571428571175E-3</v>
      </c>
      <c r="K337">
        <f>SUMPRODUCT(Sheet1!$AV$8:$BE$8,Sheet2!A337:J337)</f>
        <v>8.6301538898698538E-4</v>
      </c>
    </row>
    <row r="338" spans="1:11" x14ac:dyDescent="0.35">
      <c r="A338">
        <v>2.9411764705882248E-2</v>
      </c>
      <c r="B338">
        <v>-5.9189319125795281E-3</v>
      </c>
      <c r="C338">
        <v>2.0513313848042891E-3</v>
      </c>
      <c r="D338">
        <v>-2.3118683858188271E-2</v>
      </c>
      <c r="E338">
        <v>1.8137415492748055E-2</v>
      </c>
      <c r="F338">
        <v>5.0732807215332354E-3</v>
      </c>
      <c r="G338">
        <v>-2.083333333333337E-2</v>
      </c>
      <c r="H338">
        <v>-5.5260386467714806E-3</v>
      </c>
      <c r="I338">
        <v>0</v>
      </c>
      <c r="J338">
        <v>0</v>
      </c>
      <c r="K338">
        <f>SUMPRODUCT(Sheet1!$AV$8:$BE$8,Sheet2!A338:J338)</f>
        <v>3.2541913424103189E-4</v>
      </c>
    </row>
    <row r="339" spans="1:11" x14ac:dyDescent="0.35">
      <c r="A339">
        <v>0</v>
      </c>
      <c r="B339">
        <v>-4.1671291524617349E-2</v>
      </c>
      <c r="C339">
        <v>-2.2532570576641042E-3</v>
      </c>
      <c r="D339">
        <v>-5.2569819291244935E-3</v>
      </c>
      <c r="E339">
        <v>0</v>
      </c>
      <c r="F339">
        <v>0</v>
      </c>
      <c r="G339">
        <v>-1.5957446808510523E-2</v>
      </c>
      <c r="H339">
        <v>2.1108493372361536E-2</v>
      </c>
      <c r="I339">
        <v>-7.1402065285544047E-3</v>
      </c>
      <c r="J339">
        <v>0</v>
      </c>
      <c r="K339">
        <f>SUMPRODUCT(Sheet1!$AV$8:$BE$8,Sheet2!A339:J339)</f>
        <v>1.4390696049084598E-3</v>
      </c>
    </row>
    <row r="340" spans="1:11" x14ac:dyDescent="0.35">
      <c r="A340">
        <v>-1.4285714285714346E-2</v>
      </c>
      <c r="B340">
        <v>3.6649734434204273E-2</v>
      </c>
      <c r="C340">
        <v>-3.902579834501263E-3</v>
      </c>
      <c r="D340">
        <v>1.0569527674232138E-2</v>
      </c>
      <c r="E340">
        <v>-1.3748318024923156E-3</v>
      </c>
      <c r="F340">
        <v>-6.7302299495233253E-3</v>
      </c>
      <c r="G340">
        <v>-1.0810810810810811E-2</v>
      </c>
      <c r="H340">
        <v>-5.4418756409060354E-3</v>
      </c>
      <c r="I340">
        <v>-4.7943704811125309E-3</v>
      </c>
      <c r="J340">
        <v>0</v>
      </c>
      <c r="K340">
        <f>SUMPRODUCT(Sheet1!$AV$8:$BE$8,Sheet2!A340:J340)</f>
        <v>-4.0772931189867597E-3</v>
      </c>
    </row>
    <row r="341" spans="1:11" x14ac:dyDescent="0.35">
      <c r="A341">
        <v>0</v>
      </c>
      <c r="B341">
        <v>-1.6775202707016601E-2</v>
      </c>
      <c r="C341">
        <v>-1.2358762078202856E-3</v>
      </c>
      <c r="D341">
        <v>0</v>
      </c>
      <c r="E341">
        <v>-2.7388031283869241E-3</v>
      </c>
      <c r="F341">
        <v>0</v>
      </c>
      <c r="G341">
        <v>1.0928961748633892E-2</v>
      </c>
      <c r="H341">
        <v>-9.8419430807624719E-3</v>
      </c>
      <c r="I341">
        <v>0</v>
      </c>
      <c r="J341">
        <v>-4.2553191489361541E-2</v>
      </c>
      <c r="K341">
        <f>SUMPRODUCT(Sheet1!$AV$8:$BE$8,Sheet2!A341:J341)</f>
        <v>-3.032617292295862E-3</v>
      </c>
    </row>
    <row r="342" spans="1:11" x14ac:dyDescent="0.35">
      <c r="A342">
        <v>-4.3478260869565077E-2</v>
      </c>
      <c r="B342">
        <v>0</v>
      </c>
      <c r="C342">
        <v>0</v>
      </c>
      <c r="D342">
        <v>-6.0979595648317231E-3</v>
      </c>
      <c r="E342">
        <v>-4.1268302712547111E-3</v>
      </c>
      <c r="F342">
        <v>0</v>
      </c>
      <c r="G342">
        <v>0</v>
      </c>
      <c r="H342">
        <v>7.7269876581191888E-3</v>
      </c>
      <c r="I342">
        <v>-1.6874085393491223E-2</v>
      </c>
      <c r="J342">
        <v>-2.9629629629629672E-2</v>
      </c>
      <c r="K342">
        <f>SUMPRODUCT(Sheet1!$AV$8:$BE$8,Sheet2!A342:J342)</f>
        <v>-1.7051816551141013E-3</v>
      </c>
    </row>
    <row r="343" spans="1:11" x14ac:dyDescent="0.35">
      <c r="A343">
        <v>0</v>
      </c>
      <c r="B343">
        <v>0</v>
      </c>
      <c r="C343">
        <v>1.2374054878221408E-3</v>
      </c>
      <c r="D343">
        <v>-1.7569903788334784E-3</v>
      </c>
      <c r="E343">
        <v>-1.9333431647249655E-2</v>
      </c>
      <c r="F343">
        <v>0</v>
      </c>
      <c r="G343">
        <v>-1.0810810810810811E-2</v>
      </c>
      <c r="H343">
        <v>-2.1840727084849743E-3</v>
      </c>
      <c r="I343">
        <v>4.9001528004637418E-3</v>
      </c>
      <c r="J343">
        <v>3.8167938931297662E-2</v>
      </c>
      <c r="K343">
        <f>SUMPRODUCT(Sheet1!$AV$8:$BE$8,Sheet2!A343:J343)</f>
        <v>1.0382875832242006E-3</v>
      </c>
    </row>
    <row r="344" spans="1:11" x14ac:dyDescent="0.35">
      <c r="A344">
        <v>0</v>
      </c>
      <c r="B344">
        <v>-1.2175127027158616E-3</v>
      </c>
      <c r="C344">
        <v>8.2476980029946301E-3</v>
      </c>
      <c r="D344">
        <v>-1.2301755376723511E-2</v>
      </c>
      <c r="E344">
        <v>-1.4135550910538974E-3</v>
      </c>
      <c r="F344">
        <v>0</v>
      </c>
      <c r="G344">
        <v>5.464480874316946E-3</v>
      </c>
      <c r="H344">
        <v>-4.4012427038222501E-3</v>
      </c>
      <c r="I344">
        <v>0</v>
      </c>
      <c r="J344">
        <v>-4.4117647058823595E-2</v>
      </c>
      <c r="K344">
        <f>SUMPRODUCT(Sheet1!$AV$8:$BE$8,Sheet2!A344:J344)</f>
        <v>2.9597249211142452E-3</v>
      </c>
    </row>
    <row r="345" spans="1:11" x14ac:dyDescent="0.35">
      <c r="A345">
        <v>0</v>
      </c>
      <c r="B345">
        <v>1.2807593537691453E-2</v>
      </c>
      <c r="C345">
        <v>2.045761947700564E-3</v>
      </c>
      <c r="D345">
        <v>9.7867312127162265E-3</v>
      </c>
      <c r="E345">
        <v>0</v>
      </c>
      <c r="F345">
        <v>-2.1645021645021467E-2</v>
      </c>
      <c r="G345">
        <v>-5.4347826086956763E-3</v>
      </c>
      <c r="H345">
        <v>-1.0992647927944299E-3</v>
      </c>
      <c r="I345">
        <v>-4.8762583892617561E-3</v>
      </c>
      <c r="J345">
        <v>-2.3076923076923106E-2</v>
      </c>
      <c r="K345">
        <f>SUMPRODUCT(Sheet1!$AV$8:$BE$8,Sheet2!A345:J345)</f>
        <v>-1.9152031868048601E-3</v>
      </c>
    </row>
    <row r="346" spans="1:11" x14ac:dyDescent="0.35">
      <c r="A346">
        <v>-3.0303030303030276E-2</v>
      </c>
      <c r="B346">
        <v>-3.0089546490355001E-3</v>
      </c>
      <c r="C346">
        <v>0</v>
      </c>
      <c r="D346">
        <v>-1.0578964752512632E-2</v>
      </c>
      <c r="E346">
        <v>2.2573601385437847E-2</v>
      </c>
      <c r="F346">
        <v>-1.8853405155829339E-2</v>
      </c>
      <c r="G346">
        <v>0</v>
      </c>
      <c r="H346">
        <v>0</v>
      </c>
      <c r="I346">
        <v>-1.2250382001158799E-3</v>
      </c>
      <c r="J346">
        <v>3.937007874015741E-2</v>
      </c>
      <c r="K346">
        <f>SUMPRODUCT(Sheet1!$AV$8:$BE$8,Sheet2!A346:J346)</f>
        <v>-1.6268482109096851E-3</v>
      </c>
    </row>
    <row r="347" spans="1:11" x14ac:dyDescent="0.35">
      <c r="A347">
        <v>3.125E-2</v>
      </c>
      <c r="B347">
        <v>0</v>
      </c>
      <c r="C347">
        <v>1.0202302548325992E-2</v>
      </c>
      <c r="D347">
        <v>2.680172446682505E-3</v>
      </c>
      <c r="E347">
        <v>-4.1381950989632932E-3</v>
      </c>
      <c r="F347">
        <v>4.3529411764706039E-2</v>
      </c>
      <c r="G347">
        <v>2.7322404371584508E-2</v>
      </c>
      <c r="H347">
        <v>0</v>
      </c>
      <c r="I347">
        <v>6.1327037970009268E-3</v>
      </c>
      <c r="J347">
        <v>3.0303030303030276E-2</v>
      </c>
      <c r="K347">
        <f>SUMPRODUCT(Sheet1!$AV$8:$BE$8,Sheet2!A347:J347)</f>
        <v>9.9433105587826056E-3</v>
      </c>
    </row>
    <row r="348" spans="1:11" x14ac:dyDescent="0.35">
      <c r="A348">
        <v>3.0303030303030276E-2</v>
      </c>
      <c r="B348">
        <v>-4.2332981899833033E-3</v>
      </c>
      <c r="C348">
        <v>2.0204100948128412E-2</v>
      </c>
      <c r="D348">
        <v>-5.3365041617121634E-3</v>
      </c>
      <c r="E348">
        <v>-6.935510107507814E-3</v>
      </c>
      <c r="F348">
        <v>5.0732807215332354E-3</v>
      </c>
      <c r="G348">
        <v>0</v>
      </c>
      <c r="H348">
        <v>-3.3250896354234394E-3</v>
      </c>
      <c r="I348">
        <v>0</v>
      </c>
      <c r="J348">
        <v>3.6764705882352811E-2</v>
      </c>
      <c r="K348">
        <f>SUMPRODUCT(Sheet1!$AV$8:$BE$8,Sheet2!A348:J348)</f>
        <v>9.5911617145526731E-3</v>
      </c>
    </row>
    <row r="349" spans="1:11" x14ac:dyDescent="0.35">
      <c r="A349">
        <v>0</v>
      </c>
      <c r="B349">
        <v>-1.8185198057013574E-3</v>
      </c>
      <c r="C349">
        <v>1.9801250777643054E-2</v>
      </c>
      <c r="D349">
        <v>0</v>
      </c>
      <c r="E349">
        <v>-2.7846442505286007E-3</v>
      </c>
      <c r="F349">
        <v>-1.6825574873808868E-3</v>
      </c>
      <c r="G349">
        <v>-1.0638297872340274E-2</v>
      </c>
      <c r="H349">
        <v>3.3361827420810286E-3</v>
      </c>
      <c r="I349">
        <v>0</v>
      </c>
      <c r="J349">
        <v>-7.0921985815602939E-3</v>
      </c>
      <c r="K349">
        <f>SUMPRODUCT(Sheet1!$AV$8:$BE$8,Sheet2!A349:J349)</f>
        <v>1.0169980429563014E-2</v>
      </c>
    </row>
    <row r="350" spans="1:11" x14ac:dyDescent="0.35">
      <c r="A350">
        <v>1.4705882352941124E-2</v>
      </c>
      <c r="B350">
        <v>0</v>
      </c>
      <c r="C350">
        <v>0</v>
      </c>
      <c r="D350">
        <v>6.2545426724303077E-3</v>
      </c>
      <c r="E350">
        <v>0</v>
      </c>
      <c r="F350">
        <v>0</v>
      </c>
      <c r="G350">
        <v>5.3763440860215006E-3</v>
      </c>
      <c r="H350">
        <v>-2.2127820705487578E-3</v>
      </c>
      <c r="I350">
        <v>6.0953229865772229E-3</v>
      </c>
      <c r="J350">
        <v>0</v>
      </c>
      <c r="K350">
        <f>SUMPRODUCT(Sheet1!$AV$8:$BE$8,Sheet2!A350:J350)</f>
        <v>6.9962550025551859E-4</v>
      </c>
    </row>
    <row r="351" spans="1:11" x14ac:dyDescent="0.35">
      <c r="A351">
        <v>0</v>
      </c>
      <c r="B351">
        <v>-9.1172612589268676E-3</v>
      </c>
      <c r="C351">
        <v>7.7672448621937118E-3</v>
      </c>
      <c r="D351">
        <v>9.760687334866569E-3</v>
      </c>
      <c r="E351">
        <v>-1.2588289754655202E-2</v>
      </c>
      <c r="F351">
        <v>-3.370786516853852E-3</v>
      </c>
      <c r="G351">
        <v>0</v>
      </c>
      <c r="H351">
        <v>4.4235193662389705E-3</v>
      </c>
      <c r="I351">
        <v>0</v>
      </c>
      <c r="J351">
        <v>0</v>
      </c>
      <c r="K351">
        <f>SUMPRODUCT(Sheet1!$AV$8:$BE$8,Sheet2!A351:J351)</f>
        <v>4.2263536575827118E-3</v>
      </c>
    </row>
    <row r="352" spans="1:11" x14ac:dyDescent="0.35">
      <c r="A352">
        <v>0</v>
      </c>
      <c r="B352">
        <v>9.2011505523958981E-3</v>
      </c>
      <c r="C352">
        <v>2.0809659845162143E-2</v>
      </c>
      <c r="D352">
        <v>-7.030919102075428E-3</v>
      </c>
      <c r="E352">
        <v>8.4991833524892257E-3</v>
      </c>
      <c r="F352">
        <v>0</v>
      </c>
      <c r="G352">
        <v>4.2780748663101553E-2</v>
      </c>
      <c r="H352">
        <v>-2.1961154731683363E-3</v>
      </c>
      <c r="I352">
        <v>1.2129819029875089E-2</v>
      </c>
      <c r="J352">
        <v>-3.5714285714285587E-2</v>
      </c>
      <c r="K352">
        <f>SUMPRODUCT(Sheet1!$AV$8:$BE$8,Sheet2!A352:J352)</f>
        <v>1.2115264165311706E-2</v>
      </c>
    </row>
    <row r="353" spans="1:11" x14ac:dyDescent="0.35">
      <c r="A353">
        <v>-4.3478260869565077E-2</v>
      </c>
      <c r="B353">
        <v>0</v>
      </c>
      <c r="C353">
        <v>2.2838045202736135E-2</v>
      </c>
      <c r="D353">
        <v>-4.4266242014066037E-3</v>
      </c>
      <c r="E353">
        <v>-2.8041867858320524E-3</v>
      </c>
      <c r="F353">
        <v>-1.6723036452461537E-2</v>
      </c>
      <c r="G353">
        <v>5.12820512820511E-3</v>
      </c>
      <c r="H353">
        <v>-5.5260386467714806E-3</v>
      </c>
      <c r="I353">
        <v>0</v>
      </c>
      <c r="J353">
        <v>0</v>
      </c>
      <c r="K353">
        <f>SUMPRODUCT(Sheet1!$AV$8:$BE$8,Sheet2!A353:J353)</f>
        <v>8.5329244461699368E-3</v>
      </c>
    </row>
    <row r="354" spans="1:11" x14ac:dyDescent="0.35">
      <c r="A354">
        <v>-1.5151515151515138E-2</v>
      </c>
      <c r="B354">
        <v>-3.0363880746869798E-3</v>
      </c>
      <c r="C354">
        <v>-3.5064878925729071E-3</v>
      </c>
      <c r="D354">
        <v>1.6004798583275415E-2</v>
      </c>
      <c r="E354">
        <v>-4.2256274530444005E-2</v>
      </c>
      <c r="F354">
        <v>0</v>
      </c>
      <c r="G354">
        <v>-5.1020408163264808E-3</v>
      </c>
      <c r="H354">
        <v>4.4382570619452277E-3</v>
      </c>
      <c r="I354">
        <v>0</v>
      </c>
      <c r="J354">
        <v>0</v>
      </c>
      <c r="K354">
        <f>SUMPRODUCT(Sheet1!$AV$8:$BE$8,Sheet2!A354:J354)</f>
        <v>-1.1247605902398379E-3</v>
      </c>
    </row>
    <row r="355" spans="1:11" x14ac:dyDescent="0.35">
      <c r="A355">
        <v>3.0769230769230882E-2</v>
      </c>
      <c r="B355">
        <v>3.6580116465113166E-2</v>
      </c>
      <c r="C355">
        <v>-1.8525512130893595E-3</v>
      </c>
      <c r="D355">
        <v>-8.8087562785832407E-4</v>
      </c>
      <c r="E355">
        <v>-7.3482076967765764E-3</v>
      </c>
      <c r="F355">
        <v>0</v>
      </c>
      <c r="G355">
        <v>-1.025641025641022E-2</v>
      </c>
      <c r="H355">
        <v>-4.418645975241331E-3</v>
      </c>
      <c r="I355">
        <v>0</v>
      </c>
      <c r="J355">
        <v>0</v>
      </c>
      <c r="K355">
        <f>SUMPRODUCT(Sheet1!$AV$8:$BE$8,Sheet2!A355:J355)</f>
        <v>-1.4087194847104056E-3</v>
      </c>
    </row>
    <row r="356" spans="1:11" x14ac:dyDescent="0.35">
      <c r="A356">
        <v>0</v>
      </c>
      <c r="B356">
        <v>-5.8763153152452396E-4</v>
      </c>
      <c r="C356">
        <v>0</v>
      </c>
      <c r="D356">
        <v>5.2523964058601713E-3</v>
      </c>
      <c r="E356">
        <v>0</v>
      </c>
      <c r="F356">
        <v>-3.3823810433785573E-2</v>
      </c>
      <c r="G356">
        <v>-1.5544041450777257E-2</v>
      </c>
      <c r="H356">
        <v>-1.0006901311249039E-2</v>
      </c>
      <c r="I356">
        <v>-4.7886308634982333E-3</v>
      </c>
      <c r="J356">
        <v>0</v>
      </c>
      <c r="K356">
        <f>SUMPRODUCT(Sheet1!$AV$8:$BE$8,Sheet2!A356:J356)</f>
        <v>-5.9416493105223832E-3</v>
      </c>
    </row>
    <row r="357" spans="1:11" x14ac:dyDescent="0.35">
      <c r="A357">
        <v>1.4925373134328401E-2</v>
      </c>
      <c r="B357">
        <v>5.879770453762756E-4</v>
      </c>
      <c r="C357">
        <v>-7.6054667327937198E-3</v>
      </c>
      <c r="D357">
        <v>1.4816473530015362E-2</v>
      </c>
      <c r="E357">
        <v>-7.4184210942566109E-3</v>
      </c>
      <c r="F357">
        <v>1.7602848101265778E-2</v>
      </c>
      <c r="G357">
        <v>-5.2631578947368585E-3</v>
      </c>
      <c r="H357">
        <v>1.0108051585918432E-2</v>
      </c>
      <c r="I357">
        <v>-2.4058360927152744E-3</v>
      </c>
      <c r="J357">
        <v>-3.703703703703709E-2</v>
      </c>
      <c r="K357">
        <f>SUMPRODUCT(Sheet1!$AV$8:$BE$8,Sheet2!A357:J357)</f>
        <v>-6.7184186462983437E-4</v>
      </c>
    </row>
    <row r="358" spans="1:11" x14ac:dyDescent="0.35">
      <c r="A358">
        <v>1.4705882352941124E-2</v>
      </c>
      <c r="B358">
        <v>5.8841504023317004E-3</v>
      </c>
      <c r="C358">
        <v>1.8702133743440097E-3</v>
      </c>
      <c r="D358">
        <v>-4.2936211683798353E-3</v>
      </c>
      <c r="E358">
        <v>0</v>
      </c>
      <c r="F358">
        <v>-1.7298347910592704E-2</v>
      </c>
      <c r="G358">
        <v>0</v>
      </c>
      <c r="H358">
        <v>4.4382570619452277E-3</v>
      </c>
      <c r="I358">
        <v>0</v>
      </c>
      <c r="J358">
        <v>3.8461538461538547E-2</v>
      </c>
      <c r="K358">
        <f>SUMPRODUCT(Sheet1!$AV$8:$BE$8,Sheet2!A358:J358)</f>
        <v>5.418807399546375E-4</v>
      </c>
    </row>
    <row r="359" spans="1:11" x14ac:dyDescent="0.35">
      <c r="A359">
        <v>0</v>
      </c>
      <c r="B359">
        <v>-2.6312099827078494E-2</v>
      </c>
      <c r="C359">
        <v>0</v>
      </c>
      <c r="D359">
        <v>8.6150379966574153E-3</v>
      </c>
      <c r="E359">
        <v>-7.4579296277409446E-3</v>
      </c>
      <c r="F359">
        <v>0</v>
      </c>
      <c r="G359">
        <v>-2.6455026455026398E-2</v>
      </c>
      <c r="H359">
        <v>-4.418645975241331E-3</v>
      </c>
      <c r="I359">
        <v>-1.0865337240359985E-2</v>
      </c>
      <c r="J359">
        <v>0</v>
      </c>
      <c r="K359">
        <f>SUMPRODUCT(Sheet1!$AV$8:$BE$8,Sheet2!A359:J359)</f>
        <v>-3.4146575073770399E-3</v>
      </c>
    </row>
    <row r="360" spans="1:11" x14ac:dyDescent="0.35">
      <c r="A360">
        <v>-4.3478260869565077E-2</v>
      </c>
      <c r="B360">
        <v>2.101532750951951E-2</v>
      </c>
      <c r="C360">
        <v>1.1195190747640194E-2</v>
      </c>
      <c r="D360">
        <v>-4.2661491138127339E-3</v>
      </c>
      <c r="E360">
        <v>0</v>
      </c>
      <c r="F360">
        <v>-1.7602848101265889E-2</v>
      </c>
      <c r="G360">
        <v>1.0869565217391353E-2</v>
      </c>
      <c r="H360">
        <v>-2.2250779372217089E-3</v>
      </c>
      <c r="I360">
        <v>6.0953229865772229E-3</v>
      </c>
      <c r="J360">
        <v>4.4444444444444287E-2</v>
      </c>
      <c r="K360">
        <f>SUMPRODUCT(Sheet1!$AV$8:$BE$8,Sheet2!A360:J360)</f>
        <v>5.0459925568603443E-3</v>
      </c>
    </row>
    <row r="361" spans="1:11" x14ac:dyDescent="0.35">
      <c r="A361">
        <v>-3.0303030303030276E-2</v>
      </c>
      <c r="B361">
        <v>5.8841504023317004E-3</v>
      </c>
      <c r="C361">
        <v>-3.5064878925729071E-3</v>
      </c>
      <c r="D361">
        <v>2.574333891105729E-3</v>
      </c>
      <c r="E361">
        <v>7.5139682743561309E-3</v>
      </c>
      <c r="F361">
        <v>-5.2345480169115888E-3</v>
      </c>
      <c r="G361">
        <v>2.6881720430107503E-2</v>
      </c>
      <c r="H361">
        <v>0</v>
      </c>
      <c r="I361">
        <v>7.2831029406017489E-3</v>
      </c>
      <c r="J361">
        <v>2.8368794326241176E-2</v>
      </c>
      <c r="K361">
        <f>SUMPRODUCT(Sheet1!$AV$8:$BE$8,Sheet2!A361:J361)</f>
        <v>-5.6258472922003633E-4</v>
      </c>
    </row>
    <row r="362" spans="1:11" x14ac:dyDescent="0.35">
      <c r="A362">
        <v>3.125E-2</v>
      </c>
      <c r="B362">
        <v>-2.9209702294713535E-3</v>
      </c>
      <c r="C362">
        <v>-8.8876527206476208E-3</v>
      </c>
      <c r="D362">
        <v>-7.71234158061751E-3</v>
      </c>
      <c r="E362">
        <v>0</v>
      </c>
      <c r="F362">
        <v>-1.2548067192876045E-2</v>
      </c>
      <c r="G362">
        <v>-2.617801047120405E-2</v>
      </c>
      <c r="H362">
        <v>-4.4600798998271074E-3</v>
      </c>
      <c r="I362">
        <v>7.2175082781456013E-3</v>
      </c>
      <c r="J362">
        <v>0</v>
      </c>
      <c r="K362">
        <f>SUMPRODUCT(Sheet1!$AV$8:$BE$8,Sheet2!A362:J362)</f>
        <v>-5.0176165737283729E-3</v>
      </c>
    </row>
    <row r="363" spans="1:11" x14ac:dyDescent="0.35">
      <c r="A363">
        <v>3.0303030303030276E-2</v>
      </c>
      <c r="B363">
        <v>-3.5232448225488433E-3</v>
      </c>
      <c r="C363">
        <v>1.8310595274569019E-2</v>
      </c>
      <c r="D363">
        <v>-7.7630423732729659E-3</v>
      </c>
      <c r="E363">
        <v>-1.7911779704232522E-2</v>
      </c>
      <c r="F363">
        <v>3.6277925804468314E-2</v>
      </c>
      <c r="G363">
        <v>5.3763440860215006E-3</v>
      </c>
      <c r="H363">
        <v>-4.4680825577078087E-3</v>
      </c>
      <c r="I363">
        <v>0</v>
      </c>
      <c r="J363">
        <v>6.8965517241379448E-3</v>
      </c>
      <c r="K363">
        <f>SUMPRODUCT(Sheet1!$AV$8:$BE$8,Sheet2!A363:J363)</f>
        <v>1.0956704448573414E-2</v>
      </c>
    </row>
    <row r="364" spans="1:11" x14ac:dyDescent="0.35">
      <c r="A364">
        <v>-4.4117647058823595E-2</v>
      </c>
      <c r="B364">
        <v>-1.6479036658408774E-2</v>
      </c>
      <c r="C364">
        <v>1.2843818659439066E-2</v>
      </c>
      <c r="D364">
        <v>3.4834443254319059E-3</v>
      </c>
      <c r="E364">
        <v>-1.2153566560654139E-2</v>
      </c>
      <c r="F364">
        <v>1.7602848101265778E-2</v>
      </c>
      <c r="G364">
        <v>-5.3475935828877219E-3</v>
      </c>
      <c r="H364">
        <v>-1.0107330220917365E-2</v>
      </c>
      <c r="I364">
        <v>-2.3885963785796882E-3</v>
      </c>
      <c r="J364">
        <v>0</v>
      </c>
      <c r="K364">
        <f>SUMPRODUCT(Sheet1!$AV$8:$BE$8,Sheet2!A364:J364)</f>
        <v>4.8880720412119057E-3</v>
      </c>
    </row>
    <row r="365" spans="1:11" x14ac:dyDescent="0.35">
      <c r="A365">
        <v>-1.5384615384615441E-2</v>
      </c>
      <c r="B365">
        <v>1.4316004272482363E-2</v>
      </c>
      <c r="C365">
        <v>-5.4343349117950135E-3</v>
      </c>
      <c r="D365">
        <v>2.5988732028328076E-3</v>
      </c>
      <c r="E365">
        <v>0</v>
      </c>
      <c r="F365">
        <v>0</v>
      </c>
      <c r="G365">
        <v>-1.0752688172043001E-2</v>
      </c>
      <c r="H365">
        <v>-5.6765692614383356E-3</v>
      </c>
      <c r="I365">
        <v>-7.1829462952474055E-3</v>
      </c>
      <c r="J365">
        <v>0</v>
      </c>
      <c r="K365">
        <f>SUMPRODUCT(Sheet1!$AV$8:$BE$8,Sheet2!A365:J365)</f>
        <v>-5.0391555312187218E-3</v>
      </c>
    </row>
    <row r="366" spans="1:11" x14ac:dyDescent="0.35">
      <c r="A366">
        <v>0</v>
      </c>
      <c r="B366">
        <v>0</v>
      </c>
      <c r="C366">
        <v>-1.6575306708431103E-2</v>
      </c>
      <c r="D366">
        <v>2.5921365685666053E-3</v>
      </c>
      <c r="E366">
        <v>-7.6873798846893715E-3</v>
      </c>
      <c r="F366">
        <v>0</v>
      </c>
      <c r="G366">
        <v>-5.4347826086956763E-3</v>
      </c>
      <c r="H366">
        <v>1.0268823119521819E-2</v>
      </c>
      <c r="I366">
        <v>0</v>
      </c>
      <c r="J366">
        <v>6.8493150684931781E-3</v>
      </c>
      <c r="K366">
        <f>SUMPRODUCT(Sheet1!$AV$8:$BE$8,Sheet2!A366:J366)</f>
        <v>-5.9673599228182933E-3</v>
      </c>
    </row>
    <row r="367" spans="1:11" x14ac:dyDescent="0.35">
      <c r="A367">
        <v>1.5625E-2</v>
      </c>
      <c r="B367">
        <v>-6.2868369351665176E-4</v>
      </c>
      <c r="C367">
        <v>7.5927721913122692E-3</v>
      </c>
      <c r="D367">
        <v>-4.3121358461296611E-3</v>
      </c>
      <c r="E367">
        <v>0</v>
      </c>
      <c r="F367">
        <v>0</v>
      </c>
      <c r="G367">
        <v>5.464480874316946E-3</v>
      </c>
      <c r="H367">
        <v>1.1301896153241175E-2</v>
      </c>
      <c r="I367">
        <v>0</v>
      </c>
      <c r="J367">
        <v>0</v>
      </c>
      <c r="K367">
        <f>SUMPRODUCT(Sheet1!$AV$8:$BE$8,Sheet2!A367:J367)</f>
        <v>6.0868654635311721E-3</v>
      </c>
    </row>
    <row r="368" spans="1:11" x14ac:dyDescent="0.35">
      <c r="A368">
        <v>-3.0769230769230771E-2</v>
      </c>
      <c r="B368">
        <v>-9.4440512699536239E-3</v>
      </c>
      <c r="C368">
        <v>6.4337187654350814E-3</v>
      </c>
      <c r="D368">
        <v>-5.1932635952223194E-3</v>
      </c>
      <c r="E368">
        <v>-2.3257353793183388E-2</v>
      </c>
      <c r="F368">
        <v>-2.5850340136054473E-2</v>
      </c>
      <c r="G368">
        <v>2.1739130434782483E-2</v>
      </c>
      <c r="H368">
        <v>0</v>
      </c>
      <c r="I368">
        <v>7.2349142960868029E-3</v>
      </c>
      <c r="J368">
        <v>0</v>
      </c>
      <c r="K368">
        <f>SUMPRODUCT(Sheet1!$AV$8:$BE$8,Sheet2!A368:J368)</f>
        <v>2.0133440980482382E-3</v>
      </c>
    </row>
    <row r="369" spans="1:11" x14ac:dyDescent="0.35">
      <c r="A369">
        <v>0</v>
      </c>
      <c r="B369">
        <v>-3.1126705776818087E-2</v>
      </c>
      <c r="C369">
        <v>-9.1358677186748061E-4</v>
      </c>
      <c r="D369">
        <v>-4.3534193452158254E-3</v>
      </c>
      <c r="E369">
        <v>0</v>
      </c>
      <c r="F369">
        <v>-2.6536312849162025E-2</v>
      </c>
      <c r="G369">
        <v>0</v>
      </c>
      <c r="H369">
        <v>-1.1247382590486854E-3</v>
      </c>
      <c r="I369">
        <v>2.1548838885742327E-2</v>
      </c>
      <c r="J369">
        <v>0</v>
      </c>
      <c r="K369">
        <f>SUMPRODUCT(Sheet1!$AV$8:$BE$8,Sheet2!A369:J369)</f>
        <v>7.5174735033597603E-4</v>
      </c>
    </row>
    <row r="370" spans="1:11" x14ac:dyDescent="0.35">
      <c r="A370">
        <v>0</v>
      </c>
      <c r="B370">
        <v>-9.8403906659675355E-3</v>
      </c>
      <c r="C370">
        <v>-1.0968027971746119E-2</v>
      </c>
      <c r="D370">
        <v>1.3988109170918861E-2</v>
      </c>
      <c r="E370">
        <v>-1.9048910280310527E-2</v>
      </c>
      <c r="F370">
        <v>-9.2232014757122061E-3</v>
      </c>
      <c r="G370">
        <v>-5.3191489361701372E-3</v>
      </c>
      <c r="H370">
        <v>-1.0062169835052481E-2</v>
      </c>
      <c r="I370">
        <v>1.1719045338842715E-3</v>
      </c>
      <c r="J370">
        <v>-4.081632653061229E-2</v>
      </c>
      <c r="K370">
        <f>SUMPRODUCT(Sheet1!$AV$8:$BE$8,Sheet2!A370:J370)</f>
        <v>-8.4240325368137321E-3</v>
      </c>
    </row>
    <row r="371" spans="1:11" x14ac:dyDescent="0.35">
      <c r="A371">
        <v>-1.5873015873015928E-2</v>
      </c>
      <c r="B371">
        <v>-3.3099704585135559E-3</v>
      </c>
      <c r="C371">
        <v>1.8491256131913936E-3</v>
      </c>
      <c r="D371">
        <v>-1.46538749203593E-2</v>
      </c>
      <c r="E371">
        <v>5.8256452783248758E-2</v>
      </c>
      <c r="F371">
        <v>-3.5167563094744558E-3</v>
      </c>
      <c r="G371">
        <v>-5.3475935828877219E-3</v>
      </c>
      <c r="H371">
        <v>6.7762974794594033E-3</v>
      </c>
      <c r="I371">
        <v>2.4593774779423816E-2</v>
      </c>
      <c r="J371">
        <v>0</v>
      </c>
      <c r="K371">
        <f>SUMPRODUCT(Sheet1!$AV$8:$BE$8,Sheet2!A371:J371)</f>
        <v>7.1219998151361404E-3</v>
      </c>
    </row>
    <row r="372" spans="1:11" x14ac:dyDescent="0.35">
      <c r="A372">
        <v>-1.6129032258064502E-2</v>
      </c>
      <c r="B372">
        <v>-3.3209627471004755E-3</v>
      </c>
      <c r="C372">
        <v>1.2914904002603311E-2</v>
      </c>
      <c r="D372">
        <v>0</v>
      </c>
      <c r="E372">
        <v>-6.1220491722988601E-3</v>
      </c>
      <c r="F372">
        <v>5.8750259497612589E-2</v>
      </c>
      <c r="G372">
        <v>-1.0752688172043001E-2</v>
      </c>
      <c r="H372">
        <v>8.9782574728669573E-3</v>
      </c>
      <c r="I372">
        <v>-5.7121798415330494E-3</v>
      </c>
      <c r="J372">
        <v>0</v>
      </c>
      <c r="K372">
        <f>SUMPRODUCT(Sheet1!$AV$8:$BE$8,Sheet2!A372:J372)</f>
        <v>1.2067224307280433E-2</v>
      </c>
    </row>
    <row r="373" spans="1:11" x14ac:dyDescent="0.35">
      <c r="A373">
        <v>-3.2786885245901676E-2</v>
      </c>
      <c r="B373">
        <v>-7.3304622356242799E-3</v>
      </c>
      <c r="C373">
        <v>-1.275023592956237E-2</v>
      </c>
      <c r="D373">
        <v>-4.376265087338016E-3</v>
      </c>
      <c r="E373">
        <v>-1.5391185794773277E-2</v>
      </c>
      <c r="F373">
        <v>0</v>
      </c>
      <c r="G373">
        <v>3.2608695652173836E-2</v>
      </c>
      <c r="H373">
        <v>-1.1078286558344752E-3</v>
      </c>
      <c r="I373">
        <v>0</v>
      </c>
      <c r="J373">
        <v>3.5460992907801359E-2</v>
      </c>
      <c r="K373">
        <f>SUMPRODUCT(Sheet1!$AV$8:$BE$8,Sheet2!A373:J373)</f>
        <v>-6.5802375971126684E-3</v>
      </c>
    </row>
    <row r="374" spans="1:11" x14ac:dyDescent="0.35">
      <c r="A374">
        <v>1.6949152542372836E-2</v>
      </c>
      <c r="B374">
        <v>-4.298169795329243E-2</v>
      </c>
      <c r="C374">
        <v>-1.8558818743896754E-4</v>
      </c>
      <c r="D374">
        <v>0</v>
      </c>
      <c r="E374">
        <v>1.4063594808314761E-2</v>
      </c>
      <c r="F374">
        <v>-1.2156862745097974E-2</v>
      </c>
      <c r="G374">
        <v>-1.5789473684210464E-2</v>
      </c>
      <c r="H374">
        <v>1.4477371653449422E-2</v>
      </c>
      <c r="I374">
        <v>-1.1489992587101594E-2</v>
      </c>
      <c r="J374">
        <v>0</v>
      </c>
      <c r="K374">
        <f>SUMPRODUCT(Sheet1!$AV$8:$BE$8,Sheet2!A374:J374)</f>
        <v>-7.420141169543861E-4</v>
      </c>
    </row>
    <row r="375" spans="1:11" x14ac:dyDescent="0.35">
      <c r="A375">
        <v>-1.6666666666666718E-2</v>
      </c>
      <c r="B375">
        <v>3.1575255381647516E-2</v>
      </c>
      <c r="C375">
        <v>7.3816782829143612E-3</v>
      </c>
      <c r="D375">
        <v>0</v>
      </c>
      <c r="E375">
        <v>-1.3868553096981096E-2</v>
      </c>
      <c r="F375">
        <v>-2.9972211194918774E-2</v>
      </c>
      <c r="G375">
        <v>1.0695187165775222E-2</v>
      </c>
      <c r="H375">
        <v>2.1982155661874891E-3</v>
      </c>
      <c r="I375">
        <v>8.1364829396326499E-3</v>
      </c>
      <c r="J375">
        <v>0</v>
      </c>
      <c r="K375">
        <f>SUMPRODUCT(Sheet1!$AV$8:$BE$8,Sheet2!A375:J375)</f>
        <v>3.3692314510879538E-3</v>
      </c>
    </row>
    <row r="376" spans="1:11" x14ac:dyDescent="0.35">
      <c r="A376">
        <v>3.3898305084745894E-2</v>
      </c>
      <c r="B376">
        <v>3.1288781599034365E-2</v>
      </c>
      <c r="C376">
        <v>-1.6482656610479207E-3</v>
      </c>
      <c r="D376">
        <v>-7.030919102075428E-3</v>
      </c>
      <c r="E376">
        <v>5.4702879450134967E-2</v>
      </c>
      <c r="F376">
        <v>-1.9848577859627459E-2</v>
      </c>
      <c r="G376">
        <v>1.5873015873015817E-2</v>
      </c>
      <c r="H376">
        <v>3.6666041099746582E-2</v>
      </c>
      <c r="I376">
        <v>1.8447576895897599E-2</v>
      </c>
      <c r="J376">
        <v>6.8493150684931781E-3</v>
      </c>
      <c r="K376">
        <f>SUMPRODUCT(Sheet1!$AV$8:$BE$8,Sheet2!A376:J376)</f>
        <v>9.5935828506655378E-3</v>
      </c>
    </row>
    <row r="377" spans="1:11" x14ac:dyDescent="0.35">
      <c r="A377">
        <v>0</v>
      </c>
      <c r="B377">
        <v>0</v>
      </c>
      <c r="C377">
        <v>-1.2843818659439177E-2</v>
      </c>
      <c r="D377">
        <v>8.8532484028134295E-3</v>
      </c>
      <c r="E377">
        <v>-7.4184210942566109E-3</v>
      </c>
      <c r="F377">
        <v>0</v>
      </c>
      <c r="G377">
        <v>0</v>
      </c>
      <c r="H377">
        <v>0</v>
      </c>
      <c r="I377">
        <v>3.4084407600822875E-3</v>
      </c>
      <c r="J377">
        <v>0</v>
      </c>
      <c r="K377">
        <f>SUMPRODUCT(Sheet1!$AV$8:$BE$8,Sheet2!A377:J377)</f>
        <v>-5.6758228860972898E-3</v>
      </c>
    </row>
    <row r="378" spans="1:11" x14ac:dyDescent="0.35">
      <c r="A378">
        <v>0</v>
      </c>
      <c r="B378">
        <v>-3.9562504636231344E-3</v>
      </c>
      <c r="C378">
        <v>3.7163105309123701E-3</v>
      </c>
      <c r="D378">
        <v>-8.8319302465422744E-4</v>
      </c>
      <c r="E378">
        <v>0</v>
      </c>
      <c r="F378">
        <v>0</v>
      </c>
      <c r="G378">
        <v>-5.2083333333333703E-3</v>
      </c>
      <c r="H378">
        <v>-6.5963657758367766E-3</v>
      </c>
      <c r="I378">
        <v>1.5795411808950721E-2</v>
      </c>
      <c r="J378">
        <v>2.7210884353741527E-2</v>
      </c>
      <c r="K378">
        <f>SUMPRODUCT(Sheet1!$AV$8:$BE$8,Sheet2!A378:J378)</f>
        <v>3.464171465708188E-3</v>
      </c>
    </row>
    <row r="379" spans="1:11" x14ac:dyDescent="0.35">
      <c r="A379">
        <v>0</v>
      </c>
      <c r="B379">
        <v>3.9074201262753849E-2</v>
      </c>
      <c r="C379">
        <v>-1.8372408724842693E-4</v>
      </c>
      <c r="D379">
        <v>0</v>
      </c>
      <c r="E379">
        <v>1.4931795002549819E-2</v>
      </c>
      <c r="F379">
        <v>5.3653444676409201E-2</v>
      </c>
      <c r="G379">
        <v>0</v>
      </c>
      <c r="H379">
        <v>-3.325778197929341E-3</v>
      </c>
      <c r="I379">
        <v>2.1115238083863508E-2</v>
      </c>
      <c r="J379">
        <v>3.9735099337748325E-2</v>
      </c>
      <c r="K379">
        <f>SUMPRODUCT(Sheet1!$AV$8:$BE$8,Sheet2!A379:J379)</f>
        <v>8.5845214342036152E-3</v>
      </c>
    </row>
    <row r="380" spans="1:11" x14ac:dyDescent="0.35">
      <c r="A380">
        <v>0</v>
      </c>
      <c r="B380">
        <v>-3.1854996057945062E-3</v>
      </c>
      <c r="C380">
        <v>-9.0781481292430133E-3</v>
      </c>
      <c r="D380">
        <v>8.8397374409887597E-4</v>
      </c>
      <c r="E380">
        <v>1.4696415393553153E-2</v>
      </c>
      <c r="F380">
        <v>1.9417475728155331E-2</v>
      </c>
      <c r="G380">
        <v>5.2356020942407877E-3</v>
      </c>
      <c r="H380">
        <v>-1.1107682813946362E-2</v>
      </c>
      <c r="I380">
        <v>-1.8503140387606809E-2</v>
      </c>
      <c r="J380">
        <v>1.9108280254777066E-2</v>
      </c>
      <c r="K380">
        <f>SUMPRODUCT(Sheet1!$AV$8:$BE$8,Sheet2!A380:J380)</f>
        <v>-8.5398258963985674E-3</v>
      </c>
    </row>
    <row r="381" spans="1:11" x14ac:dyDescent="0.35">
      <c r="A381">
        <v>-3.2786885245901676E-2</v>
      </c>
      <c r="B381">
        <v>-2.5565435531161862E-3</v>
      </c>
      <c r="C381">
        <v>0</v>
      </c>
      <c r="D381">
        <v>0</v>
      </c>
      <c r="E381">
        <v>-1.4483558994197399E-2</v>
      </c>
      <c r="F381">
        <v>2.196307094266281E-2</v>
      </c>
      <c r="G381">
        <v>1.0416666666666741E-2</v>
      </c>
      <c r="H381">
        <v>1.1232449297972069E-2</v>
      </c>
      <c r="I381">
        <v>8.8659032138900251E-3</v>
      </c>
      <c r="J381">
        <v>0</v>
      </c>
      <c r="K381">
        <f>SUMPRODUCT(Sheet1!$AV$8:$BE$8,Sheet2!A381:J381)</f>
        <v>5.815054971933859E-3</v>
      </c>
    </row>
    <row r="382" spans="1:11" x14ac:dyDescent="0.35">
      <c r="A382">
        <v>-3.3898305084745783E-2</v>
      </c>
      <c r="B382">
        <v>-3.2038702752924531E-3</v>
      </c>
      <c r="C382">
        <v>0</v>
      </c>
      <c r="D382">
        <v>-2.6401834034877059E-3</v>
      </c>
      <c r="E382">
        <v>0</v>
      </c>
      <c r="F382">
        <v>2.6816279954355204E-2</v>
      </c>
      <c r="G382">
        <v>2.577319587628879E-2</v>
      </c>
      <c r="H382">
        <v>0</v>
      </c>
      <c r="I382">
        <v>6.1775788143298982E-3</v>
      </c>
      <c r="J382">
        <v>0</v>
      </c>
      <c r="K382">
        <f>SUMPRODUCT(Sheet1!$AV$8:$BE$8,Sheet2!A382:J382)</f>
        <v>3.4429852370381079E-3</v>
      </c>
    </row>
    <row r="383" spans="1:11" x14ac:dyDescent="0.35">
      <c r="A383">
        <v>-3.5087719298245501E-2</v>
      </c>
      <c r="B383">
        <v>0</v>
      </c>
      <c r="C383">
        <v>9.346757223840374E-3</v>
      </c>
      <c r="D383">
        <v>1.7616414353138765E-3</v>
      </c>
      <c r="E383">
        <v>1.1760272574542041E-2</v>
      </c>
      <c r="F383">
        <v>8.7053157992220687E-3</v>
      </c>
      <c r="G383">
        <v>0</v>
      </c>
      <c r="H383">
        <v>0</v>
      </c>
      <c r="I383">
        <v>9.08621337340354E-3</v>
      </c>
      <c r="J383">
        <v>0</v>
      </c>
      <c r="K383">
        <f>SUMPRODUCT(Sheet1!$AV$8:$BE$8,Sheet2!A383:J383)</f>
        <v>7.138624334897121E-3</v>
      </c>
    </row>
    <row r="384" spans="1:11" x14ac:dyDescent="0.35">
      <c r="A384">
        <v>0</v>
      </c>
      <c r="B384">
        <v>1.2856672211106535E-2</v>
      </c>
      <c r="C384">
        <v>3.7051024261787191E-3</v>
      </c>
      <c r="D384">
        <v>1.8441196938065341E-2</v>
      </c>
      <c r="E384">
        <v>2.9020143393649889E-3</v>
      </c>
      <c r="F384">
        <v>0</v>
      </c>
      <c r="G384">
        <v>2.5125628140703515E-2</v>
      </c>
      <c r="H384">
        <v>-1.108482749951456E-3</v>
      </c>
      <c r="I384">
        <v>1.4646687917355017E-2</v>
      </c>
      <c r="J384">
        <v>-6.2499999999999778E-3</v>
      </c>
      <c r="K384">
        <f>SUMPRODUCT(Sheet1!$AV$8:$BE$8,Sheet2!A384:J384)</f>
        <v>4.554475191933219E-3</v>
      </c>
    </row>
    <row r="385" spans="1:11" x14ac:dyDescent="0.35">
      <c r="A385">
        <v>0</v>
      </c>
      <c r="B385">
        <v>0</v>
      </c>
      <c r="C385">
        <v>0</v>
      </c>
      <c r="D385">
        <v>-8.6242716922594331E-3</v>
      </c>
      <c r="E385">
        <v>1.4545454545453751E-3</v>
      </c>
      <c r="F385">
        <v>3.4520749173705623E-2</v>
      </c>
      <c r="G385">
        <v>1.9607843137254832E-2</v>
      </c>
      <c r="H385">
        <v>1.1097128475003881E-3</v>
      </c>
      <c r="I385">
        <v>2.6634715709093371E-2</v>
      </c>
      <c r="J385">
        <v>0</v>
      </c>
      <c r="K385">
        <f>SUMPRODUCT(Sheet1!$AV$8:$BE$8,Sheet2!A385:J385)</f>
        <v>8.3078396059273127E-3</v>
      </c>
    </row>
    <row r="386" spans="1:11" x14ac:dyDescent="0.35">
      <c r="A386">
        <v>3.6363636363636154E-2</v>
      </c>
      <c r="B386">
        <v>9.5280406825914987E-3</v>
      </c>
      <c r="C386">
        <v>1.2914904002603311E-2</v>
      </c>
      <c r="D386">
        <v>0</v>
      </c>
      <c r="E386">
        <v>5.7942798868957368E-3</v>
      </c>
      <c r="F386">
        <v>3.15938942137024E-2</v>
      </c>
      <c r="G386">
        <v>-2.8846153846153855E-2</v>
      </c>
      <c r="H386">
        <v>0</v>
      </c>
      <c r="I386">
        <v>3.2432432432432323E-2</v>
      </c>
      <c r="J386">
        <v>4.4025157232704393E-2</v>
      </c>
      <c r="K386">
        <f>SUMPRODUCT(Sheet1!$AV$8:$BE$8,Sheet2!A386:J386)</f>
        <v>1.5511651353114558E-2</v>
      </c>
    </row>
    <row r="387" spans="1:11" x14ac:dyDescent="0.35">
      <c r="A387">
        <v>0</v>
      </c>
      <c r="B387">
        <v>3.1442043222003946E-2</v>
      </c>
      <c r="C387">
        <v>-3.6443587735677241E-3</v>
      </c>
      <c r="D387">
        <v>-8.6899827690587461E-3</v>
      </c>
      <c r="E387">
        <v>2.8727686115463946E-3</v>
      </c>
      <c r="F387">
        <v>1.1355815554026094E-2</v>
      </c>
      <c r="G387">
        <v>4.9504950495049549E-3</v>
      </c>
      <c r="H387">
        <v>0</v>
      </c>
      <c r="I387">
        <v>5.2356020942407877E-3</v>
      </c>
      <c r="J387">
        <v>4.2168674698795261E-2</v>
      </c>
      <c r="K387">
        <f>SUMPRODUCT(Sheet1!$AV$8:$BE$8,Sheet2!A387:J387)</f>
        <v>7.416918765755198E-4</v>
      </c>
    </row>
    <row r="388" spans="1:11" x14ac:dyDescent="0.35">
      <c r="A388">
        <v>0</v>
      </c>
      <c r="B388">
        <v>-7.9237491523873604E-3</v>
      </c>
      <c r="C388">
        <v>-7.3128583376157463E-3</v>
      </c>
      <c r="D388">
        <v>0</v>
      </c>
      <c r="E388">
        <v>1.8657802423369674E-2</v>
      </c>
      <c r="F388">
        <v>6.464783940115737E-3</v>
      </c>
      <c r="G388">
        <v>0</v>
      </c>
      <c r="H388">
        <v>-5.5538414069732367E-3</v>
      </c>
      <c r="I388">
        <v>2.0876377410470326E-3</v>
      </c>
      <c r="J388">
        <v>0</v>
      </c>
      <c r="K388">
        <f>SUMPRODUCT(Sheet1!$AV$8:$BE$8,Sheet2!A388:J388)</f>
        <v>-3.7582994677364911E-3</v>
      </c>
    </row>
    <row r="389" spans="1:11" x14ac:dyDescent="0.35">
      <c r="A389">
        <v>3.5087719298245723E-2</v>
      </c>
      <c r="B389">
        <v>-2.8891568300681292E-2</v>
      </c>
      <c r="C389">
        <v>-1.4733460383841379E-2</v>
      </c>
      <c r="D389">
        <v>0</v>
      </c>
      <c r="E389">
        <v>-7.0527376351523507E-3</v>
      </c>
      <c r="F389">
        <v>7.9445571331979714E-3</v>
      </c>
      <c r="G389">
        <v>9.8522167487684609E-3</v>
      </c>
      <c r="H389">
        <v>-1.0055044184737016E-2</v>
      </c>
      <c r="I389">
        <v>3.9496574386288952E-2</v>
      </c>
      <c r="J389">
        <v>0</v>
      </c>
      <c r="K389">
        <f>SUMPRODUCT(Sheet1!$AV$8:$BE$8,Sheet2!A389:J389)</f>
        <v>-1.510055477427827E-3</v>
      </c>
    </row>
    <row r="390" spans="1:11" x14ac:dyDescent="0.35">
      <c r="A390">
        <v>3.3898305084745894E-2</v>
      </c>
      <c r="B390">
        <v>9.497900339267229E-3</v>
      </c>
      <c r="C390">
        <v>9.346757223840374E-3</v>
      </c>
      <c r="D390">
        <v>-2.6401834034877059E-3</v>
      </c>
      <c r="E390">
        <v>-7.0876874148114721E-3</v>
      </c>
      <c r="F390">
        <v>-3.1863156129465775E-3</v>
      </c>
      <c r="G390">
        <v>-1.4634146341463317E-2</v>
      </c>
      <c r="H390">
        <v>1.3546769437930983E-2</v>
      </c>
      <c r="I390">
        <v>-1.6002066115702429E-2</v>
      </c>
      <c r="J390">
        <v>2.3121387283236983E-2</v>
      </c>
      <c r="K390">
        <f>SUMPRODUCT(Sheet1!$AV$8:$BE$8,Sheet2!A390:J390)</f>
        <v>4.2221633799917491E-3</v>
      </c>
    </row>
    <row r="391" spans="1:11" x14ac:dyDescent="0.35">
      <c r="A391">
        <v>3.2786885245901676E-2</v>
      </c>
      <c r="B391">
        <v>-6.2671367019195845E-4</v>
      </c>
      <c r="C391">
        <v>0</v>
      </c>
      <c r="D391">
        <v>0</v>
      </c>
      <c r="E391">
        <v>0</v>
      </c>
      <c r="F391">
        <v>-9.5895020188425661E-3</v>
      </c>
      <c r="G391">
        <v>9.9009900990099098E-3</v>
      </c>
      <c r="H391">
        <v>-1.893188872218321E-2</v>
      </c>
      <c r="I391">
        <v>-1.9306883917229123E-2</v>
      </c>
      <c r="J391">
        <v>0</v>
      </c>
      <c r="K391">
        <f>SUMPRODUCT(Sheet1!$AV$8:$BE$8,Sheet2!A391:J391)</f>
        <v>-8.5246875736765693E-3</v>
      </c>
    </row>
    <row r="392" spans="1:11" x14ac:dyDescent="0.35">
      <c r="A392">
        <v>0</v>
      </c>
      <c r="B392">
        <v>-2.5084267461001897E-3</v>
      </c>
      <c r="C392">
        <v>-7.4076531289233305E-3</v>
      </c>
      <c r="D392">
        <v>3.5185725994102635E-2</v>
      </c>
      <c r="E392">
        <v>1.0005796040389425E-2</v>
      </c>
      <c r="F392">
        <v>0</v>
      </c>
      <c r="G392">
        <v>-4.9019607843138191E-3</v>
      </c>
      <c r="H392">
        <v>2.1561989259864411E-2</v>
      </c>
      <c r="I392">
        <v>-6.2197576328524296E-3</v>
      </c>
      <c r="J392">
        <v>0</v>
      </c>
      <c r="K392">
        <f>SUMPRODUCT(Sheet1!$AV$8:$BE$8,Sheet2!A392:J392)</f>
        <v>-2.1677824680998168E-4</v>
      </c>
    </row>
    <row r="393" spans="1:11" x14ac:dyDescent="0.35">
      <c r="A393">
        <v>-3.1746031746031744E-2</v>
      </c>
      <c r="B393">
        <v>5.4711198428290864E-2</v>
      </c>
      <c r="C393">
        <v>7.4629359699118769E-3</v>
      </c>
      <c r="D393">
        <v>-1.701763645960308E-3</v>
      </c>
      <c r="E393">
        <v>-4.2435591531003736E-3</v>
      </c>
      <c r="F393">
        <v>-4.7562425683709275E-3</v>
      </c>
      <c r="G393">
        <v>-2.4630541871921152E-2</v>
      </c>
      <c r="H393">
        <v>-1.1107682813946362E-2</v>
      </c>
      <c r="I393">
        <v>1.0449095668474406E-3</v>
      </c>
      <c r="J393">
        <v>0</v>
      </c>
      <c r="K393">
        <f>SUMPRODUCT(Sheet1!$AV$8:$BE$8,Sheet2!A393:J393)</f>
        <v>1.7831623339923464E-3</v>
      </c>
    </row>
    <row r="394" spans="1:11" x14ac:dyDescent="0.35">
      <c r="A394">
        <v>1.6393442622950838E-2</v>
      </c>
      <c r="B394">
        <v>-1.1921437725389561E-3</v>
      </c>
      <c r="C394">
        <v>-3.7025507027446114E-3</v>
      </c>
      <c r="D394">
        <v>-1.2762194732859999E-2</v>
      </c>
      <c r="E394">
        <v>4.2616436901892207E-3</v>
      </c>
      <c r="F394">
        <v>0</v>
      </c>
      <c r="G394">
        <v>-1.0101010101010055E-2</v>
      </c>
      <c r="H394">
        <v>-1.124400531576808E-2</v>
      </c>
      <c r="I394">
        <v>-1.041666666666663E-2</v>
      </c>
      <c r="J394">
        <v>0</v>
      </c>
      <c r="K394">
        <f>SUMPRODUCT(Sheet1!$AV$8:$BE$8,Sheet2!A394:J394)</f>
        <v>-6.161231322530757E-3</v>
      </c>
    </row>
    <row r="395" spans="1:11" x14ac:dyDescent="0.35">
      <c r="A395">
        <v>0</v>
      </c>
      <c r="B395">
        <v>0</v>
      </c>
      <c r="C395">
        <v>3.7163105309123701E-3</v>
      </c>
      <c r="D395">
        <v>0</v>
      </c>
      <c r="E395">
        <v>0</v>
      </c>
      <c r="F395">
        <v>9.7286226318484825E-3</v>
      </c>
      <c r="G395">
        <v>1.5306122448979664E-2</v>
      </c>
      <c r="H395">
        <v>0</v>
      </c>
      <c r="I395">
        <v>-1.894301870378412E-2</v>
      </c>
      <c r="J395">
        <v>0</v>
      </c>
      <c r="K395">
        <f>SUMPRODUCT(Sheet1!$AV$8:$BE$8,Sheet2!A395:J395)</f>
        <v>-9.7543368241581651E-4</v>
      </c>
    </row>
    <row r="396" spans="1:11" x14ac:dyDescent="0.35">
      <c r="A396">
        <v>0</v>
      </c>
      <c r="B396">
        <v>-4.7742667024737173E-3</v>
      </c>
      <c r="C396">
        <v>0</v>
      </c>
      <c r="D396">
        <v>0</v>
      </c>
      <c r="E396">
        <v>0</v>
      </c>
      <c r="F396">
        <v>-3.2116294793780309E-3</v>
      </c>
      <c r="G396">
        <v>0</v>
      </c>
      <c r="H396">
        <v>0</v>
      </c>
      <c r="I396">
        <v>1.8233611917799042E-2</v>
      </c>
      <c r="J396">
        <v>0</v>
      </c>
      <c r="K396">
        <f>SUMPRODUCT(Sheet1!$AV$8:$BE$8,Sheet2!A396:J396)</f>
        <v>3.1516083877456747E-3</v>
      </c>
    </row>
    <row r="397" spans="1:11" x14ac:dyDescent="0.35">
      <c r="A397">
        <v>0</v>
      </c>
      <c r="B397">
        <v>-2.2794051509609337E-2</v>
      </c>
      <c r="C397">
        <v>-7.3999979586203413E-4</v>
      </c>
      <c r="D397">
        <v>8.6150379966574153E-3</v>
      </c>
      <c r="E397">
        <v>-9.9066719018998661E-3</v>
      </c>
      <c r="F397">
        <v>0</v>
      </c>
      <c r="G397">
        <v>-1.0050251256281451E-2</v>
      </c>
      <c r="H397">
        <v>0</v>
      </c>
      <c r="I397">
        <v>-9.4815105102162844E-3</v>
      </c>
      <c r="J397">
        <v>0</v>
      </c>
      <c r="K397">
        <f>SUMPRODUCT(Sheet1!$AV$8:$BE$8,Sheet2!A397:J397)</f>
        <v>-2.5497868533582622E-3</v>
      </c>
    </row>
    <row r="398" spans="1:11" x14ac:dyDescent="0.35">
      <c r="A398">
        <v>-3.2258064516129115E-2</v>
      </c>
      <c r="B398">
        <v>1.5348505419149783E-2</v>
      </c>
      <c r="C398">
        <v>-1.1133753147329895E-3</v>
      </c>
      <c r="D398">
        <v>-8.5139885747764765E-4</v>
      </c>
      <c r="E398">
        <v>0</v>
      </c>
      <c r="F398">
        <v>-1.2718331354926282E-2</v>
      </c>
      <c r="G398">
        <v>5.0761421319795996E-3</v>
      </c>
      <c r="H398">
        <v>-1.1360183258923406E-2</v>
      </c>
      <c r="I398">
        <v>-9.5722700896782031E-3</v>
      </c>
      <c r="J398">
        <v>-3.9548022598870136E-2</v>
      </c>
      <c r="K398">
        <f>SUMPRODUCT(Sheet1!$AV$8:$BE$8,Sheet2!A398:J398)</f>
        <v>-5.7660631006896789E-3</v>
      </c>
    </row>
    <row r="399" spans="1:11" x14ac:dyDescent="0.35">
      <c r="A399">
        <v>-3.3333333333333326E-2</v>
      </c>
      <c r="B399">
        <v>6.0435741697650869E-4</v>
      </c>
      <c r="C399">
        <v>-4.6374173624496029E-3</v>
      </c>
      <c r="D399">
        <v>4.2789470308506328E-3</v>
      </c>
      <c r="E399">
        <v>0</v>
      </c>
      <c r="F399">
        <v>1.6145654414290611E-2</v>
      </c>
      <c r="G399">
        <v>-1.0101010101010055E-2</v>
      </c>
      <c r="H399">
        <v>0</v>
      </c>
      <c r="I399">
        <v>-1.1817445434471496E-2</v>
      </c>
      <c r="J399">
        <v>0</v>
      </c>
      <c r="K399">
        <f>SUMPRODUCT(Sheet1!$AV$8:$BE$8,Sheet2!A399:J399)</f>
        <v>-3.1331037787545252E-3</v>
      </c>
    </row>
    <row r="400" spans="1:11" x14ac:dyDescent="0.35">
      <c r="A400">
        <v>3.4482758620689724E-2</v>
      </c>
      <c r="B400">
        <v>-3.0199619484795326E-3</v>
      </c>
      <c r="C400">
        <v>0</v>
      </c>
      <c r="D400">
        <v>-4.260715654252456E-3</v>
      </c>
      <c r="E400">
        <v>1.4291815380860884E-2</v>
      </c>
      <c r="F400">
        <v>0</v>
      </c>
      <c r="G400">
        <v>-5.1020408163264808E-3</v>
      </c>
      <c r="H400">
        <v>2.2993261614848048E-2</v>
      </c>
      <c r="I400">
        <v>1.0869565217391353E-2</v>
      </c>
      <c r="J400">
        <v>0</v>
      </c>
      <c r="K400">
        <f>SUMPRODUCT(Sheet1!$AV$8:$BE$8,Sheet2!A400:J400)</f>
        <v>6.9999047229245721E-3</v>
      </c>
    </row>
    <row r="401" spans="1:11" x14ac:dyDescent="0.35">
      <c r="A401">
        <v>-3.3333333333333326E-2</v>
      </c>
      <c r="B401">
        <v>-6.0582194892910834E-4</v>
      </c>
      <c r="C401">
        <v>0</v>
      </c>
      <c r="D401">
        <v>0</v>
      </c>
      <c r="E401">
        <v>0</v>
      </c>
      <c r="F401">
        <v>-3.2116294793780309E-3</v>
      </c>
      <c r="G401">
        <v>0</v>
      </c>
      <c r="H401">
        <v>0</v>
      </c>
      <c r="I401">
        <v>1.6129032258064724E-2</v>
      </c>
      <c r="J401">
        <v>0</v>
      </c>
      <c r="K401">
        <f>SUMPRODUCT(Sheet1!$AV$8:$BE$8,Sheet2!A401:J401)</f>
        <v>2.8037571053693314E-3</v>
      </c>
    </row>
    <row r="402" spans="1:11" x14ac:dyDescent="0.35">
      <c r="A402">
        <v>-3.4482758620689502E-2</v>
      </c>
      <c r="B402">
        <v>-3.0385233231291497E-3</v>
      </c>
      <c r="C402">
        <v>-2.7969549405164607E-3</v>
      </c>
      <c r="D402">
        <v>0</v>
      </c>
      <c r="E402">
        <v>-1.4135550910538974E-3</v>
      </c>
      <c r="F402">
        <v>-3.2219772765813559E-3</v>
      </c>
      <c r="G402">
        <v>1.025641025641022E-2</v>
      </c>
      <c r="H402">
        <v>-1.6860229964754114E-2</v>
      </c>
      <c r="I402">
        <v>-1.5873015873015928E-2</v>
      </c>
      <c r="J402">
        <v>3.529411764705892E-2</v>
      </c>
      <c r="K402">
        <f>SUMPRODUCT(Sheet1!$AV$8:$BE$8,Sheet2!A402:J402)</f>
        <v>-8.2007910073037087E-3</v>
      </c>
    </row>
    <row r="403" spans="1:11" x14ac:dyDescent="0.35">
      <c r="A403">
        <v>3.5714285714285587E-2</v>
      </c>
      <c r="B403">
        <v>-2.4937106201214476E-2</v>
      </c>
      <c r="C403">
        <v>-7.4743150905444145E-3</v>
      </c>
      <c r="D403">
        <v>-3.4176600481954367E-3</v>
      </c>
      <c r="E403">
        <v>-2.8160530080566515E-3</v>
      </c>
      <c r="F403">
        <v>-1.1228308948621923E-2</v>
      </c>
      <c r="G403">
        <v>1.0152284263959421E-2</v>
      </c>
      <c r="H403">
        <v>0</v>
      </c>
      <c r="I403">
        <v>-5.3763440860213896E-3</v>
      </c>
      <c r="J403">
        <v>0</v>
      </c>
      <c r="K403">
        <f>SUMPRODUCT(Sheet1!$AV$8:$BE$8,Sheet2!A403:J403)</f>
        <v>-5.9942279013391548E-3</v>
      </c>
    </row>
    <row r="404" spans="1:11" x14ac:dyDescent="0.35">
      <c r="A404">
        <v>3.4482758620689724E-2</v>
      </c>
      <c r="B404">
        <v>4.3651102969832767E-3</v>
      </c>
      <c r="C404">
        <v>5.6492483671155558E-3</v>
      </c>
      <c r="D404">
        <v>-8.6424066344259476E-4</v>
      </c>
      <c r="E404">
        <v>0</v>
      </c>
      <c r="F404">
        <v>0</v>
      </c>
      <c r="G404">
        <v>-5.0251256281407253E-3</v>
      </c>
      <c r="H404">
        <v>0</v>
      </c>
      <c r="I404">
        <v>5.4054054054053502E-3</v>
      </c>
      <c r="J404">
        <v>0</v>
      </c>
      <c r="K404">
        <f>SUMPRODUCT(Sheet1!$AV$8:$BE$8,Sheet2!A404:J404)</f>
        <v>3.8519592851213764E-3</v>
      </c>
    </row>
    <row r="405" spans="1:11" x14ac:dyDescent="0.35">
      <c r="A405">
        <v>3.3333333333333437E-2</v>
      </c>
      <c r="B405">
        <v>1.4287931703531376E-2</v>
      </c>
      <c r="C405">
        <v>0</v>
      </c>
      <c r="D405">
        <v>-6.8738957597173078E-3</v>
      </c>
      <c r="E405">
        <v>0</v>
      </c>
      <c r="F405">
        <v>0</v>
      </c>
      <c r="G405">
        <v>0</v>
      </c>
      <c r="H405">
        <v>0</v>
      </c>
      <c r="I405">
        <v>1.0774904469919022E-3</v>
      </c>
      <c r="J405">
        <v>0</v>
      </c>
      <c r="K405">
        <f>SUMPRODUCT(Sheet1!$AV$8:$BE$8,Sheet2!A405:J405)</f>
        <v>3.9485916907460491E-4</v>
      </c>
    </row>
    <row r="406" spans="1:11" x14ac:dyDescent="0.35">
      <c r="A406">
        <v>1.6129032258064502E-2</v>
      </c>
      <c r="B406">
        <v>-1.8363927125816248E-3</v>
      </c>
      <c r="C406">
        <v>9.3616625982484436E-3</v>
      </c>
      <c r="D406">
        <v>-8.6170952050035332E-4</v>
      </c>
      <c r="E406">
        <v>-8.4871183062007471E-3</v>
      </c>
      <c r="F406">
        <v>0</v>
      </c>
      <c r="G406">
        <v>5.050505050504972E-3</v>
      </c>
      <c r="H406">
        <v>0</v>
      </c>
      <c r="I406">
        <v>1.1817445434471496E-2</v>
      </c>
      <c r="J406">
        <v>-3.9772727272727293E-2</v>
      </c>
      <c r="K406">
        <f>SUMPRODUCT(Sheet1!$AV$8:$BE$8,Sheet2!A406:J406)</f>
        <v>6.6466163596068774E-3</v>
      </c>
    </row>
    <row r="407" spans="1:11" x14ac:dyDescent="0.35">
      <c r="A407">
        <v>-1.5873015873015928E-2</v>
      </c>
      <c r="B407">
        <v>0</v>
      </c>
      <c r="C407">
        <v>0</v>
      </c>
      <c r="D407">
        <v>7.789895392833257E-3</v>
      </c>
      <c r="E407">
        <v>5.6963567686121319E-3</v>
      </c>
      <c r="F407">
        <v>-4.8176187198899489E-3</v>
      </c>
      <c r="G407">
        <v>-5.0251256281407253E-3</v>
      </c>
      <c r="H407">
        <v>2.2861911702477755E-2</v>
      </c>
      <c r="I407">
        <v>-2.1275195753734932E-3</v>
      </c>
      <c r="J407">
        <v>3.5502958579881616E-2</v>
      </c>
      <c r="K407">
        <f>SUMPRODUCT(Sheet1!$AV$8:$BE$8,Sheet2!A407:J407)</f>
        <v>4.1389027755896349E-3</v>
      </c>
    </row>
    <row r="408" spans="1:11" x14ac:dyDescent="0.35">
      <c r="A408">
        <v>1.6129032258064502E-2</v>
      </c>
      <c r="B408">
        <v>-2.5764463285064876E-2</v>
      </c>
      <c r="C408">
        <v>0</v>
      </c>
      <c r="D408">
        <v>5.9279299175500455E-2</v>
      </c>
      <c r="E408">
        <v>0</v>
      </c>
      <c r="F408">
        <v>-9.6818810511756226E-3</v>
      </c>
      <c r="G408">
        <v>5.050505050504972E-3</v>
      </c>
      <c r="H408">
        <v>0</v>
      </c>
      <c r="I408">
        <v>1.4891419025848451E-2</v>
      </c>
      <c r="J408">
        <v>0</v>
      </c>
      <c r="K408">
        <f>SUMPRODUCT(Sheet1!$AV$8:$BE$8,Sheet2!A408:J408)</f>
        <v>1.6791530771523289E-3</v>
      </c>
    </row>
    <row r="409" spans="1:11" x14ac:dyDescent="0.35">
      <c r="A409">
        <v>3.1746031746031855E-2</v>
      </c>
      <c r="B409">
        <v>2.8334251317963632E-2</v>
      </c>
      <c r="C409">
        <v>0</v>
      </c>
      <c r="D409">
        <v>4.6232430460239282E-2</v>
      </c>
      <c r="E409">
        <v>0</v>
      </c>
      <c r="F409">
        <v>-1.7458100558659373E-3</v>
      </c>
      <c r="G409">
        <v>0</v>
      </c>
      <c r="H409">
        <v>-1.1146734696223515E-3</v>
      </c>
      <c r="I409">
        <v>1.153258903916754E-2</v>
      </c>
      <c r="J409">
        <v>0</v>
      </c>
      <c r="K409">
        <f>SUMPRODUCT(Sheet1!$AV$8:$BE$8,Sheet2!A409:J409)</f>
        <v>2.1964047362117486E-3</v>
      </c>
    </row>
    <row r="410" spans="1:11" x14ac:dyDescent="0.35">
      <c r="A410">
        <v>1.538461538461533E-2</v>
      </c>
      <c r="B410">
        <v>-6.1213090419387495E-4</v>
      </c>
      <c r="C410">
        <v>-7.4214016555629314E-3</v>
      </c>
      <c r="D410">
        <v>-2.3248862466372922E-3</v>
      </c>
      <c r="E410">
        <v>0</v>
      </c>
      <c r="F410">
        <v>0</v>
      </c>
      <c r="G410">
        <v>-5.0251256281407253E-3</v>
      </c>
      <c r="H410">
        <v>0</v>
      </c>
      <c r="I410">
        <v>4.142936667665742E-3</v>
      </c>
      <c r="J410">
        <v>0</v>
      </c>
      <c r="K410">
        <f>SUMPRODUCT(Sheet1!$AV$8:$BE$8,Sheet2!A410:J410)</f>
        <v>-2.8402856162955425E-3</v>
      </c>
    </row>
    <row r="411" spans="1:11" x14ac:dyDescent="0.35">
      <c r="A411">
        <v>3.0303030303030276E-2</v>
      </c>
      <c r="B411">
        <v>0</v>
      </c>
      <c r="C411">
        <v>0</v>
      </c>
      <c r="D411">
        <v>8.5472219448050613E-3</v>
      </c>
      <c r="E411">
        <v>-2.8320460396789038E-3</v>
      </c>
      <c r="F411">
        <v>0</v>
      </c>
      <c r="G411">
        <v>1.5151515151515138E-2</v>
      </c>
      <c r="H411">
        <v>0</v>
      </c>
      <c r="I411">
        <v>-9.285813281591393E-3</v>
      </c>
      <c r="J411">
        <v>0</v>
      </c>
      <c r="K411">
        <f>SUMPRODUCT(Sheet1!$AV$8:$BE$8,Sheet2!A411:J411)</f>
        <v>-1.7982574389514951E-3</v>
      </c>
    </row>
    <row r="412" spans="1:11" x14ac:dyDescent="0.35">
      <c r="A412">
        <v>4.4117647058823373E-2</v>
      </c>
      <c r="B412">
        <v>-2.4507889840825081E-2</v>
      </c>
      <c r="C412">
        <v>0</v>
      </c>
      <c r="D412">
        <v>-1.4639017023839962E-2</v>
      </c>
      <c r="E412">
        <v>8.5354555533618814E-3</v>
      </c>
      <c r="F412">
        <v>0</v>
      </c>
      <c r="G412">
        <v>2.9850746268656803E-2</v>
      </c>
      <c r="H412">
        <v>0</v>
      </c>
      <c r="I412">
        <v>0</v>
      </c>
      <c r="J412">
        <v>0</v>
      </c>
      <c r="K412">
        <f>SUMPRODUCT(Sheet1!$AV$8:$BE$8,Sheet2!A412:J412)</f>
        <v>-2.6111433552453763E-4</v>
      </c>
    </row>
    <row r="413" spans="1:11" x14ac:dyDescent="0.35">
      <c r="A413">
        <v>1.4084507042253502E-2</v>
      </c>
      <c r="B413">
        <v>1.1302095596891881E-2</v>
      </c>
      <c r="C413">
        <v>5.6095996785683333E-3</v>
      </c>
      <c r="D413">
        <v>7.7883576614845573E-4</v>
      </c>
      <c r="E413">
        <v>-8.4632181311649068E-3</v>
      </c>
      <c r="F413">
        <v>-1.4690451206715527E-2</v>
      </c>
      <c r="G413">
        <v>-9.6618357487923134E-3</v>
      </c>
      <c r="H413">
        <v>-4.475173714969416E-3</v>
      </c>
      <c r="I413">
        <v>-3.1206955922864488E-3</v>
      </c>
      <c r="J413">
        <v>0</v>
      </c>
      <c r="K413">
        <f>SUMPRODUCT(Sheet1!$AV$8:$BE$8,Sheet2!A413:J413)</f>
        <v>2.3855426545774648E-5</v>
      </c>
    </row>
    <row r="414" spans="1:11" x14ac:dyDescent="0.35">
      <c r="A414">
        <v>0</v>
      </c>
      <c r="B414">
        <v>-8.0714008537058346E-3</v>
      </c>
      <c r="C414">
        <v>-1.8696806943940825E-4</v>
      </c>
      <c r="D414">
        <v>-7.0291710598986423E-3</v>
      </c>
      <c r="E414">
        <v>-2.8400893033427854E-3</v>
      </c>
      <c r="F414">
        <v>0</v>
      </c>
      <c r="G414">
        <v>-1.4634146341463317E-2</v>
      </c>
      <c r="H414">
        <v>-1.3485872768244089E-2</v>
      </c>
      <c r="I414">
        <v>0</v>
      </c>
      <c r="J414">
        <v>0</v>
      </c>
      <c r="K414">
        <f>SUMPRODUCT(Sheet1!$AV$8:$BE$8,Sheet2!A414:J414)</f>
        <v>-3.0659095519278592E-3</v>
      </c>
    </row>
    <row r="415" spans="1:11" x14ac:dyDescent="0.35">
      <c r="A415">
        <v>1.388888888888884E-2</v>
      </c>
      <c r="B415">
        <v>1.1266724043502041E-2</v>
      </c>
      <c r="C415">
        <v>-5.3923477334206771E-3</v>
      </c>
      <c r="D415">
        <v>-7.8373868635284172E-4</v>
      </c>
      <c r="E415">
        <v>2.848178384306177E-3</v>
      </c>
      <c r="F415">
        <v>0</v>
      </c>
      <c r="G415">
        <v>-9.9009900990099098E-3</v>
      </c>
      <c r="H415">
        <v>1.3670227719988715E-2</v>
      </c>
      <c r="I415">
        <v>-1.1496362183984976E-2</v>
      </c>
      <c r="J415">
        <v>-4.0000000000000036E-2</v>
      </c>
      <c r="K415">
        <f>SUMPRODUCT(Sheet1!$AV$8:$BE$8,Sheet2!A415:J415)</f>
        <v>-1.8820373561948716E-3</v>
      </c>
    </row>
    <row r="416" spans="1:11" x14ac:dyDescent="0.35">
      <c r="A416">
        <v>0</v>
      </c>
      <c r="B416">
        <v>-1.1141199226305631E-2</v>
      </c>
      <c r="C416">
        <v>-1.867290985749448E-3</v>
      </c>
      <c r="D416">
        <v>-7.9278732214993486E-4</v>
      </c>
      <c r="E416">
        <v>-2.8400893033427854E-3</v>
      </c>
      <c r="F416">
        <v>0</v>
      </c>
      <c r="G416">
        <v>0</v>
      </c>
      <c r="H416">
        <v>0</v>
      </c>
      <c r="I416">
        <v>-9.5115372435106149E-3</v>
      </c>
      <c r="J416">
        <v>4.1666666666666741E-2</v>
      </c>
      <c r="K416">
        <f>SUMPRODUCT(Sheet1!$AV$8:$BE$8,Sheet2!A416:J416)</f>
        <v>-2.7934981417892181E-3</v>
      </c>
    </row>
    <row r="417" spans="1:11" x14ac:dyDescent="0.35">
      <c r="A417">
        <v>0</v>
      </c>
      <c r="B417">
        <v>-1.6907910179172259E-2</v>
      </c>
      <c r="C417">
        <v>0</v>
      </c>
      <c r="D417">
        <v>4.7267355982274495E-3</v>
      </c>
      <c r="E417">
        <v>2.848178384306177E-3</v>
      </c>
      <c r="F417">
        <v>-1.5974440894569453E-3</v>
      </c>
      <c r="G417">
        <v>0</v>
      </c>
      <c r="H417">
        <v>-1.124400531576808E-2</v>
      </c>
      <c r="I417">
        <v>8.5334391744393834E-3</v>
      </c>
      <c r="J417">
        <v>0</v>
      </c>
      <c r="K417">
        <f>SUMPRODUCT(Sheet1!$AV$8:$BE$8,Sheet2!A417:J417)</f>
        <v>-1.0799556994310908E-3</v>
      </c>
    </row>
    <row r="418" spans="1:11" x14ac:dyDescent="0.35">
      <c r="A418">
        <v>-2.7397260273972601E-2</v>
      </c>
      <c r="B418">
        <v>1.7198704327133552E-2</v>
      </c>
      <c r="C418">
        <v>1.8707842843799227E-3</v>
      </c>
      <c r="D418">
        <v>1.882639559793331E-2</v>
      </c>
      <c r="E418">
        <v>0</v>
      </c>
      <c r="F418">
        <v>1.6000000000000458E-3</v>
      </c>
      <c r="G418">
        <v>2.0000000000000018E-2</v>
      </c>
      <c r="H418">
        <v>1.1371870690259467E-2</v>
      </c>
      <c r="I418">
        <v>1.06038742402359E-3</v>
      </c>
      <c r="J418">
        <v>0</v>
      </c>
      <c r="K418">
        <f>SUMPRODUCT(Sheet1!$AV$8:$BE$8,Sheet2!A418:J418)</f>
        <v>3.882205859871805E-3</v>
      </c>
    </row>
    <row r="419" spans="1:11" x14ac:dyDescent="0.35">
      <c r="A419">
        <v>1.4084507042253502E-2</v>
      </c>
      <c r="B419">
        <v>0</v>
      </c>
      <c r="C419">
        <v>9.346757223840374E-3</v>
      </c>
      <c r="D419">
        <v>2.0012203568719356E-2</v>
      </c>
      <c r="E419">
        <v>2.4178728186747378E-2</v>
      </c>
      <c r="F419">
        <v>0</v>
      </c>
      <c r="G419">
        <v>4.9019607843137081E-3</v>
      </c>
      <c r="H419">
        <v>0</v>
      </c>
      <c r="I419">
        <v>-1.0592641935940339E-3</v>
      </c>
      <c r="J419">
        <v>0</v>
      </c>
      <c r="K419">
        <f>SUMPRODUCT(Sheet1!$AV$8:$BE$8,Sheet2!A419:J419)</f>
        <v>4.5397420909020761E-3</v>
      </c>
    </row>
    <row r="420" spans="1:11" x14ac:dyDescent="0.35">
      <c r="A420">
        <v>-1.3888888888888951E-2</v>
      </c>
      <c r="B420">
        <v>1.0640794929974051E-2</v>
      </c>
      <c r="C420">
        <v>-5.5551019158339709E-3</v>
      </c>
      <c r="D420">
        <v>1.4340800142276233E-2</v>
      </c>
      <c r="E420">
        <v>-2.7730407058649265E-3</v>
      </c>
      <c r="F420">
        <v>8.342208022719122E-3</v>
      </c>
      <c r="G420">
        <v>-4.8780487804876982E-3</v>
      </c>
      <c r="H420">
        <v>2.2418674524760096E-3</v>
      </c>
      <c r="I420">
        <v>-1.060387424023812E-3</v>
      </c>
      <c r="J420">
        <v>0</v>
      </c>
      <c r="K420">
        <f>SUMPRODUCT(Sheet1!$AV$8:$BE$8,Sheet2!A420:J420)</f>
        <v>-1.6067342116886816E-3</v>
      </c>
    </row>
    <row r="421" spans="1:11" x14ac:dyDescent="0.35">
      <c r="A421">
        <v>1.4084507042253502E-2</v>
      </c>
      <c r="B421">
        <v>2.4850971587830895E-3</v>
      </c>
      <c r="C421">
        <v>0</v>
      </c>
      <c r="D421">
        <v>-3.7217976202811309E-3</v>
      </c>
      <c r="E421">
        <v>1.3918629550321082E-2</v>
      </c>
      <c r="F421">
        <v>-8.2731913395528434E-3</v>
      </c>
      <c r="G421">
        <v>-1.4705882352941346E-2</v>
      </c>
      <c r="H421">
        <v>7.852044875416464E-3</v>
      </c>
      <c r="I421">
        <v>-4.2351087230108053E-3</v>
      </c>
      <c r="J421">
        <v>0</v>
      </c>
      <c r="K421">
        <f>SUMPRODUCT(Sheet1!$AV$8:$BE$8,Sheet2!A421:J421)</f>
        <v>2.7120364977734014E-4</v>
      </c>
    </row>
    <row r="422" spans="1:11" x14ac:dyDescent="0.35">
      <c r="A422">
        <v>1.388888888888884E-2</v>
      </c>
      <c r="B422">
        <v>-1.112818651489289E-2</v>
      </c>
      <c r="C422">
        <v>-1.8628998114006423E-3</v>
      </c>
      <c r="D422">
        <v>2.9877609791216786E-2</v>
      </c>
      <c r="E422">
        <v>0</v>
      </c>
      <c r="F422">
        <v>4.9698260560879781E-3</v>
      </c>
      <c r="G422">
        <v>9.9502487562188602E-3</v>
      </c>
      <c r="H422">
        <v>1.7789726575906606E-2</v>
      </c>
      <c r="I422">
        <v>-4.253121153508066E-3</v>
      </c>
      <c r="J422">
        <v>0</v>
      </c>
      <c r="K422">
        <f>SUMPRODUCT(Sheet1!$AV$8:$BE$8,Sheet2!A422:J422)</f>
        <v>2.3116524272528017E-3</v>
      </c>
    </row>
    <row r="423" spans="1:11" x14ac:dyDescent="0.35">
      <c r="A423">
        <v>0</v>
      </c>
      <c r="B423">
        <v>0</v>
      </c>
      <c r="C423">
        <v>1.8663766841735541E-3</v>
      </c>
      <c r="D423">
        <v>8.1789584061515708E-3</v>
      </c>
      <c r="E423">
        <v>-4.1065352575383463E-3</v>
      </c>
      <c r="F423">
        <v>-4.945249028611709E-3</v>
      </c>
      <c r="G423">
        <v>-1.477832512315258E-2</v>
      </c>
      <c r="H423">
        <v>-5.4628224582701224E-3</v>
      </c>
      <c r="I423">
        <v>2.8839468020528614E-2</v>
      </c>
      <c r="J423">
        <v>0</v>
      </c>
      <c r="K423">
        <f>SUMPRODUCT(Sheet1!$AV$8:$BE$8,Sheet2!A423:J423)</f>
        <v>4.8243346599978268E-3</v>
      </c>
    </row>
    <row r="424" spans="1:11" x14ac:dyDescent="0.35">
      <c r="A424">
        <v>-1.3698630136986356E-2</v>
      </c>
      <c r="B424">
        <v>2.4373291682936449E-2</v>
      </c>
      <c r="C424">
        <v>3.7232336450996328E-3</v>
      </c>
      <c r="D424">
        <v>-1.0300620964883822E-2</v>
      </c>
      <c r="E424">
        <v>-1.1045004712535333E-2</v>
      </c>
      <c r="F424">
        <v>0</v>
      </c>
      <c r="G424">
        <v>4.9999999999998934E-3</v>
      </c>
      <c r="H424">
        <v>-1.0963053379896559E-3</v>
      </c>
      <c r="I424">
        <v>-3.1109871484048535E-3</v>
      </c>
      <c r="J424">
        <v>0</v>
      </c>
      <c r="K424">
        <f>SUMPRODUCT(Sheet1!$AV$8:$BE$8,Sheet2!A424:J424)</f>
        <v>1.2327646889240269E-3</v>
      </c>
    </row>
    <row r="425" spans="1:11" x14ac:dyDescent="0.35">
      <c r="A425">
        <v>0</v>
      </c>
      <c r="B425">
        <v>-2.4395636230569728E-3</v>
      </c>
      <c r="C425">
        <v>0</v>
      </c>
      <c r="D425">
        <v>-4.4604977386132338E-3</v>
      </c>
      <c r="E425">
        <v>-1.8122524347023217E-2</v>
      </c>
      <c r="F425">
        <v>0</v>
      </c>
      <c r="G425">
        <v>0</v>
      </c>
      <c r="H425">
        <v>5.4988572333731778E-3</v>
      </c>
      <c r="I425">
        <v>2.1877152203856776E-2</v>
      </c>
      <c r="J425">
        <v>0</v>
      </c>
      <c r="K425">
        <f>SUMPRODUCT(Sheet1!$AV$8:$BE$8,Sheet2!A425:J425)</f>
        <v>5.1842016526290917E-3</v>
      </c>
    </row>
    <row r="426" spans="1:11" x14ac:dyDescent="0.35">
      <c r="A426">
        <v>1.388888888888884E-2</v>
      </c>
      <c r="B426">
        <v>-3.6682944723387401E-3</v>
      </c>
      <c r="C426">
        <v>-5.5654121268208234E-3</v>
      </c>
      <c r="D426">
        <v>-1.4934943075190832E-2</v>
      </c>
      <c r="E426">
        <v>1.8457011996299455E-2</v>
      </c>
      <c r="F426">
        <v>-3.3723819666311439E-3</v>
      </c>
      <c r="G426">
        <v>-4.9751243781093191E-3</v>
      </c>
      <c r="H426">
        <v>-1.5314848989512408E-2</v>
      </c>
      <c r="I426">
        <v>-1.0214719727046351E-3</v>
      </c>
      <c r="J426">
        <v>0</v>
      </c>
      <c r="K426">
        <f>SUMPRODUCT(Sheet1!$AV$8:$BE$8,Sheet2!A426:J426)</f>
        <v>-6.350720269052511E-3</v>
      </c>
    </row>
    <row r="427" spans="1:11" x14ac:dyDescent="0.35">
      <c r="A427">
        <v>0</v>
      </c>
      <c r="B427">
        <v>5.0946913040476716E-2</v>
      </c>
      <c r="C427">
        <v>-1.8509520834775195E-4</v>
      </c>
      <c r="D427">
        <v>-1.4407277461144008E-2</v>
      </c>
      <c r="E427">
        <v>-6.9690561991839761E-3</v>
      </c>
      <c r="F427">
        <v>0</v>
      </c>
      <c r="G427">
        <v>1.0000000000000009E-2</v>
      </c>
      <c r="H427">
        <v>0</v>
      </c>
      <c r="I427">
        <v>-5.1020408163264808E-3</v>
      </c>
      <c r="J427">
        <v>0</v>
      </c>
      <c r="K427">
        <f>SUMPRODUCT(Sheet1!$AV$8:$BE$8,Sheet2!A427:J427)</f>
        <v>-4.4553357199833305E-4</v>
      </c>
    </row>
    <row r="428" spans="1:11" x14ac:dyDescent="0.35">
      <c r="A428">
        <v>2.7397260273972712E-2</v>
      </c>
      <c r="B428">
        <v>0</v>
      </c>
      <c r="C428">
        <v>-7.2791881044026452E-3</v>
      </c>
      <c r="D428">
        <v>7.6915022993966353E-3</v>
      </c>
      <c r="E428">
        <v>-4.2137780043786099E-3</v>
      </c>
      <c r="F428">
        <v>0</v>
      </c>
      <c r="G428">
        <v>0</v>
      </c>
      <c r="H428">
        <v>0</v>
      </c>
      <c r="I428">
        <v>-1.0277601186692298E-3</v>
      </c>
      <c r="J428">
        <v>0</v>
      </c>
      <c r="K428">
        <f>SUMPRODUCT(Sheet1!$AV$8:$BE$8,Sheet2!A428:J428)</f>
        <v>-3.7833466221419364E-3</v>
      </c>
    </row>
    <row r="429" spans="1:11" x14ac:dyDescent="0.35">
      <c r="A429">
        <v>4.0000000000000036E-2</v>
      </c>
      <c r="B429">
        <v>-7.0066344069540376E-3</v>
      </c>
      <c r="C429">
        <v>3.7608201281578157E-3</v>
      </c>
      <c r="D429">
        <v>3.8203935484901752E-3</v>
      </c>
      <c r="E429">
        <v>-5.6471651231082554E-3</v>
      </c>
      <c r="F429">
        <v>0</v>
      </c>
      <c r="G429">
        <v>0</v>
      </c>
      <c r="H429">
        <v>0</v>
      </c>
      <c r="I429">
        <v>0</v>
      </c>
      <c r="J429">
        <v>0</v>
      </c>
      <c r="K429">
        <f>SUMPRODUCT(Sheet1!$AV$8:$BE$8,Sheet2!A429:J429)</f>
        <v>1.7033599151833158E-3</v>
      </c>
    </row>
    <row r="430" spans="1:11" x14ac:dyDescent="0.35">
      <c r="A430">
        <v>0</v>
      </c>
      <c r="B430">
        <v>-5.8800614466421042E-3</v>
      </c>
      <c r="C430">
        <v>-1.8733646764962364E-3</v>
      </c>
      <c r="D430">
        <v>1.1401636994808673E-2</v>
      </c>
      <c r="E430">
        <v>7.1028320460395644E-3</v>
      </c>
      <c r="F430">
        <v>3.3837934105076517E-3</v>
      </c>
      <c r="G430">
        <v>-9.9009900990099098E-3</v>
      </c>
      <c r="H430">
        <v>1.1107682813946251E-2</v>
      </c>
      <c r="I430">
        <v>0</v>
      </c>
      <c r="J430">
        <v>0</v>
      </c>
      <c r="K430">
        <f>SUMPRODUCT(Sheet1!$AV$8:$BE$8,Sheet2!A430:J430)</f>
        <v>1.6949167077632112E-3</v>
      </c>
    </row>
    <row r="431" spans="1:11" x14ac:dyDescent="0.35">
      <c r="A431">
        <v>-3.8461538461538547E-2</v>
      </c>
      <c r="B431">
        <v>4.7318728604910376E-3</v>
      </c>
      <c r="C431">
        <v>-9.3818185578522506E-3</v>
      </c>
      <c r="D431">
        <v>-7.5180275214913328E-3</v>
      </c>
      <c r="E431">
        <v>4.2256274530443338E-3</v>
      </c>
      <c r="F431">
        <v>0</v>
      </c>
      <c r="G431">
        <v>2.4999999999999911E-2</v>
      </c>
      <c r="H431">
        <v>-5.4928288068353259E-3</v>
      </c>
      <c r="I431">
        <v>5.1334811153653792E-3</v>
      </c>
      <c r="J431">
        <v>0</v>
      </c>
      <c r="K431">
        <f>SUMPRODUCT(Sheet1!$AV$8:$BE$8,Sheet2!A431:J431)</f>
        <v>-4.6665900685052917E-3</v>
      </c>
    </row>
    <row r="432" spans="1:11" x14ac:dyDescent="0.35">
      <c r="A432">
        <v>4.0000000000000036E-2</v>
      </c>
      <c r="B432">
        <v>0</v>
      </c>
      <c r="C432">
        <v>-1.8920463590502701E-3</v>
      </c>
      <c r="D432">
        <v>0</v>
      </c>
      <c r="E432">
        <v>-2.8152141359688576E-3</v>
      </c>
      <c r="F432">
        <v>0</v>
      </c>
      <c r="G432">
        <v>-4.8780487804876982E-3</v>
      </c>
      <c r="H432">
        <v>-5.5231666155263204E-3</v>
      </c>
      <c r="I432">
        <v>-7.14383698966925E-3</v>
      </c>
      <c r="J432">
        <v>0</v>
      </c>
      <c r="K432">
        <f>SUMPRODUCT(Sheet1!$AV$8:$BE$8,Sheet2!A432:J432)</f>
        <v>-3.4784551564693714E-3</v>
      </c>
    </row>
    <row r="433" spans="1:11" x14ac:dyDescent="0.35">
      <c r="A433">
        <v>-1.2820512820512886E-2</v>
      </c>
      <c r="B433">
        <v>-4.7095876903151535E-3</v>
      </c>
      <c r="C433">
        <v>-2.2773742476297487E-3</v>
      </c>
      <c r="D433">
        <v>-1.5911416401608536E-2</v>
      </c>
      <c r="E433">
        <v>1.4115809706871651E-3</v>
      </c>
      <c r="F433">
        <v>0</v>
      </c>
      <c r="G433">
        <v>-9.8039215686274161E-3</v>
      </c>
      <c r="H433">
        <v>0</v>
      </c>
      <c r="I433">
        <v>-3.0927835051547392E-3</v>
      </c>
      <c r="J433">
        <v>0</v>
      </c>
      <c r="K433">
        <f>SUMPRODUCT(Sheet1!$AV$8:$BE$8,Sheet2!A433:J433)</f>
        <v>-1.7563650838020362E-3</v>
      </c>
    </row>
    <row r="434" spans="1:11" x14ac:dyDescent="0.35">
      <c r="A434">
        <v>-3.8961038961038974E-2</v>
      </c>
      <c r="B434">
        <v>0</v>
      </c>
      <c r="C434">
        <v>-2.4738788271089218E-3</v>
      </c>
      <c r="D434">
        <v>7.7377546003365438E-4</v>
      </c>
      <c r="E434">
        <v>-4.2137780043786099E-3</v>
      </c>
      <c r="F434">
        <v>1.6684416045438244E-2</v>
      </c>
      <c r="G434">
        <v>4.9504950495049549E-3</v>
      </c>
      <c r="H434">
        <v>0</v>
      </c>
      <c r="I434">
        <v>0</v>
      </c>
      <c r="J434">
        <v>0</v>
      </c>
      <c r="K434">
        <f>SUMPRODUCT(Sheet1!$AV$8:$BE$8,Sheet2!A434:J434)</f>
        <v>1.9343148163490447E-4</v>
      </c>
    </row>
    <row r="435" spans="1:11" x14ac:dyDescent="0.35">
      <c r="A435">
        <v>-1.3513513513513487E-2</v>
      </c>
      <c r="B435">
        <v>-1.7744523226841391E-3</v>
      </c>
      <c r="C435">
        <v>4.7682474129302488E-3</v>
      </c>
      <c r="D435">
        <v>0</v>
      </c>
      <c r="E435">
        <v>1.2694827196747305E-2</v>
      </c>
      <c r="F435">
        <v>6.4594972067038015E-3</v>
      </c>
      <c r="G435">
        <v>-4.9261083743841194E-3</v>
      </c>
      <c r="H435">
        <v>0</v>
      </c>
      <c r="I435">
        <v>-9.285813281591393E-3</v>
      </c>
      <c r="J435">
        <v>0</v>
      </c>
      <c r="K435">
        <f>SUMPRODUCT(Sheet1!$AV$8:$BE$8,Sheet2!A435:J435)</f>
        <v>1.1757223686459212E-3</v>
      </c>
    </row>
    <row r="436" spans="1:11" x14ac:dyDescent="0.35">
      <c r="A436">
        <v>-4.1095890410958957E-2</v>
      </c>
      <c r="B436">
        <v>0</v>
      </c>
      <c r="C436">
        <v>1.517813720722283E-2</v>
      </c>
      <c r="D436">
        <v>0</v>
      </c>
      <c r="E436">
        <v>0</v>
      </c>
      <c r="F436">
        <v>1.7346053772768766E-3</v>
      </c>
      <c r="G436">
        <v>9.9009900990099098E-3</v>
      </c>
      <c r="H436">
        <v>0</v>
      </c>
      <c r="I436">
        <v>1.0416666666666741E-2</v>
      </c>
      <c r="J436">
        <v>-5.7142857142856718E-3</v>
      </c>
      <c r="K436">
        <f>SUMPRODUCT(Sheet1!$AV$8:$BE$8,Sheet2!A436:J436)</f>
        <v>9.542638363547476E-3</v>
      </c>
    </row>
    <row r="437" spans="1:11" x14ac:dyDescent="0.35">
      <c r="A437">
        <v>2.8571428571428692E-2</v>
      </c>
      <c r="B437">
        <v>-4.1551554294771975E-3</v>
      </c>
      <c r="C437">
        <v>-3.7371575452722627E-3</v>
      </c>
      <c r="D437">
        <v>-1.5383004598793493E-3</v>
      </c>
      <c r="E437">
        <v>0</v>
      </c>
      <c r="F437">
        <v>0</v>
      </c>
      <c r="G437">
        <v>-4.9019607843138191E-3</v>
      </c>
      <c r="H437">
        <v>0</v>
      </c>
      <c r="I437">
        <v>1.4430859674533503E-2</v>
      </c>
      <c r="J437">
        <v>0</v>
      </c>
      <c r="K437">
        <f>SUMPRODUCT(Sheet1!$AV$8:$BE$8,Sheet2!A437:J437)</f>
        <v>8.8205093103737231E-4</v>
      </c>
    </row>
    <row r="438" spans="1:11" x14ac:dyDescent="0.35">
      <c r="A438">
        <v>-4.1666666666666741E-2</v>
      </c>
      <c r="B438">
        <v>3.5774849016749766E-3</v>
      </c>
      <c r="C438">
        <v>-5.6280570406294084E-3</v>
      </c>
      <c r="D438">
        <v>-8.4777207756590034E-3</v>
      </c>
      <c r="E438">
        <v>-1.3978110873186234E-3</v>
      </c>
      <c r="F438">
        <v>-1.7316017316018062E-3</v>
      </c>
      <c r="G438">
        <v>-4.9261083743841194E-3</v>
      </c>
      <c r="H438">
        <v>0</v>
      </c>
      <c r="I438">
        <v>6.0996734942415642E-3</v>
      </c>
      <c r="J438">
        <v>0</v>
      </c>
      <c r="K438">
        <f>SUMPRODUCT(Sheet1!$AV$8:$BE$8,Sheet2!A438:J438)</f>
        <v>-1.6932900933937891E-3</v>
      </c>
    </row>
    <row r="439" spans="1:11" x14ac:dyDescent="0.35">
      <c r="A439">
        <v>2.898550724637694E-2</v>
      </c>
      <c r="B439">
        <v>-9.4936005276692326E-3</v>
      </c>
      <c r="C439">
        <v>3.7724076072120916E-3</v>
      </c>
      <c r="D439">
        <v>-1.5538435255163519E-3</v>
      </c>
      <c r="E439">
        <v>1.673764779462128E-2</v>
      </c>
      <c r="F439">
        <v>1.7346053772768766E-3</v>
      </c>
      <c r="G439">
        <v>9.9009900990099098E-3</v>
      </c>
      <c r="H439">
        <v>0</v>
      </c>
      <c r="I439">
        <v>1.3127139160197032E-2</v>
      </c>
      <c r="J439">
        <v>0</v>
      </c>
      <c r="K439">
        <f>SUMPRODUCT(Sheet1!$AV$8:$BE$8,Sheet2!A439:J439)</f>
        <v>4.501646155748544E-3</v>
      </c>
    </row>
    <row r="440" spans="1:11" x14ac:dyDescent="0.35">
      <c r="A440">
        <v>4.2253521126760507E-2</v>
      </c>
      <c r="B440">
        <v>-2.9928470954417863E-3</v>
      </c>
      <c r="C440">
        <v>3.7608201281578157E-3</v>
      </c>
      <c r="D440">
        <v>0</v>
      </c>
      <c r="E440">
        <v>0</v>
      </c>
      <c r="F440">
        <v>8.1385281385280006E-3</v>
      </c>
      <c r="G440">
        <v>0</v>
      </c>
      <c r="H440">
        <v>0</v>
      </c>
      <c r="I440">
        <v>6.9832114532908385E-3</v>
      </c>
      <c r="J440">
        <v>0</v>
      </c>
      <c r="K440">
        <f>SUMPRODUCT(Sheet1!$AV$8:$BE$8,Sheet2!A440:J440)</f>
        <v>3.8332501763475111E-3</v>
      </c>
    </row>
    <row r="441" spans="1:11" x14ac:dyDescent="0.35">
      <c r="A441">
        <v>1.3513513513513598E-2</v>
      </c>
      <c r="B441">
        <v>-4.20256356377402E-3</v>
      </c>
      <c r="C441">
        <v>7.1141410648762893E-3</v>
      </c>
      <c r="D441">
        <v>-7.7405687281018043E-4</v>
      </c>
      <c r="E441">
        <v>-1.9200913910776496E-2</v>
      </c>
      <c r="F441">
        <v>0</v>
      </c>
      <c r="G441">
        <v>-4.9019607843138191E-3</v>
      </c>
      <c r="H441">
        <v>0</v>
      </c>
      <c r="I441">
        <v>1.980198019801982E-2</v>
      </c>
      <c r="J441">
        <v>2.8735632183908066E-2</v>
      </c>
      <c r="K441">
        <f>SUMPRODUCT(Sheet1!$AV$8:$BE$8,Sheet2!A441:J441)</f>
        <v>7.1439705984206632E-3</v>
      </c>
    </row>
    <row r="442" spans="1:11" x14ac:dyDescent="0.35">
      <c r="A442">
        <v>1.3333333333333419E-2</v>
      </c>
      <c r="B442">
        <v>-3.1365869833901106E-2</v>
      </c>
      <c r="C442">
        <v>-1.4860554196184372E-3</v>
      </c>
      <c r="D442">
        <v>-7.8281077995678849E-4</v>
      </c>
      <c r="E442">
        <v>1.3991966192303584E-2</v>
      </c>
      <c r="F442">
        <v>0</v>
      </c>
      <c r="G442">
        <v>-4.9261083743841194E-3</v>
      </c>
      <c r="H442">
        <v>-2.2169654999030231E-3</v>
      </c>
      <c r="I442">
        <v>-5.8272486560217995E-3</v>
      </c>
      <c r="J442">
        <v>1.1173184357541999E-2</v>
      </c>
      <c r="K442">
        <f>SUMPRODUCT(Sheet1!$AV$8:$BE$8,Sheet2!A442:J442)</f>
        <v>-2.5924852992267964E-3</v>
      </c>
    </row>
    <row r="443" spans="1:11" x14ac:dyDescent="0.35">
      <c r="A443">
        <v>1.3157894736842035E-2</v>
      </c>
      <c r="B443">
        <v>1.4323504240255192E-2</v>
      </c>
      <c r="C443">
        <v>-5.5861334565002752E-3</v>
      </c>
      <c r="D443">
        <v>-1.0127388015244154E-2</v>
      </c>
      <c r="E443">
        <v>0</v>
      </c>
      <c r="F443">
        <v>-1.7176228100308499E-3</v>
      </c>
      <c r="G443">
        <v>0</v>
      </c>
      <c r="H443">
        <v>-8.9104715219955333E-3</v>
      </c>
      <c r="I443">
        <v>-1.9470758552504464E-3</v>
      </c>
      <c r="J443">
        <v>0</v>
      </c>
      <c r="K443">
        <f>SUMPRODUCT(Sheet1!$AV$8:$BE$8,Sheet2!A443:J443)</f>
        <v>-4.941187840525451E-3</v>
      </c>
    </row>
    <row r="444" spans="1:11" x14ac:dyDescent="0.35">
      <c r="A444">
        <v>-1.2987012987012991E-2</v>
      </c>
      <c r="B444">
        <v>-1.7803039019413935E-2</v>
      </c>
      <c r="C444">
        <v>-1.8733646764962364E-3</v>
      </c>
      <c r="D444">
        <v>0</v>
      </c>
      <c r="E444">
        <v>0</v>
      </c>
      <c r="F444">
        <v>-6.3661390227116588E-3</v>
      </c>
      <c r="G444">
        <v>9.9009900990099098E-3</v>
      </c>
      <c r="H444">
        <v>0</v>
      </c>
      <c r="I444">
        <v>-2.9414737693319593E-3</v>
      </c>
      <c r="J444">
        <v>-1.6574585635359185E-2</v>
      </c>
      <c r="K444">
        <f>SUMPRODUCT(Sheet1!$AV$8:$BE$8,Sheet2!A444:J444)</f>
        <v>-2.3025152991583845E-3</v>
      </c>
    </row>
    <row r="445" spans="1:11" x14ac:dyDescent="0.35">
      <c r="A445">
        <v>0</v>
      </c>
      <c r="B445">
        <v>-1.5626708317063587E-2</v>
      </c>
      <c r="C445">
        <v>-6.5664974199352022E-3</v>
      </c>
      <c r="D445">
        <v>-4.7239031146432131E-3</v>
      </c>
      <c r="E445">
        <v>-1.3843072573044291E-3</v>
      </c>
      <c r="F445">
        <v>0</v>
      </c>
      <c r="G445">
        <v>-4.9019607843138191E-3</v>
      </c>
      <c r="H445">
        <v>0</v>
      </c>
      <c r="I445">
        <v>-8.830178732549987E-3</v>
      </c>
      <c r="J445">
        <v>0</v>
      </c>
      <c r="K445">
        <f>SUMPRODUCT(Sheet1!$AV$8:$BE$8,Sheet2!A445:J445)</f>
        <v>-5.11438979413378E-3</v>
      </c>
    </row>
    <row r="446" spans="1:11" x14ac:dyDescent="0.35">
      <c r="A446">
        <v>0</v>
      </c>
      <c r="B446">
        <v>1.5874778855841765E-2</v>
      </c>
      <c r="C446">
        <v>0</v>
      </c>
      <c r="D446">
        <v>4.7463242907435088E-3</v>
      </c>
      <c r="E446">
        <v>0</v>
      </c>
      <c r="F446">
        <v>8.1385281385280006E-3</v>
      </c>
      <c r="G446">
        <v>-4.9261083743841194E-3</v>
      </c>
      <c r="H446">
        <v>-3.374357196510025E-3</v>
      </c>
      <c r="I446">
        <v>4.9504950495049549E-3</v>
      </c>
      <c r="J446">
        <v>0</v>
      </c>
      <c r="K446">
        <f>SUMPRODUCT(Sheet1!$AV$8:$BE$8,Sheet2!A446:J446)</f>
        <v>1.1436312774584364E-3</v>
      </c>
    </row>
    <row r="447" spans="1:11" x14ac:dyDescent="0.35">
      <c r="A447">
        <v>0</v>
      </c>
      <c r="B447">
        <v>0</v>
      </c>
      <c r="C447">
        <v>9.4464337760769013E-4</v>
      </c>
      <c r="D447">
        <v>-3.9407080083759816E-3</v>
      </c>
      <c r="E447">
        <v>-1.3862262203213627E-3</v>
      </c>
      <c r="F447">
        <v>-2.7481964960494709E-2</v>
      </c>
      <c r="G447">
        <v>9.9009900990099098E-3</v>
      </c>
      <c r="H447">
        <v>-1.1247289635101243E-3</v>
      </c>
      <c r="I447">
        <v>2.9515938606847758E-3</v>
      </c>
      <c r="J447">
        <v>0</v>
      </c>
      <c r="K447">
        <f>SUMPRODUCT(Sheet1!$AV$8:$BE$8,Sheet2!A447:J447)</f>
        <v>-1.5810134428460364E-3</v>
      </c>
    </row>
    <row r="448" spans="1:11" x14ac:dyDescent="0.35">
      <c r="A448">
        <v>0</v>
      </c>
      <c r="B448">
        <v>-2.4998047637641574E-2</v>
      </c>
      <c r="C448">
        <v>3.7724076072120916E-3</v>
      </c>
      <c r="D448">
        <v>-3.9480218506869891E-3</v>
      </c>
      <c r="E448">
        <v>-1.3733829523303598E-3</v>
      </c>
      <c r="F448">
        <v>1.9957612151183302E-2</v>
      </c>
      <c r="G448">
        <v>-9.8039215686274161E-3</v>
      </c>
      <c r="H448">
        <v>-1.1259954031526132E-3</v>
      </c>
      <c r="I448">
        <v>1.1791926285238619E-2</v>
      </c>
      <c r="J448">
        <v>0</v>
      </c>
      <c r="K448">
        <f>SUMPRODUCT(Sheet1!$AV$8:$BE$8,Sheet2!A448:J448)</f>
        <v>5.2361020162971453E-3</v>
      </c>
    </row>
    <row r="449" spans="1:11" x14ac:dyDescent="0.35">
      <c r="A449">
        <v>0</v>
      </c>
      <c r="B449">
        <v>2.4998197822970303E-2</v>
      </c>
      <c r="C449">
        <v>-3.7582300316509887E-3</v>
      </c>
      <c r="D449">
        <v>0</v>
      </c>
      <c r="E449">
        <v>8.2959939665498972E-3</v>
      </c>
      <c r="F449">
        <v>0</v>
      </c>
      <c r="G449">
        <v>0</v>
      </c>
      <c r="H449">
        <v>-1.4689304930911473E-2</v>
      </c>
      <c r="I449">
        <v>9.7087378640776656E-3</v>
      </c>
      <c r="J449">
        <v>0</v>
      </c>
      <c r="K449">
        <f>SUMPRODUCT(Sheet1!$AV$8:$BE$8,Sheet2!A449:J449)</f>
        <v>-2.6880913832073635E-3</v>
      </c>
    </row>
    <row r="450" spans="1:11" x14ac:dyDescent="0.35">
      <c r="A450">
        <v>0</v>
      </c>
      <c r="B450">
        <v>6.2514651871525828E-4</v>
      </c>
      <c r="C450">
        <v>0</v>
      </c>
      <c r="D450">
        <v>-2.5402391497635901E-2</v>
      </c>
      <c r="E450">
        <v>1.3786225507450567E-3</v>
      </c>
      <c r="F450">
        <v>1.298701298701288E-2</v>
      </c>
      <c r="G450">
        <v>0</v>
      </c>
      <c r="H450">
        <v>2.6372589491065579E-2</v>
      </c>
      <c r="I450">
        <v>-3.8441671964399848E-3</v>
      </c>
      <c r="J450">
        <v>0</v>
      </c>
      <c r="K450">
        <f>SUMPRODUCT(Sheet1!$AV$8:$BE$8,Sheet2!A450:J450)</f>
        <v>5.9657035034535932E-3</v>
      </c>
    </row>
    <row r="451" spans="1:11" x14ac:dyDescent="0.35">
      <c r="A451">
        <v>-2.6315789473684181E-2</v>
      </c>
      <c r="B451">
        <v>-2.4998047637641574E-2</v>
      </c>
      <c r="C451">
        <v>-3.0376850780610365E-2</v>
      </c>
      <c r="D451">
        <v>-1.0580973006155903E-2</v>
      </c>
      <c r="E451">
        <v>0</v>
      </c>
      <c r="F451">
        <v>-2.4102564102564061E-2</v>
      </c>
      <c r="G451">
        <v>-1.4851485148514865E-2</v>
      </c>
      <c r="H451">
        <v>-6.711023775870073E-3</v>
      </c>
      <c r="I451">
        <v>-2.509846936231741E-2</v>
      </c>
      <c r="J451">
        <v>0</v>
      </c>
      <c r="K451">
        <f>SUMPRODUCT(Sheet1!$AV$8:$BE$8,Sheet2!A451:J451)</f>
        <v>-2.3459867124007716E-2</v>
      </c>
    </row>
    <row r="452" spans="1:11" x14ac:dyDescent="0.35">
      <c r="A452">
        <v>1.3513513513513598E-2</v>
      </c>
      <c r="B452">
        <v>2.1153553492619048E-2</v>
      </c>
      <c r="C452">
        <v>-1.2454719252663282E-2</v>
      </c>
      <c r="D452">
        <v>8.2295661165927569E-3</v>
      </c>
      <c r="E452">
        <v>-1.2346583086792151E-2</v>
      </c>
      <c r="F452">
        <v>1.1560693641618602E-2</v>
      </c>
      <c r="G452">
        <v>0</v>
      </c>
      <c r="H452">
        <v>6.7563659081180116E-3</v>
      </c>
      <c r="I452">
        <v>1.1885279437034768E-2</v>
      </c>
      <c r="J452">
        <v>0</v>
      </c>
      <c r="K452">
        <f>SUMPRODUCT(Sheet1!$AV$8:$BE$8,Sheet2!A452:J452)</f>
        <v>-1.2006569671977048E-3</v>
      </c>
    </row>
    <row r="453" spans="1:11" x14ac:dyDescent="0.35">
      <c r="A453">
        <v>-1.3333333333333308E-2</v>
      </c>
      <c r="B453">
        <v>6.2750019609381091E-4</v>
      </c>
      <c r="C453">
        <v>1.2807285246507094E-2</v>
      </c>
      <c r="D453">
        <v>8.162393162393311E-3</v>
      </c>
      <c r="E453">
        <v>5.5609105064136077E-3</v>
      </c>
      <c r="F453">
        <v>0</v>
      </c>
      <c r="G453">
        <v>1.5075376884422065E-2</v>
      </c>
      <c r="H453">
        <v>0</v>
      </c>
      <c r="I453">
        <v>2.9313656120488751E-3</v>
      </c>
      <c r="J453">
        <v>-4.49438202247191E-2</v>
      </c>
      <c r="K453">
        <f>SUMPRODUCT(Sheet1!$AV$8:$BE$8,Sheet2!A453:J453)</f>
        <v>6.7506187173776511E-3</v>
      </c>
    </row>
    <row r="454" spans="1:11" x14ac:dyDescent="0.35">
      <c r="A454">
        <v>-1.3513513513513487E-2</v>
      </c>
      <c r="B454">
        <v>1.6312612683232697E-2</v>
      </c>
      <c r="C454">
        <v>0</v>
      </c>
      <c r="D454">
        <v>4.3720062735788989E-2</v>
      </c>
      <c r="E454">
        <v>0</v>
      </c>
      <c r="F454">
        <v>1.298701298701288E-2</v>
      </c>
      <c r="G454">
        <v>4.9504950495049549E-3</v>
      </c>
      <c r="H454">
        <v>-5.5848588271797395E-3</v>
      </c>
      <c r="I454">
        <v>4.8780487804878092E-3</v>
      </c>
      <c r="J454">
        <v>0</v>
      </c>
      <c r="K454">
        <f>SUMPRODUCT(Sheet1!$AV$8:$BE$8,Sheet2!A454:J454)</f>
        <v>1.0851784113708239E-3</v>
      </c>
    </row>
    <row r="455" spans="1:11" x14ac:dyDescent="0.35">
      <c r="A455">
        <v>-1.3698630136986356E-2</v>
      </c>
      <c r="B455">
        <v>2.4681645340183245E-3</v>
      </c>
      <c r="C455">
        <v>1.946260686338297E-3</v>
      </c>
      <c r="D455">
        <v>-6.9773864448631207E-3</v>
      </c>
      <c r="E455">
        <v>-1.3862262203213627E-3</v>
      </c>
      <c r="F455">
        <v>-6.4957264957263838E-3</v>
      </c>
      <c r="G455">
        <v>-9.8522167487684609E-3</v>
      </c>
      <c r="H455">
        <v>4.4952909227480298E-3</v>
      </c>
      <c r="I455">
        <v>5.8272486560217995E-3</v>
      </c>
      <c r="J455">
        <v>4.117647058823537E-2</v>
      </c>
      <c r="K455">
        <f>SUMPRODUCT(Sheet1!$AV$8:$BE$8,Sheet2!A455:J455)</f>
        <v>2.585953455356357E-3</v>
      </c>
    </row>
    <row r="456" spans="1:11" x14ac:dyDescent="0.35">
      <c r="A456">
        <v>-4.1666666666666741E-2</v>
      </c>
      <c r="B456">
        <v>-6.155219241215093E-4</v>
      </c>
      <c r="C456">
        <v>3.8822846348753881E-3</v>
      </c>
      <c r="D456">
        <v>-1.4061004637923036E-2</v>
      </c>
      <c r="E456">
        <v>-1.3733829523303598E-3</v>
      </c>
      <c r="F456">
        <v>1.7205781142464183E-3</v>
      </c>
      <c r="G456">
        <v>-4.9751243781093191E-3</v>
      </c>
      <c r="H456">
        <v>-2.6851042289816385E-2</v>
      </c>
      <c r="I456">
        <v>-5.7934885576107487E-3</v>
      </c>
      <c r="J456">
        <v>0</v>
      </c>
      <c r="K456">
        <f>SUMPRODUCT(Sheet1!$AV$8:$BE$8,Sheet2!A456:J456)</f>
        <v>-4.7520658680299662E-3</v>
      </c>
    </row>
    <row r="457" spans="1:11" x14ac:dyDescent="0.35">
      <c r="A457">
        <v>-4.3478260869565077E-2</v>
      </c>
      <c r="B457">
        <v>-3.6954061482319389E-3</v>
      </c>
      <c r="C457">
        <v>-1.9323027718551877E-3</v>
      </c>
      <c r="D457">
        <v>-1.5846151293410493E-3</v>
      </c>
      <c r="E457">
        <v>2.7653313221833731E-3</v>
      </c>
      <c r="F457">
        <v>-8.0728272071453056E-3</v>
      </c>
      <c r="G457">
        <v>0</v>
      </c>
      <c r="H457">
        <v>0</v>
      </c>
      <c r="I457">
        <v>8.7358581400946989E-3</v>
      </c>
      <c r="J457">
        <v>-3.9548022598870136E-2</v>
      </c>
      <c r="K457">
        <f>SUMPRODUCT(Sheet1!$AV$8:$BE$8,Sheet2!A457:J457)</f>
        <v>-9.5198621724394846E-5</v>
      </c>
    </row>
    <row r="458" spans="1:11" x14ac:dyDescent="0.35">
      <c r="A458">
        <v>3.0303030303030276E-2</v>
      </c>
      <c r="B458">
        <v>-6.2591278948476159E-4</v>
      </c>
      <c r="C458">
        <v>-2.1336537819612866E-3</v>
      </c>
      <c r="D458">
        <v>-7.9439601804840443E-3</v>
      </c>
      <c r="E458">
        <v>-5.5301577938356994E-3</v>
      </c>
      <c r="F458">
        <v>1.6277056277056223E-2</v>
      </c>
      <c r="G458">
        <v>-5.0000000000000044E-3</v>
      </c>
      <c r="H458">
        <v>0</v>
      </c>
      <c r="I458">
        <v>-1.8284862043251304E-2</v>
      </c>
      <c r="J458">
        <v>-1.1764705882352899E-2</v>
      </c>
      <c r="K458">
        <f>SUMPRODUCT(Sheet1!$AV$8:$BE$8,Sheet2!A458:J458)</f>
        <v>-3.2237371889431558E-3</v>
      </c>
    </row>
    <row r="459" spans="1:11" x14ac:dyDescent="0.35">
      <c r="A459">
        <v>4.4117647058823373E-2</v>
      </c>
      <c r="B459">
        <v>-6.1857264362474851E-4</v>
      </c>
      <c r="C459">
        <v>-2.7189329793726458E-3</v>
      </c>
      <c r="D459">
        <v>-2.3955707070284493E-3</v>
      </c>
      <c r="E459">
        <v>0</v>
      </c>
      <c r="F459">
        <v>0</v>
      </c>
      <c r="G459">
        <v>5.0251256281406143E-3</v>
      </c>
      <c r="H459">
        <v>1.14907199432559E-2</v>
      </c>
      <c r="I459">
        <v>2.937125263328566E-3</v>
      </c>
      <c r="J459">
        <v>0</v>
      </c>
      <c r="K459">
        <f>SUMPRODUCT(Sheet1!$AV$8:$BE$8,Sheet2!A459:J459)</f>
        <v>1.6519516555799343E-3</v>
      </c>
    </row>
    <row r="460" spans="1:11" x14ac:dyDescent="0.35">
      <c r="A460">
        <v>0</v>
      </c>
      <c r="B460">
        <v>0</v>
      </c>
      <c r="C460">
        <v>-6.8158643267320906E-3</v>
      </c>
      <c r="D460">
        <v>2.4013232466562062E-3</v>
      </c>
      <c r="E460">
        <v>1.2500926818417746E-2</v>
      </c>
      <c r="F460">
        <v>0</v>
      </c>
      <c r="G460">
        <v>6.0000000000000053E-2</v>
      </c>
      <c r="H460">
        <v>0</v>
      </c>
      <c r="I460">
        <v>-9.6944236867069211E-4</v>
      </c>
      <c r="J460">
        <v>0</v>
      </c>
      <c r="K460">
        <f>SUMPRODUCT(Sheet1!$AV$8:$BE$8,Sheet2!A460:J460)</f>
        <v>-3.423687049372836E-3</v>
      </c>
    </row>
    <row r="461" spans="1:11" x14ac:dyDescent="0.35">
      <c r="A461">
        <v>-4.2253521126760396E-2</v>
      </c>
      <c r="B461">
        <v>0</v>
      </c>
      <c r="C461">
        <v>-3.9203501567058874E-3</v>
      </c>
      <c r="D461">
        <v>-4.7995175354101915E-3</v>
      </c>
      <c r="E461">
        <v>-1.2346583086792151E-2</v>
      </c>
      <c r="F461">
        <v>-8.0081785653433046E-3</v>
      </c>
      <c r="G461">
        <v>5.6603773584905648E-2</v>
      </c>
      <c r="H461">
        <v>-1.133680839625173E-3</v>
      </c>
      <c r="I461">
        <v>-1.0765187506317608E-2</v>
      </c>
      <c r="J461">
        <v>0</v>
      </c>
      <c r="K461">
        <f>SUMPRODUCT(Sheet1!$AV$8:$BE$8,Sheet2!A461:J461)</f>
        <v>-4.9930595374125131E-3</v>
      </c>
    </row>
    <row r="462" spans="1:11" x14ac:dyDescent="0.35">
      <c r="A462">
        <v>4.4117647058823373E-2</v>
      </c>
      <c r="B462">
        <v>0</v>
      </c>
      <c r="C462">
        <v>2.9511567286644169E-3</v>
      </c>
      <c r="D462">
        <v>-1.9290655983301486E-2</v>
      </c>
      <c r="E462">
        <v>-6.940016312004138E-3</v>
      </c>
      <c r="F462">
        <v>0</v>
      </c>
      <c r="G462">
        <v>4.4642857142855874E-3</v>
      </c>
      <c r="H462">
        <v>6.8332065757912286E-3</v>
      </c>
      <c r="I462">
        <v>3.9544270168088147E-3</v>
      </c>
      <c r="J462">
        <v>0</v>
      </c>
      <c r="K462">
        <f>SUMPRODUCT(Sheet1!$AV$8:$BE$8,Sheet2!A462:J462)</f>
        <v>3.5905680388615105E-3</v>
      </c>
    </row>
    <row r="463" spans="1:11" x14ac:dyDescent="0.35">
      <c r="A463">
        <v>2.8169014084507005E-2</v>
      </c>
      <c r="B463">
        <v>5.0158607350096585E-2</v>
      </c>
      <c r="C463">
        <v>-2.9424730295843915E-3</v>
      </c>
      <c r="D463">
        <v>-4.9175263040455164E-3</v>
      </c>
      <c r="E463">
        <v>4.1960965848850673E-3</v>
      </c>
      <c r="F463">
        <v>0</v>
      </c>
      <c r="G463">
        <v>0</v>
      </c>
      <c r="H463">
        <v>-2.2661506815885302E-3</v>
      </c>
      <c r="I463">
        <v>2.9515938606847758E-3</v>
      </c>
      <c r="J463">
        <v>0</v>
      </c>
      <c r="K463">
        <f>SUMPRODUCT(Sheet1!$AV$8:$BE$8,Sheet2!A463:J463)</f>
        <v>-6.5805140434288631E-4</v>
      </c>
    </row>
    <row r="464" spans="1:11" x14ac:dyDescent="0.35">
      <c r="A464">
        <v>0</v>
      </c>
      <c r="B464">
        <v>-4.1257468706945577E-3</v>
      </c>
      <c r="C464">
        <v>-7.8742720434862301E-3</v>
      </c>
      <c r="D464">
        <v>0</v>
      </c>
      <c r="E464">
        <v>2.7807518439209034E-3</v>
      </c>
      <c r="F464">
        <v>-8.0728272071453056E-3</v>
      </c>
      <c r="G464">
        <v>8.8888888888889461E-3</v>
      </c>
      <c r="H464">
        <v>1.1298250518323449E-3</v>
      </c>
      <c r="I464">
        <v>-2.9429075927015491E-3</v>
      </c>
      <c r="J464">
        <v>0</v>
      </c>
      <c r="K464">
        <f>SUMPRODUCT(Sheet1!$AV$8:$BE$8,Sheet2!A464:J464)</f>
        <v>-4.898661289139029E-3</v>
      </c>
    </row>
    <row r="465" spans="1:11" x14ac:dyDescent="0.35">
      <c r="A465">
        <v>-1.3698630136986356E-2</v>
      </c>
      <c r="B465">
        <v>-1.0068578784224735E-2</v>
      </c>
      <c r="C465">
        <v>-3.9697511523761886E-3</v>
      </c>
      <c r="D465">
        <v>-8.2363797876653377E-3</v>
      </c>
      <c r="E465">
        <v>0</v>
      </c>
      <c r="F465">
        <v>6.4069264069264165E-3</v>
      </c>
      <c r="G465">
        <v>4.405286343612147E-3</v>
      </c>
      <c r="H465">
        <v>-1.1285499877837779E-3</v>
      </c>
      <c r="I465">
        <v>-2.9515938606847758E-3</v>
      </c>
      <c r="J465">
        <v>-4.1666666666666519E-2</v>
      </c>
      <c r="K465">
        <f>SUMPRODUCT(Sheet1!$AV$8:$BE$8,Sheet2!A465:J465)</f>
        <v>-2.4324498225987042E-3</v>
      </c>
    </row>
    <row r="466" spans="1:11" x14ac:dyDescent="0.35">
      <c r="A466">
        <v>-2.777777777777779E-2</v>
      </c>
      <c r="B466">
        <v>-1.1957074103966514E-3</v>
      </c>
      <c r="C466">
        <v>-9.9364833632509253E-4</v>
      </c>
      <c r="D466">
        <v>4.9828686714088466E-3</v>
      </c>
      <c r="E466">
        <v>-1.3791058055905303E-3</v>
      </c>
      <c r="F466">
        <v>-3.0970406056436417E-3</v>
      </c>
      <c r="G466">
        <v>8.7719298245614308E-3</v>
      </c>
      <c r="H466">
        <v>-1.1298250518322339E-3</v>
      </c>
      <c r="I466">
        <v>-1.1861742308242107E-2</v>
      </c>
      <c r="J466">
        <v>0</v>
      </c>
      <c r="K466">
        <f>SUMPRODUCT(Sheet1!$AV$8:$BE$8,Sheet2!A466:J466)</f>
        <v>-3.2863948584612715E-3</v>
      </c>
    </row>
    <row r="467" spans="1:11" x14ac:dyDescent="0.35">
      <c r="A467">
        <v>1.4285714285714235E-2</v>
      </c>
      <c r="B467">
        <v>-2.9928470954417863E-3</v>
      </c>
      <c r="C467">
        <v>-1.9942190178924735E-2</v>
      </c>
      <c r="D467">
        <v>0</v>
      </c>
      <c r="E467">
        <v>0</v>
      </c>
      <c r="F467">
        <v>-1.3117017604418302E-2</v>
      </c>
      <c r="G467">
        <v>0</v>
      </c>
      <c r="H467">
        <v>9.0721457140525708E-3</v>
      </c>
      <c r="I467">
        <v>0</v>
      </c>
      <c r="J467">
        <v>-4.3478260869565299E-2</v>
      </c>
      <c r="K467">
        <f>SUMPRODUCT(Sheet1!$AV$8:$BE$8,Sheet2!A467:J467)</f>
        <v>-9.1039140638973781E-3</v>
      </c>
    </row>
    <row r="468" spans="1:11" x14ac:dyDescent="0.35">
      <c r="A468">
        <v>0</v>
      </c>
      <c r="B468">
        <v>-3.0018311169813794E-3</v>
      </c>
      <c r="C468">
        <v>3.8660588627785764E-3</v>
      </c>
      <c r="D468">
        <v>-8.2636046622305281E-3</v>
      </c>
      <c r="E468">
        <v>1.529506103174838E-2</v>
      </c>
      <c r="F468">
        <v>1.4865337530605149E-2</v>
      </c>
      <c r="G468">
        <v>-4.3478260869563856E-3</v>
      </c>
      <c r="H468">
        <v>-1.1324897440340154E-3</v>
      </c>
      <c r="I468">
        <v>-2.0041322314048315E-3</v>
      </c>
      <c r="J468">
        <v>-3.8961038961038974E-2</v>
      </c>
      <c r="K468">
        <f>SUMPRODUCT(Sheet1!$AV$8:$BE$8,Sheet2!A468:J468)</f>
        <v>2.5141590504438554E-3</v>
      </c>
    </row>
    <row r="469" spans="1:11" x14ac:dyDescent="0.35">
      <c r="A469">
        <v>-2.8169014084507116E-2</v>
      </c>
      <c r="B469">
        <v>9.7100532923866112E-4</v>
      </c>
      <c r="C469">
        <v>1.9255850064093138E-2</v>
      </c>
      <c r="D469">
        <v>-8.3760862736892427E-4</v>
      </c>
      <c r="E469">
        <v>-8.2197390744750409E-3</v>
      </c>
      <c r="F469">
        <v>1.1373427537480607E-2</v>
      </c>
      <c r="G469">
        <v>0</v>
      </c>
      <c r="H469">
        <v>0</v>
      </c>
      <c r="I469">
        <v>-8.0119247251724257E-3</v>
      </c>
      <c r="J469">
        <v>4.0540540540540571E-2</v>
      </c>
      <c r="K469">
        <f>SUMPRODUCT(Sheet1!$AV$8:$BE$8,Sheet2!A469:J469)</f>
        <v>8.9063001322698173E-3</v>
      </c>
    </row>
    <row r="470" spans="1:11" x14ac:dyDescent="0.35">
      <c r="A470">
        <v>0</v>
      </c>
      <c r="B470">
        <v>-3.5117798783284027E-3</v>
      </c>
      <c r="C470">
        <v>-1.9892154928651262E-3</v>
      </c>
      <c r="D470">
        <v>-9.1690244158020295E-3</v>
      </c>
      <c r="E470">
        <v>0</v>
      </c>
      <c r="F470">
        <v>-4.7708297836087654E-3</v>
      </c>
      <c r="G470">
        <v>-8.733624454148492E-3</v>
      </c>
      <c r="H470">
        <v>-1.122204611451183E-3</v>
      </c>
      <c r="I470">
        <v>7.0748810418232999E-3</v>
      </c>
      <c r="J470">
        <v>-3.8961038961038974E-2</v>
      </c>
      <c r="K470">
        <f>SUMPRODUCT(Sheet1!$AV$8:$BE$8,Sheet2!A470:J470)</f>
        <v>-4.1062182580425263E-4</v>
      </c>
    </row>
    <row r="471" spans="1:11" x14ac:dyDescent="0.35">
      <c r="A471">
        <v>2.898550724637694E-2</v>
      </c>
      <c r="B471">
        <v>-1.4081531008044434E-2</v>
      </c>
      <c r="C471">
        <v>-1.5341448816995285E-2</v>
      </c>
      <c r="D471">
        <v>-6.7332945551971113E-3</v>
      </c>
      <c r="E471">
        <v>-5.5301577938356994E-3</v>
      </c>
      <c r="F471">
        <v>-4.9649032699879969E-3</v>
      </c>
      <c r="G471">
        <v>0</v>
      </c>
      <c r="H471">
        <v>-2.5897614083854603E-2</v>
      </c>
      <c r="I471">
        <v>3.0048699616620489E-3</v>
      </c>
      <c r="J471">
        <v>-4.0540540540540571E-2</v>
      </c>
      <c r="K471">
        <f>SUMPRODUCT(Sheet1!$AV$8:$BE$8,Sheet2!A471:J471)</f>
        <v>-1.314367126137435E-2</v>
      </c>
    </row>
    <row r="472" spans="1:11" x14ac:dyDescent="0.35">
      <c r="A472">
        <v>1.4084507042253502E-2</v>
      </c>
      <c r="B472">
        <v>-1.5002143163309056E-2</v>
      </c>
      <c r="C472">
        <v>9.7113095072132172E-3</v>
      </c>
      <c r="D472">
        <v>1.5252613085836808E-2</v>
      </c>
      <c r="E472">
        <v>0</v>
      </c>
      <c r="F472">
        <v>0</v>
      </c>
      <c r="G472">
        <v>0</v>
      </c>
      <c r="H472">
        <v>1.5029011699800199E-2</v>
      </c>
      <c r="I472">
        <v>1.2004132231405062E-2</v>
      </c>
      <c r="J472">
        <v>4.2253521126760507E-2</v>
      </c>
      <c r="K472">
        <f>SUMPRODUCT(Sheet1!$AV$8:$BE$8,Sheet2!A472:J472)</f>
        <v>1.0125599911054614E-2</v>
      </c>
    </row>
    <row r="473" spans="1:11" x14ac:dyDescent="0.35">
      <c r="A473">
        <v>-1.3888888888888951E-2</v>
      </c>
      <c r="B473">
        <v>-2.0304923535994002E-2</v>
      </c>
      <c r="C473">
        <v>-3.0043878421702752E-3</v>
      </c>
      <c r="D473">
        <v>1.8362013965967927E-2</v>
      </c>
      <c r="E473">
        <v>-1.3791058055905303E-3</v>
      </c>
      <c r="F473">
        <v>1.7205781142464183E-3</v>
      </c>
      <c r="G473">
        <v>-8.8105726872246271E-3</v>
      </c>
      <c r="H473">
        <v>-3.4204854277949392E-3</v>
      </c>
      <c r="I473">
        <v>1.9701516914720774E-3</v>
      </c>
      <c r="J473">
        <v>4.0540540540540571E-2</v>
      </c>
      <c r="K473">
        <f>SUMPRODUCT(Sheet1!$AV$8:$BE$8,Sheet2!A473:J473)</f>
        <v>-1.8386513095986527E-3</v>
      </c>
    </row>
    <row r="474" spans="1:11" x14ac:dyDescent="0.35">
      <c r="A474">
        <v>-2.8169014084507116E-2</v>
      </c>
      <c r="B474">
        <v>2.9664882014672767E-3</v>
      </c>
      <c r="C474">
        <v>-1.3064708668352409E-2</v>
      </c>
      <c r="D474">
        <v>0</v>
      </c>
      <c r="E474">
        <v>-5.5685901814618299E-3</v>
      </c>
      <c r="F474">
        <v>0</v>
      </c>
      <c r="G474">
        <v>0</v>
      </c>
      <c r="H474">
        <v>2.2920682683718052E-3</v>
      </c>
      <c r="I474">
        <v>-1.9662778258875413E-3</v>
      </c>
      <c r="J474">
        <v>0</v>
      </c>
      <c r="K474">
        <f>SUMPRODUCT(Sheet1!$AV$8:$BE$8,Sheet2!A474:J474)</f>
        <v>-6.2759903047871308E-3</v>
      </c>
    </row>
    <row r="475" spans="1:11" x14ac:dyDescent="0.35">
      <c r="A475">
        <v>0</v>
      </c>
      <c r="B475">
        <v>4.0585532507176669E-2</v>
      </c>
      <c r="C475">
        <v>1.3237654771392826E-2</v>
      </c>
      <c r="D475">
        <v>1.3937282229965042E-2</v>
      </c>
      <c r="E475">
        <v>0</v>
      </c>
      <c r="F475">
        <v>-4.8093438680866241E-3</v>
      </c>
      <c r="G475">
        <v>0</v>
      </c>
      <c r="H475">
        <v>-1.938525407231062E-2</v>
      </c>
      <c r="I475">
        <v>-1.9803597313244881E-3</v>
      </c>
      <c r="J475">
        <v>-3.8961038961038974E-2</v>
      </c>
      <c r="K475">
        <f>SUMPRODUCT(Sheet1!$AV$8:$BE$8,Sheet2!A475:J475)</f>
        <v>2.0170073835158058E-3</v>
      </c>
    </row>
    <row r="476" spans="1:11" x14ac:dyDescent="0.35">
      <c r="A476">
        <v>-4.3478260869565077E-2</v>
      </c>
      <c r="B476">
        <v>-2.2693245985362487E-2</v>
      </c>
      <c r="C476">
        <v>-1.0054036986668624E-3</v>
      </c>
      <c r="D476">
        <v>6.4665752543462407E-3</v>
      </c>
      <c r="E476">
        <v>-6.9885167321218633E-3</v>
      </c>
      <c r="F476">
        <v>-3.2792544011044367E-3</v>
      </c>
      <c r="G476">
        <v>4.444444444444251E-3</v>
      </c>
      <c r="H476">
        <v>-1.1624291420507693E-2</v>
      </c>
      <c r="I476">
        <v>-9.9214466901242915E-4</v>
      </c>
      <c r="J476">
        <v>-3.3783783783783772E-2</v>
      </c>
      <c r="K476">
        <f>SUMPRODUCT(Sheet1!$AV$8:$BE$8,Sheet2!A476:J476)</f>
        <v>-3.8544630130010844E-3</v>
      </c>
    </row>
    <row r="477" spans="1:11" x14ac:dyDescent="0.35">
      <c r="A477">
        <v>3.0303030303030276E-2</v>
      </c>
      <c r="B477">
        <v>-6.5321357751080278E-3</v>
      </c>
      <c r="C477">
        <v>-4.225281824079663E-3</v>
      </c>
      <c r="D477">
        <v>7.232360608863786E-3</v>
      </c>
      <c r="E477">
        <v>5.6241447239808728E-3</v>
      </c>
      <c r="F477">
        <v>4.8484848484848797E-3</v>
      </c>
      <c r="G477">
        <v>-1.327433628318575E-2</v>
      </c>
      <c r="H477">
        <v>2.8228831401398757E-2</v>
      </c>
      <c r="I477">
        <v>-3.9622815369965148E-3</v>
      </c>
      <c r="J477">
        <v>4.1958041958042092E-2</v>
      </c>
      <c r="K477">
        <f>SUMPRODUCT(Sheet1!$AV$8:$BE$8,Sheet2!A477:J477)</f>
        <v>3.6166869357239532E-3</v>
      </c>
    </row>
    <row r="478" spans="1:11" x14ac:dyDescent="0.35">
      <c r="A478">
        <v>2.9411764705882248E-2</v>
      </c>
      <c r="B478">
        <v>0</v>
      </c>
      <c r="C478">
        <v>-7.879452726067937E-3</v>
      </c>
      <c r="D478">
        <v>-1.1171411872756165E-2</v>
      </c>
      <c r="E478">
        <v>1.4056495147518611E-3</v>
      </c>
      <c r="F478">
        <v>-3.2741685335171411E-3</v>
      </c>
      <c r="G478">
        <v>0</v>
      </c>
      <c r="H478">
        <v>-1.6015721531201677E-2</v>
      </c>
      <c r="I478">
        <v>1.994161424283547E-3</v>
      </c>
      <c r="J478">
        <v>-4.0268456375838979E-2</v>
      </c>
      <c r="K478">
        <f>SUMPRODUCT(Sheet1!$AV$8:$BE$8,Sheet2!A478:J478)</f>
        <v>-7.2232220830514187E-3</v>
      </c>
    </row>
    <row r="479" spans="1:11" x14ac:dyDescent="0.35">
      <c r="A479">
        <v>0</v>
      </c>
      <c r="B479">
        <v>6.5750851238699504E-3</v>
      </c>
      <c r="C479">
        <v>4.0692387997709467E-4</v>
      </c>
      <c r="D479">
        <v>-6.4509592002160998E-3</v>
      </c>
      <c r="E479">
        <v>-6.9885167321218633E-3</v>
      </c>
      <c r="F479">
        <v>-9.6818810511756226E-3</v>
      </c>
      <c r="G479">
        <v>-8.9686098654708779E-3</v>
      </c>
      <c r="H479">
        <v>-1.1600373125404406E-3</v>
      </c>
      <c r="I479">
        <v>-3.9803853177127202E-3</v>
      </c>
      <c r="J479">
        <v>4.1958041958042092E-2</v>
      </c>
      <c r="K479">
        <f>SUMPRODUCT(Sheet1!$AV$8:$BE$8,Sheet2!A479:J479)</f>
        <v>-1.4957776489714814E-3</v>
      </c>
    </row>
    <row r="480" spans="1:11" x14ac:dyDescent="0.35">
      <c r="A480">
        <v>0</v>
      </c>
      <c r="B480">
        <v>0</v>
      </c>
      <c r="C480">
        <v>7.7340193055932538E-3</v>
      </c>
      <c r="D480">
        <v>-5.6769894958698108E-3</v>
      </c>
      <c r="E480">
        <v>7.0376998150347703E-3</v>
      </c>
      <c r="F480">
        <v>-1.6410614525139589E-2</v>
      </c>
      <c r="G480">
        <v>4.5248868778282603E-3</v>
      </c>
      <c r="H480">
        <v>1.1613845619664609E-3</v>
      </c>
      <c r="I480">
        <v>5.9841384282623977E-3</v>
      </c>
      <c r="J480">
        <v>4.0268456375838868E-2</v>
      </c>
      <c r="K480">
        <f>SUMPRODUCT(Sheet1!$AV$8:$BE$8,Sheet2!A480:J480)</f>
        <v>3.9146172314010377E-3</v>
      </c>
    </row>
    <row r="481" spans="1:11" x14ac:dyDescent="0.35">
      <c r="A481">
        <v>-1.4285714285714346E-2</v>
      </c>
      <c r="B481">
        <v>0</v>
      </c>
      <c r="C481">
        <v>2.0209668349877585E-3</v>
      </c>
      <c r="D481">
        <v>-4.8974358974358534E-3</v>
      </c>
      <c r="E481">
        <v>0</v>
      </c>
      <c r="F481">
        <v>2.8399006034788732E-2</v>
      </c>
      <c r="G481">
        <v>4.5045045045044585E-3</v>
      </c>
      <c r="H481">
        <v>-1.1624291420507693E-2</v>
      </c>
      <c r="I481">
        <v>-9.9312999764500365E-4</v>
      </c>
      <c r="J481">
        <v>1.9354838709677358E-2</v>
      </c>
      <c r="K481">
        <f>SUMPRODUCT(Sheet1!$AV$8:$BE$8,Sheet2!A481:J481)</f>
        <v>8.3130988344849439E-4</v>
      </c>
    </row>
    <row r="482" spans="1:11" x14ac:dyDescent="0.35">
      <c r="A482">
        <v>0</v>
      </c>
      <c r="B482">
        <v>-7.2320074652987287E-4</v>
      </c>
      <c r="C482">
        <v>3.0253361484608998E-3</v>
      </c>
      <c r="D482">
        <v>-1.5589167461155906E-2</v>
      </c>
      <c r="E482">
        <v>0</v>
      </c>
      <c r="F482">
        <v>-1.7259233690023468E-3</v>
      </c>
      <c r="G482">
        <v>4.484304932735439E-3</v>
      </c>
      <c r="H482">
        <v>5.8805023836605574E-3</v>
      </c>
      <c r="I482">
        <v>-9.8386865353483621E-4</v>
      </c>
      <c r="J482">
        <v>-3.1645569620253222E-2</v>
      </c>
      <c r="K482">
        <f>SUMPRODUCT(Sheet1!$AV$8:$BE$8,Sheet2!A482:J482)</f>
        <v>2.2918579779612086E-3</v>
      </c>
    </row>
    <row r="483" spans="1:11" x14ac:dyDescent="0.35">
      <c r="A483">
        <v>-2.8985507246376718E-2</v>
      </c>
      <c r="B483">
        <v>1.4474482887427698E-3</v>
      </c>
      <c r="C483">
        <v>5.0242487861758001E-3</v>
      </c>
      <c r="D483">
        <v>1.4998429483823683E-2</v>
      </c>
      <c r="E483">
        <v>-6.9885167321218633E-3</v>
      </c>
      <c r="F483">
        <v>6.5698478561548868E-3</v>
      </c>
      <c r="G483">
        <v>-8.9285714285713969E-3</v>
      </c>
      <c r="H483">
        <v>2.3336380695759829E-3</v>
      </c>
      <c r="I483">
        <v>-2.9852889882845401E-3</v>
      </c>
      <c r="J483">
        <v>3.9215686274509887E-2</v>
      </c>
      <c r="K483">
        <f>SUMPRODUCT(Sheet1!$AV$8:$BE$8,Sheet2!A483:J483)</f>
        <v>3.0086435444589854E-3</v>
      </c>
    </row>
    <row r="484" spans="1:11" x14ac:dyDescent="0.35">
      <c r="A484">
        <v>1.4925373134328401E-2</v>
      </c>
      <c r="B484">
        <v>-7.2500932487878922E-3</v>
      </c>
      <c r="C484">
        <v>-3.8003323568397418E-3</v>
      </c>
      <c r="D484">
        <v>-1.6418667423129252E-3</v>
      </c>
      <c r="E484">
        <v>5.6241447239808728E-3</v>
      </c>
      <c r="F484">
        <v>1.6145654414290611E-2</v>
      </c>
      <c r="G484">
        <v>4.5045045045044585E-3</v>
      </c>
      <c r="H484">
        <v>-2.3282048820295609E-3</v>
      </c>
      <c r="I484">
        <v>9.9807587434530554E-4</v>
      </c>
      <c r="J484">
        <v>-4.4025157232704393E-2</v>
      </c>
      <c r="K484">
        <f>SUMPRODUCT(Sheet1!$AV$8:$BE$8,Sheet2!A484:J484)</f>
        <v>-9.3839349733720314E-4</v>
      </c>
    </row>
    <row r="485" spans="1:11" x14ac:dyDescent="0.35">
      <c r="A485">
        <v>0</v>
      </c>
      <c r="B485">
        <v>8.0388243121600755E-3</v>
      </c>
      <c r="C485">
        <v>3.8148299786433526E-3</v>
      </c>
      <c r="D485">
        <v>-1.3156535216118592E-2</v>
      </c>
      <c r="E485">
        <v>-5.5926906225233219E-3</v>
      </c>
      <c r="F485">
        <v>-1.6903313049358992E-3</v>
      </c>
      <c r="G485">
        <v>0</v>
      </c>
      <c r="H485">
        <v>0</v>
      </c>
      <c r="I485">
        <v>4.9751243781093191E-3</v>
      </c>
      <c r="J485">
        <v>-1.9736842105263164E-2</v>
      </c>
      <c r="K485">
        <f>SUMPRODUCT(Sheet1!$AV$8:$BE$8,Sheet2!A485:J485)</f>
        <v>2.6851655101745846E-3</v>
      </c>
    </row>
    <row r="486" spans="1:11" x14ac:dyDescent="0.35">
      <c r="A486">
        <v>-4.4117647058823595E-2</v>
      </c>
      <c r="B486">
        <v>1.4489602584212058E-2</v>
      </c>
      <c r="C486">
        <v>-3.9987543508155365E-3</v>
      </c>
      <c r="D486">
        <v>1.4169545946323137E-2</v>
      </c>
      <c r="E486">
        <v>2.8165837080256884E-2</v>
      </c>
      <c r="F486">
        <v>0</v>
      </c>
      <c r="G486">
        <v>0</v>
      </c>
      <c r="H486">
        <v>-5.846124236154604E-3</v>
      </c>
      <c r="I486">
        <v>-1.9842893380246363E-3</v>
      </c>
      <c r="J486">
        <v>4.0268456375838868E-2</v>
      </c>
      <c r="K486">
        <f>SUMPRODUCT(Sheet1!$AV$8:$BE$8,Sheet2!A486:J486)</f>
        <v>-3.0667254220774153E-3</v>
      </c>
    </row>
    <row r="487" spans="1:11" x14ac:dyDescent="0.35">
      <c r="A487">
        <v>1.538461538461533E-2</v>
      </c>
      <c r="B487">
        <v>-7.1413263119221027E-3</v>
      </c>
      <c r="C487">
        <v>2.0079576771109053E-2</v>
      </c>
      <c r="D487">
        <v>-5.7555318489969087E-3</v>
      </c>
      <c r="E487">
        <v>-8.2197390744750409E-3</v>
      </c>
      <c r="F487">
        <v>4.7409414155097362E-3</v>
      </c>
      <c r="G487">
        <v>0</v>
      </c>
      <c r="H487">
        <v>-1.1773104566464299E-2</v>
      </c>
      <c r="I487">
        <v>-2.9721032242195911E-3</v>
      </c>
      <c r="J487">
        <v>0</v>
      </c>
      <c r="K487">
        <f>SUMPRODUCT(Sheet1!$AV$8:$BE$8,Sheet2!A487:J487)</f>
        <v>7.0068231911810091E-3</v>
      </c>
    </row>
    <row r="488" spans="1:11" x14ac:dyDescent="0.35">
      <c r="A488">
        <v>3.0303030303030276E-2</v>
      </c>
      <c r="B488">
        <v>-7.1926916702000909E-3</v>
      </c>
      <c r="C488">
        <v>-1.9800959668425655E-4</v>
      </c>
      <c r="D488">
        <v>1.1569046527122984E-2</v>
      </c>
      <c r="E488">
        <v>-1.3862262203213627E-3</v>
      </c>
      <c r="F488">
        <v>-6.2352544657903186E-3</v>
      </c>
      <c r="G488">
        <v>-4.4843049327353279E-3</v>
      </c>
      <c r="H488">
        <v>2.2626816695848095E-2</v>
      </c>
      <c r="I488">
        <v>9.9708071214155147E-4</v>
      </c>
      <c r="J488">
        <v>1.2903225806451646E-2</v>
      </c>
      <c r="K488">
        <f>SUMPRODUCT(Sheet1!$AV$8:$BE$8,Sheet2!A488:J488)</f>
        <v>4.2640668756701939E-3</v>
      </c>
    </row>
    <row r="489" spans="1:11" x14ac:dyDescent="0.35">
      <c r="A489">
        <v>0</v>
      </c>
      <c r="B489">
        <v>-3.6262831762202685E-3</v>
      </c>
      <c r="C489">
        <v>-9.2540342271755227E-3</v>
      </c>
      <c r="D489">
        <v>-4.0802709915829238E-3</v>
      </c>
      <c r="E489">
        <v>1.3881505109574199E-3</v>
      </c>
      <c r="F489">
        <v>-1.6957775139903042E-3</v>
      </c>
      <c r="G489">
        <v>0</v>
      </c>
      <c r="H489">
        <v>0</v>
      </c>
      <c r="I489">
        <v>-5.9662562512193817E-3</v>
      </c>
      <c r="J489">
        <v>1.9108280254777066E-2</v>
      </c>
      <c r="K489">
        <f>SUMPRODUCT(Sheet1!$AV$8:$BE$8,Sheet2!A489:J489)</f>
        <v>-5.7967589769155146E-3</v>
      </c>
    </row>
    <row r="490" spans="1:11" x14ac:dyDescent="0.35">
      <c r="A490">
        <v>0</v>
      </c>
      <c r="B490">
        <v>0</v>
      </c>
      <c r="C490">
        <v>1.3316538192970739E-2</v>
      </c>
      <c r="D490">
        <v>-8.2455100620981714E-4</v>
      </c>
      <c r="E490">
        <v>-1.3862262203213627E-3</v>
      </c>
      <c r="F490">
        <v>-1.5797519959232176E-2</v>
      </c>
      <c r="G490">
        <v>4.5045045045044585E-3</v>
      </c>
      <c r="H490">
        <v>-2.3347421606543239E-3</v>
      </c>
      <c r="I490">
        <v>2.0041322314050536E-3</v>
      </c>
      <c r="J490">
        <v>-4.3750000000000067E-2</v>
      </c>
      <c r="K490">
        <f>SUMPRODUCT(Sheet1!$AV$8:$BE$8,Sheet2!A490:J490)</f>
        <v>4.9164281369519997E-3</v>
      </c>
    </row>
    <row r="491" spans="1:11" x14ac:dyDescent="0.35">
      <c r="A491">
        <v>-2.9411764705882359E-2</v>
      </c>
      <c r="B491">
        <v>0</v>
      </c>
      <c r="C491">
        <v>-9.2177231061917331E-3</v>
      </c>
      <c r="D491">
        <v>-1.4776800680815994E-2</v>
      </c>
      <c r="E491">
        <v>1.3881505109574199E-3</v>
      </c>
      <c r="F491">
        <v>3.1066620642044018E-3</v>
      </c>
      <c r="G491">
        <v>-3.5874439461883401E-2</v>
      </c>
      <c r="H491">
        <v>-1.1641024410146139E-3</v>
      </c>
      <c r="I491">
        <v>-1.000061859496526E-3</v>
      </c>
      <c r="J491">
        <v>-1.3071895424836666E-2</v>
      </c>
      <c r="K491">
        <f>SUMPRODUCT(Sheet1!$AV$8:$BE$8,Sheet2!A491:J491)</f>
        <v>-4.6967064321204446E-3</v>
      </c>
    </row>
    <row r="492" spans="1:11" x14ac:dyDescent="0.35">
      <c r="A492">
        <v>1.5151515151515138E-2</v>
      </c>
      <c r="B492">
        <v>1.4542337217005041E-2</v>
      </c>
      <c r="C492">
        <v>4.5521864950890389E-3</v>
      </c>
      <c r="D492">
        <v>4.1705929571074218E-3</v>
      </c>
      <c r="E492">
        <v>-1.5189500073735429E-2</v>
      </c>
      <c r="F492">
        <v>0</v>
      </c>
      <c r="G492">
        <v>1.8604651162790642E-2</v>
      </c>
      <c r="H492">
        <v>4.67385166228107E-3</v>
      </c>
      <c r="I492">
        <v>0</v>
      </c>
      <c r="J492">
        <v>1.3245033112582849E-2</v>
      </c>
      <c r="K492">
        <f>SUMPRODUCT(Sheet1!$AV$8:$BE$8,Sheet2!A492:J492)</f>
        <v>3.3255144828136908E-3</v>
      </c>
    </row>
    <row r="493" spans="1:11" x14ac:dyDescent="0.35">
      <c r="A493">
        <v>-1.4925373134328401E-2</v>
      </c>
      <c r="B493">
        <v>8.6034060269932766E-3</v>
      </c>
      <c r="C493">
        <v>4.5315579979692266E-3</v>
      </c>
      <c r="D493">
        <v>0</v>
      </c>
      <c r="E493">
        <v>9.8083258460617273E-3</v>
      </c>
      <c r="F493">
        <v>0</v>
      </c>
      <c r="G493">
        <v>4.5662100456622667E-3</v>
      </c>
      <c r="H493">
        <v>3.3712836948982305E-2</v>
      </c>
      <c r="I493">
        <v>5.9960576694839673E-3</v>
      </c>
      <c r="J493">
        <v>-6.5359477124182774E-3</v>
      </c>
      <c r="K493">
        <f>SUMPRODUCT(Sheet1!$AV$8:$BE$8,Sheet2!A493:J493)</f>
        <v>1.0647664142036785E-2</v>
      </c>
    </row>
    <row r="494" spans="1:11" x14ac:dyDescent="0.35">
      <c r="A494">
        <v>-1.5151515151515138E-2</v>
      </c>
      <c r="B494">
        <v>-1.9184926238185573E-2</v>
      </c>
      <c r="C494">
        <v>3.9191837286289832E-4</v>
      </c>
      <c r="D494">
        <v>-4.1532713528543708E-3</v>
      </c>
      <c r="E494">
        <v>0</v>
      </c>
      <c r="F494">
        <v>-4.8176187198899489E-3</v>
      </c>
      <c r="G494">
        <v>-1.8181818181818188E-2</v>
      </c>
      <c r="H494">
        <v>-1.012297974247145E-2</v>
      </c>
      <c r="I494">
        <v>1.2905476107429426E-2</v>
      </c>
      <c r="J494">
        <v>0</v>
      </c>
      <c r="K494">
        <f>SUMPRODUCT(Sheet1!$AV$8:$BE$8,Sheet2!A494:J494)</f>
        <v>-1.4228821715803284E-4</v>
      </c>
    </row>
    <row r="495" spans="1:11" x14ac:dyDescent="0.35">
      <c r="A495">
        <v>3.0769230769230882E-2</v>
      </c>
      <c r="B495">
        <v>-2.904132565110018E-3</v>
      </c>
      <c r="C495">
        <v>-1.9607154436399044E-2</v>
      </c>
      <c r="D495">
        <v>0</v>
      </c>
      <c r="E495">
        <v>0</v>
      </c>
      <c r="F495">
        <v>1.7289073305670755E-3</v>
      </c>
      <c r="G495">
        <v>9.2592592592593004E-3</v>
      </c>
      <c r="H495">
        <v>1.1371870690259467E-2</v>
      </c>
      <c r="I495">
        <v>-8.8215038081347341E-3</v>
      </c>
      <c r="J495">
        <v>6.5789473684210176E-3</v>
      </c>
      <c r="K495">
        <f>SUMPRODUCT(Sheet1!$AV$8:$BE$8,Sheet2!A495:J495)</f>
        <v>-8.7385569130774363E-3</v>
      </c>
    </row>
    <row r="496" spans="1:11" x14ac:dyDescent="0.35">
      <c r="A496">
        <v>0</v>
      </c>
      <c r="B496">
        <v>1.9624945486262479E-2</v>
      </c>
      <c r="C496">
        <v>1.8001284231238923E-2</v>
      </c>
      <c r="D496">
        <v>0</v>
      </c>
      <c r="E496">
        <v>-2.083487803069628E-2</v>
      </c>
      <c r="F496">
        <v>-1.7259233690023468E-3</v>
      </c>
      <c r="G496">
        <v>-9.1743119266055606E-3</v>
      </c>
      <c r="H496">
        <v>-1.124400531576808E-2</v>
      </c>
      <c r="I496">
        <v>0</v>
      </c>
      <c r="J496">
        <v>3.2679738562091609E-2</v>
      </c>
      <c r="K496">
        <f>SUMPRODUCT(Sheet1!$AV$8:$BE$8,Sheet2!A496:J496)</f>
        <v>6.462156377560058E-3</v>
      </c>
    </row>
    <row r="497" spans="1:11" x14ac:dyDescent="0.35">
      <c r="A497">
        <v>-1.4925373134328401E-2</v>
      </c>
      <c r="B497">
        <v>-3.9204753757790645E-2</v>
      </c>
      <c r="C497">
        <v>-1.9762043341142732E-4</v>
      </c>
      <c r="D497">
        <v>-1.1665445154085075E-2</v>
      </c>
      <c r="E497">
        <v>0</v>
      </c>
      <c r="F497">
        <v>-1.5560165975102569E-3</v>
      </c>
      <c r="G497">
        <v>4.6296296296295392E-3</v>
      </c>
      <c r="H497">
        <v>-5.6800916294617032E-3</v>
      </c>
      <c r="I497">
        <v>-9.911612936187586E-4</v>
      </c>
      <c r="J497">
        <v>0</v>
      </c>
      <c r="K497">
        <f>SUMPRODUCT(Sheet1!$AV$8:$BE$8,Sheet2!A497:J497)</f>
        <v>-2.1366221723822065E-3</v>
      </c>
    </row>
    <row r="498" spans="1:11" x14ac:dyDescent="0.35">
      <c r="A498">
        <v>-3.0303030303030276E-2</v>
      </c>
      <c r="B498">
        <v>3.4866250645892105E-2</v>
      </c>
      <c r="C498">
        <v>0</v>
      </c>
      <c r="D498">
        <v>3.3723239902891944E-3</v>
      </c>
      <c r="E498">
        <v>0</v>
      </c>
      <c r="F498">
        <v>0</v>
      </c>
      <c r="G498">
        <v>-9.2165898617511122E-3</v>
      </c>
      <c r="H498">
        <v>0</v>
      </c>
      <c r="I498">
        <v>0</v>
      </c>
      <c r="J498">
        <v>0</v>
      </c>
      <c r="K498">
        <f>SUMPRODUCT(Sheet1!$AV$8:$BE$8,Sheet2!A498:J498)</f>
        <v>4.6022813686599149E-4</v>
      </c>
    </row>
    <row r="499" spans="1:11" x14ac:dyDescent="0.35">
      <c r="A499">
        <v>0</v>
      </c>
      <c r="B499">
        <v>-3.2255090988700386E-2</v>
      </c>
      <c r="C499">
        <v>-5.6996333822518785E-3</v>
      </c>
      <c r="D499">
        <v>-8.4464661217531489E-4</v>
      </c>
      <c r="E499">
        <v>-1.4084507042253502E-3</v>
      </c>
      <c r="F499">
        <v>0</v>
      </c>
      <c r="G499">
        <v>0</v>
      </c>
      <c r="H499">
        <v>0</v>
      </c>
      <c r="I499">
        <v>-9.9214466901242915E-4</v>
      </c>
      <c r="J499">
        <v>0</v>
      </c>
      <c r="K499">
        <f>SUMPRODUCT(Sheet1!$AV$8:$BE$8,Sheet2!A499:J499)</f>
        <v>-3.4101902338545972E-3</v>
      </c>
    </row>
    <row r="500" spans="1:11" x14ac:dyDescent="0.35">
      <c r="A500">
        <v>0</v>
      </c>
      <c r="B500">
        <v>1.1850899334825638E-2</v>
      </c>
      <c r="C500">
        <v>0</v>
      </c>
      <c r="D500">
        <v>-8.3655480314537289E-4</v>
      </c>
      <c r="E500">
        <v>-9.9488906077013217E-3</v>
      </c>
      <c r="F500">
        <v>0</v>
      </c>
      <c r="G500">
        <v>0</v>
      </c>
      <c r="H500">
        <v>0</v>
      </c>
      <c r="I500">
        <v>0</v>
      </c>
      <c r="J500">
        <v>0</v>
      </c>
      <c r="K500">
        <f>SUMPRODUCT(Sheet1!$AV$8:$BE$8,Sheet2!A500:J500)</f>
        <v>8.3713628872519817E-5</v>
      </c>
    </row>
    <row r="501" spans="1:11" x14ac:dyDescent="0.35">
      <c r="A501">
        <v>-1.5625E-2</v>
      </c>
      <c r="B501">
        <v>-7.2955481466951966E-4</v>
      </c>
      <c r="C501">
        <v>5.9310979611510994E-3</v>
      </c>
      <c r="D501">
        <v>1.6833236387991946E-3</v>
      </c>
      <c r="E501">
        <v>2.1522341875890305E-2</v>
      </c>
      <c r="F501">
        <v>0</v>
      </c>
      <c r="G501">
        <v>4.6511627906977715E-3</v>
      </c>
      <c r="H501">
        <v>-2.2803140721237014E-3</v>
      </c>
      <c r="I501">
        <v>0</v>
      </c>
      <c r="J501">
        <v>-4.4303797468354444E-2</v>
      </c>
      <c r="K501">
        <f>SUMPRODUCT(Sheet1!$AV$8:$BE$8,Sheet2!A501:J501)</f>
        <v>2.4494822361730054E-3</v>
      </c>
    </row>
    <row r="502" spans="1:11" x14ac:dyDescent="0.35">
      <c r="A502">
        <v>0</v>
      </c>
      <c r="B502">
        <v>-1.0990563815923782E-2</v>
      </c>
      <c r="C502">
        <v>-1.9653758172146762E-3</v>
      </c>
      <c r="D502">
        <v>-5.8861310785961463E-3</v>
      </c>
      <c r="E502">
        <v>-2.8041867858320524E-3</v>
      </c>
      <c r="F502">
        <v>-9.8701298701299178E-3</v>
      </c>
      <c r="G502">
        <v>-4.6296296296297612E-3</v>
      </c>
      <c r="H502">
        <v>-1.1427628943710966E-3</v>
      </c>
      <c r="I502">
        <v>-3.9622815369965148E-3</v>
      </c>
      <c r="J502">
        <v>0</v>
      </c>
      <c r="K502">
        <f>SUMPRODUCT(Sheet1!$AV$8:$BE$8,Sheet2!A502:J502)</f>
        <v>-2.9729452023585894E-3</v>
      </c>
    </row>
    <row r="503" spans="1:11" x14ac:dyDescent="0.35">
      <c r="A503">
        <v>-1.5873015873015928E-2</v>
      </c>
      <c r="B503">
        <v>1.1112698639488272E-2</v>
      </c>
      <c r="C503">
        <v>1.9692461259286365E-3</v>
      </c>
      <c r="D503">
        <v>-9.2930222678514474E-3</v>
      </c>
      <c r="E503">
        <v>0</v>
      </c>
      <c r="F503">
        <v>-3.1479538300104304E-3</v>
      </c>
      <c r="G503">
        <v>-1.3953488372092981E-2</v>
      </c>
      <c r="H503">
        <v>-2.2999351300349025E-3</v>
      </c>
      <c r="I503">
        <v>4.9751243781093191E-3</v>
      </c>
      <c r="J503">
        <v>3.3112582781456901E-2</v>
      </c>
      <c r="K503">
        <f>SUMPRODUCT(Sheet1!$AV$8:$BE$8,Sheet2!A503:J503)</f>
        <v>1.3903396975094005E-3</v>
      </c>
    </row>
    <row r="504" spans="1:11" x14ac:dyDescent="0.35">
      <c r="A504">
        <v>3.2258064516129004E-2</v>
      </c>
      <c r="B504">
        <v>0</v>
      </c>
      <c r="C504">
        <v>1.1786840644838037E-2</v>
      </c>
      <c r="D504">
        <v>6.8252068109133646E-3</v>
      </c>
      <c r="E504">
        <v>4.2256274530443338E-3</v>
      </c>
      <c r="F504">
        <v>1.9649122807017472E-2</v>
      </c>
      <c r="G504">
        <v>3.3018867924528239E-2</v>
      </c>
      <c r="H504">
        <v>-2.2934152973164146E-3</v>
      </c>
      <c r="I504">
        <v>1.1885279437034768E-2</v>
      </c>
      <c r="J504">
        <v>0</v>
      </c>
      <c r="K504">
        <f>SUMPRODUCT(Sheet1!$AV$8:$BE$8,Sheet2!A504:J504)</f>
        <v>9.2668634119852447E-3</v>
      </c>
    </row>
    <row r="505" spans="1:11" x14ac:dyDescent="0.35">
      <c r="A505">
        <v>1.5625E-2</v>
      </c>
      <c r="B505">
        <v>0</v>
      </c>
      <c r="C505">
        <v>-1.9424801136590508E-3</v>
      </c>
      <c r="D505">
        <v>-1.6947347873152219E-2</v>
      </c>
      <c r="E505">
        <v>-1.9646600778676193E-2</v>
      </c>
      <c r="F505">
        <v>0</v>
      </c>
      <c r="G505">
        <v>-1.8264840182648401E-2</v>
      </c>
      <c r="H505">
        <v>-8.069102801080752E-3</v>
      </c>
      <c r="I505">
        <v>-7.8338218942687332E-3</v>
      </c>
      <c r="J505">
        <v>-4.4871794871794934E-2</v>
      </c>
      <c r="K505">
        <f>SUMPRODUCT(Sheet1!$AV$8:$BE$8,Sheet2!A505:J505)</f>
        <v>-4.4112091166146825E-3</v>
      </c>
    </row>
    <row r="506" spans="1:11" x14ac:dyDescent="0.35">
      <c r="A506">
        <v>0</v>
      </c>
      <c r="B506">
        <v>-2.198112763184823E-3</v>
      </c>
      <c r="C506">
        <v>9.7286226318482605E-3</v>
      </c>
      <c r="D506">
        <v>-4.3143909307531425E-3</v>
      </c>
      <c r="E506">
        <v>8.5843465509867212E-3</v>
      </c>
      <c r="F506">
        <v>-1.5485203028218208E-3</v>
      </c>
      <c r="G506">
        <v>0</v>
      </c>
      <c r="H506">
        <v>-8.1347428776203934E-3</v>
      </c>
      <c r="I506">
        <v>-5.9192094136824025E-3</v>
      </c>
      <c r="J506">
        <v>2.6845637583892579E-2</v>
      </c>
      <c r="K506">
        <f>SUMPRODUCT(Sheet1!$AV$8:$BE$8,Sheet2!A506:J506)</f>
        <v>1.8715913101229153E-3</v>
      </c>
    </row>
    <row r="507" spans="1:11" x14ac:dyDescent="0.35">
      <c r="A507">
        <v>0</v>
      </c>
      <c r="B507">
        <v>-1.5420685748454011E-2</v>
      </c>
      <c r="C507">
        <v>1.8303367564754813E-2</v>
      </c>
      <c r="D507">
        <v>-1.2990191634787984E-2</v>
      </c>
      <c r="E507">
        <v>-1.7022565500530051E-2</v>
      </c>
      <c r="F507">
        <v>0</v>
      </c>
      <c r="G507">
        <v>9.302325581395321E-3</v>
      </c>
      <c r="H507">
        <v>2.2255943348507889E-2</v>
      </c>
      <c r="I507">
        <v>1.9882345706847548E-3</v>
      </c>
      <c r="J507">
        <v>-3.9215686274509887E-2</v>
      </c>
      <c r="K507">
        <f>SUMPRODUCT(Sheet1!$AV$8:$BE$8,Sheet2!A507:J507)</f>
        <v>1.3591611830652793E-2</v>
      </c>
    </row>
    <row r="508" spans="1:11" x14ac:dyDescent="0.35">
      <c r="A508">
        <v>-3.0769230769230771E-2</v>
      </c>
      <c r="B508">
        <v>-7.4315577503969443E-4</v>
      </c>
      <c r="C508">
        <v>-4.7295500409336722E-3</v>
      </c>
      <c r="D508">
        <v>-1.3151973255205229E-2</v>
      </c>
      <c r="E508">
        <v>0</v>
      </c>
      <c r="F508">
        <v>0</v>
      </c>
      <c r="G508">
        <v>-4.6082949308754451E-3</v>
      </c>
      <c r="H508">
        <v>-3.4400697438798922E-3</v>
      </c>
      <c r="I508">
        <v>-1.9842893380246363E-3</v>
      </c>
      <c r="J508">
        <v>4.081632653061229E-2</v>
      </c>
      <c r="K508">
        <f>SUMPRODUCT(Sheet1!$AV$8:$BE$8,Sheet2!A508:J508)</f>
        <v>-3.3212426441512387E-3</v>
      </c>
    </row>
    <row r="509" spans="1:11" x14ac:dyDescent="0.35">
      <c r="A509">
        <v>0</v>
      </c>
      <c r="B509">
        <v>-7.4610752584985951E-3</v>
      </c>
      <c r="C509">
        <v>-1.9123364035500412E-4</v>
      </c>
      <c r="D509">
        <v>0</v>
      </c>
      <c r="E509">
        <v>2.8964964718207753E-3</v>
      </c>
      <c r="F509">
        <v>-1.5509219369291838E-3</v>
      </c>
      <c r="G509">
        <v>-9.2592592592593004E-3</v>
      </c>
      <c r="H509">
        <v>-3.4519446743113136E-3</v>
      </c>
      <c r="I509">
        <v>-9.8386865353483621E-4</v>
      </c>
      <c r="J509">
        <v>-3.9215686274509887E-2</v>
      </c>
      <c r="K509">
        <f>SUMPRODUCT(Sheet1!$AV$8:$BE$8,Sheet2!A509:J509)</f>
        <v>-1.3219912817910636E-3</v>
      </c>
    </row>
    <row r="510" spans="1:11" x14ac:dyDescent="0.35">
      <c r="A510">
        <v>3.1746031746031855E-2</v>
      </c>
      <c r="B510">
        <v>0</v>
      </c>
      <c r="C510">
        <v>-1.7109513990237746E-3</v>
      </c>
      <c r="D510">
        <v>4.4393153961415077E-3</v>
      </c>
      <c r="E510">
        <v>-1.0077733738900641E-2</v>
      </c>
      <c r="F510">
        <v>0</v>
      </c>
      <c r="G510">
        <v>1.4018691588784993E-2</v>
      </c>
      <c r="H510">
        <v>1.1625424090726533E-3</v>
      </c>
      <c r="I510">
        <v>-1.9901926588562491E-3</v>
      </c>
      <c r="J510">
        <v>-4.081632653061229E-2</v>
      </c>
      <c r="K510">
        <f>SUMPRODUCT(Sheet1!$AV$8:$BE$8,Sheet2!A510:J510)</f>
        <v>-1.1500216958946036E-3</v>
      </c>
    </row>
    <row r="511" spans="1:11" x14ac:dyDescent="0.35">
      <c r="A511">
        <v>0</v>
      </c>
      <c r="B511">
        <v>-7.5252183441297804E-3</v>
      </c>
      <c r="C511">
        <v>9.5247843865977622E-3</v>
      </c>
      <c r="D511">
        <v>1.2388117784407848E-2</v>
      </c>
      <c r="E511">
        <v>1.7443123622707057E-2</v>
      </c>
      <c r="F511">
        <v>-1.7259233690023468E-3</v>
      </c>
      <c r="G511">
        <v>2.3041474654378113E-2</v>
      </c>
      <c r="H511">
        <v>-2.3105360443623768E-3</v>
      </c>
      <c r="I511">
        <v>-9.9708071214177352E-4</v>
      </c>
      <c r="J511">
        <v>4.2553191489361764E-2</v>
      </c>
      <c r="K511">
        <f>SUMPRODUCT(Sheet1!$AV$8:$BE$8,Sheet2!A511:J511)</f>
        <v>3.9635418225049948E-3</v>
      </c>
    </row>
    <row r="512" spans="1:11" x14ac:dyDescent="0.35">
      <c r="A512">
        <v>0</v>
      </c>
      <c r="B512">
        <v>-3.7830202464645968E-3</v>
      </c>
      <c r="C512">
        <v>5.6599113445212623E-3</v>
      </c>
      <c r="D512">
        <v>1.0497606692109862E-2</v>
      </c>
      <c r="E512">
        <v>-8.5720386809431393E-3</v>
      </c>
      <c r="F512">
        <v>0</v>
      </c>
      <c r="G512">
        <v>1.8018018018017834E-2</v>
      </c>
      <c r="H512">
        <v>-1.6163703518960459E-2</v>
      </c>
      <c r="I512">
        <v>-3.9820140553777916E-3</v>
      </c>
      <c r="J512">
        <v>0</v>
      </c>
      <c r="K512">
        <f>SUMPRODUCT(Sheet1!$AV$8:$BE$8,Sheet2!A512:J512)</f>
        <v>-1.5226969480515509E-3</v>
      </c>
    </row>
    <row r="513" spans="1:11" x14ac:dyDescent="0.35">
      <c r="A513">
        <v>-1.5384615384615441E-2</v>
      </c>
      <c r="B513">
        <v>1.4447993741647513E-2</v>
      </c>
      <c r="C513">
        <v>1.3132994839870626E-2</v>
      </c>
      <c r="D513">
        <v>1.123992391993478E-2</v>
      </c>
      <c r="E513">
        <v>8.6461538461537479E-3</v>
      </c>
      <c r="F513">
        <v>-4.8409405255878113E-3</v>
      </c>
      <c r="G513">
        <v>2.212389380530988E-2</v>
      </c>
      <c r="H513">
        <v>9.3915982617092109E-3</v>
      </c>
      <c r="I513">
        <v>-2.0041322314048315E-3</v>
      </c>
      <c r="J513">
        <v>-4.081632653061229E-2</v>
      </c>
      <c r="K513">
        <f>SUMPRODUCT(Sheet1!$AV$8:$BE$8,Sheet2!A513:J513)</f>
        <v>7.7476967408652581E-3</v>
      </c>
    </row>
    <row r="514" spans="1:11" x14ac:dyDescent="0.35">
      <c r="A514">
        <v>-3.125E-2</v>
      </c>
      <c r="B514">
        <v>-1.0498919583256439E-2</v>
      </c>
      <c r="C514">
        <v>3.6665714023251361E-2</v>
      </c>
      <c r="D514">
        <v>8.5982212429791538E-4</v>
      </c>
      <c r="E514">
        <v>7.1382813214972973E-3</v>
      </c>
      <c r="F514">
        <v>0</v>
      </c>
      <c r="G514">
        <v>-8.6580086580086979E-3</v>
      </c>
      <c r="H514">
        <v>3.3712836948982305E-2</v>
      </c>
      <c r="I514">
        <v>7.0181976274765745E-3</v>
      </c>
      <c r="J514">
        <v>-1.4184397163120588E-2</v>
      </c>
      <c r="K514">
        <f>SUMPRODUCT(Sheet1!$AV$8:$BE$8,Sheet2!A514:J514)</f>
        <v>2.6249179295230886E-2</v>
      </c>
    </row>
    <row r="515" spans="1:11" x14ac:dyDescent="0.35">
      <c r="A515">
        <v>-3.2258064516129115E-2</v>
      </c>
      <c r="B515">
        <v>-7.5741585621275087E-3</v>
      </c>
      <c r="C515">
        <v>-1.7683213500680695E-2</v>
      </c>
      <c r="D515">
        <v>-3.4184362891173103E-3</v>
      </c>
      <c r="E515">
        <v>0</v>
      </c>
      <c r="F515">
        <v>-4.8644892286310304E-3</v>
      </c>
      <c r="G515">
        <v>-1.3100436681222849E-2</v>
      </c>
      <c r="H515">
        <v>0</v>
      </c>
      <c r="I515">
        <v>0</v>
      </c>
      <c r="J515">
        <v>0</v>
      </c>
      <c r="K515">
        <f>SUMPRODUCT(Sheet1!$AV$8:$BE$8,Sheet2!A515:J515)</f>
        <v>-9.1557560930020827E-3</v>
      </c>
    </row>
    <row r="516" spans="1:11" x14ac:dyDescent="0.35">
      <c r="A516">
        <v>1.6666666666666607E-2</v>
      </c>
      <c r="B516">
        <v>0</v>
      </c>
      <c r="C516">
        <v>1.2909789338899413E-2</v>
      </c>
      <c r="D516">
        <v>-1.372962780047593E-2</v>
      </c>
      <c r="E516">
        <v>-9.9197334544903759E-3</v>
      </c>
      <c r="F516">
        <v>0</v>
      </c>
      <c r="G516">
        <v>-4.4247787610618428E-3</v>
      </c>
      <c r="H516">
        <v>-1.122204611451183E-3</v>
      </c>
      <c r="I516">
        <v>0</v>
      </c>
      <c r="J516">
        <v>-4.3165467625899123E-2</v>
      </c>
      <c r="K516">
        <f>SUMPRODUCT(Sheet1!$AV$8:$BE$8,Sheet2!A516:J516)</f>
        <v>5.8857627027888645E-3</v>
      </c>
    </row>
    <row r="517" spans="1:11" x14ac:dyDescent="0.35">
      <c r="A517">
        <v>1.6393442622950838E-2</v>
      </c>
      <c r="B517">
        <v>6.1104794313247002E-3</v>
      </c>
      <c r="C517">
        <v>-1.7811685950286371E-4</v>
      </c>
      <c r="D517">
        <v>2.2615535889872085E-2</v>
      </c>
      <c r="E517">
        <v>0</v>
      </c>
      <c r="F517">
        <v>4.8882681564246244E-3</v>
      </c>
      <c r="G517">
        <v>8.8888888888889461E-3</v>
      </c>
      <c r="H517">
        <v>-1.3516330785267483E-2</v>
      </c>
      <c r="I517">
        <v>-9.9708071214177352E-4</v>
      </c>
      <c r="J517">
        <v>0</v>
      </c>
      <c r="K517">
        <f>SUMPRODUCT(Sheet1!$AV$8:$BE$8,Sheet2!A517:J517)</f>
        <v>-2.6311721498575337E-3</v>
      </c>
    </row>
    <row r="518" spans="1:11" x14ac:dyDescent="0.35">
      <c r="A518">
        <v>0</v>
      </c>
      <c r="B518">
        <v>7.5856125402451458E-3</v>
      </c>
      <c r="C518">
        <v>1.7963316236018212E-3</v>
      </c>
      <c r="D518">
        <v>2.0405982905983056E-2</v>
      </c>
      <c r="E518">
        <v>8.596558317399694E-3</v>
      </c>
      <c r="F518">
        <v>0</v>
      </c>
      <c r="G518">
        <v>-8.8105726872246271E-3</v>
      </c>
      <c r="H518">
        <v>-2.0546417291864905E-2</v>
      </c>
      <c r="I518">
        <v>-7.9640281107555833E-3</v>
      </c>
      <c r="J518">
        <v>7.5187969924812581E-3</v>
      </c>
      <c r="K518">
        <f>SUMPRODUCT(Sheet1!$AV$8:$BE$8,Sheet2!A518:J518)</f>
        <v>-4.8027052092058471E-3</v>
      </c>
    </row>
    <row r="519" spans="1:11" x14ac:dyDescent="0.35">
      <c r="A519">
        <v>0</v>
      </c>
      <c r="B519">
        <v>3.1622945396154289E-2</v>
      </c>
      <c r="C519">
        <v>3.5131136649352968E-2</v>
      </c>
      <c r="D519">
        <v>0</v>
      </c>
      <c r="E519">
        <v>1.8457011996299455E-2</v>
      </c>
      <c r="F519">
        <v>0</v>
      </c>
      <c r="G519">
        <v>-4.444444444444362E-3</v>
      </c>
      <c r="H519">
        <v>7.0004674969732505E-3</v>
      </c>
      <c r="I519">
        <v>6.0261582981548933E-3</v>
      </c>
      <c r="J519">
        <v>4.4776119402984982E-2</v>
      </c>
      <c r="K519">
        <f>SUMPRODUCT(Sheet1!$AV$8:$BE$8,Sheet2!A519:J519)</f>
        <v>2.0460337822016433E-2</v>
      </c>
    </row>
    <row r="520" spans="1:11" x14ac:dyDescent="0.35">
      <c r="A520">
        <v>0</v>
      </c>
      <c r="B520">
        <v>8.0329766597833085E-3</v>
      </c>
      <c r="C520">
        <v>3.792110367996715E-2</v>
      </c>
      <c r="D520">
        <v>3.6662827627124583E-2</v>
      </c>
      <c r="E520">
        <v>-1.1153468147839241E-2</v>
      </c>
      <c r="F520">
        <v>-1.5635858234885891E-3</v>
      </c>
      <c r="G520">
        <v>0</v>
      </c>
      <c r="H520">
        <v>-4.6305665004107155E-3</v>
      </c>
      <c r="I520">
        <v>-2.0001237189930521E-3</v>
      </c>
      <c r="J520">
        <v>3.5714285714285809E-2</v>
      </c>
      <c r="K520">
        <f>SUMPRODUCT(Sheet1!$AV$8:$BE$8,Sheet2!A520:J520)</f>
        <v>1.7145698513569192E-2</v>
      </c>
    </row>
    <row r="521" spans="1:11" x14ac:dyDescent="0.35">
      <c r="A521">
        <v>-3.2258064516129115E-2</v>
      </c>
      <c r="B521">
        <v>-2.1726479146458866E-3</v>
      </c>
      <c r="C521">
        <v>4.337931034482656E-3</v>
      </c>
      <c r="D521">
        <v>1.2868853838773342E-2</v>
      </c>
      <c r="E521">
        <v>-5.6471651231082554E-3</v>
      </c>
      <c r="F521">
        <v>0</v>
      </c>
      <c r="G521">
        <v>4.4642857142855874E-3</v>
      </c>
      <c r="H521">
        <v>0</v>
      </c>
      <c r="I521">
        <v>5.0000000000001155E-3</v>
      </c>
      <c r="J521">
        <v>4.1379310344827669E-2</v>
      </c>
      <c r="K521">
        <f>SUMPRODUCT(Sheet1!$AV$8:$BE$8,Sheet2!A521:J521)</f>
        <v>3.1127187873295241E-3</v>
      </c>
    </row>
    <row r="522" spans="1:11" x14ac:dyDescent="0.35">
      <c r="A522">
        <v>0</v>
      </c>
      <c r="B522">
        <v>-1.2333294451572718E-2</v>
      </c>
      <c r="C522">
        <v>-2.9900180138113575E-2</v>
      </c>
      <c r="D522">
        <v>-6.3485204789642813E-3</v>
      </c>
      <c r="E522">
        <v>0</v>
      </c>
      <c r="F522">
        <v>1.1310248825474156E-2</v>
      </c>
      <c r="G522">
        <v>-4.444444444444362E-3</v>
      </c>
      <c r="H522">
        <v>-1.1624291420507693E-2</v>
      </c>
      <c r="I522">
        <v>-4.9751243781095411E-3</v>
      </c>
      <c r="J522">
        <v>-1.9867549668874163E-2</v>
      </c>
      <c r="K522">
        <f>SUMPRODUCT(Sheet1!$AV$8:$BE$8,Sheet2!A522:J522)</f>
        <v>-1.7255259839531467E-2</v>
      </c>
    </row>
    <row r="523" spans="1:11" x14ac:dyDescent="0.35">
      <c r="A523">
        <v>3.3333333333333437E-2</v>
      </c>
      <c r="B523">
        <v>-6.6137045406232664E-3</v>
      </c>
      <c r="C523">
        <v>-1.8828570349955775E-3</v>
      </c>
      <c r="D523">
        <v>-3.9973573955293107E-3</v>
      </c>
      <c r="E523">
        <v>-1.2766924125397483E-2</v>
      </c>
      <c r="F523">
        <v>0</v>
      </c>
      <c r="G523">
        <v>0</v>
      </c>
      <c r="H523">
        <v>0</v>
      </c>
      <c r="I523">
        <v>-3.9979338842975887E-3</v>
      </c>
      <c r="J523">
        <v>-4.0540540540540571E-2</v>
      </c>
      <c r="K523">
        <f>SUMPRODUCT(Sheet1!$AV$8:$BE$8,Sheet2!A523:J523)</f>
        <v>-1.9700254435869391E-3</v>
      </c>
    </row>
    <row r="524" spans="1:11" x14ac:dyDescent="0.35">
      <c r="A524">
        <v>3.2258064516129004E-2</v>
      </c>
      <c r="B524">
        <v>1.183333465431291E-2</v>
      </c>
      <c r="C524">
        <v>8.5763050025293719E-3</v>
      </c>
      <c r="D524">
        <v>8.8244431197050943E-3</v>
      </c>
      <c r="E524">
        <v>1.7242701765689539E-2</v>
      </c>
      <c r="F524">
        <v>0</v>
      </c>
      <c r="G524">
        <v>-4.4642857142858094E-3</v>
      </c>
      <c r="H524">
        <v>1.0587324250417529E-2</v>
      </c>
      <c r="I524">
        <v>3.007893126445671E-3</v>
      </c>
      <c r="J524">
        <v>4.2253521126760507E-2</v>
      </c>
      <c r="K524">
        <f>SUMPRODUCT(Sheet1!$AV$8:$BE$8,Sheet2!A524:J524)</f>
        <v>7.3915105890862342E-3</v>
      </c>
    </row>
    <row r="525" spans="1:11" x14ac:dyDescent="0.35">
      <c r="A525">
        <v>-3.125E-2</v>
      </c>
      <c r="B525">
        <v>0</v>
      </c>
      <c r="C525">
        <v>-1.5305141871398975E-3</v>
      </c>
      <c r="D525">
        <v>-7.9898794859845079E-4</v>
      </c>
      <c r="E525">
        <v>-1.1295260213237679E-2</v>
      </c>
      <c r="F525">
        <v>0</v>
      </c>
      <c r="G525">
        <v>4.484304932735439E-3</v>
      </c>
      <c r="H525">
        <v>-1.047640713114073E-2</v>
      </c>
      <c r="I525">
        <v>-1.0030712594230051E-3</v>
      </c>
      <c r="J525">
        <v>3.3783783783783772E-2</v>
      </c>
      <c r="K525">
        <f>SUMPRODUCT(Sheet1!$AV$8:$BE$8,Sheet2!A525:J525)</f>
        <v>-3.147147916181787E-3</v>
      </c>
    </row>
    <row r="526" spans="1:11" x14ac:dyDescent="0.35">
      <c r="A526">
        <v>-3.2258064516129115E-2</v>
      </c>
      <c r="B526">
        <v>-7.3631934326578996E-4</v>
      </c>
      <c r="C526">
        <v>-1.192485463649029E-3</v>
      </c>
      <c r="D526">
        <v>-5.5723995468780485E-3</v>
      </c>
      <c r="E526">
        <v>0</v>
      </c>
      <c r="F526">
        <v>-1.1183757742601608E-2</v>
      </c>
      <c r="G526">
        <v>0</v>
      </c>
      <c r="H526">
        <v>1.6467826634077865E-2</v>
      </c>
      <c r="I526">
        <v>-7.0078463035422311E-3</v>
      </c>
      <c r="J526">
        <v>0</v>
      </c>
      <c r="K526">
        <f>SUMPRODUCT(Sheet1!$AV$8:$BE$8,Sheet2!A526:J526)</f>
        <v>5.8277962045811074E-4</v>
      </c>
    </row>
    <row r="527" spans="1:11" x14ac:dyDescent="0.35">
      <c r="A527">
        <v>3.3333333333333437E-2</v>
      </c>
      <c r="B527">
        <v>-1.3161607926752805E-2</v>
      </c>
      <c r="C527">
        <v>-8.5312801855741416E-4</v>
      </c>
      <c r="D527">
        <v>3.2080544782933096E-3</v>
      </c>
      <c r="E527">
        <v>7.1382813214972973E-3</v>
      </c>
      <c r="F527">
        <v>-1.1484252653558347E-2</v>
      </c>
      <c r="G527">
        <v>8.9285714285711748E-3</v>
      </c>
      <c r="H527">
        <v>-1.7367600319021181E-2</v>
      </c>
      <c r="I527">
        <v>-1.0111645070833841E-3</v>
      </c>
      <c r="J527">
        <v>0</v>
      </c>
      <c r="K527">
        <f>SUMPRODUCT(Sheet1!$AV$8:$BE$8,Sheet2!A527:J527)</f>
        <v>-5.3848500845863562E-3</v>
      </c>
    </row>
    <row r="528" spans="1:11" x14ac:dyDescent="0.35">
      <c r="A528">
        <v>-3.2258064516129115E-2</v>
      </c>
      <c r="B528">
        <v>-1.1859654139758091E-2</v>
      </c>
      <c r="C528">
        <v>-1.3642885705549279E-3</v>
      </c>
      <c r="D528">
        <v>7.9318694163799108E-4</v>
      </c>
      <c r="E528">
        <v>0</v>
      </c>
      <c r="F528">
        <v>6.5129378630521817E-3</v>
      </c>
      <c r="G528">
        <v>0</v>
      </c>
      <c r="H528">
        <v>1.059989339535794E-2</v>
      </c>
      <c r="I528">
        <v>-4.0383170548460301E-3</v>
      </c>
      <c r="J528">
        <v>0</v>
      </c>
      <c r="K528">
        <f>SUMPRODUCT(Sheet1!$AV$8:$BE$8,Sheet2!A528:J528)</f>
        <v>1.2011974146044053E-3</v>
      </c>
    </row>
    <row r="529" spans="1:11" x14ac:dyDescent="0.35">
      <c r="A529">
        <v>0</v>
      </c>
      <c r="B529">
        <v>1.6503746101160788E-2</v>
      </c>
      <c r="C529">
        <v>-2.734660228477126E-3</v>
      </c>
      <c r="D529">
        <v>4.7803779251658352E-3</v>
      </c>
      <c r="E529">
        <v>-7.0876874148114721E-3</v>
      </c>
      <c r="F529">
        <v>0</v>
      </c>
      <c r="G529">
        <v>4.4247787610620648E-3</v>
      </c>
      <c r="H529">
        <v>-3.4882466466081841E-3</v>
      </c>
      <c r="I529">
        <v>8.1093823668081377E-3</v>
      </c>
      <c r="J529">
        <v>0</v>
      </c>
      <c r="K529">
        <f>SUMPRODUCT(Sheet1!$AV$8:$BE$8,Sheet2!A529:J529)</f>
        <v>-3.5392799389803806E-4</v>
      </c>
    </row>
    <row r="530" spans="1:11" x14ac:dyDescent="0.35">
      <c r="A530">
        <v>3.3333333333333437E-2</v>
      </c>
      <c r="B530">
        <v>-1.1071657348021735E-2</v>
      </c>
      <c r="C530">
        <v>0</v>
      </c>
      <c r="D530">
        <v>-7.8878759195599724E-4</v>
      </c>
      <c r="E530">
        <v>0</v>
      </c>
      <c r="F530">
        <v>-6.4707939839104833E-3</v>
      </c>
      <c r="G530">
        <v>0</v>
      </c>
      <c r="H530">
        <v>-7.0249723331570202E-3</v>
      </c>
      <c r="I530">
        <v>1.008116899988698E-3</v>
      </c>
      <c r="J530">
        <v>-3.9215686274509887E-2</v>
      </c>
      <c r="K530">
        <f>SUMPRODUCT(Sheet1!$AV$8:$BE$8,Sheet2!A530:J530)</f>
        <v>-2.0929298783284515E-3</v>
      </c>
    </row>
    <row r="531" spans="1:11" x14ac:dyDescent="0.35">
      <c r="A531">
        <v>0</v>
      </c>
      <c r="B531">
        <v>6.7173667922175717E-3</v>
      </c>
      <c r="C531">
        <v>1.0798580029240279E-2</v>
      </c>
      <c r="D531">
        <v>0</v>
      </c>
      <c r="E531">
        <v>0</v>
      </c>
      <c r="F531">
        <v>0</v>
      </c>
      <c r="G531">
        <v>-4.4052863436124801E-3</v>
      </c>
      <c r="H531">
        <v>1.1871880602800644E-3</v>
      </c>
      <c r="I531">
        <v>0</v>
      </c>
      <c r="J531">
        <v>2.0408163265306145E-2</v>
      </c>
      <c r="K531">
        <f>SUMPRODUCT(Sheet1!$AV$8:$BE$8,Sheet2!A531:J531)</f>
        <v>5.6668390141839092E-3</v>
      </c>
    </row>
    <row r="532" spans="1:11" x14ac:dyDescent="0.35">
      <c r="A532">
        <v>0</v>
      </c>
      <c r="B532">
        <v>0</v>
      </c>
      <c r="C532">
        <v>0</v>
      </c>
      <c r="D532">
        <v>4.6824493323250893E-2</v>
      </c>
      <c r="E532">
        <v>5.7197766999177446E-3</v>
      </c>
      <c r="F532">
        <v>0</v>
      </c>
      <c r="G532">
        <v>-8.8495575221236855E-3</v>
      </c>
      <c r="H532">
        <v>-4.7068218667569717E-3</v>
      </c>
      <c r="I532">
        <v>4.018024004319054E-3</v>
      </c>
      <c r="J532">
        <v>0</v>
      </c>
      <c r="K532">
        <f>SUMPRODUCT(Sheet1!$AV$8:$BE$8,Sheet2!A532:J532)</f>
        <v>-1.8278835013341122E-4</v>
      </c>
    </row>
    <row r="533" spans="1:11" x14ac:dyDescent="0.35">
      <c r="A533">
        <v>0</v>
      </c>
      <c r="B533">
        <v>-1.4854355821398713E-3</v>
      </c>
      <c r="C533">
        <v>1.7466544848712795E-2</v>
      </c>
      <c r="D533">
        <v>2.9568654844496667E-2</v>
      </c>
      <c r="E533">
        <v>-5.687246917512212E-3</v>
      </c>
      <c r="F533">
        <v>0</v>
      </c>
      <c r="G533">
        <v>0</v>
      </c>
      <c r="H533">
        <v>1.2995854456155698E-2</v>
      </c>
      <c r="I533">
        <v>-4.0019440968738218E-3</v>
      </c>
      <c r="J533">
        <v>0</v>
      </c>
      <c r="K533">
        <f>SUMPRODUCT(Sheet1!$AV$8:$BE$8,Sheet2!A533:J533)</f>
        <v>1.0448787710845375E-2</v>
      </c>
    </row>
    <row r="534" spans="1:11" x14ac:dyDescent="0.35">
      <c r="A534">
        <v>3.2258064516129004E-2</v>
      </c>
      <c r="B534">
        <v>-5.1948258579815887E-3</v>
      </c>
      <c r="C534">
        <v>8.1665273427093954E-3</v>
      </c>
      <c r="D534">
        <v>0</v>
      </c>
      <c r="E534">
        <v>0</v>
      </c>
      <c r="F534">
        <v>0</v>
      </c>
      <c r="G534">
        <v>4.4642857142855874E-3</v>
      </c>
      <c r="H534">
        <v>-3.5043083791372887E-3</v>
      </c>
      <c r="I534">
        <v>1.0071016238215602E-3</v>
      </c>
      <c r="J534">
        <v>0</v>
      </c>
      <c r="K534">
        <f>SUMPRODUCT(Sheet1!$AV$8:$BE$8,Sheet2!A534:J534)</f>
        <v>3.3736125876728238E-3</v>
      </c>
    </row>
    <row r="535" spans="1:11" x14ac:dyDescent="0.35">
      <c r="A535">
        <v>3.125E-2</v>
      </c>
      <c r="B535">
        <v>-1.49301473822262E-2</v>
      </c>
      <c r="C535">
        <v>1.6401210044825199E-4</v>
      </c>
      <c r="D535">
        <v>0</v>
      </c>
      <c r="E535">
        <v>-2.8522619810256167E-3</v>
      </c>
      <c r="F535">
        <v>-1.5842281288506177E-3</v>
      </c>
      <c r="G535">
        <v>-4.444444444444362E-3</v>
      </c>
      <c r="H535">
        <v>-2.3363923212177395E-3</v>
      </c>
      <c r="I535">
        <v>0</v>
      </c>
      <c r="J535">
        <v>0</v>
      </c>
      <c r="K535">
        <f>SUMPRODUCT(Sheet1!$AV$8:$BE$8,Sheet2!A535:J535)</f>
        <v>-7.6712562665325393E-4</v>
      </c>
    </row>
    <row r="536" spans="1:11" x14ac:dyDescent="0.35">
      <c r="A536">
        <v>3.0303030303030276E-2</v>
      </c>
      <c r="B536">
        <v>-2.2730593755579953E-3</v>
      </c>
      <c r="C536">
        <v>7.4385510996117787E-3</v>
      </c>
      <c r="D536">
        <v>-2.9451901652236545E-3</v>
      </c>
      <c r="E536">
        <v>-7.1739961759081927E-3</v>
      </c>
      <c r="F536">
        <v>-6.6995768688292712E-3</v>
      </c>
      <c r="G536">
        <v>1.7857142857142572E-2</v>
      </c>
      <c r="H536">
        <v>-2.3418638338967845E-3</v>
      </c>
      <c r="I536">
        <v>-1.0060883905695928E-3</v>
      </c>
      <c r="J536">
        <v>2.0000000000000018E-2</v>
      </c>
      <c r="K536">
        <f>SUMPRODUCT(Sheet1!$AV$8:$BE$8,Sheet2!A536:J536)</f>
        <v>2.3403662556812873E-3</v>
      </c>
    </row>
    <row r="537" spans="1:11" x14ac:dyDescent="0.35">
      <c r="A537">
        <v>0</v>
      </c>
      <c r="B537">
        <v>3.6451807130884806E-2</v>
      </c>
      <c r="C537">
        <v>-8.20654262654541E-4</v>
      </c>
      <c r="D537">
        <v>-1.9208017259377819E-2</v>
      </c>
      <c r="E537">
        <v>5.7775860475148821E-3</v>
      </c>
      <c r="F537">
        <v>-1.5974440894569453E-3</v>
      </c>
      <c r="G537">
        <v>-8.7719298245614308E-3</v>
      </c>
      <c r="H537">
        <v>-1.1773104566464299E-2</v>
      </c>
      <c r="I537">
        <v>2.8136550521201009E-2</v>
      </c>
      <c r="J537">
        <v>1.9607843137254832E-2</v>
      </c>
      <c r="K537">
        <f>SUMPRODUCT(Sheet1!$AV$8:$BE$8,Sheet2!A537:J537)</f>
        <v>2.9362410290516392E-3</v>
      </c>
    </row>
    <row r="538" spans="1:11" x14ac:dyDescent="0.35">
      <c r="A538">
        <v>4.4117647058823373E-2</v>
      </c>
      <c r="B538">
        <v>-2.5639415302005086E-2</v>
      </c>
      <c r="C538">
        <v>1.8062434525654592E-2</v>
      </c>
      <c r="D538">
        <v>-6.0234789533022415E-3</v>
      </c>
      <c r="E538">
        <v>-2.8645394525206314E-3</v>
      </c>
      <c r="F538">
        <v>1.6000000000000458E-3</v>
      </c>
      <c r="G538">
        <v>-4.4247787610618428E-3</v>
      </c>
      <c r="H538">
        <v>9.5257918773647976E-3</v>
      </c>
      <c r="I538">
        <v>4.985559348050006E-2</v>
      </c>
      <c r="J538">
        <v>1.9230769230769162E-2</v>
      </c>
      <c r="K538">
        <f>SUMPRODUCT(Sheet1!$AV$8:$BE$8,Sheet2!A538:J538)</f>
        <v>2.0205731754214747E-2</v>
      </c>
    </row>
    <row r="539" spans="1:11" x14ac:dyDescent="0.35">
      <c r="A539">
        <v>0</v>
      </c>
      <c r="B539">
        <v>0</v>
      </c>
      <c r="C539">
        <v>1.4354928325369665E-2</v>
      </c>
      <c r="D539">
        <v>1.7426411682120557E-2</v>
      </c>
      <c r="E539">
        <v>-2.8881310105386415E-3</v>
      </c>
      <c r="F539">
        <v>0</v>
      </c>
      <c r="G539">
        <v>-8.8888888888889461E-3</v>
      </c>
      <c r="H539">
        <v>-1.1764563195110211E-3</v>
      </c>
      <c r="I539">
        <v>-1.2100458817079107E-2</v>
      </c>
      <c r="J539">
        <v>1.8867924528301883E-2</v>
      </c>
      <c r="K539">
        <f>SUMPRODUCT(Sheet1!$AV$8:$BE$8,Sheet2!A539:J539)</f>
        <v>4.4749408613060397E-3</v>
      </c>
    </row>
    <row r="540" spans="1:11" x14ac:dyDescent="0.35">
      <c r="A540">
        <v>0</v>
      </c>
      <c r="B540">
        <v>0</v>
      </c>
      <c r="C540">
        <v>7.7912574028995429E-3</v>
      </c>
      <c r="D540">
        <v>3.7974584860060778E-2</v>
      </c>
      <c r="E540">
        <v>-1.4328413397836082E-3</v>
      </c>
      <c r="F540">
        <v>-1.8281860134895411E-2</v>
      </c>
      <c r="G540">
        <v>4.484304932735439E-3</v>
      </c>
      <c r="H540">
        <v>0</v>
      </c>
      <c r="I540">
        <v>4.7125261671776553E-3</v>
      </c>
      <c r="J540">
        <v>-1.2345679012345734E-2</v>
      </c>
      <c r="K540">
        <f>SUMPRODUCT(Sheet1!$AV$8:$BE$8,Sheet2!A540:J540)</f>
        <v>3.0959392084153395E-3</v>
      </c>
    </row>
    <row r="541" spans="1:11" x14ac:dyDescent="0.35">
      <c r="A541">
        <v>0</v>
      </c>
      <c r="B541">
        <v>1.4985980856616621E-3</v>
      </c>
      <c r="C541">
        <v>2.3667018142684793E-2</v>
      </c>
      <c r="D541">
        <v>-2.8691387326218454E-3</v>
      </c>
      <c r="E541">
        <v>1.4348973199820314E-3</v>
      </c>
      <c r="F541">
        <v>0</v>
      </c>
      <c r="G541">
        <v>-4.4642857142858094E-3</v>
      </c>
      <c r="H541">
        <v>3.5456686985453345E-3</v>
      </c>
      <c r="I541">
        <v>0</v>
      </c>
      <c r="J541">
        <v>6.2500000000000888E-3</v>
      </c>
      <c r="K541">
        <f>SUMPRODUCT(Sheet1!$AV$8:$BE$8,Sheet2!A541:J541)</f>
        <v>1.2356043515561205E-2</v>
      </c>
    </row>
    <row r="542" spans="1:11" x14ac:dyDescent="0.35">
      <c r="A542">
        <v>-2.8169014084507116E-2</v>
      </c>
      <c r="B542">
        <v>-9.0103135910927223E-3</v>
      </c>
      <c r="C542">
        <v>2.9593225882497798E-2</v>
      </c>
      <c r="D542">
        <v>0</v>
      </c>
      <c r="E542">
        <v>1.4482482359103876E-3</v>
      </c>
      <c r="F542">
        <v>-1.536792623395411E-2</v>
      </c>
      <c r="G542">
        <v>-1.3452914798206206E-2</v>
      </c>
      <c r="H542">
        <v>0</v>
      </c>
      <c r="I542">
        <v>-4.6904224287471763E-3</v>
      </c>
      <c r="J542">
        <v>1.8633540372670732E-2</v>
      </c>
      <c r="K542">
        <f>SUMPRODUCT(Sheet1!$AV$8:$BE$8,Sheet2!A542:J542)</f>
        <v>1.2178068386222927E-2</v>
      </c>
    </row>
    <row r="543" spans="1:11" x14ac:dyDescent="0.35">
      <c r="A543">
        <v>-1.4492753623188248E-2</v>
      </c>
      <c r="B543">
        <v>1.5156435193453666E-2</v>
      </c>
      <c r="C543">
        <v>8.9813009890982176E-3</v>
      </c>
      <c r="D543">
        <v>3.5251847332384179E-2</v>
      </c>
      <c r="E543">
        <v>-2.8769230769231102E-3</v>
      </c>
      <c r="F543">
        <v>0</v>
      </c>
      <c r="G543">
        <v>0</v>
      </c>
      <c r="H543">
        <v>-3.5331413498534969E-3</v>
      </c>
      <c r="I543">
        <v>3.7680736088798739E-3</v>
      </c>
      <c r="J543">
        <v>1.2195121951219523E-2</v>
      </c>
      <c r="K543">
        <f>SUMPRODUCT(Sheet1!$AV$8:$BE$8,Sheet2!A543:J543)</f>
        <v>4.573052235127658E-3</v>
      </c>
    </row>
    <row r="544" spans="1:11" x14ac:dyDescent="0.35">
      <c r="A544">
        <v>-2.9411764705882359E-2</v>
      </c>
      <c r="B544">
        <v>-1.1195611320362286E-2</v>
      </c>
      <c r="C544">
        <v>3.8575946714533238E-2</v>
      </c>
      <c r="D544">
        <v>1.4595566032930885E-2</v>
      </c>
      <c r="E544">
        <v>2.8852236434049328E-3</v>
      </c>
      <c r="F544">
        <v>2.5890561880279161E-2</v>
      </c>
      <c r="G544">
        <v>1.3636363636363447E-2</v>
      </c>
      <c r="H544">
        <v>-3.5456686985452235E-3</v>
      </c>
      <c r="I544">
        <v>9.3896713615022609E-3</v>
      </c>
      <c r="J544">
        <v>3.6144578313253017E-2</v>
      </c>
      <c r="K544">
        <f>SUMPRODUCT(Sheet1!$AV$8:$BE$8,Sheet2!A544:J544)</f>
        <v>2.2082349362746809E-2</v>
      </c>
    </row>
    <row r="545" spans="1:11" x14ac:dyDescent="0.35">
      <c r="A545">
        <v>-3.0303030303030276E-2</v>
      </c>
      <c r="B545">
        <v>0</v>
      </c>
      <c r="C545">
        <v>2.6143289082061649E-2</v>
      </c>
      <c r="D545">
        <v>1.3697156585033676E-2</v>
      </c>
      <c r="E545">
        <v>2.3061538461538467E-2</v>
      </c>
      <c r="F545">
        <v>1.6108824055844906E-3</v>
      </c>
      <c r="G545">
        <v>-4.4843049327353279E-3</v>
      </c>
      <c r="H545">
        <v>3.436426116838498E-2</v>
      </c>
      <c r="I545">
        <v>-8.3701710551605801E-3</v>
      </c>
      <c r="J545">
        <v>1.1627906976744207E-2</v>
      </c>
      <c r="K545">
        <f>SUMPRODUCT(Sheet1!$AV$8:$BE$8,Sheet2!A545:J545)</f>
        <v>1.8760595695080862E-2</v>
      </c>
    </row>
    <row r="546" spans="1:11" x14ac:dyDescent="0.35">
      <c r="A546">
        <v>3.125E-2</v>
      </c>
      <c r="B546">
        <v>-4.5289488794896249E-3</v>
      </c>
      <c r="C546">
        <v>-3.8702140271519192E-2</v>
      </c>
      <c r="D546">
        <v>-6.7560397580560538E-3</v>
      </c>
      <c r="E546">
        <v>-9.8648099971427872E-3</v>
      </c>
      <c r="F546">
        <v>-1.6082916368835853E-3</v>
      </c>
      <c r="G546">
        <v>-9.009009009009028E-3</v>
      </c>
      <c r="H546">
        <v>1.259395395961449E-2</v>
      </c>
      <c r="I546">
        <v>-9.4002267683557239E-4</v>
      </c>
      <c r="J546">
        <v>5.7471264367816577E-3</v>
      </c>
      <c r="K546">
        <f>SUMPRODUCT(Sheet1!$AV$8:$BE$8,Sheet2!A546:J546)</f>
        <v>-1.6681762918688725E-2</v>
      </c>
    </row>
    <row r="547" spans="1:11" x14ac:dyDescent="0.35">
      <c r="A547">
        <v>-3.0303030303030276E-2</v>
      </c>
      <c r="B547">
        <v>-1.5192259259559915E-3</v>
      </c>
      <c r="C547">
        <v>-1.5206120762940145E-2</v>
      </c>
      <c r="D547">
        <v>8.8390313390314112E-3</v>
      </c>
      <c r="E547">
        <v>0</v>
      </c>
      <c r="F547">
        <v>0</v>
      </c>
      <c r="G547">
        <v>-4.5454545454546302E-3</v>
      </c>
      <c r="H547">
        <v>3.3972844993077622E-3</v>
      </c>
      <c r="I547">
        <v>9.3896713615022609E-3</v>
      </c>
      <c r="J547">
        <v>5.7142857142857828E-3</v>
      </c>
      <c r="K547">
        <f>SUMPRODUCT(Sheet1!$AV$8:$BE$8,Sheet2!A547:J547)</f>
        <v>-4.9186667379239575E-3</v>
      </c>
    </row>
    <row r="548" spans="1:11" x14ac:dyDescent="0.35">
      <c r="A548">
        <v>3.125E-2</v>
      </c>
      <c r="B548">
        <v>2.2782379456802726E-3</v>
      </c>
      <c r="C548">
        <v>1.4263597936347683E-2</v>
      </c>
      <c r="D548">
        <v>4.1132158061578217E-2</v>
      </c>
      <c r="E548">
        <v>9.9630940266999257E-3</v>
      </c>
      <c r="F548">
        <v>-1.6824771791659088E-2</v>
      </c>
      <c r="G548">
        <v>9.1324200913243114E-3</v>
      </c>
      <c r="H548">
        <v>-2.2494579270200266E-3</v>
      </c>
      <c r="I548">
        <v>9.302325581395321E-3</v>
      </c>
      <c r="J548">
        <v>5.6818181818181213E-3</v>
      </c>
      <c r="K548">
        <f>SUMPRODUCT(Sheet1!$AV$8:$BE$8,Sheet2!A548:J548)</f>
        <v>6.9461777670829237E-3</v>
      </c>
    </row>
    <row r="549" spans="1:11" x14ac:dyDescent="0.35">
      <c r="A549">
        <v>-3.0303030303030276E-2</v>
      </c>
      <c r="B549">
        <v>1.8184475004464851E-2</v>
      </c>
      <c r="C549">
        <v>1.3339779794738771E-2</v>
      </c>
      <c r="D549">
        <v>-3.4970535780886602E-2</v>
      </c>
      <c r="E549">
        <v>1.1263327268079326E-2</v>
      </c>
      <c r="F549">
        <v>-5.0973966866922904E-3</v>
      </c>
      <c r="G549">
        <v>4.5248868778282603E-3</v>
      </c>
      <c r="H549">
        <v>-2.2661506815885302E-3</v>
      </c>
      <c r="I549">
        <v>-4.6082949308756671E-3</v>
      </c>
      <c r="J549">
        <v>0</v>
      </c>
      <c r="K549">
        <f>SUMPRODUCT(Sheet1!$AV$8:$BE$8,Sheet2!A549:J549)</f>
        <v>5.0403761243094872E-3</v>
      </c>
    </row>
    <row r="550" spans="1:11" x14ac:dyDescent="0.35">
      <c r="A550">
        <v>3.125E-2</v>
      </c>
      <c r="B550">
        <v>0</v>
      </c>
      <c r="C550">
        <v>8.72814021805568E-3</v>
      </c>
      <c r="D550">
        <v>-1.4763544374956084E-2</v>
      </c>
      <c r="E550">
        <v>-4.1785629312396377E-3</v>
      </c>
      <c r="F550">
        <v>-8.6001829826165554E-3</v>
      </c>
      <c r="G550">
        <v>9.009009009008917E-3</v>
      </c>
      <c r="H550">
        <v>0</v>
      </c>
      <c r="I550">
        <v>-1.851851851851849E-2</v>
      </c>
      <c r="J550">
        <v>0</v>
      </c>
      <c r="K550">
        <f>SUMPRODUCT(Sheet1!$AV$8:$BE$8,Sheet2!A550:J550)</f>
        <v>-5.0385228644004351E-5</v>
      </c>
    </row>
    <row r="551" spans="1:11" x14ac:dyDescent="0.35">
      <c r="A551">
        <v>-1.5151515151515138E-2</v>
      </c>
      <c r="B551">
        <v>-1.190381272822949E-2</v>
      </c>
      <c r="C551">
        <v>-2.9786743335607047E-2</v>
      </c>
      <c r="D551">
        <v>-3.2701181807159196E-2</v>
      </c>
      <c r="E551">
        <v>4.1960965848850673E-3</v>
      </c>
      <c r="F551">
        <v>0</v>
      </c>
      <c r="G551">
        <v>-8.9285714285713969E-3</v>
      </c>
      <c r="H551">
        <v>-3.4011228364432267E-3</v>
      </c>
      <c r="I551">
        <v>0</v>
      </c>
      <c r="J551">
        <v>0</v>
      </c>
      <c r="K551">
        <f>SUMPRODUCT(Sheet1!$AV$8:$BE$8,Sheet2!A551:J551)</f>
        <v>-1.5395050919000708E-2</v>
      </c>
    </row>
    <row r="552" spans="1:11" x14ac:dyDescent="0.35">
      <c r="A552">
        <v>3.0769230769230882E-2</v>
      </c>
      <c r="B552">
        <v>5.2691460432989778E-3</v>
      </c>
      <c r="C552">
        <v>8.4791003974642454E-3</v>
      </c>
      <c r="D552">
        <v>4.1548693446587626E-2</v>
      </c>
      <c r="E552">
        <v>2.2275755412800358E-2</v>
      </c>
      <c r="F552">
        <v>0</v>
      </c>
      <c r="G552">
        <v>-1.8018018018018056E-2</v>
      </c>
      <c r="H552">
        <v>4.5464107898365969E-2</v>
      </c>
      <c r="I552">
        <v>1.4150943396226578E-2</v>
      </c>
      <c r="J552">
        <v>-3.9548022598870136E-2</v>
      </c>
      <c r="K552">
        <f>SUMPRODUCT(Sheet1!$AV$8:$BE$8,Sheet2!A552:J552)</f>
        <v>1.6580261976619753E-2</v>
      </c>
    </row>
    <row r="553" spans="1:11" x14ac:dyDescent="0.35">
      <c r="A553">
        <v>4.4776119402984982E-2</v>
      </c>
      <c r="B553">
        <v>-1.1237578462378273E-2</v>
      </c>
      <c r="C553">
        <v>-7.1033906904831579E-3</v>
      </c>
      <c r="D553">
        <v>-1.6225514834453114E-2</v>
      </c>
      <c r="E553">
        <v>1.367352282314549E-3</v>
      </c>
      <c r="F553">
        <v>2.2517534145441109E-2</v>
      </c>
      <c r="G553">
        <v>-4.5871559633028358E-3</v>
      </c>
      <c r="H553">
        <v>0</v>
      </c>
      <c r="I553">
        <v>2.7868537382278458E-3</v>
      </c>
      <c r="J553">
        <v>-3.5294117647058809E-2</v>
      </c>
      <c r="K553">
        <f>SUMPRODUCT(Sheet1!$AV$8:$BE$8,Sheet2!A553:J553)</f>
        <v>-1.2320474021198838E-3</v>
      </c>
    </row>
    <row r="554" spans="1:11" x14ac:dyDescent="0.35">
      <c r="A554">
        <v>4.2857142857142927E-2</v>
      </c>
      <c r="B554">
        <v>0</v>
      </c>
      <c r="C554">
        <v>5.8255708681219209E-2</v>
      </c>
      <c r="D554">
        <v>1.3744270222426858E-2</v>
      </c>
      <c r="E554">
        <v>1.3654851830331438E-3</v>
      </c>
      <c r="F554">
        <v>-2.2021660649819474E-2</v>
      </c>
      <c r="G554">
        <v>2.3041474654378113E-2</v>
      </c>
      <c r="H554">
        <v>4.2391450163216104E-2</v>
      </c>
      <c r="I554">
        <v>3.4326784858648818E-2</v>
      </c>
      <c r="J554">
        <v>0</v>
      </c>
      <c r="K554">
        <f>SUMPRODUCT(Sheet1!$AV$8:$BE$8,Sheet2!A554:J554)</f>
        <v>4.2097488181399363E-2</v>
      </c>
    </row>
    <row r="555" spans="1:11" x14ac:dyDescent="0.35">
      <c r="A555">
        <v>0</v>
      </c>
      <c r="B555">
        <v>4.5461187511162349E-2</v>
      </c>
      <c r="C555">
        <v>-2.4828614122273107E-3</v>
      </c>
      <c r="D555">
        <v>-6.7789632090404783E-3</v>
      </c>
      <c r="E555">
        <v>-2.7272463515826129E-3</v>
      </c>
      <c r="F555">
        <v>5.1679586563306845E-3</v>
      </c>
      <c r="G555">
        <v>-9.009009009009028E-3</v>
      </c>
      <c r="H555">
        <v>-2.0912873750590366E-3</v>
      </c>
      <c r="I555">
        <v>2.1522810658562763E-2</v>
      </c>
      <c r="J555">
        <v>-2.4390243902438935E-2</v>
      </c>
      <c r="K555">
        <f>SUMPRODUCT(Sheet1!$AV$8:$BE$8,Sheet2!A555:J555)</f>
        <v>3.4268111641799956E-3</v>
      </c>
    </row>
    <row r="556" spans="1:11" x14ac:dyDescent="0.35">
      <c r="A556">
        <v>0</v>
      </c>
      <c r="B556">
        <v>0</v>
      </c>
      <c r="C556">
        <v>-3.7345149609300576E-2</v>
      </c>
      <c r="D556">
        <v>9.5553236803360697E-3</v>
      </c>
      <c r="E556">
        <v>-2.7201582637534916E-3</v>
      </c>
      <c r="F556">
        <v>-8.6301872934263502E-3</v>
      </c>
      <c r="G556">
        <v>-4.5454545454546302E-3</v>
      </c>
      <c r="H556">
        <v>4.4933314705155381E-2</v>
      </c>
      <c r="I556">
        <v>8.7977869484379134E-4</v>
      </c>
      <c r="J556">
        <v>-2.5000000000000022E-2</v>
      </c>
      <c r="K556">
        <f>SUMPRODUCT(Sheet1!$AV$8:$BE$8,Sheet2!A556:J556)</f>
        <v>-9.4128105637514975E-3</v>
      </c>
    </row>
    <row r="557" spans="1:11" x14ac:dyDescent="0.35">
      <c r="A557">
        <v>0</v>
      </c>
      <c r="B557">
        <v>-2.1742168936652595E-3</v>
      </c>
      <c r="C557">
        <v>3.3620732322982239E-2</v>
      </c>
      <c r="D557">
        <v>-3.1778506148280816E-2</v>
      </c>
      <c r="E557">
        <v>4.0986595487098043E-3</v>
      </c>
      <c r="F557">
        <v>-1.6669753658085096E-3</v>
      </c>
      <c r="G557">
        <v>-9.1324200913242004E-3</v>
      </c>
      <c r="H557">
        <v>3.199629743906196E-2</v>
      </c>
      <c r="I557">
        <v>-7.8929244599100779E-3</v>
      </c>
      <c r="J557">
        <v>0</v>
      </c>
      <c r="K557">
        <f>SUMPRODUCT(Sheet1!$AV$8:$BE$8,Sheet2!A557:J557)</f>
        <v>2.1525960581469068E-2</v>
      </c>
    </row>
    <row r="558" spans="1:11" x14ac:dyDescent="0.35">
      <c r="A558">
        <v>0</v>
      </c>
      <c r="B558">
        <v>2.1789544131609606E-3</v>
      </c>
      <c r="C558">
        <v>6.3954858098362877E-3</v>
      </c>
      <c r="D558">
        <v>3.2821525188272194E-2</v>
      </c>
      <c r="E558">
        <v>4.08192911098193E-3</v>
      </c>
      <c r="F558">
        <v>3.5250463821892009E-3</v>
      </c>
      <c r="G558">
        <v>0</v>
      </c>
      <c r="H558">
        <v>7.7535603591751823E-3</v>
      </c>
      <c r="I558">
        <v>6.1837213763118459E-3</v>
      </c>
      <c r="J558">
        <v>4.4871794871794712E-2</v>
      </c>
      <c r="K558">
        <f>SUMPRODUCT(Sheet1!$AV$8:$BE$8,Sheet2!A558:J558)</f>
        <v>6.4216572494708649E-3</v>
      </c>
    </row>
    <row r="559" spans="1:11" x14ac:dyDescent="0.35">
      <c r="A559">
        <v>0</v>
      </c>
      <c r="B559">
        <v>-3.6262831762202685E-3</v>
      </c>
      <c r="C559">
        <v>-1.1050081267390599E-2</v>
      </c>
      <c r="D559">
        <v>-2.2986146015475106E-2</v>
      </c>
      <c r="E559">
        <v>-5.4252687316445058E-3</v>
      </c>
      <c r="F559">
        <v>2.4218894435200644E-2</v>
      </c>
      <c r="G559">
        <v>-4.6082949308754451E-3</v>
      </c>
      <c r="H559">
        <v>1.8275497186483136E-2</v>
      </c>
      <c r="I559">
        <v>2.8123241162693491E-2</v>
      </c>
      <c r="J559">
        <v>0</v>
      </c>
      <c r="K559">
        <f>SUMPRODUCT(Sheet1!$AV$8:$BE$8,Sheet2!A559:J559)</f>
        <v>5.8363826629061815E-3</v>
      </c>
    </row>
    <row r="560" spans="1:11" x14ac:dyDescent="0.35">
      <c r="A560">
        <v>-4.1095890410958957E-2</v>
      </c>
      <c r="B560">
        <v>-3.1999376534310175E-2</v>
      </c>
      <c r="C560">
        <v>5.1672375967051209E-3</v>
      </c>
      <c r="D560">
        <v>2.352693968640418E-2</v>
      </c>
      <c r="E560">
        <v>1.4997236202833442E-2</v>
      </c>
      <c r="F560">
        <v>-1.6967509025270777E-2</v>
      </c>
      <c r="G560">
        <v>0</v>
      </c>
      <c r="H560">
        <v>4.7199588217585742E-3</v>
      </c>
      <c r="I560">
        <v>2.4784558875467821E-2</v>
      </c>
      <c r="J560">
        <v>3.6809815950920255E-2</v>
      </c>
      <c r="K560">
        <f>SUMPRODUCT(Sheet1!$AV$8:$BE$8,Sheet2!A560:J560)</f>
        <v>6.5900759338180948E-3</v>
      </c>
    </row>
    <row r="561" spans="1:11" x14ac:dyDescent="0.35">
      <c r="A561">
        <v>2.8571428571428692E-2</v>
      </c>
      <c r="B561">
        <v>2.7043128919804538E-2</v>
      </c>
      <c r="C561">
        <v>0</v>
      </c>
      <c r="D561">
        <v>-1.8929767306861911E-2</v>
      </c>
      <c r="E561">
        <v>6.7070811298852728E-3</v>
      </c>
      <c r="F561">
        <v>-6.793977230995174E-3</v>
      </c>
      <c r="G561">
        <v>1.388888888888884E-2</v>
      </c>
      <c r="H561">
        <v>0</v>
      </c>
      <c r="I561">
        <v>-2.4185140828687834E-2</v>
      </c>
      <c r="J561">
        <v>-3.5502958579881727E-2</v>
      </c>
      <c r="K561">
        <f>SUMPRODUCT(Sheet1!$AV$8:$BE$8,Sheet2!A561:J561)</f>
        <v>-4.8984873948477109E-3</v>
      </c>
    </row>
    <row r="562" spans="1:11" x14ac:dyDescent="0.35">
      <c r="A562">
        <v>1.388888888888884E-2</v>
      </c>
      <c r="B562">
        <v>2.1949078138718825E-3</v>
      </c>
      <c r="C562">
        <v>-1.3976507979052144E-4</v>
      </c>
      <c r="D562">
        <v>6.2055778042355847E-3</v>
      </c>
      <c r="E562">
        <v>6.6623959000640109E-3</v>
      </c>
      <c r="F562">
        <v>6.8404511000184076E-3</v>
      </c>
      <c r="G562">
        <v>-9.1324200913242004E-3</v>
      </c>
      <c r="H562">
        <v>5.6354093163080154E-3</v>
      </c>
      <c r="I562">
        <v>4.2735042735042583E-3</v>
      </c>
      <c r="J562">
        <v>3.0674846625766916E-2</v>
      </c>
      <c r="K562">
        <f>SUMPRODUCT(Sheet1!$AV$8:$BE$8,Sheet2!A562:J562)</f>
        <v>2.6836073312851197E-3</v>
      </c>
    </row>
    <row r="563" spans="1:11" x14ac:dyDescent="0.35">
      <c r="A563">
        <v>4.1095890410958846E-2</v>
      </c>
      <c r="B563">
        <v>-2.7000813465990925E-2</v>
      </c>
      <c r="C563">
        <v>2.4180823848404476E-2</v>
      </c>
      <c r="D563">
        <v>-4.1091469755100141E-3</v>
      </c>
      <c r="E563">
        <v>3.9738096248214116E-3</v>
      </c>
      <c r="F563">
        <v>-3.4887991186192124E-3</v>
      </c>
      <c r="G563">
        <v>0</v>
      </c>
      <c r="H563">
        <v>1.7753469952708656E-2</v>
      </c>
      <c r="I563">
        <v>4.2553191489360653E-3</v>
      </c>
      <c r="J563">
        <v>3.5714285714285809E-2</v>
      </c>
      <c r="K563">
        <f>SUMPRODUCT(Sheet1!$AV$8:$BE$8,Sheet2!A563:J563)</f>
        <v>1.5839937197344459E-2</v>
      </c>
    </row>
    <row r="564" spans="1:11" x14ac:dyDescent="0.35">
      <c r="A564">
        <v>3.9473684210526327E-2</v>
      </c>
      <c r="B564">
        <v>2.4751599729894824E-2</v>
      </c>
      <c r="C564">
        <v>-1.3461466551989432E-4</v>
      </c>
      <c r="D564">
        <v>-2.7579353649402893E-3</v>
      </c>
      <c r="E564">
        <v>-1.3099698566076956E-3</v>
      </c>
      <c r="F564">
        <v>1.216141514648994E-2</v>
      </c>
      <c r="G564">
        <v>4.6082949308756671E-3</v>
      </c>
      <c r="H564">
        <v>1.0105493799760001E-2</v>
      </c>
      <c r="I564">
        <v>2.538870990334674E-3</v>
      </c>
      <c r="J564">
        <v>-4.0229885057471271E-2</v>
      </c>
      <c r="K564">
        <f>SUMPRODUCT(Sheet1!$AV$8:$BE$8,Sheet2!A564:J564)</f>
        <v>3.8117300996845628E-3</v>
      </c>
    </row>
    <row r="565" spans="1:11" x14ac:dyDescent="0.35">
      <c r="A565">
        <v>2.5316455696202445E-2</v>
      </c>
      <c r="B565">
        <v>-1.3179054716611183E-2</v>
      </c>
      <c r="C565">
        <v>2.1709537237186716E-3</v>
      </c>
      <c r="D565">
        <v>-4.1375127266425338E-3</v>
      </c>
      <c r="E565">
        <v>-2.6515846038842605E-3</v>
      </c>
      <c r="F565">
        <v>0</v>
      </c>
      <c r="G565">
        <v>-9.1743119266055606E-3</v>
      </c>
      <c r="H565">
        <v>0</v>
      </c>
      <c r="I565">
        <v>1.0994288907906435E-2</v>
      </c>
      <c r="J565">
        <v>1.7964071856287456E-2</v>
      </c>
      <c r="K565">
        <f>SUMPRODUCT(Sheet1!$AV$8:$BE$8,Sheet2!A565:J565)</f>
        <v>3.0179895461953381E-3</v>
      </c>
    </row>
    <row r="566" spans="1:11" x14ac:dyDescent="0.35">
      <c r="A566">
        <v>-3.703703703703709E-2</v>
      </c>
      <c r="B566">
        <v>4.4516872689694953E-3</v>
      </c>
      <c r="C566">
        <v>2.0300439034310891E-3</v>
      </c>
      <c r="D566">
        <v>-3.0467820992488237E-2</v>
      </c>
      <c r="E566">
        <v>0</v>
      </c>
      <c r="F566">
        <v>-1.7112688876752324E-2</v>
      </c>
      <c r="G566">
        <v>4.6296296296295392E-3</v>
      </c>
      <c r="H566">
        <v>2.7273662262863096E-2</v>
      </c>
      <c r="I566">
        <v>-1.6756929508606744E-3</v>
      </c>
      <c r="J566">
        <v>2.3529411764705799E-2</v>
      </c>
      <c r="K566">
        <f>SUMPRODUCT(Sheet1!$AV$8:$BE$8,Sheet2!A566:J566)</f>
        <v>5.0790344789679925E-3</v>
      </c>
    </row>
    <row r="567" spans="1:11" x14ac:dyDescent="0.35">
      <c r="A567">
        <v>0</v>
      </c>
      <c r="B567">
        <v>-2.1415852162557814E-2</v>
      </c>
      <c r="C567">
        <v>2.0270484156585056E-2</v>
      </c>
      <c r="D567">
        <v>2.0715856230462126E-2</v>
      </c>
      <c r="E567">
        <v>0</v>
      </c>
      <c r="F567">
        <v>5.1861455825152891E-3</v>
      </c>
      <c r="G567">
        <v>-9.2165898617511122E-3</v>
      </c>
      <c r="H567">
        <v>-4.4234094839356031E-3</v>
      </c>
      <c r="I567">
        <v>-1.0045077392951907E-2</v>
      </c>
      <c r="J567">
        <v>2.2988505747126409E-2</v>
      </c>
      <c r="K567">
        <f>SUMPRODUCT(Sheet1!$AV$8:$BE$8,Sheet2!A567:J567)</f>
        <v>7.266917815485276E-3</v>
      </c>
    </row>
    <row r="568" spans="1:11" x14ac:dyDescent="0.35">
      <c r="A568">
        <v>-3.8461538461538547E-2</v>
      </c>
      <c r="B568">
        <v>3.7768198691456867E-3</v>
      </c>
      <c r="C568">
        <v>-1.3377792135026212E-2</v>
      </c>
      <c r="D568">
        <v>-1.4697693502535025E-2</v>
      </c>
      <c r="E568">
        <v>-7.9476192496428233E-3</v>
      </c>
      <c r="F568">
        <v>0</v>
      </c>
      <c r="G568">
        <v>0</v>
      </c>
      <c r="H568">
        <v>2.0441746507716019E-2</v>
      </c>
      <c r="I568">
        <v>-1.6955374154417058E-3</v>
      </c>
      <c r="J568">
        <v>-5.6179775280899014E-3</v>
      </c>
      <c r="K568">
        <f>SUMPRODUCT(Sheet1!$AV$8:$BE$8,Sheet2!A568:J568)</f>
        <v>-2.5663028664269713E-3</v>
      </c>
    </row>
    <row r="569" spans="1:11" x14ac:dyDescent="0.35">
      <c r="A569">
        <v>-4.0000000000000036E-2</v>
      </c>
      <c r="B569">
        <v>0</v>
      </c>
      <c r="C569">
        <v>-1.3289110291846207E-2</v>
      </c>
      <c r="D569">
        <v>-5.6812266690463575E-3</v>
      </c>
      <c r="E569">
        <v>-2.665678322475773E-3</v>
      </c>
      <c r="F569">
        <v>0</v>
      </c>
      <c r="G569">
        <v>-4.6511627906975495E-3</v>
      </c>
      <c r="H569">
        <v>4.5296541838380167E-2</v>
      </c>
      <c r="I569">
        <v>-9.3237848438156856E-3</v>
      </c>
      <c r="J569">
        <v>0</v>
      </c>
      <c r="K569">
        <f>SUMPRODUCT(Sheet1!$AV$8:$BE$8,Sheet2!A569:J569)</f>
        <v>1.2675785514395838E-3</v>
      </c>
    </row>
    <row r="570" spans="1:11" x14ac:dyDescent="0.35">
      <c r="A570">
        <v>-1.3888888888888951E-2</v>
      </c>
      <c r="B570">
        <v>-7.5735602178605976E-4</v>
      </c>
      <c r="C570">
        <v>1.2240138430360314E-2</v>
      </c>
      <c r="D570">
        <v>-7.1421092780112883E-3</v>
      </c>
      <c r="E570">
        <v>-4.0163512663655698E-3</v>
      </c>
      <c r="F570">
        <v>0</v>
      </c>
      <c r="G570">
        <v>-4.6728971962617383E-3</v>
      </c>
      <c r="H570">
        <v>3.7497000239980816E-2</v>
      </c>
      <c r="I570">
        <v>8.5720092966545813E-4</v>
      </c>
      <c r="J570">
        <v>-1.1299435028248594E-2</v>
      </c>
      <c r="K570">
        <f>SUMPRODUCT(Sheet1!$AV$8:$BE$8,Sheet2!A570:J570)</f>
        <v>1.3991594733197988E-2</v>
      </c>
    </row>
    <row r="571" spans="1:11" x14ac:dyDescent="0.35">
      <c r="A571">
        <v>4.2253521126760507E-2</v>
      </c>
      <c r="B571">
        <v>0</v>
      </c>
      <c r="C571">
        <v>5.7636247124670525E-3</v>
      </c>
      <c r="D571">
        <v>-1.4386971881379051E-2</v>
      </c>
      <c r="E571">
        <v>-5.3815134250821961E-3</v>
      </c>
      <c r="F571">
        <v>3.5010134512623026E-3</v>
      </c>
      <c r="G571">
        <v>-1.4084507042253391E-2</v>
      </c>
      <c r="H571">
        <v>4.4179725900653555E-2</v>
      </c>
      <c r="I571">
        <v>-1.7129335311152349E-3</v>
      </c>
      <c r="J571">
        <v>1.1428571428571344E-2</v>
      </c>
      <c r="K571">
        <f>SUMPRODUCT(Sheet1!$AV$8:$BE$8,Sheet2!A571:J571)</f>
        <v>1.2105967837977677E-2</v>
      </c>
    </row>
    <row r="572" spans="1:11" x14ac:dyDescent="0.35">
      <c r="A572">
        <v>-2.7027027027027084E-2</v>
      </c>
      <c r="B572">
        <v>-7.4986695908796364E-4</v>
      </c>
      <c r="C572">
        <v>-2.1489733910321385E-2</v>
      </c>
      <c r="D572">
        <v>1.3863308087948667E-2</v>
      </c>
      <c r="E572">
        <v>-2.6981012292952578E-3</v>
      </c>
      <c r="F572">
        <v>0</v>
      </c>
      <c r="G572">
        <v>-9.52380952380949E-3</v>
      </c>
      <c r="H572">
        <v>3.0767648478231546E-2</v>
      </c>
      <c r="I572">
        <v>5.9967097698607752E-3</v>
      </c>
      <c r="J572">
        <v>5.6497175141243527E-3</v>
      </c>
      <c r="K572">
        <f>SUMPRODUCT(Sheet1!$AV$8:$BE$8,Sheet2!A572:J572)</f>
        <v>-2.8686648602150827E-3</v>
      </c>
    </row>
    <row r="573" spans="1:11" x14ac:dyDescent="0.35">
      <c r="A573">
        <v>2.7777777777777901E-2</v>
      </c>
      <c r="B573">
        <v>0</v>
      </c>
      <c r="C573">
        <v>7.7236629154277425E-2</v>
      </c>
      <c r="D573">
        <v>-1.007816798956751E-2</v>
      </c>
      <c r="E573">
        <v>6.770735377092274E-3</v>
      </c>
      <c r="F573">
        <v>8.6301872934264612E-3</v>
      </c>
      <c r="G573">
        <v>9.6153846153845812E-3</v>
      </c>
      <c r="H573">
        <v>-1.8658663883089788E-2</v>
      </c>
      <c r="I573">
        <v>-4.2553191489362874E-3</v>
      </c>
      <c r="J573">
        <v>1.6853932584269593E-2</v>
      </c>
      <c r="K573">
        <f>SUMPRODUCT(Sheet1!$AV$8:$BE$8,Sheet2!A573:J573)</f>
        <v>3.3809226980954551E-2</v>
      </c>
    </row>
    <row r="574" spans="1:11" x14ac:dyDescent="0.35">
      <c r="A574">
        <v>2.7027027027026973E-2</v>
      </c>
      <c r="B574">
        <v>1.5815507266257356E-2</v>
      </c>
      <c r="C574">
        <v>-5.8558196575253518E-3</v>
      </c>
      <c r="D574">
        <v>-1.7452751168847036E-2</v>
      </c>
      <c r="E574">
        <v>-1.3364181120578689E-3</v>
      </c>
      <c r="F574">
        <v>2.5669033315128376E-2</v>
      </c>
      <c r="G574">
        <v>-4.761904761904856E-3</v>
      </c>
      <c r="H574">
        <v>2.2814550630782859E-2</v>
      </c>
      <c r="I574">
        <v>8.5646676555772849E-4</v>
      </c>
      <c r="J574">
        <v>-1.6574585635359185E-2</v>
      </c>
      <c r="K574">
        <f>SUMPRODUCT(Sheet1!$AV$8:$BE$8,Sheet2!A574:J574)</f>
        <v>4.4808298228652408E-3</v>
      </c>
    </row>
    <row r="575" spans="1:11" x14ac:dyDescent="0.35">
      <c r="A575">
        <v>0</v>
      </c>
      <c r="B575">
        <v>-5.1950527845959771E-3</v>
      </c>
      <c r="C575">
        <v>5.1540232308855405E-3</v>
      </c>
      <c r="D575">
        <v>5.5512500581242241E-2</v>
      </c>
      <c r="E575">
        <v>-2.7051916657074848E-3</v>
      </c>
      <c r="F575">
        <v>-3.833865814696491E-2</v>
      </c>
      <c r="G575">
        <v>3.8277511961722466E-2</v>
      </c>
      <c r="H575">
        <v>2.2328597427623276E-3</v>
      </c>
      <c r="I575">
        <v>3.4141134332572598E-3</v>
      </c>
      <c r="J575">
        <v>1.1235955056179803E-2</v>
      </c>
      <c r="K575">
        <f>SUMPRODUCT(Sheet1!$AV$8:$BE$8,Sheet2!A575:J575)</f>
        <v>2.910914933777197E-4</v>
      </c>
    </row>
    <row r="576" spans="1:11" x14ac:dyDescent="0.35">
      <c r="A576">
        <v>0</v>
      </c>
      <c r="B576">
        <v>0</v>
      </c>
      <c r="C576">
        <v>-3.6625682033135654E-3</v>
      </c>
      <c r="D576">
        <v>-1.8230944881311606E-2</v>
      </c>
      <c r="E576">
        <v>-6.7524672476481085E-3</v>
      </c>
      <c r="F576">
        <v>3.8205980066445155E-2</v>
      </c>
      <c r="G576">
        <v>-3.2258064516129004E-2</v>
      </c>
      <c r="H576">
        <v>2.3736132940655796E-2</v>
      </c>
      <c r="I576">
        <v>8.5106382978723527E-3</v>
      </c>
      <c r="J576">
        <v>-3.3333333333333326E-2</v>
      </c>
      <c r="K576">
        <f>SUMPRODUCT(Sheet1!$AV$8:$BE$8,Sheet2!A576:J576)</f>
        <v>7.9970701617556664E-3</v>
      </c>
    </row>
    <row r="577" spans="1:11" x14ac:dyDescent="0.35">
      <c r="A577">
        <v>0</v>
      </c>
      <c r="B577">
        <v>-2.9784006068591662E-3</v>
      </c>
      <c r="C577">
        <v>-3.8234241316141837E-3</v>
      </c>
      <c r="D577">
        <v>-1.500216880805294E-2</v>
      </c>
      <c r="E577">
        <v>0</v>
      </c>
      <c r="F577">
        <v>-1.1733333333333262E-2</v>
      </c>
      <c r="G577">
        <v>-9.52380952380949E-3</v>
      </c>
      <c r="H577">
        <v>2.7538251712290407E-2</v>
      </c>
      <c r="I577">
        <v>-8.4562541409494152E-4</v>
      </c>
      <c r="J577">
        <v>5.7471264367816577E-3</v>
      </c>
      <c r="K577">
        <f>SUMPRODUCT(Sheet1!$AV$8:$BE$8,Sheet2!A577:J577)</f>
        <v>2.7525196410309854E-3</v>
      </c>
    </row>
    <row r="578" spans="1:11" x14ac:dyDescent="0.35">
      <c r="A578">
        <v>0</v>
      </c>
      <c r="B578">
        <v>-9.7147250564623144E-3</v>
      </c>
      <c r="C578">
        <v>-2.7310565428223632E-2</v>
      </c>
      <c r="D578">
        <v>1.523066176693888E-2</v>
      </c>
      <c r="E578">
        <v>-2.7164439279488972E-3</v>
      </c>
      <c r="F578">
        <v>-2.0327397013851445E-2</v>
      </c>
      <c r="G578">
        <v>0</v>
      </c>
      <c r="H578">
        <v>5.6429151676917755E-3</v>
      </c>
      <c r="I578">
        <v>-4.2229803422010326E-3</v>
      </c>
      <c r="J578">
        <v>0</v>
      </c>
      <c r="K578">
        <f>SUMPRODUCT(Sheet1!$AV$8:$BE$8,Sheet2!A578:J578)</f>
        <v>-1.4851530839691759E-2</v>
      </c>
    </row>
    <row r="579" spans="1:11" x14ac:dyDescent="0.35">
      <c r="A579">
        <v>0</v>
      </c>
      <c r="B579">
        <v>-9.0578977589790277E-3</v>
      </c>
      <c r="C579">
        <v>1.5024700121689882E-2</v>
      </c>
      <c r="D579">
        <v>0</v>
      </c>
      <c r="E579">
        <v>5.4476861899699358E-3</v>
      </c>
      <c r="F579">
        <v>0</v>
      </c>
      <c r="G579">
        <v>9.6153846153845812E-3</v>
      </c>
      <c r="H579">
        <v>-4.2048323115759789E-3</v>
      </c>
      <c r="I579">
        <v>5.0908198761030476E-3</v>
      </c>
      <c r="J579">
        <v>4.0000000000000036E-2</v>
      </c>
      <c r="K579">
        <f>SUMPRODUCT(Sheet1!$AV$8:$BE$8,Sheet2!A579:J579)</f>
        <v>7.449368227222049E-3</v>
      </c>
    </row>
    <row r="580" spans="1:11" x14ac:dyDescent="0.35">
      <c r="A580">
        <v>-1.3157894736842146E-2</v>
      </c>
      <c r="B580">
        <v>0</v>
      </c>
      <c r="C580">
        <v>1.3457122926705534E-2</v>
      </c>
      <c r="D580">
        <v>-2.1426327834033865E-2</v>
      </c>
      <c r="E580">
        <v>-2.7090848508554144E-3</v>
      </c>
      <c r="F580">
        <v>3.4520749173705623E-2</v>
      </c>
      <c r="G580">
        <v>1.4285714285714235E-2</v>
      </c>
      <c r="H580">
        <v>-1.0567333251247479E-2</v>
      </c>
      <c r="I580">
        <v>2.4470830282107503E-2</v>
      </c>
      <c r="J580">
        <v>5.494505494505475E-3</v>
      </c>
      <c r="K580">
        <f>SUMPRODUCT(Sheet1!$AV$8:$BE$8,Sheet2!A580:J580)</f>
        <v>1.1985605925071108E-2</v>
      </c>
    </row>
    <row r="581" spans="1:11" x14ac:dyDescent="0.35">
      <c r="A581">
        <v>-4.0000000000000036E-2</v>
      </c>
      <c r="B581">
        <v>1.2184870520448143E-2</v>
      </c>
      <c r="C581">
        <v>1.6228805205047436E-2</v>
      </c>
      <c r="D581">
        <v>2.1161797186069586E-2</v>
      </c>
      <c r="E581">
        <v>-1.7678675188843807E-2</v>
      </c>
      <c r="F581">
        <v>0</v>
      </c>
      <c r="G581">
        <v>-1.8779342723004744E-2</v>
      </c>
      <c r="H581">
        <v>1.0680194424923739E-2</v>
      </c>
      <c r="I581">
        <v>2.4762796238777529E-3</v>
      </c>
      <c r="J581">
        <v>-4.3715846994535568E-2</v>
      </c>
      <c r="K581">
        <f>SUMPRODUCT(Sheet1!$AV$8:$BE$8,Sheet2!A581:J581)</f>
        <v>1.057565218994584E-2</v>
      </c>
    </row>
    <row r="582" spans="1:11" x14ac:dyDescent="0.35">
      <c r="A582">
        <v>-1.3888888888888951E-2</v>
      </c>
      <c r="B582">
        <v>0</v>
      </c>
      <c r="C582">
        <v>1.3357400096659866E-2</v>
      </c>
      <c r="D582">
        <v>-2.8588962564923825E-3</v>
      </c>
      <c r="E582">
        <v>-1.109090102479926E-2</v>
      </c>
      <c r="F582">
        <v>0</v>
      </c>
      <c r="G582">
        <v>-9.5693779904306719E-3</v>
      </c>
      <c r="H582">
        <v>2.0417623327804613E-2</v>
      </c>
      <c r="I582">
        <v>-1.6467752066956498E-3</v>
      </c>
      <c r="J582">
        <v>-2.8571428571428581E-2</v>
      </c>
      <c r="K582">
        <f>SUMPRODUCT(Sheet1!$AV$8:$BE$8,Sheet2!A582:J582)</f>
        <v>1.0365893970774417E-2</v>
      </c>
    </row>
    <row r="583" spans="1:11" x14ac:dyDescent="0.35">
      <c r="A583">
        <v>4.2253521126760507E-2</v>
      </c>
      <c r="B583">
        <v>0</v>
      </c>
      <c r="C583">
        <v>-5.157317852832799E-3</v>
      </c>
      <c r="D583">
        <v>-1.1468371911495412E-2</v>
      </c>
      <c r="E583">
        <v>5.6076443407653276E-3</v>
      </c>
      <c r="F583">
        <v>0</v>
      </c>
      <c r="G583">
        <v>0</v>
      </c>
      <c r="H583">
        <v>-6.8991950939056856E-3</v>
      </c>
      <c r="I583">
        <v>-2.4657347889670556E-3</v>
      </c>
      <c r="J583">
        <v>2.3529411764705799E-2</v>
      </c>
      <c r="K583">
        <f>SUMPRODUCT(Sheet1!$AV$8:$BE$8,Sheet2!A583:J583)</f>
        <v>-4.3463887087377999E-3</v>
      </c>
    </row>
    <row r="584" spans="1:11" x14ac:dyDescent="0.35">
      <c r="A584">
        <v>0</v>
      </c>
      <c r="B584">
        <v>-3.0075309219331769E-3</v>
      </c>
      <c r="C584">
        <v>1.1663691176799107E-2</v>
      </c>
      <c r="D584">
        <v>-7.9721808849880782E-3</v>
      </c>
      <c r="E584">
        <v>-1.3978110873186234E-3</v>
      </c>
      <c r="F584">
        <v>-2.005679801206961E-2</v>
      </c>
      <c r="G584">
        <v>-4.8309178743960457E-3</v>
      </c>
      <c r="H584">
        <v>-1.8761524936746987E-2</v>
      </c>
      <c r="I584">
        <v>2.4718296653654104E-3</v>
      </c>
      <c r="J584">
        <v>0</v>
      </c>
      <c r="K584">
        <f>SUMPRODUCT(Sheet1!$AV$8:$BE$8,Sheet2!A584:J584)</f>
        <v>4.3744087661382297E-4</v>
      </c>
    </row>
    <row r="585" spans="1:11" x14ac:dyDescent="0.35">
      <c r="A585">
        <v>0</v>
      </c>
      <c r="B585">
        <v>-7.5212901034371615E-4</v>
      </c>
      <c r="C585">
        <v>3.6067021647006925E-2</v>
      </c>
      <c r="D585">
        <v>7.3091582604969396E-3</v>
      </c>
      <c r="E585">
        <v>1.5337880096494505E-2</v>
      </c>
      <c r="F585">
        <v>0</v>
      </c>
      <c r="G585">
        <v>0</v>
      </c>
      <c r="H585">
        <v>1.8413711222312168E-2</v>
      </c>
      <c r="I585">
        <v>-4.115226337448652E-3</v>
      </c>
      <c r="J585">
        <v>-5.7471264367816577E-3</v>
      </c>
      <c r="K585">
        <f>SUMPRODUCT(Sheet1!$AV$8:$BE$8,Sheet2!A585:J585)</f>
        <v>2.0805673971413474E-2</v>
      </c>
    </row>
    <row r="586" spans="1:11" x14ac:dyDescent="0.35">
      <c r="A586">
        <v>-1.3513513513513487E-2</v>
      </c>
      <c r="B586">
        <v>1.8121337693029815E-2</v>
      </c>
      <c r="C586">
        <v>-3.2786885245901676E-2</v>
      </c>
      <c r="D586">
        <v>1.4512244231192906E-2</v>
      </c>
      <c r="E586">
        <v>-1.5106183268801976E-2</v>
      </c>
      <c r="F586">
        <v>3.4414055424742962E-3</v>
      </c>
      <c r="G586">
        <v>-1.4563106796116609E-2</v>
      </c>
      <c r="H586">
        <v>-2.088444180607496E-3</v>
      </c>
      <c r="I586">
        <v>-8.2815381463019477E-4</v>
      </c>
      <c r="J586">
        <v>0</v>
      </c>
      <c r="K586">
        <f>SUMPRODUCT(Sheet1!$AV$8:$BE$8,Sheet2!A586:J586)</f>
        <v>-1.6191212605881265E-2</v>
      </c>
    </row>
    <row r="587" spans="1:11" x14ac:dyDescent="0.35">
      <c r="A587">
        <v>-1.3698630136986356E-2</v>
      </c>
      <c r="B587">
        <v>-2.9651416987956924E-3</v>
      </c>
      <c r="C587">
        <v>3.050847457627115E-2</v>
      </c>
      <c r="D587">
        <v>-5.0103727447705637E-3</v>
      </c>
      <c r="E587">
        <v>1.3953003544092679E-2</v>
      </c>
      <c r="F587">
        <v>1.534296028880866E-2</v>
      </c>
      <c r="G587">
        <v>-4.9261083743841194E-3</v>
      </c>
      <c r="H587">
        <v>6.9521591112686743E-4</v>
      </c>
      <c r="I587">
        <v>0</v>
      </c>
      <c r="J587">
        <v>0</v>
      </c>
      <c r="K587">
        <f>SUMPRODUCT(Sheet1!$AV$8:$BE$8,Sheet2!A587:J587)</f>
        <v>1.643019592727692E-2</v>
      </c>
    </row>
    <row r="588" spans="1:11" x14ac:dyDescent="0.35">
      <c r="A588">
        <v>0</v>
      </c>
      <c r="B588">
        <v>-5.2064231155617424E-3</v>
      </c>
      <c r="C588">
        <v>2.7960526315788936E-3</v>
      </c>
      <c r="D588">
        <v>-1.4376684179625676E-2</v>
      </c>
      <c r="E588">
        <v>2.4760981627527823E-2</v>
      </c>
      <c r="F588">
        <v>0</v>
      </c>
      <c r="G588">
        <v>-9.9009900990099098E-3</v>
      </c>
      <c r="H588">
        <v>2.0197390096116763E-2</v>
      </c>
      <c r="I588">
        <v>9.1001529509275869E-3</v>
      </c>
      <c r="J588">
        <v>0</v>
      </c>
      <c r="K588">
        <f>SUMPRODUCT(Sheet1!$AV$8:$BE$8,Sheet2!A588:J588)</f>
        <v>7.4843974930722621E-3</v>
      </c>
    </row>
    <row r="589" spans="1:11" x14ac:dyDescent="0.35">
      <c r="A589">
        <v>-1.3888888888888951E-2</v>
      </c>
      <c r="B589">
        <v>-2.2441471839960148E-3</v>
      </c>
      <c r="C589">
        <v>0</v>
      </c>
      <c r="D589">
        <v>-8.0186950146627911E-3</v>
      </c>
      <c r="E589">
        <v>5.9059575504822659E-2</v>
      </c>
      <c r="F589">
        <v>0</v>
      </c>
      <c r="G589">
        <v>4.9999999999998934E-3</v>
      </c>
      <c r="H589">
        <v>1.5016638351048162E-2</v>
      </c>
      <c r="I589">
        <v>2.5411529603034833E-2</v>
      </c>
      <c r="J589">
        <v>0</v>
      </c>
      <c r="K589">
        <f>SUMPRODUCT(Sheet1!$AV$8:$BE$8,Sheet2!A589:J589)</f>
        <v>8.4369720395096881E-3</v>
      </c>
    </row>
    <row r="590" spans="1:11" x14ac:dyDescent="0.35">
      <c r="A590">
        <v>2.8169014084507005E-2</v>
      </c>
      <c r="B590">
        <v>0</v>
      </c>
      <c r="C590">
        <v>-8.5287846481875151E-3</v>
      </c>
      <c r="D590">
        <v>0</v>
      </c>
      <c r="E590">
        <v>-2.4087255406100239E-2</v>
      </c>
      <c r="F590">
        <v>-2.3466666666666636E-2</v>
      </c>
      <c r="G590">
        <v>-4.9751243781093191E-3</v>
      </c>
      <c r="H590">
        <v>8.7425042017970078E-3</v>
      </c>
      <c r="I590">
        <v>8.794602673889651E-3</v>
      </c>
      <c r="J590">
        <v>-5.7803468208093012E-3</v>
      </c>
      <c r="K590">
        <f>SUMPRODUCT(Sheet1!$AV$8:$BE$8,Sheet2!A590:J590)</f>
        <v>-2.8429027992307281E-3</v>
      </c>
    </row>
    <row r="591" spans="1:11" x14ac:dyDescent="0.35">
      <c r="A591">
        <v>-2.7397260273972601E-2</v>
      </c>
      <c r="B591">
        <v>0</v>
      </c>
      <c r="C591">
        <v>-1.2406947890818865E-2</v>
      </c>
      <c r="D591">
        <v>-6.6207831000661965E-3</v>
      </c>
      <c r="E591">
        <v>-5.9735433594941711E-2</v>
      </c>
      <c r="F591">
        <v>-5.0973966866922904E-3</v>
      </c>
      <c r="G591">
        <v>-1.0000000000000009E-2</v>
      </c>
      <c r="H591">
        <v>6.6646096883677952E-3</v>
      </c>
      <c r="I591">
        <v>-1.6641836250225195E-2</v>
      </c>
      <c r="J591">
        <v>0</v>
      </c>
      <c r="K591">
        <f>SUMPRODUCT(Sheet1!$AV$8:$BE$8,Sheet2!A591:J591)</f>
        <v>-8.7135817523596101E-3</v>
      </c>
    </row>
    <row r="592" spans="1:11" x14ac:dyDescent="0.35">
      <c r="A592">
        <v>0</v>
      </c>
      <c r="B592">
        <v>7.4705395657437279E-4</v>
      </c>
      <c r="C592">
        <v>0</v>
      </c>
      <c r="D592">
        <v>-3.7044499899250294E-3</v>
      </c>
      <c r="E592">
        <v>6.9016369267069777E-3</v>
      </c>
      <c r="F592">
        <v>2.3970722781335718E-2</v>
      </c>
      <c r="G592">
        <v>1.0101010101010166E-2</v>
      </c>
      <c r="H592">
        <v>5.2991138628359913E-3</v>
      </c>
      <c r="I592">
        <v>-8.0746530812714212E-4</v>
      </c>
      <c r="J592">
        <v>0</v>
      </c>
      <c r="K592">
        <f>SUMPRODUCT(Sheet1!$AV$8:$BE$8,Sheet2!A592:J592)</f>
        <v>3.0829082790103778E-3</v>
      </c>
    </row>
    <row r="593" spans="1:11" x14ac:dyDescent="0.35">
      <c r="A593">
        <v>-2.8169014084507116E-2</v>
      </c>
      <c r="B593">
        <v>-2.2475156924757211E-3</v>
      </c>
      <c r="C593">
        <v>-3.5175879396984744E-3</v>
      </c>
      <c r="D593">
        <v>-4.4572015308504964E-3</v>
      </c>
      <c r="E593">
        <v>-1.0969858519581654E-2</v>
      </c>
      <c r="F593">
        <v>-5.0035739814153768E-3</v>
      </c>
      <c r="G593">
        <v>4.0000000000000036E-2</v>
      </c>
      <c r="H593">
        <v>-5.2711812730783514E-3</v>
      </c>
      <c r="I593">
        <v>-1.6129032258064502E-2</v>
      </c>
      <c r="J593">
        <v>0</v>
      </c>
      <c r="K593">
        <f>SUMPRODUCT(Sheet1!$AV$8:$BE$8,Sheet2!A593:J593)</f>
        <v>-6.4582515347519839E-3</v>
      </c>
    </row>
    <row r="594" spans="1:11" x14ac:dyDescent="0.35">
      <c r="A594">
        <v>-1.4492753623188248E-2</v>
      </c>
      <c r="B594">
        <v>0</v>
      </c>
      <c r="C594">
        <v>-3.193814086401181E-3</v>
      </c>
      <c r="D594">
        <v>-7.4619285373838107E-3</v>
      </c>
      <c r="E594">
        <v>4.7150113284662787E-2</v>
      </c>
      <c r="F594">
        <v>0</v>
      </c>
      <c r="G594">
        <v>-9.6153846153845812E-3</v>
      </c>
      <c r="H594">
        <v>-6.6068643276995243E-4</v>
      </c>
      <c r="I594">
        <v>-4.9197263243462297E-3</v>
      </c>
      <c r="J594">
        <v>0</v>
      </c>
      <c r="K594">
        <f>SUMPRODUCT(Sheet1!$AV$8:$BE$8,Sheet2!A594:J594)</f>
        <v>-2.2967871179164698E-3</v>
      </c>
    </row>
    <row r="595" spans="1:11" x14ac:dyDescent="0.35">
      <c r="A595">
        <v>0</v>
      </c>
      <c r="B595">
        <v>-1.4963556499492103E-3</v>
      </c>
      <c r="C595">
        <v>-1.0118043844856595E-2</v>
      </c>
      <c r="D595">
        <v>1.5791793935195475E-2</v>
      </c>
      <c r="E595">
        <v>-7.9476192496428233E-3</v>
      </c>
      <c r="F595">
        <v>-1.1853448275861989E-2</v>
      </c>
      <c r="G595">
        <v>3.398058252427183E-2</v>
      </c>
      <c r="H595">
        <v>-7.2859869138496292E-3</v>
      </c>
      <c r="I595">
        <v>0</v>
      </c>
      <c r="J595">
        <v>0</v>
      </c>
      <c r="K595">
        <f>SUMPRODUCT(Sheet1!$AV$8:$BE$8,Sheet2!A595:J595)</f>
        <v>-7.576550002703018E-3</v>
      </c>
    </row>
    <row r="596" spans="1:11" x14ac:dyDescent="0.35">
      <c r="A596">
        <v>-1.4705882352941235E-2</v>
      </c>
      <c r="B596">
        <v>-1.7298333816752165E-2</v>
      </c>
      <c r="C596">
        <v>8.5178875638840523E-3</v>
      </c>
      <c r="D596">
        <v>-1.3322070152052889E-2</v>
      </c>
      <c r="E596">
        <v>8.0112899317186237E-3</v>
      </c>
      <c r="F596">
        <v>1.5448927662668144E-2</v>
      </c>
      <c r="G596">
        <v>0</v>
      </c>
      <c r="H596">
        <v>1.3319510336353702E-3</v>
      </c>
      <c r="I596">
        <v>1.7299919159256216E-2</v>
      </c>
      <c r="J596">
        <v>1.1627906976744207E-2</v>
      </c>
      <c r="K596">
        <f>SUMPRODUCT(Sheet1!$AV$8:$BE$8,Sheet2!A596:J596)</f>
        <v>8.9405401031134486E-3</v>
      </c>
    </row>
    <row r="597" spans="1:11" x14ac:dyDescent="0.35">
      <c r="A597">
        <v>0</v>
      </c>
      <c r="B597">
        <v>9.9451499971303647E-3</v>
      </c>
      <c r="C597">
        <v>0</v>
      </c>
      <c r="D597">
        <v>1.1247692730628867E-2</v>
      </c>
      <c r="E597">
        <v>-5.2889850522535031E-3</v>
      </c>
      <c r="F597">
        <v>0</v>
      </c>
      <c r="G597">
        <v>-4.6948356807510194E-3</v>
      </c>
      <c r="H597">
        <v>0</v>
      </c>
      <c r="I597">
        <v>0</v>
      </c>
      <c r="J597">
        <v>-5.7471264367816577E-3</v>
      </c>
      <c r="K597">
        <f>SUMPRODUCT(Sheet1!$AV$8:$BE$8,Sheet2!A597:J597)</f>
        <v>7.7825214344791246E-5</v>
      </c>
    </row>
    <row r="598" spans="1:11" x14ac:dyDescent="0.35">
      <c r="A598">
        <v>0</v>
      </c>
      <c r="B598">
        <v>0</v>
      </c>
      <c r="C598">
        <v>-6.7567567567567988E-3</v>
      </c>
      <c r="D598">
        <v>0</v>
      </c>
      <c r="E598">
        <v>1.1984816389200903E-2</v>
      </c>
      <c r="F598">
        <v>6.8015034902453309E-3</v>
      </c>
      <c r="G598">
        <v>-9.4339622641509413E-3</v>
      </c>
      <c r="H598">
        <v>-3.9973944941548156E-3</v>
      </c>
      <c r="I598">
        <v>4.8599725633218238E-3</v>
      </c>
      <c r="J598">
        <v>5.7803468208093012E-3</v>
      </c>
      <c r="K598">
        <f>SUMPRODUCT(Sheet1!$AV$8:$BE$8,Sheet2!A598:J598)</f>
        <v>-2.5277247327992799E-3</v>
      </c>
    </row>
    <row r="599" spans="1:11" x14ac:dyDescent="0.35">
      <c r="A599">
        <v>-1.4925373134328401E-2</v>
      </c>
      <c r="B599">
        <v>0</v>
      </c>
      <c r="C599">
        <v>3.231292517006823E-3</v>
      </c>
      <c r="D599">
        <v>-1.3351767419823468E-2</v>
      </c>
      <c r="E599">
        <v>2.6270686409486377E-3</v>
      </c>
      <c r="F599">
        <v>1.6000000000000458E-3</v>
      </c>
      <c r="G599">
        <v>-2.3809523809523947E-2</v>
      </c>
      <c r="H599">
        <v>1.6728394211837916E-2</v>
      </c>
      <c r="I599">
        <v>3.2215368478885065E-3</v>
      </c>
      <c r="J599">
        <v>-4.0229885057471271E-2</v>
      </c>
      <c r="K599">
        <f>SUMPRODUCT(Sheet1!$AV$8:$BE$8,Sheet2!A599:J599)</f>
        <v>5.7800658340083017E-3</v>
      </c>
    </row>
    <row r="600" spans="1:11" x14ac:dyDescent="0.35">
      <c r="A600">
        <v>1.5151515151515138E-2</v>
      </c>
      <c r="B600">
        <v>6.0641976912210183E-3</v>
      </c>
      <c r="C600">
        <v>-1.5256823190371582E-3</v>
      </c>
      <c r="D600">
        <v>3.7598009887583883E-2</v>
      </c>
      <c r="E600">
        <v>-2.6201852344855947E-3</v>
      </c>
      <c r="F600">
        <v>0</v>
      </c>
      <c r="G600">
        <v>1.9512195121951237E-2</v>
      </c>
      <c r="H600">
        <v>-1.3135444032174037E-3</v>
      </c>
      <c r="I600">
        <v>-3.211191874937791E-3</v>
      </c>
      <c r="J600">
        <v>2.9940119760479167E-2</v>
      </c>
      <c r="K600">
        <f>SUMPRODUCT(Sheet1!$AV$8:$BE$8,Sheet2!A600:J600)</f>
        <v>-1.4993634687451014E-3</v>
      </c>
    </row>
    <row r="601" spans="1:11" x14ac:dyDescent="0.35">
      <c r="A601">
        <v>4.4776119402984982E-2</v>
      </c>
      <c r="B601">
        <v>6.7780745426817557E-3</v>
      </c>
      <c r="C601">
        <v>-3.3955857385398192E-3</v>
      </c>
      <c r="D601">
        <v>5.7964856908743201E-3</v>
      </c>
      <c r="E601">
        <v>-1.3163440195555043E-2</v>
      </c>
      <c r="F601">
        <v>-1.5974440894569453E-3</v>
      </c>
      <c r="G601">
        <v>4.784688995215447E-3</v>
      </c>
      <c r="H601">
        <v>-8.5696077234945767E-3</v>
      </c>
      <c r="I601">
        <v>7.2505390039041551E-3</v>
      </c>
      <c r="J601">
        <v>4.0697674418604723E-2</v>
      </c>
      <c r="K601">
        <f>SUMPRODUCT(Sheet1!$AV$8:$BE$8,Sheet2!A601:J601)</f>
        <v>-2.1192290045685971E-3</v>
      </c>
    </row>
    <row r="602" spans="1:11" x14ac:dyDescent="0.35">
      <c r="A602">
        <v>-2.857142857142847E-2</v>
      </c>
      <c r="B602">
        <v>-1.4987697264545741E-3</v>
      </c>
      <c r="C602">
        <v>-1.8739352640545492E-3</v>
      </c>
      <c r="D602">
        <v>-7.2415665922398453E-4</v>
      </c>
      <c r="E602">
        <v>1.2000854153320528E-2</v>
      </c>
      <c r="F602">
        <v>-1.777777777777767E-3</v>
      </c>
      <c r="G602">
        <v>-4.761904761904856E-3</v>
      </c>
      <c r="H602">
        <v>9.970321539450433E-3</v>
      </c>
      <c r="I602">
        <v>-4.8016528925619584E-3</v>
      </c>
      <c r="J602">
        <v>2.7932960893854775E-2</v>
      </c>
      <c r="K602">
        <f>SUMPRODUCT(Sheet1!$AV$8:$BE$8,Sheet2!A602:J602)</f>
        <v>2.5763950268771805E-4</v>
      </c>
    </row>
    <row r="603" spans="1:11" x14ac:dyDescent="0.35">
      <c r="A603">
        <v>2.9411764705882248E-2</v>
      </c>
      <c r="B603">
        <v>6.7425470774269414E-3</v>
      </c>
      <c r="C603">
        <v>-1.0069977811913322E-2</v>
      </c>
      <c r="D603">
        <v>-2.3069025907361596E-2</v>
      </c>
      <c r="E603">
        <v>-1.3223047490433792E-3</v>
      </c>
      <c r="F603">
        <v>0</v>
      </c>
      <c r="G603">
        <v>0</v>
      </c>
      <c r="H603">
        <v>-1.9703166048262721E-3</v>
      </c>
      <c r="I603">
        <v>-4.0192992800139882E-3</v>
      </c>
      <c r="J603">
        <v>-4.3478260869565299E-2</v>
      </c>
      <c r="K603">
        <f>SUMPRODUCT(Sheet1!$AV$8:$BE$8,Sheet2!A603:J603)</f>
        <v>-6.1370444367866315E-3</v>
      </c>
    </row>
    <row r="604" spans="1:11" x14ac:dyDescent="0.35">
      <c r="A604">
        <v>0</v>
      </c>
      <c r="B604">
        <v>-2.9739599113393078E-3</v>
      </c>
      <c r="C604">
        <v>-5.1724137931034031E-3</v>
      </c>
      <c r="D604">
        <v>0</v>
      </c>
      <c r="E604">
        <v>-1.3099698566076956E-3</v>
      </c>
      <c r="F604">
        <v>-1.674087266251123E-2</v>
      </c>
      <c r="G604">
        <v>-4.7846889952152249E-3</v>
      </c>
      <c r="H604">
        <v>1.1872375357019349E-2</v>
      </c>
      <c r="I604">
        <v>-3.2267478217367085E-3</v>
      </c>
      <c r="J604">
        <v>1.1363636363636465E-2</v>
      </c>
      <c r="K604">
        <f>SUMPRODUCT(Sheet1!$AV$8:$BE$8,Sheet2!A604:J604)</f>
        <v>-2.0948614978127055E-3</v>
      </c>
    </row>
    <row r="605" spans="1:11" x14ac:dyDescent="0.35">
      <c r="A605">
        <v>0</v>
      </c>
      <c r="B605">
        <v>-4.4782445281449368E-3</v>
      </c>
      <c r="C605">
        <v>-1.0398613518197597E-2</v>
      </c>
      <c r="D605">
        <v>1.0331025530073701E-2</v>
      </c>
      <c r="E605">
        <v>-9.2523377667451667E-3</v>
      </c>
      <c r="F605">
        <v>0</v>
      </c>
      <c r="G605">
        <v>-9.6153846153845812E-3</v>
      </c>
      <c r="H605">
        <v>2.6080951518929751E-3</v>
      </c>
      <c r="I605">
        <v>-8.908555559273279E-3</v>
      </c>
      <c r="J605">
        <v>0</v>
      </c>
      <c r="K605">
        <f>SUMPRODUCT(Sheet1!$AV$8:$BE$8,Sheet2!A605:J605)</f>
        <v>-6.3610428612327716E-3</v>
      </c>
    </row>
    <row r="606" spans="1:11" x14ac:dyDescent="0.35">
      <c r="A606">
        <v>-2.857142857142847E-2</v>
      </c>
      <c r="B606">
        <v>-1.8740611620303826E-2</v>
      </c>
      <c r="C606">
        <v>-1.0507880910682998E-2</v>
      </c>
      <c r="D606">
        <v>-1.2412717107829319E-2</v>
      </c>
      <c r="E606">
        <v>-4.0002847177733614E-3</v>
      </c>
      <c r="F606">
        <v>8.5129505524361715E-3</v>
      </c>
      <c r="G606">
        <v>-1.9417475728155331E-2</v>
      </c>
      <c r="H606">
        <v>1.2999866256520054E-2</v>
      </c>
      <c r="I606">
        <v>-4.0849742157103019E-3</v>
      </c>
      <c r="J606">
        <v>0</v>
      </c>
      <c r="K606">
        <f>SUMPRODUCT(Sheet1!$AV$8:$BE$8,Sheet2!A606:J606)</f>
        <v>-2.7158993762370011E-3</v>
      </c>
    </row>
    <row r="607" spans="1:11" x14ac:dyDescent="0.35">
      <c r="A607">
        <v>-2.9411764705882359E-2</v>
      </c>
      <c r="B607">
        <v>1.6045057140050334E-2</v>
      </c>
      <c r="C607">
        <v>-1.415929203539823E-2</v>
      </c>
      <c r="D607">
        <v>-1.4868736931773485E-3</v>
      </c>
      <c r="E607">
        <v>1.0705505688639816E-2</v>
      </c>
      <c r="F607">
        <v>8.4410919540232054E-3</v>
      </c>
      <c r="G607">
        <v>4.9504950495049549E-3</v>
      </c>
      <c r="H607">
        <v>1.0912043516146941E-2</v>
      </c>
      <c r="I607">
        <v>0</v>
      </c>
      <c r="J607">
        <v>0</v>
      </c>
      <c r="K607">
        <f>SUMPRODUCT(Sheet1!$AV$8:$BE$8,Sheet2!A607:J607)</f>
        <v>-3.5979247218816154E-3</v>
      </c>
    </row>
    <row r="608" spans="1:11" x14ac:dyDescent="0.35">
      <c r="A608">
        <v>3.0303030303030276E-2</v>
      </c>
      <c r="B608">
        <v>0</v>
      </c>
      <c r="C608">
        <v>-3.7701974865350651E-3</v>
      </c>
      <c r="D608">
        <v>-7.4066605655431772E-3</v>
      </c>
      <c r="E608">
        <v>5.3031267235161828E-3</v>
      </c>
      <c r="F608">
        <v>0</v>
      </c>
      <c r="G608">
        <v>-9.8522167487684609E-3</v>
      </c>
      <c r="H608">
        <v>-2.2221931995533462E-2</v>
      </c>
      <c r="I608">
        <v>4.5941067297180505E-2</v>
      </c>
      <c r="J608">
        <v>3.9325842696629199E-2</v>
      </c>
      <c r="K608">
        <f>SUMPRODUCT(Sheet1!$AV$8:$BE$8,Sheet2!A608:J608)</f>
        <v>2.4009228852521118E-3</v>
      </c>
    </row>
    <row r="609" spans="1:11" x14ac:dyDescent="0.35">
      <c r="A609">
        <v>2.9411764705882248E-2</v>
      </c>
      <c r="B609">
        <v>-7.5735602178605976E-4</v>
      </c>
      <c r="C609">
        <v>1.8021265092804661E-4</v>
      </c>
      <c r="D609">
        <v>1.4931670612503334E-2</v>
      </c>
      <c r="E609">
        <v>-2.5039387801035318E-2</v>
      </c>
      <c r="F609">
        <v>0</v>
      </c>
      <c r="G609">
        <v>-4.9751243781093191E-3</v>
      </c>
      <c r="H609">
        <v>1.9481213351677074E-2</v>
      </c>
      <c r="I609">
        <v>1.0192837465564653E-2</v>
      </c>
      <c r="J609">
        <v>-4.3243243243243246E-2</v>
      </c>
      <c r="K609">
        <f>SUMPRODUCT(Sheet1!$AV$8:$BE$8,Sheet2!A609:J609)</f>
        <v>5.8479884210183575E-3</v>
      </c>
    </row>
    <row r="610" spans="1:11" x14ac:dyDescent="0.35">
      <c r="A610">
        <v>0</v>
      </c>
      <c r="B610">
        <v>2.1068842624695661E-2</v>
      </c>
      <c r="C610">
        <v>-1.8018018018018056E-2</v>
      </c>
      <c r="D610">
        <v>-7.3598472600735487E-3</v>
      </c>
      <c r="E610">
        <v>6.7668955964679256E-3</v>
      </c>
      <c r="F610">
        <v>-1.3357079252003579E-2</v>
      </c>
      <c r="G610">
        <v>0</v>
      </c>
      <c r="H610">
        <v>5.732029269379213E-3</v>
      </c>
      <c r="I610">
        <v>-3.103995893421474E-3</v>
      </c>
      <c r="J610">
        <v>3.3898305084745894E-2</v>
      </c>
      <c r="K610">
        <f>SUMPRODUCT(Sheet1!$AV$8:$BE$8,Sheet2!A610:J610)</f>
        <v>-8.9177595038054044E-3</v>
      </c>
    </row>
    <row r="611" spans="1:11" x14ac:dyDescent="0.35">
      <c r="A611">
        <v>4.2857142857142927E-2</v>
      </c>
      <c r="B611">
        <v>1.4766849607137367E-3</v>
      </c>
      <c r="C611">
        <v>-1.4678899082568808E-2</v>
      </c>
      <c r="D611">
        <v>7.4144162310567641E-3</v>
      </c>
      <c r="E611">
        <v>-2.6942975479025133E-3</v>
      </c>
      <c r="F611">
        <v>0</v>
      </c>
      <c r="G611">
        <v>0</v>
      </c>
      <c r="H611">
        <v>-5.6993603689277084E-3</v>
      </c>
      <c r="I611">
        <v>-3.1136606833962466E-3</v>
      </c>
      <c r="J611">
        <v>0</v>
      </c>
      <c r="K611">
        <f>SUMPRODUCT(Sheet1!$AV$8:$BE$8,Sheet2!A611:J611)</f>
        <v>-8.970036780884226E-3</v>
      </c>
    </row>
    <row r="612" spans="1:11" x14ac:dyDescent="0.35">
      <c r="A612">
        <v>1.3698630136986356E-2</v>
      </c>
      <c r="B612">
        <v>7.3331125514508599E-4</v>
      </c>
      <c r="C612">
        <v>5.2141527001861032E-3</v>
      </c>
      <c r="D612">
        <v>-1.4704297350146556E-3</v>
      </c>
      <c r="E612">
        <v>-4.0379945106266968E-3</v>
      </c>
      <c r="F612">
        <v>0</v>
      </c>
      <c r="G612">
        <v>-5.0000000000000044E-3</v>
      </c>
      <c r="H612">
        <v>-1.2734931313912123E-2</v>
      </c>
      <c r="I612">
        <v>0</v>
      </c>
      <c r="J612">
        <v>-1.0928961748633892E-2</v>
      </c>
      <c r="K612">
        <f>SUMPRODUCT(Sheet1!$AV$8:$BE$8,Sheet2!A612:J612)</f>
        <v>-1.8963598166877457E-4</v>
      </c>
    </row>
    <row r="613" spans="1:11" x14ac:dyDescent="0.35">
      <c r="A613">
        <v>0</v>
      </c>
      <c r="B613">
        <v>0</v>
      </c>
      <c r="C613">
        <v>-7.0396443127083153E-3</v>
      </c>
      <c r="D613">
        <v>-6.6305328327024293E-3</v>
      </c>
      <c r="E613">
        <v>0</v>
      </c>
      <c r="F613">
        <v>8.4837545126352776E-3</v>
      </c>
      <c r="G613">
        <v>1.5075376884422065E-2</v>
      </c>
      <c r="H613">
        <v>1.9348802643539997E-2</v>
      </c>
      <c r="I613">
        <v>0</v>
      </c>
      <c r="J613">
        <v>5.5248618784531356E-3</v>
      </c>
      <c r="K613">
        <f>SUMPRODUCT(Sheet1!$AV$8:$BE$8,Sheet2!A613:J613)</f>
        <v>1.389050583107143E-3</v>
      </c>
    </row>
    <row r="614" spans="1:11" x14ac:dyDescent="0.35">
      <c r="A614">
        <v>4.0540540540540571E-2</v>
      </c>
      <c r="B614">
        <v>-2.2062010006695942E-3</v>
      </c>
      <c r="C614">
        <v>-1.1194029850746245E-2</v>
      </c>
      <c r="D614">
        <v>-3.7099415567783955E-3</v>
      </c>
      <c r="E614">
        <v>-1.3418364402377758E-3</v>
      </c>
      <c r="F614">
        <v>-8.4123858958295994E-3</v>
      </c>
      <c r="G614">
        <v>0</v>
      </c>
      <c r="H614">
        <v>-6.958593439784333E-3</v>
      </c>
      <c r="I614">
        <v>-7.8125E-3</v>
      </c>
      <c r="J614">
        <v>0</v>
      </c>
      <c r="K614">
        <f>SUMPRODUCT(Sheet1!$AV$8:$BE$8,Sheet2!A614:J614)</f>
        <v>-9.1941646639632554E-3</v>
      </c>
    </row>
    <row r="615" spans="1:11" x14ac:dyDescent="0.35">
      <c r="A615">
        <v>3.8961038961039085E-2</v>
      </c>
      <c r="B615">
        <v>-2.2110790855609519E-3</v>
      </c>
      <c r="C615">
        <v>-1.8867924528301883E-2</v>
      </c>
      <c r="D615">
        <v>-1.7855334398005573E-2</v>
      </c>
      <c r="E615">
        <v>-1.2179440872643221E-2</v>
      </c>
      <c r="F615">
        <v>0</v>
      </c>
      <c r="G615">
        <v>-9.9009900990099098E-3</v>
      </c>
      <c r="H615">
        <v>-6.3715143490172821E-3</v>
      </c>
      <c r="I615">
        <v>-7.8740157480314821E-3</v>
      </c>
      <c r="J615">
        <v>-5.494505494505475E-3</v>
      </c>
      <c r="K615">
        <f>SUMPRODUCT(Sheet1!$AV$8:$BE$8,Sheet2!A615:J615)</f>
        <v>-1.2201651914333552E-2</v>
      </c>
    </row>
    <row r="616" spans="1:11" x14ac:dyDescent="0.35">
      <c r="A616">
        <v>0</v>
      </c>
      <c r="B616">
        <v>0</v>
      </c>
      <c r="C616">
        <v>-3.4615384615384603E-2</v>
      </c>
      <c r="D616">
        <v>-3.7874882012802202E-2</v>
      </c>
      <c r="E616">
        <v>-4.109869537237465E-3</v>
      </c>
      <c r="F616">
        <v>8.4837545126352776E-3</v>
      </c>
      <c r="G616">
        <v>-1.0000000000000009E-2</v>
      </c>
      <c r="H616">
        <v>-5.7724531936509393E-3</v>
      </c>
      <c r="I616">
        <v>-7.9365079365079083E-3</v>
      </c>
      <c r="J616">
        <v>-4.4198895027624308E-2</v>
      </c>
      <c r="K616">
        <f>SUMPRODUCT(Sheet1!$AV$8:$BE$8,Sheet2!A616:J616)</f>
        <v>-1.9062553266127373E-2</v>
      </c>
    </row>
    <row r="617" spans="1:11" x14ac:dyDescent="0.35">
      <c r="A617">
        <v>-2.5000000000000022E-2</v>
      </c>
      <c r="B617">
        <v>-4.4319575798347222E-3</v>
      </c>
      <c r="C617">
        <v>-5.9760956175299862E-3</v>
      </c>
      <c r="D617">
        <v>2.282807630793604E-2</v>
      </c>
      <c r="E617">
        <v>-2.7463247712620209E-3</v>
      </c>
      <c r="F617">
        <v>8.4123858958298214E-3</v>
      </c>
      <c r="G617">
        <v>-5.050505050505083E-3</v>
      </c>
      <c r="H617">
        <v>-1.6130637594803154E-2</v>
      </c>
      <c r="I617">
        <v>0</v>
      </c>
      <c r="J617">
        <v>4.0462427745664886E-2</v>
      </c>
      <c r="K617">
        <f>SUMPRODUCT(Sheet1!$AV$8:$BE$8,Sheet2!A617:J617)</f>
        <v>-5.5769874712573286E-3</v>
      </c>
    </row>
    <row r="618" spans="1:11" x14ac:dyDescent="0.35">
      <c r="A618">
        <v>-3.8461538461538547E-2</v>
      </c>
      <c r="B618">
        <v>-2.2258436344845256E-3</v>
      </c>
      <c r="C618">
        <v>0</v>
      </c>
      <c r="D618">
        <v>-2.2318585925346857E-2</v>
      </c>
      <c r="E618">
        <v>3.1721253534401583E-2</v>
      </c>
      <c r="F618">
        <v>-8.342208022719344E-3</v>
      </c>
      <c r="G618">
        <v>0</v>
      </c>
      <c r="H618">
        <v>1.3110685478432194E-2</v>
      </c>
      <c r="I618">
        <v>-1.6033057851239096E-3</v>
      </c>
      <c r="J618">
        <v>-5.5555555555555358E-3</v>
      </c>
      <c r="K618">
        <f>SUMPRODUCT(Sheet1!$AV$8:$BE$8,Sheet2!A618:J618)</f>
        <v>1.9329715727166765E-3</v>
      </c>
    </row>
    <row r="619" spans="1:11" x14ac:dyDescent="0.35">
      <c r="A619">
        <v>-2.6666666666666727E-2</v>
      </c>
      <c r="B619">
        <v>-2.8801338485440087E-2</v>
      </c>
      <c r="C619">
        <v>2.2044088176352838E-2</v>
      </c>
      <c r="D619">
        <v>0</v>
      </c>
      <c r="E619">
        <v>1.6043849381940589E-2</v>
      </c>
      <c r="F619">
        <v>-1.1813137640952154E-2</v>
      </c>
      <c r="G619">
        <v>0</v>
      </c>
      <c r="H619">
        <v>0</v>
      </c>
      <c r="I619">
        <v>3.2117610052480039E-3</v>
      </c>
      <c r="J619">
        <v>0</v>
      </c>
      <c r="K619">
        <f>SUMPRODUCT(Sheet1!$AV$8:$BE$8,Sheet2!A619:J619)</f>
        <v>1.0105819617221399E-2</v>
      </c>
    </row>
    <row r="620" spans="1:11" x14ac:dyDescent="0.35">
      <c r="A620">
        <v>1.3698630136986356E-2</v>
      </c>
      <c r="B620">
        <v>2.5430680885972112E-2</v>
      </c>
      <c r="C620">
        <v>7.8431372549019329E-3</v>
      </c>
      <c r="D620">
        <v>3.932463849362744E-3</v>
      </c>
      <c r="E620">
        <v>0</v>
      </c>
      <c r="F620">
        <v>0</v>
      </c>
      <c r="G620">
        <v>0</v>
      </c>
      <c r="H620">
        <v>0</v>
      </c>
      <c r="I620">
        <v>2.5554070333514867E-2</v>
      </c>
      <c r="J620">
        <v>0</v>
      </c>
      <c r="K620">
        <f>SUMPRODUCT(Sheet1!$AV$8:$BE$8,Sheet2!A620:J620)</f>
        <v>9.0587170708343774E-3</v>
      </c>
    </row>
    <row r="621" spans="1:11" x14ac:dyDescent="0.35">
      <c r="A621">
        <v>-2.7027027027027084E-2</v>
      </c>
      <c r="B621">
        <v>0</v>
      </c>
      <c r="C621">
        <v>2.9182879377431803E-2</v>
      </c>
      <c r="D621">
        <v>0</v>
      </c>
      <c r="E621">
        <v>5.2625663791407984E-2</v>
      </c>
      <c r="F621">
        <v>-1.6301394674878011E-3</v>
      </c>
      <c r="G621">
        <v>0</v>
      </c>
      <c r="H621">
        <v>-6.45719611236939E-4</v>
      </c>
      <c r="I621">
        <v>1.2945426458874643E-2</v>
      </c>
      <c r="J621">
        <v>0</v>
      </c>
      <c r="K621">
        <f>SUMPRODUCT(Sheet1!$AV$8:$BE$8,Sheet2!A621:J621)</f>
        <v>1.684196564569123E-2</v>
      </c>
    </row>
    <row r="622" spans="1:11" x14ac:dyDescent="0.35">
      <c r="A622">
        <v>4.1666666666666741E-2</v>
      </c>
      <c r="B622">
        <v>0</v>
      </c>
      <c r="C622">
        <v>1.1342155009451904E-2</v>
      </c>
      <c r="D622">
        <v>-8.6224594539109356E-3</v>
      </c>
      <c r="E622">
        <v>9.9962630792227447E-3</v>
      </c>
      <c r="F622">
        <v>0</v>
      </c>
      <c r="G622">
        <v>1.5228426395939021E-2</v>
      </c>
      <c r="H622">
        <v>-1.5540590049492709E-2</v>
      </c>
      <c r="I622">
        <v>-1.9062748212867353E-2</v>
      </c>
      <c r="J622">
        <v>0</v>
      </c>
      <c r="K622">
        <f>SUMPRODUCT(Sheet1!$AV$8:$BE$8,Sheet2!A622:J622)</f>
        <v>-1.3166363014862413E-3</v>
      </c>
    </row>
    <row r="623" spans="1:11" x14ac:dyDescent="0.35">
      <c r="A623">
        <v>-2.6666666666666727E-2</v>
      </c>
      <c r="B623">
        <v>0</v>
      </c>
      <c r="C623">
        <v>5.4205607476635498E-2</v>
      </c>
      <c r="D623">
        <v>-1.8198384758749242E-2</v>
      </c>
      <c r="E623">
        <v>1.2421211200230875E-3</v>
      </c>
      <c r="F623">
        <v>1.3606676342525326E-2</v>
      </c>
      <c r="G623">
        <v>1.4999999999999902E-2</v>
      </c>
      <c r="H623">
        <v>5.2574599093309082E-3</v>
      </c>
      <c r="I623">
        <v>2.0242914979757165E-2</v>
      </c>
      <c r="J623">
        <v>0</v>
      </c>
      <c r="K623">
        <f>SUMPRODUCT(Sheet1!$AV$8:$BE$8,Sheet2!A623:J623)</f>
        <v>3.2641412528564263E-2</v>
      </c>
    </row>
    <row r="624" spans="1:11" x14ac:dyDescent="0.35">
      <c r="A624">
        <v>0</v>
      </c>
      <c r="B624">
        <v>0</v>
      </c>
      <c r="C624">
        <v>1.0638297872340496E-2</v>
      </c>
      <c r="D624">
        <v>7.2472327213823906E-3</v>
      </c>
      <c r="E624">
        <v>1.2405801691941498E-3</v>
      </c>
      <c r="F624">
        <v>2.3805262215858214E-2</v>
      </c>
      <c r="G624">
        <v>-1.477832512315258E-2</v>
      </c>
      <c r="H624">
        <v>-1.9587122308453164E-3</v>
      </c>
      <c r="I624">
        <v>5.5555555555555358E-3</v>
      </c>
      <c r="J624">
        <v>-2.2346368715083775E-2</v>
      </c>
      <c r="K624">
        <f>SUMPRODUCT(Sheet1!$AV$8:$BE$8,Sheet2!A624:J624)</f>
        <v>7.8423521517084049E-3</v>
      </c>
    </row>
    <row r="625" spans="1:11" x14ac:dyDescent="0.35">
      <c r="A625">
        <v>-2.7397260273972601E-2</v>
      </c>
      <c r="B625">
        <v>-1.1200000000000099E-2</v>
      </c>
      <c r="C625">
        <v>0</v>
      </c>
      <c r="D625">
        <v>7.2034643637914897E-3</v>
      </c>
      <c r="E625">
        <v>0</v>
      </c>
      <c r="F625">
        <v>0</v>
      </c>
      <c r="G625">
        <v>-1.0000000000000009E-2</v>
      </c>
      <c r="H625">
        <v>1.5079985972106025E-2</v>
      </c>
      <c r="I625">
        <v>-1.5785319652722452E-3</v>
      </c>
      <c r="J625">
        <v>-1.1428571428571455E-2</v>
      </c>
      <c r="K625">
        <f>SUMPRODUCT(Sheet1!$AV$8:$BE$8,Sheet2!A625:J625)</f>
        <v>2.7044174318741985E-3</v>
      </c>
    </row>
    <row r="626" spans="1:11" x14ac:dyDescent="0.35">
      <c r="A626">
        <v>0</v>
      </c>
      <c r="B626">
        <v>-4.8543689320387218E-3</v>
      </c>
      <c r="C626">
        <v>-3.5087719298245723E-3</v>
      </c>
      <c r="D626">
        <v>3.0977903814648267E-2</v>
      </c>
      <c r="E626">
        <v>-1.2350886443023845E-2</v>
      </c>
      <c r="F626">
        <v>5.2447552447552059E-3</v>
      </c>
      <c r="G626">
        <v>5.050505050504972E-3</v>
      </c>
      <c r="H626">
        <v>0</v>
      </c>
      <c r="I626">
        <v>-1.5810276679841806E-3</v>
      </c>
      <c r="J626">
        <v>4.0462427745664886E-2</v>
      </c>
      <c r="K626">
        <f>SUMPRODUCT(Sheet1!$AV$8:$BE$8,Sheet2!A626:J626)</f>
        <v>-1.6164888439166398E-3</v>
      </c>
    </row>
    <row r="627" spans="1:11" x14ac:dyDescent="0.35">
      <c r="A627">
        <v>1.4084507042253502E-2</v>
      </c>
      <c r="B627">
        <v>1.6260162601625883E-2</v>
      </c>
      <c r="C627">
        <v>2.4647887323943074E-3</v>
      </c>
      <c r="D627">
        <v>9.2440228438679384E-3</v>
      </c>
      <c r="E627">
        <v>4.999466154174681E-2</v>
      </c>
      <c r="F627">
        <v>-8.6956521739129933E-3</v>
      </c>
      <c r="G627">
        <v>1.0050251256281229E-2</v>
      </c>
      <c r="H627">
        <v>7.7535346018922091E-3</v>
      </c>
      <c r="I627">
        <v>-7.1258907363421775E-3</v>
      </c>
      <c r="J627">
        <v>4.4444444444444287E-2</v>
      </c>
      <c r="K627">
        <f>SUMPRODUCT(Sheet1!$AV$8:$BE$8,Sheet2!A627:J627)</f>
        <v>1.4246749973089758E-3</v>
      </c>
    </row>
    <row r="628" spans="1:11" x14ac:dyDescent="0.35">
      <c r="A628">
        <v>0</v>
      </c>
      <c r="B628">
        <v>4.8000000000000043E-2</v>
      </c>
      <c r="C628">
        <v>-4.2149631190726566E-3</v>
      </c>
      <c r="D628">
        <v>7.632794641858176E-3</v>
      </c>
      <c r="E628">
        <v>-1.1897196024099443E-2</v>
      </c>
      <c r="F628">
        <v>0</v>
      </c>
      <c r="G628">
        <v>-4.9751243781093191E-3</v>
      </c>
      <c r="H628">
        <v>1.7945793418996603E-2</v>
      </c>
      <c r="I628">
        <v>0</v>
      </c>
      <c r="J628">
        <v>0</v>
      </c>
      <c r="K628">
        <f>SUMPRODUCT(Sheet1!$AV$8:$BE$8,Sheet2!A628:J628)</f>
        <v>2.2765734227782127E-3</v>
      </c>
    </row>
    <row r="629" spans="1:11" x14ac:dyDescent="0.35">
      <c r="A629">
        <v>-2.777777777777779E-2</v>
      </c>
      <c r="B629">
        <v>2.8244274809160475E-2</v>
      </c>
      <c r="C629">
        <v>4.056437389770684E-3</v>
      </c>
      <c r="D629">
        <v>1.5149952805120659E-2</v>
      </c>
      <c r="E629">
        <v>-6.020221770562606E-3</v>
      </c>
      <c r="F629">
        <v>-3.5087719298246833E-3</v>
      </c>
      <c r="G629">
        <v>4.9999999999998934E-3</v>
      </c>
      <c r="H629">
        <v>7.5582412031012236E-3</v>
      </c>
      <c r="I629">
        <v>0</v>
      </c>
      <c r="J629">
        <v>-4.2553191489361653E-2</v>
      </c>
      <c r="K629">
        <f>SUMPRODUCT(Sheet1!$AV$8:$BE$8,Sheet2!A629:J629)</f>
        <v>3.4952974470993871E-3</v>
      </c>
    </row>
    <row r="630" spans="1:11" x14ac:dyDescent="0.35">
      <c r="A630">
        <v>4.2857142857142927E-2</v>
      </c>
      <c r="B630">
        <v>4.6770601336302731E-2</v>
      </c>
      <c r="C630">
        <v>-9.3096785526084469E-3</v>
      </c>
      <c r="D630">
        <v>0</v>
      </c>
      <c r="E630">
        <v>-1.2165135240067571E-3</v>
      </c>
      <c r="F630">
        <v>1.7605633802817433E-3</v>
      </c>
      <c r="G630">
        <v>-4.9751243781093191E-3</v>
      </c>
      <c r="H630">
        <v>2.1874678597140651E-2</v>
      </c>
      <c r="I630">
        <v>1.674641148325362E-2</v>
      </c>
      <c r="J630">
        <v>4.4444444444444287E-2</v>
      </c>
      <c r="K630">
        <f>SUMPRODUCT(Sheet1!$AV$8:$BE$8,Sheet2!A630:J630)</f>
        <v>4.1504938611962037E-3</v>
      </c>
    </row>
    <row r="631" spans="1:11" x14ac:dyDescent="0.35">
      <c r="A631">
        <v>4.1095890410958846E-2</v>
      </c>
      <c r="B631">
        <v>6.382978723404209E-3</v>
      </c>
      <c r="C631">
        <v>-4.4326241134752253E-3</v>
      </c>
      <c r="D631">
        <v>4.477157122430464E-3</v>
      </c>
      <c r="E631">
        <v>-1.0923084896859114E-2</v>
      </c>
      <c r="F631">
        <v>-3.5149384885765356E-3</v>
      </c>
      <c r="G631">
        <v>-5.0000000000000044E-3</v>
      </c>
      <c r="H631">
        <v>-6.7244969208219985E-3</v>
      </c>
      <c r="I631">
        <v>-3.9215686274510775E-3</v>
      </c>
      <c r="J631">
        <v>-4.2553191489361653E-2</v>
      </c>
      <c r="K631">
        <f>SUMPRODUCT(Sheet1!$AV$8:$BE$8,Sheet2!A631:J631)</f>
        <v>-4.7426657285913774E-3</v>
      </c>
    </row>
    <row r="632" spans="1:11" x14ac:dyDescent="0.35">
      <c r="A632">
        <v>-3.9473684210526327E-2</v>
      </c>
      <c r="B632">
        <v>-7.0472163495416407E-4</v>
      </c>
      <c r="C632">
        <v>9.7951914514693428E-3</v>
      </c>
      <c r="D632">
        <v>7.4675627741993544E-4</v>
      </c>
      <c r="E632">
        <v>6.1310311398738992E-3</v>
      </c>
      <c r="F632">
        <v>0</v>
      </c>
      <c r="G632">
        <v>2.0100502512562679E-2</v>
      </c>
      <c r="H632">
        <v>2.4572203011994365E-3</v>
      </c>
      <c r="I632">
        <v>3.937007874015741E-3</v>
      </c>
      <c r="J632">
        <v>4.4444444444444287E-2</v>
      </c>
      <c r="K632">
        <f>SUMPRODUCT(Sheet1!$AV$8:$BE$8,Sheet2!A632:J632)</f>
        <v>6.2071933248313976E-3</v>
      </c>
    </row>
    <row r="633" spans="1:11" x14ac:dyDescent="0.35">
      <c r="A633">
        <v>0</v>
      </c>
      <c r="B633">
        <v>1.4104372355430161E-3</v>
      </c>
      <c r="C633">
        <v>-1.7636684303357075E-4</v>
      </c>
      <c r="D633">
        <v>-6.6846998103411437E-3</v>
      </c>
      <c r="E633">
        <v>1.5859168500410137E-2</v>
      </c>
      <c r="F633">
        <v>-1.7636684303350414E-3</v>
      </c>
      <c r="G633">
        <v>-1.477832512315258E-2</v>
      </c>
      <c r="H633">
        <v>-5.5278286688988931E-3</v>
      </c>
      <c r="I633">
        <v>-1.176470588235301E-2</v>
      </c>
      <c r="J633">
        <v>1.0638297872340496E-2</v>
      </c>
      <c r="K633">
        <f>SUMPRODUCT(Sheet1!$AV$8:$BE$8,Sheet2!A633:J633)</f>
        <v>-3.4948662403865693E-3</v>
      </c>
    </row>
    <row r="634" spans="1:11" x14ac:dyDescent="0.35">
      <c r="A634">
        <v>-4.1095890410958957E-2</v>
      </c>
      <c r="B634">
        <v>0</v>
      </c>
      <c r="C634">
        <v>2.293173399188575E-2</v>
      </c>
      <c r="D634">
        <v>7.5122073369238151E-4</v>
      </c>
      <c r="E634">
        <v>2.6403824709365642E-2</v>
      </c>
      <c r="F634">
        <v>7.0671378091873294E-3</v>
      </c>
      <c r="G634">
        <v>0</v>
      </c>
      <c r="H634">
        <v>3.7162913318298241E-3</v>
      </c>
      <c r="I634">
        <v>6.3492063492063266E-3</v>
      </c>
      <c r="J634">
        <v>1.5789473684210575E-2</v>
      </c>
      <c r="K634">
        <f>SUMPRODUCT(Sheet1!$AV$8:$BE$8,Sheet2!A634:J634)</f>
        <v>1.4042424737381102E-2</v>
      </c>
    </row>
    <row r="635" spans="1:11" x14ac:dyDescent="0.35">
      <c r="A635">
        <v>1.4285714285714235E-2</v>
      </c>
      <c r="B635">
        <v>9.1549295774648876E-3</v>
      </c>
      <c r="C635">
        <v>1.5692360751853762E-2</v>
      </c>
      <c r="D635">
        <v>-7.5065682472164053E-4</v>
      </c>
      <c r="E635">
        <v>-5.844228824036124E-3</v>
      </c>
      <c r="F635">
        <v>0</v>
      </c>
      <c r="G635">
        <v>0</v>
      </c>
      <c r="H635">
        <v>-1.32911392405064E-2</v>
      </c>
      <c r="I635">
        <v>1.577287066246047E-3</v>
      </c>
      <c r="J635">
        <v>0</v>
      </c>
      <c r="K635">
        <f>SUMPRODUCT(Sheet1!$AV$8:$BE$8,Sheet2!A635:J635)</f>
        <v>5.2394530359616562E-3</v>
      </c>
    </row>
    <row r="636" spans="1:11" x14ac:dyDescent="0.35">
      <c r="A636">
        <v>1.4084507042253502E-2</v>
      </c>
      <c r="B636">
        <v>1.8143754361479303E-2</v>
      </c>
      <c r="C636">
        <v>-3.395585738539264E-4</v>
      </c>
      <c r="D636">
        <v>-5.9784650056341482E-3</v>
      </c>
      <c r="E636">
        <v>0</v>
      </c>
      <c r="F636">
        <v>0</v>
      </c>
      <c r="G636">
        <v>0</v>
      </c>
      <c r="H636">
        <v>-6.4143681847337319E-3</v>
      </c>
      <c r="I636">
        <v>0</v>
      </c>
      <c r="J636">
        <v>0</v>
      </c>
      <c r="K636">
        <f>SUMPRODUCT(Sheet1!$AV$8:$BE$8,Sheet2!A636:J636)</f>
        <v>-1.2806450451572063E-3</v>
      </c>
    </row>
    <row r="637" spans="1:11" x14ac:dyDescent="0.35">
      <c r="A637">
        <v>4.1666666666666741E-2</v>
      </c>
      <c r="B637">
        <v>1.3708019191226883E-2</v>
      </c>
      <c r="C637">
        <v>-9.8505434782609758E-3</v>
      </c>
      <c r="D637">
        <v>0</v>
      </c>
      <c r="E637">
        <v>-1.180741354837922E-3</v>
      </c>
      <c r="F637">
        <v>-1.7543859649122862E-3</v>
      </c>
      <c r="G637">
        <v>-5.0000000000000044E-3</v>
      </c>
      <c r="H637">
        <v>6.4557779212393029E-4</v>
      </c>
      <c r="I637">
        <v>0</v>
      </c>
      <c r="J637">
        <v>0</v>
      </c>
      <c r="K637">
        <f>SUMPRODUCT(Sheet1!$AV$8:$BE$8,Sheet2!A637:J637)</f>
        <v>-4.653921960941671E-3</v>
      </c>
    </row>
    <row r="638" spans="1:11" x14ac:dyDescent="0.35">
      <c r="A638">
        <v>0</v>
      </c>
      <c r="B638">
        <v>6.761325219744041E-4</v>
      </c>
      <c r="C638">
        <v>0</v>
      </c>
      <c r="D638">
        <v>-1.5036055042982888E-3</v>
      </c>
      <c r="E638">
        <v>-1.6487040507061401E-2</v>
      </c>
      <c r="F638">
        <v>-5.2724077328647478E-3</v>
      </c>
      <c r="G638">
        <v>2.0100502512562679E-2</v>
      </c>
      <c r="H638">
        <v>-6.4516129032254899E-4</v>
      </c>
      <c r="I638">
        <v>-1.5748031496062964E-2</v>
      </c>
      <c r="J638">
        <v>0</v>
      </c>
      <c r="K638">
        <f>SUMPRODUCT(Sheet1!$AV$8:$BE$8,Sheet2!A638:J638)</f>
        <v>-3.7151371699963012E-3</v>
      </c>
    </row>
    <row r="639" spans="1:11" x14ac:dyDescent="0.35">
      <c r="A639">
        <v>-2.6666666666666727E-2</v>
      </c>
      <c r="B639">
        <v>1.3513513513513375E-2</v>
      </c>
      <c r="C639">
        <v>3.4305317324185847E-3</v>
      </c>
      <c r="D639">
        <v>-7.489928017848646E-4</v>
      </c>
      <c r="E639">
        <v>5.984195586016483E-3</v>
      </c>
      <c r="F639">
        <v>5.300353356890497E-3</v>
      </c>
      <c r="G639">
        <v>-1.477832512315258E-2</v>
      </c>
      <c r="H639">
        <v>-7.1013557133634553E-3</v>
      </c>
      <c r="I639">
        <v>-8.0000000000002292E-4</v>
      </c>
      <c r="J639">
        <v>-2.0725388601036343E-2</v>
      </c>
      <c r="K639">
        <f>SUMPRODUCT(Sheet1!$AV$8:$BE$8,Sheet2!A639:J639)</f>
        <v>6.4723783249807346E-4</v>
      </c>
    </row>
    <row r="640" spans="1:11" x14ac:dyDescent="0.35">
      <c r="A640">
        <v>2.7397260273972712E-2</v>
      </c>
      <c r="B640">
        <v>2.9333333333333211E-2</v>
      </c>
      <c r="C640">
        <v>-1.2820512820512775E-2</v>
      </c>
      <c r="D640">
        <v>-1.2055987754651221E-2</v>
      </c>
      <c r="E640">
        <v>2.3819813407224721E-2</v>
      </c>
      <c r="F640">
        <v>-5.2724077328647478E-3</v>
      </c>
      <c r="G640">
        <v>0</v>
      </c>
      <c r="H640">
        <v>6.5019505851759973E-4</v>
      </c>
      <c r="I640">
        <v>-1.9215372297838318E-2</v>
      </c>
      <c r="J640">
        <v>2.1164021164021163E-2</v>
      </c>
      <c r="K640">
        <f>SUMPRODUCT(Sheet1!$AV$8:$BE$8,Sheet2!A640:J640)</f>
        <v>-9.64073444219141E-3</v>
      </c>
    </row>
    <row r="641" spans="1:11" x14ac:dyDescent="0.35">
      <c r="A641">
        <v>-4.0000000000000036E-2</v>
      </c>
      <c r="B641">
        <v>-1.5544041450777257E-2</v>
      </c>
      <c r="C641">
        <v>0</v>
      </c>
      <c r="D641">
        <v>1.4487197917165906E-2</v>
      </c>
      <c r="E641">
        <v>1.7443015344887458E-2</v>
      </c>
      <c r="F641">
        <v>1.7667844522968323E-3</v>
      </c>
      <c r="G641">
        <v>0</v>
      </c>
      <c r="H641">
        <v>7.1474983755686061E-3</v>
      </c>
      <c r="I641">
        <v>-1.8775510204081636E-2</v>
      </c>
      <c r="J641">
        <v>2.5906735751295429E-2</v>
      </c>
      <c r="K641">
        <f>SUMPRODUCT(Sheet1!$AV$8:$BE$8,Sheet2!A641:J641)</f>
        <v>-1.9443858520527132E-3</v>
      </c>
    </row>
    <row r="642" spans="1:11" x14ac:dyDescent="0.35">
      <c r="A642">
        <v>-4.1666666666666741E-2</v>
      </c>
      <c r="B642">
        <v>-5.921052631578938E-3</v>
      </c>
      <c r="C642">
        <v>1.0389610389611725E-3</v>
      </c>
      <c r="D642">
        <v>-2.2514721163837681E-3</v>
      </c>
      <c r="E642">
        <v>3.4165924371285517E-3</v>
      </c>
      <c r="F642">
        <v>0</v>
      </c>
      <c r="G642">
        <v>-5.0000000000000044E-3</v>
      </c>
      <c r="H642">
        <v>0</v>
      </c>
      <c r="I642">
        <v>1.9134775374376023E-2</v>
      </c>
      <c r="J642">
        <v>4.0404040404040442E-2</v>
      </c>
      <c r="K642">
        <f>SUMPRODUCT(Sheet1!$AV$8:$BE$8,Sheet2!A642:J642)</f>
        <v>4.2212466749311263E-3</v>
      </c>
    </row>
    <row r="643" spans="1:11" x14ac:dyDescent="0.35">
      <c r="A643">
        <v>-4.3478260869565077E-2</v>
      </c>
      <c r="B643">
        <v>2.183984116479154E-2</v>
      </c>
      <c r="C643">
        <v>2.421726344923103E-3</v>
      </c>
      <c r="D643">
        <v>-5.2784396648309917E-3</v>
      </c>
      <c r="E643">
        <v>5.3542981528097E-2</v>
      </c>
      <c r="F643">
        <v>5.2910052910053462E-3</v>
      </c>
      <c r="G643">
        <v>0</v>
      </c>
      <c r="H643">
        <v>0</v>
      </c>
      <c r="I643">
        <v>8.1632653061223248E-3</v>
      </c>
      <c r="J643">
        <v>4.3689320388349495E-2</v>
      </c>
      <c r="K643">
        <f>SUMPRODUCT(Sheet1!$AV$8:$BE$8,Sheet2!A643:J643)</f>
        <v>3.9920723528045895E-3</v>
      </c>
    </row>
    <row r="644" spans="1:11" x14ac:dyDescent="0.35">
      <c r="A644">
        <v>1.5151515151515138E-2</v>
      </c>
      <c r="B644">
        <v>-5.8290155440414715E-3</v>
      </c>
      <c r="C644">
        <v>9.318377911993192E-3</v>
      </c>
      <c r="D644">
        <v>-2.2685269645364992E-3</v>
      </c>
      <c r="E644">
        <v>-1.081536543700079E-2</v>
      </c>
      <c r="F644">
        <v>0</v>
      </c>
      <c r="G644">
        <v>-5.0251256281407253E-3</v>
      </c>
      <c r="H644">
        <v>-4.3225806451612891E-2</v>
      </c>
      <c r="I644">
        <v>-1.538461538461533E-2</v>
      </c>
      <c r="J644">
        <v>-3.7209302325581395E-2</v>
      </c>
      <c r="K644">
        <f>SUMPRODUCT(Sheet1!$AV$8:$BE$8,Sheet2!A644:J644)</f>
        <v>-7.7711501960138398E-3</v>
      </c>
    </row>
    <row r="645" spans="1:11" x14ac:dyDescent="0.35">
      <c r="A645">
        <v>2.9850746268656581E-2</v>
      </c>
      <c r="B645">
        <v>5.2117263843647343E-3</v>
      </c>
      <c r="C645">
        <v>-8.3775004274235787E-3</v>
      </c>
      <c r="D645">
        <v>-3.8000747295029447E-3</v>
      </c>
      <c r="E645">
        <v>-5.4609738736742797E-3</v>
      </c>
      <c r="F645">
        <v>-1.7543859649122862E-2</v>
      </c>
      <c r="G645">
        <v>1.0101010101010166E-2</v>
      </c>
      <c r="H645">
        <v>2.4949426837491462E-2</v>
      </c>
      <c r="I645">
        <v>-8.2236842105265495E-4</v>
      </c>
      <c r="J645">
        <v>2.898550724637694E-2</v>
      </c>
      <c r="K645">
        <f>SUMPRODUCT(Sheet1!$AV$8:$BE$8,Sheet2!A645:J645)</f>
        <v>-3.8517238910865641E-4</v>
      </c>
    </row>
    <row r="646" spans="1:11" x14ac:dyDescent="0.35">
      <c r="A646">
        <v>2.898550724637694E-2</v>
      </c>
      <c r="B646">
        <v>3.6941023979261134E-2</v>
      </c>
      <c r="C646">
        <v>-1.8965517241379404E-3</v>
      </c>
      <c r="D646">
        <v>-1.5242320982532531E-3</v>
      </c>
      <c r="E646">
        <v>-5.5026926822399069E-3</v>
      </c>
      <c r="F646">
        <v>1.0714285714285898E-2</v>
      </c>
      <c r="G646">
        <v>-2.0000000000000018E-2</v>
      </c>
      <c r="H646">
        <v>1.9078947368421195E-2</v>
      </c>
      <c r="I646">
        <v>4.1152263374484299E-3</v>
      </c>
      <c r="J646">
        <v>-4.6948356807510194E-3</v>
      </c>
      <c r="K646">
        <f>SUMPRODUCT(Sheet1!$AV$8:$BE$8,Sheet2!A646:J646)</f>
        <v>5.2448177023325391E-3</v>
      </c>
    </row>
    <row r="647" spans="1:11" x14ac:dyDescent="0.35">
      <c r="A647">
        <v>0</v>
      </c>
      <c r="B647">
        <v>-3.1250000000000444E-3</v>
      </c>
      <c r="C647">
        <v>-1.554672655035505E-3</v>
      </c>
      <c r="D647">
        <v>-2.2858421649961658E-3</v>
      </c>
      <c r="E647">
        <v>1.9890988886529293E-2</v>
      </c>
      <c r="F647">
        <v>-1.7667844522968323E-3</v>
      </c>
      <c r="G647">
        <v>0</v>
      </c>
      <c r="H647">
        <v>-6.4557779212393029E-4</v>
      </c>
      <c r="I647">
        <v>-4.098360655737654E-3</v>
      </c>
      <c r="J647">
        <v>0</v>
      </c>
      <c r="K647">
        <f>SUMPRODUCT(Sheet1!$AV$8:$BE$8,Sheet2!A647:J647)</f>
        <v>-1.7278614947786731E-3</v>
      </c>
    </row>
    <row r="648" spans="1:11" x14ac:dyDescent="0.35">
      <c r="A648">
        <v>1.4084507042253502E-2</v>
      </c>
      <c r="B648">
        <v>0</v>
      </c>
      <c r="C648">
        <v>-2.0761245674739692E-3</v>
      </c>
      <c r="D648">
        <v>6.1202255831838137E-3</v>
      </c>
      <c r="E648">
        <v>2.1747177493984804E-3</v>
      </c>
      <c r="F648">
        <v>-1.2389380530973493E-2</v>
      </c>
      <c r="G648">
        <v>1.0204081632652962E-2</v>
      </c>
      <c r="H648">
        <v>1.2919896640826156E-3</v>
      </c>
      <c r="I648">
        <v>0</v>
      </c>
      <c r="J648">
        <v>0</v>
      </c>
      <c r="K648">
        <f>SUMPRODUCT(Sheet1!$AV$8:$BE$8,Sheet2!A648:J648)</f>
        <v>-1.7893699648636545E-3</v>
      </c>
    </row>
    <row r="649" spans="1:11" x14ac:dyDescent="0.35">
      <c r="A649">
        <v>-1.3888888888888951E-2</v>
      </c>
      <c r="B649">
        <v>-1.5673981191222541E-2</v>
      </c>
      <c r="C649">
        <v>3.4674063800288479E-4</v>
      </c>
      <c r="D649">
        <v>0</v>
      </c>
      <c r="E649">
        <v>5.4019114455883255E-3</v>
      </c>
      <c r="F649">
        <v>1.0752688172043001E-2</v>
      </c>
      <c r="G649">
        <v>0</v>
      </c>
      <c r="H649">
        <v>-3.225806451612967E-3</v>
      </c>
      <c r="I649">
        <v>0</v>
      </c>
      <c r="J649">
        <v>2.3584905660377187E-2</v>
      </c>
      <c r="K649">
        <f>SUMPRODUCT(Sheet1!$AV$8:$BE$8,Sheet2!A649:J649)</f>
        <v>3.0493983674727103E-4</v>
      </c>
    </row>
    <row r="650" spans="1:11" x14ac:dyDescent="0.35">
      <c r="A650">
        <v>-2.8169014084507116E-2</v>
      </c>
      <c r="B650">
        <v>1.2738853503184711E-2</v>
      </c>
      <c r="C650">
        <v>0</v>
      </c>
      <c r="D650">
        <v>0</v>
      </c>
      <c r="E650">
        <v>1.0745775165319715E-2</v>
      </c>
      <c r="F650">
        <v>0</v>
      </c>
      <c r="G650">
        <v>-1.0101010101010055E-2</v>
      </c>
      <c r="H650">
        <v>-7.11974110032354E-3</v>
      </c>
      <c r="I650">
        <v>-4.115226337448652E-3</v>
      </c>
      <c r="J650">
        <v>1.3824884792626779E-2</v>
      </c>
      <c r="K650">
        <f>SUMPRODUCT(Sheet1!$AV$8:$BE$8,Sheet2!A650:J650)</f>
        <v>-2.0086873480687816E-3</v>
      </c>
    </row>
    <row r="651" spans="1:11" x14ac:dyDescent="0.35">
      <c r="A651">
        <v>-4.3478260869565077E-2</v>
      </c>
      <c r="B651">
        <v>-3.1446540880503138E-2</v>
      </c>
      <c r="C651">
        <v>0</v>
      </c>
      <c r="D651">
        <v>-3.805853689607952E-3</v>
      </c>
      <c r="E651">
        <v>-5.3157655611086874E-3</v>
      </c>
      <c r="F651">
        <v>0</v>
      </c>
      <c r="G651">
        <v>5.1020408163264808E-3</v>
      </c>
      <c r="H651">
        <v>-3.9113428943937656E-3</v>
      </c>
      <c r="I651">
        <v>-8.2644628099173278E-3</v>
      </c>
      <c r="J651">
        <v>2.7272727272727115E-2</v>
      </c>
      <c r="K651">
        <f>SUMPRODUCT(Sheet1!$AV$8:$BE$8,Sheet2!A651:J651)</f>
        <v>-2.7915941757936514E-3</v>
      </c>
    </row>
    <row r="652" spans="1:11" x14ac:dyDescent="0.35">
      <c r="A652">
        <v>3.0303030303030276E-2</v>
      </c>
      <c r="B652">
        <v>2.5974025974025983E-2</v>
      </c>
      <c r="C652">
        <v>0</v>
      </c>
      <c r="D652">
        <v>7.632794641858176E-3</v>
      </c>
      <c r="E652">
        <v>-5.3441739368746966E-3</v>
      </c>
      <c r="F652">
        <v>-2.1276595744680882E-2</v>
      </c>
      <c r="G652">
        <v>0</v>
      </c>
      <c r="H652">
        <v>-2.6178010471203939E-3</v>
      </c>
      <c r="I652">
        <v>2.750000000000008E-2</v>
      </c>
      <c r="J652">
        <v>0</v>
      </c>
      <c r="K652">
        <f>SUMPRODUCT(Sheet1!$AV$8:$BE$8,Sheet2!A652:J652)</f>
        <v>3.1883201956497578E-3</v>
      </c>
    </row>
    <row r="653" spans="1:11" x14ac:dyDescent="0.35">
      <c r="A653">
        <v>2.9411764705882248E-2</v>
      </c>
      <c r="B653">
        <v>1.8987341772152E-3</v>
      </c>
      <c r="C653">
        <v>0</v>
      </c>
      <c r="D653">
        <v>3.029990561024043E-3</v>
      </c>
      <c r="E653">
        <v>8.5989162380601947E-3</v>
      </c>
      <c r="F653">
        <v>7.2463768115942351E-3</v>
      </c>
      <c r="G653">
        <v>5.0761421319795996E-3</v>
      </c>
      <c r="H653">
        <v>-2.624671916010568E-3</v>
      </c>
      <c r="I653">
        <v>-6.4882400648823557E-3</v>
      </c>
      <c r="J653">
        <v>-1.7699115044247593E-2</v>
      </c>
      <c r="K653">
        <f>SUMPRODUCT(Sheet1!$AV$8:$BE$8,Sheet2!A653:J653)</f>
        <v>-1.1315686772815237E-3</v>
      </c>
    </row>
    <row r="654" spans="1:11" x14ac:dyDescent="0.35">
      <c r="A654">
        <v>-1.4285714285714346E-2</v>
      </c>
      <c r="B654">
        <v>-1.8951358180668842E-3</v>
      </c>
      <c r="C654">
        <v>0</v>
      </c>
      <c r="D654">
        <v>6.0416749041161122E-3</v>
      </c>
      <c r="E654">
        <v>1.5992624042434622E-2</v>
      </c>
      <c r="F654">
        <v>2.3381294964028854E-2</v>
      </c>
      <c r="G654">
        <v>5.050505050504972E-3</v>
      </c>
      <c r="H654">
        <v>8.5526315789474783E-3</v>
      </c>
      <c r="I654">
        <v>-8.9795918367346905E-3</v>
      </c>
      <c r="J654">
        <v>4.0540540540540571E-2</v>
      </c>
      <c r="K654">
        <f>SUMPRODUCT(Sheet1!$AV$8:$BE$8,Sheet2!A654:J654)</f>
        <v>2.2907551070966352E-3</v>
      </c>
    </row>
    <row r="655" spans="1:11" x14ac:dyDescent="0.35">
      <c r="A655">
        <v>-1.4492753623188248E-2</v>
      </c>
      <c r="B655">
        <v>0</v>
      </c>
      <c r="C655">
        <v>-1.7331022530342466E-4</v>
      </c>
      <c r="D655">
        <v>3.7573004032416257E-3</v>
      </c>
      <c r="E655">
        <v>-1.3645835667391193E-2</v>
      </c>
      <c r="F655">
        <v>8.7873462214411724E-3</v>
      </c>
      <c r="G655">
        <v>0</v>
      </c>
      <c r="H655">
        <v>0</v>
      </c>
      <c r="I655">
        <v>-3.2948929159802853E-3</v>
      </c>
      <c r="J655">
        <v>4.3290043290043378E-2</v>
      </c>
      <c r="K655">
        <f>SUMPRODUCT(Sheet1!$AV$8:$BE$8,Sheet2!A655:J655)</f>
        <v>5.0861230480815951E-5</v>
      </c>
    </row>
    <row r="656" spans="1:11" x14ac:dyDescent="0.35">
      <c r="A656">
        <v>-1.4705882352941235E-2</v>
      </c>
      <c r="B656">
        <v>0</v>
      </c>
      <c r="C656">
        <v>-1.5600624024960652E-3</v>
      </c>
      <c r="D656">
        <v>1.4957281690251012E-3</v>
      </c>
      <c r="E656">
        <v>-3.1905951840072833E-2</v>
      </c>
      <c r="F656">
        <v>0</v>
      </c>
      <c r="G656">
        <v>-1.5075376884422176E-2</v>
      </c>
      <c r="H656">
        <v>-1.9569471624265589E-3</v>
      </c>
      <c r="I656">
        <v>0</v>
      </c>
      <c r="J656">
        <v>4.1493775933609811E-2</v>
      </c>
      <c r="K656">
        <f>SUMPRODUCT(Sheet1!$AV$8:$BE$8,Sheet2!A656:J656)</f>
        <v>-1.30164802574406E-3</v>
      </c>
    </row>
    <row r="657" spans="1:11" x14ac:dyDescent="0.35">
      <c r="A657">
        <v>4.4776119402984982E-2</v>
      </c>
      <c r="B657">
        <v>-6.3291139240517769E-4</v>
      </c>
      <c r="C657">
        <v>-6.9444444444444198E-4</v>
      </c>
      <c r="D657">
        <v>-3.8158388590016079E-3</v>
      </c>
      <c r="E657">
        <v>5.4909598620220823E-3</v>
      </c>
      <c r="F657">
        <v>0</v>
      </c>
      <c r="G657">
        <v>1.0204081632652962E-2</v>
      </c>
      <c r="H657">
        <v>-3.9215686274509665E-3</v>
      </c>
      <c r="I657">
        <v>2.3966942148760495E-2</v>
      </c>
      <c r="J657">
        <v>4.3824701195219307E-2</v>
      </c>
      <c r="K657">
        <f>SUMPRODUCT(Sheet1!$AV$8:$BE$8,Sheet2!A657:J657)</f>
        <v>3.5653104063554336E-3</v>
      </c>
    </row>
    <row r="658" spans="1:11" x14ac:dyDescent="0.35">
      <c r="A658">
        <v>2.8571428571428692E-2</v>
      </c>
      <c r="B658">
        <v>6.3331222292606348E-4</v>
      </c>
      <c r="C658">
        <v>-3.4746351633085926E-4</v>
      </c>
      <c r="D658">
        <v>-3.9246467817897202E-3</v>
      </c>
      <c r="E658">
        <v>-5.4609738736742797E-3</v>
      </c>
      <c r="F658">
        <v>-6.9686411149826322E-3</v>
      </c>
      <c r="G658">
        <v>-1.5151515151515138E-2</v>
      </c>
      <c r="H658">
        <v>0</v>
      </c>
      <c r="I658">
        <v>8.0710250201776468E-4</v>
      </c>
      <c r="J658">
        <v>1.1450381679389166E-2</v>
      </c>
      <c r="K658">
        <f>SUMPRODUCT(Sheet1!$AV$8:$BE$8,Sheet2!A658:J658)</f>
        <v>-6.1571269865706821E-4</v>
      </c>
    </row>
    <row r="659" spans="1:11" x14ac:dyDescent="0.35">
      <c r="A659">
        <v>0</v>
      </c>
      <c r="B659">
        <v>0</v>
      </c>
      <c r="C659">
        <v>-6.9516857838025636E-4</v>
      </c>
      <c r="D659">
        <v>-2.3640661938534313E-3</v>
      </c>
      <c r="E659">
        <v>-5.5026926822399069E-3</v>
      </c>
      <c r="F659">
        <v>0</v>
      </c>
      <c r="G659">
        <v>-5.12820512820511E-3</v>
      </c>
      <c r="H659">
        <v>-6.561679790025865E-4</v>
      </c>
      <c r="I659">
        <v>0</v>
      </c>
      <c r="J659">
        <v>-3.7735849056603765E-2</v>
      </c>
      <c r="K659">
        <f>SUMPRODUCT(Sheet1!$AV$8:$BE$8,Sheet2!A659:J659)</f>
        <v>-6.1546307806210399E-4</v>
      </c>
    </row>
    <row r="660" spans="1:11" x14ac:dyDescent="0.35">
      <c r="A660">
        <v>-4.1666666666666741E-2</v>
      </c>
      <c r="B660">
        <v>-3.1645569620253333E-3</v>
      </c>
      <c r="C660">
        <v>-5.2173913043477294E-3</v>
      </c>
      <c r="D660">
        <v>6.3191153238546516E-3</v>
      </c>
      <c r="E660">
        <v>-6.6303296288431346E-3</v>
      </c>
      <c r="F660">
        <v>-1.7543859649122862E-3</v>
      </c>
      <c r="G660">
        <v>-2.0618556701030966E-2</v>
      </c>
      <c r="H660">
        <v>6.5659881812218934E-4</v>
      </c>
      <c r="I660">
        <v>0</v>
      </c>
      <c r="J660">
        <v>-1.1764705882352899E-2</v>
      </c>
      <c r="K660">
        <f>SUMPRODUCT(Sheet1!$AV$8:$BE$8,Sheet2!A660:J660)</f>
        <v>-2.6811746681488437E-3</v>
      </c>
    </row>
    <row r="661" spans="1:11" x14ac:dyDescent="0.35">
      <c r="A661">
        <v>-1.4492753623188248E-2</v>
      </c>
      <c r="B661">
        <v>-6.3492063492065487E-4</v>
      </c>
      <c r="C661">
        <v>3.3216783216782897E-3</v>
      </c>
      <c r="D661">
        <v>4.3956043956044022E-2</v>
      </c>
      <c r="E661">
        <v>1.1163895486934194E-3</v>
      </c>
      <c r="F661">
        <v>0</v>
      </c>
      <c r="G661">
        <v>0</v>
      </c>
      <c r="H661">
        <v>-2.624671916010568E-3</v>
      </c>
      <c r="I661">
        <v>6.4516129032257119E-3</v>
      </c>
      <c r="J661">
        <v>-3.5714285714285698E-2</v>
      </c>
      <c r="K661">
        <f>SUMPRODUCT(Sheet1!$AV$8:$BE$8,Sheet2!A661:J661)</f>
        <v>2.2113290033975099E-3</v>
      </c>
    </row>
    <row r="662" spans="1:11" x14ac:dyDescent="0.35">
      <c r="A662">
        <v>-2.9411764705882359E-2</v>
      </c>
      <c r="B662">
        <v>-5.7179161372299392E-3</v>
      </c>
      <c r="C662">
        <v>0</v>
      </c>
      <c r="D662">
        <v>1.5037593984962294E-2</v>
      </c>
      <c r="E662">
        <v>0</v>
      </c>
      <c r="F662">
        <v>1.7574692442881013E-3</v>
      </c>
      <c r="G662">
        <v>0</v>
      </c>
      <c r="H662">
        <v>2.6315789473685403E-3</v>
      </c>
      <c r="I662">
        <v>1.7628205128205066E-2</v>
      </c>
      <c r="J662">
        <v>4.1152263374485409E-2</v>
      </c>
      <c r="K662">
        <f>SUMPRODUCT(Sheet1!$AV$8:$BE$8,Sheet2!A662:J662)</f>
        <v>4.1114824959227322E-3</v>
      </c>
    </row>
    <row r="663" spans="1:11" x14ac:dyDescent="0.35">
      <c r="A663">
        <v>0</v>
      </c>
      <c r="B663">
        <v>-1.9169329073482455E-2</v>
      </c>
      <c r="C663">
        <v>1.9167102282626747E-3</v>
      </c>
      <c r="D663">
        <v>1.481481481481417E-3</v>
      </c>
      <c r="E663">
        <v>1.1115856407336144E-2</v>
      </c>
      <c r="F663">
        <v>5.2631578947368363E-2</v>
      </c>
      <c r="G663">
        <v>0</v>
      </c>
      <c r="H663">
        <v>6.5616797900269752E-4</v>
      </c>
      <c r="I663">
        <v>-9.4488188976377119E-3</v>
      </c>
      <c r="J663">
        <v>7.905138339920903E-3</v>
      </c>
      <c r="K663">
        <f>SUMPRODUCT(Sheet1!$AV$8:$BE$8,Sheet2!A663:J663)</f>
        <v>3.6341106726003702E-3</v>
      </c>
    </row>
    <row r="664" spans="1:11" x14ac:dyDescent="0.35">
      <c r="A664">
        <v>3.0303030303030276E-2</v>
      </c>
      <c r="B664">
        <v>1.9543973941368087E-2</v>
      </c>
      <c r="C664">
        <v>3.3043478260870174E-3</v>
      </c>
      <c r="D664">
        <v>1.4792899408284654E-3</v>
      </c>
      <c r="E664">
        <v>1.371566683483727E-2</v>
      </c>
      <c r="F664">
        <v>1.0000000000000009E-2</v>
      </c>
      <c r="G664">
        <v>0</v>
      </c>
      <c r="H664">
        <v>3.2786885245901232E-3</v>
      </c>
      <c r="I664">
        <v>-7.9491255961844365E-3</v>
      </c>
      <c r="J664">
        <v>-1.1764705882352899E-2</v>
      </c>
      <c r="K664">
        <f>SUMPRODUCT(Sheet1!$AV$8:$BE$8,Sheet2!A664:J664)</f>
        <v>1.9713365096452585E-3</v>
      </c>
    </row>
    <row r="665" spans="1:11" x14ac:dyDescent="0.35">
      <c r="A665">
        <v>1.4705882352941124E-2</v>
      </c>
      <c r="B665">
        <v>-3.1948881789137795E-3</v>
      </c>
      <c r="C665">
        <v>0</v>
      </c>
      <c r="D665">
        <v>-1.477104874446078E-3</v>
      </c>
      <c r="E665">
        <v>1.2731481481481399E-2</v>
      </c>
      <c r="F665">
        <v>-1.6501650165016146E-3</v>
      </c>
      <c r="G665">
        <v>0</v>
      </c>
      <c r="H665">
        <v>6.5359477124182774E-4</v>
      </c>
      <c r="I665">
        <v>-8.8141025641026438E-3</v>
      </c>
      <c r="J665">
        <v>1.1904761904761862E-2</v>
      </c>
      <c r="K665">
        <f>SUMPRODUCT(Sheet1!$AV$8:$BE$8,Sheet2!A665:J665)</f>
        <v>-1.6094435402918873E-3</v>
      </c>
    </row>
    <row r="666" spans="1:11" x14ac:dyDescent="0.35">
      <c r="A666">
        <v>0</v>
      </c>
      <c r="B666">
        <v>0</v>
      </c>
      <c r="C666">
        <v>-1.2827179753856721E-2</v>
      </c>
      <c r="D666">
        <v>-9.6153846153845812E-3</v>
      </c>
      <c r="E666">
        <v>-5.7142857142857828E-3</v>
      </c>
      <c r="F666">
        <v>-1.6528925619834656E-2</v>
      </c>
      <c r="G666">
        <v>0</v>
      </c>
      <c r="H666">
        <v>6.5316786414104655E-4</v>
      </c>
      <c r="I666">
        <v>8.0840743734844622E-3</v>
      </c>
      <c r="J666">
        <v>0</v>
      </c>
      <c r="K666">
        <f>SUMPRODUCT(Sheet1!$AV$8:$BE$8,Sheet2!A666:J666)</f>
        <v>-6.0416336318560842E-3</v>
      </c>
    </row>
    <row r="667" spans="1:11" x14ac:dyDescent="0.35">
      <c r="A667">
        <v>0</v>
      </c>
      <c r="B667">
        <v>-1.2820512820512775E-3</v>
      </c>
      <c r="C667">
        <v>-2.6338893766463256E-3</v>
      </c>
      <c r="D667">
        <v>-2.9873039581778116E-3</v>
      </c>
      <c r="E667">
        <v>0</v>
      </c>
      <c r="F667">
        <v>8.4033613445377853E-3</v>
      </c>
      <c r="G667">
        <v>1.5789473684210575E-2</v>
      </c>
      <c r="H667">
        <v>-1.3054830287205776E-3</v>
      </c>
      <c r="I667">
        <v>0</v>
      </c>
      <c r="J667">
        <v>1.9607843137255054E-2</v>
      </c>
      <c r="K667">
        <f>SUMPRODUCT(Sheet1!$AV$8:$BE$8,Sheet2!A667:J667)</f>
        <v>-8.0711264066791132E-4</v>
      </c>
    </row>
    <row r="668" spans="1:11" x14ac:dyDescent="0.35">
      <c r="A668">
        <v>-4.3478260869565077E-2</v>
      </c>
      <c r="B668">
        <v>4.6213093709884578E-2</v>
      </c>
      <c r="C668">
        <v>-9.6830985915492551E-3</v>
      </c>
      <c r="D668">
        <v>-2.1722846441947552E-2</v>
      </c>
      <c r="E668">
        <v>1.1494252873565092E-3</v>
      </c>
      <c r="F668">
        <v>-1.1666666666666714E-2</v>
      </c>
      <c r="G668">
        <v>-1.5544041450777257E-2</v>
      </c>
      <c r="H668">
        <v>-1.3071895424837665E-3</v>
      </c>
      <c r="I668">
        <v>1.6038492381715841E-3</v>
      </c>
      <c r="J668">
        <v>0</v>
      </c>
      <c r="K668">
        <f>SUMPRODUCT(Sheet1!$AV$8:$BE$8,Sheet2!A668:J668)</f>
        <v>-5.0824721220759476E-3</v>
      </c>
    </row>
    <row r="669" spans="1:11" x14ac:dyDescent="0.35">
      <c r="A669">
        <v>0</v>
      </c>
      <c r="B669">
        <v>-3.6196319018404921E-2</v>
      </c>
      <c r="C669">
        <v>6.2222222222223511E-3</v>
      </c>
      <c r="D669">
        <v>-8.4226646248086734E-3</v>
      </c>
      <c r="E669">
        <v>-8.036739380023028E-3</v>
      </c>
      <c r="F669">
        <v>3.3726812816190499E-3</v>
      </c>
      <c r="G669">
        <v>-1.5789473684210464E-2</v>
      </c>
      <c r="H669">
        <v>0</v>
      </c>
      <c r="I669">
        <v>-7.2057646116893137E-3</v>
      </c>
      <c r="J669">
        <v>-1.9230769230769384E-2</v>
      </c>
      <c r="K669">
        <f>SUMPRODUCT(Sheet1!$AV$8:$BE$8,Sheet2!A669:J669)</f>
        <v>1.3637017199528646E-3</v>
      </c>
    </row>
    <row r="670" spans="1:11" x14ac:dyDescent="0.35">
      <c r="A670">
        <v>0</v>
      </c>
      <c r="B670">
        <v>3.4373010821133088E-2</v>
      </c>
      <c r="C670">
        <v>1.3957597173144931E-2</v>
      </c>
      <c r="D670">
        <v>-1.5444015444014969E-3</v>
      </c>
      <c r="E670">
        <v>1.6203703703703498E-2</v>
      </c>
      <c r="F670">
        <v>3.1932773109243584E-2</v>
      </c>
      <c r="G670">
        <v>-5.3475935828877219E-3</v>
      </c>
      <c r="H670">
        <v>-3.2722513089004091E-3</v>
      </c>
      <c r="I670">
        <v>5.6451612903225534E-3</v>
      </c>
      <c r="J670">
        <v>-1.9607843137254832E-2</v>
      </c>
      <c r="K670">
        <f>SUMPRODUCT(Sheet1!$AV$8:$BE$8,Sheet2!A670:J670)</f>
        <v>1.0471661419178937E-2</v>
      </c>
    </row>
    <row r="671" spans="1:11" x14ac:dyDescent="0.35">
      <c r="A671">
        <v>-3.0303030303030276E-2</v>
      </c>
      <c r="B671">
        <v>0</v>
      </c>
      <c r="C671">
        <v>0</v>
      </c>
      <c r="D671">
        <v>5.1044083526682105E-2</v>
      </c>
      <c r="E671">
        <v>-9.1116173120728838E-3</v>
      </c>
      <c r="F671">
        <v>9.7719869706840434E-3</v>
      </c>
      <c r="G671">
        <v>5.3763440860215006E-3</v>
      </c>
      <c r="H671">
        <v>-1.969796454366457E-3</v>
      </c>
      <c r="I671">
        <v>-5.6134723336006553E-3</v>
      </c>
      <c r="J671">
        <v>-4.3999999999999928E-2</v>
      </c>
      <c r="K671">
        <f>SUMPRODUCT(Sheet1!$AV$8:$BE$8,Sheet2!A671:J671)</f>
        <v>-8.3117731081611742E-4</v>
      </c>
    </row>
    <row r="672" spans="1:11" x14ac:dyDescent="0.35">
      <c r="A672">
        <v>1.5625E-2</v>
      </c>
      <c r="B672">
        <v>-3.0769230769230882E-3</v>
      </c>
      <c r="C672">
        <v>5.2273915316256581E-3</v>
      </c>
      <c r="D672">
        <v>-2.1339220014716664E-2</v>
      </c>
      <c r="E672">
        <v>-2.8735632183908066E-2</v>
      </c>
      <c r="F672">
        <v>-1.6129032258064613E-2</v>
      </c>
      <c r="G672">
        <v>-5.3475935828877219E-3</v>
      </c>
      <c r="H672">
        <v>-1.3157894736842035E-2</v>
      </c>
      <c r="I672">
        <v>-8.0645161290315848E-4</v>
      </c>
      <c r="J672">
        <v>-1.6736401673640211E-2</v>
      </c>
      <c r="K672">
        <f>SUMPRODUCT(Sheet1!$AV$8:$BE$8,Sheet2!A672:J672)</f>
        <v>-2.0576047267963056E-3</v>
      </c>
    </row>
    <row r="673" spans="1:11" x14ac:dyDescent="0.35">
      <c r="A673">
        <v>3.0769230769230882E-2</v>
      </c>
      <c r="B673">
        <v>0</v>
      </c>
      <c r="C673">
        <v>-6.7602704108163936E-3</v>
      </c>
      <c r="D673">
        <v>-3.7593984962406291E-3</v>
      </c>
      <c r="E673">
        <v>1.1834319526627279E-2</v>
      </c>
      <c r="F673">
        <v>3.2786885245903452E-3</v>
      </c>
      <c r="G673">
        <v>1.6129032258064502E-2</v>
      </c>
      <c r="H673">
        <v>8.6666666666668224E-3</v>
      </c>
      <c r="I673">
        <v>-7.2639225181597711E-3</v>
      </c>
      <c r="J673">
        <v>2.1276595744680771E-2</v>
      </c>
      <c r="K673">
        <f>SUMPRODUCT(Sheet1!$AV$8:$BE$8,Sheet2!A673:J673)</f>
        <v>-2.4402369907648527E-3</v>
      </c>
    </row>
    <row r="674" spans="1:11" x14ac:dyDescent="0.35">
      <c r="A674">
        <v>0</v>
      </c>
      <c r="B674">
        <v>0</v>
      </c>
      <c r="C674">
        <v>-3.4904013961605251E-3</v>
      </c>
      <c r="D674">
        <v>-1.132075471698113E-2</v>
      </c>
      <c r="E674">
        <v>-1.1695906432748648E-2</v>
      </c>
      <c r="F674">
        <v>1.7973856209150485E-2</v>
      </c>
      <c r="G674">
        <v>-1.058201058201047E-2</v>
      </c>
      <c r="H674">
        <v>-8.5922009253139864E-3</v>
      </c>
      <c r="I674">
        <v>-8.1300813008144956E-4</v>
      </c>
      <c r="J674">
        <v>0</v>
      </c>
      <c r="K674">
        <f>SUMPRODUCT(Sheet1!$AV$8:$BE$8,Sheet2!A674:J674)</f>
        <v>-2.2167985323748251E-3</v>
      </c>
    </row>
    <row r="675" spans="1:11" x14ac:dyDescent="0.35">
      <c r="A675">
        <v>-2.9850746268656692E-2</v>
      </c>
      <c r="B675">
        <v>0</v>
      </c>
      <c r="C675">
        <v>7.0052539404552583E-3</v>
      </c>
      <c r="D675">
        <v>1.5267175572519109E-2</v>
      </c>
      <c r="E675">
        <v>0</v>
      </c>
      <c r="F675">
        <v>6.4205457463883953E-3</v>
      </c>
      <c r="G675">
        <v>0</v>
      </c>
      <c r="H675">
        <v>4.0000000000000036E-3</v>
      </c>
      <c r="I675">
        <v>8.1366965012206194E-3</v>
      </c>
      <c r="J675">
        <v>2.0833333333333481E-2</v>
      </c>
      <c r="K675">
        <f>SUMPRODUCT(Sheet1!$AV$8:$BE$8,Sheet2!A675:J675)</f>
        <v>6.4290547831029688E-3</v>
      </c>
    </row>
    <row r="676" spans="1:11" x14ac:dyDescent="0.35">
      <c r="A676">
        <v>0</v>
      </c>
      <c r="B676">
        <v>-1.2345679012345623E-2</v>
      </c>
      <c r="C676">
        <v>1.5652173913043299E-3</v>
      </c>
      <c r="D676">
        <v>-7.5187969924812581E-3</v>
      </c>
      <c r="E676">
        <v>3.5502958579882726E-3</v>
      </c>
      <c r="F676">
        <v>0.27432216905901119</v>
      </c>
      <c r="G676">
        <v>2.6737967914438387E-2</v>
      </c>
      <c r="H676">
        <v>-3.9840637450199168E-3</v>
      </c>
      <c r="I676">
        <v>8.0710250201776468E-4</v>
      </c>
      <c r="J676">
        <v>0</v>
      </c>
      <c r="K676">
        <f>SUMPRODUCT(Sheet1!$AV$8:$BE$8,Sheet2!A676:J676)</f>
        <v>2.3497016261455204E-2</v>
      </c>
    </row>
    <row r="677" spans="1:11" x14ac:dyDescent="0.35">
      <c r="A677">
        <v>-1.5384615384615441E-2</v>
      </c>
      <c r="B677">
        <v>1.0625000000000107E-2</v>
      </c>
      <c r="C677">
        <v>3.4728251432538659E-3</v>
      </c>
      <c r="D677">
        <v>-7.575757575757347E-4</v>
      </c>
      <c r="E677">
        <v>-1.179245283018826E-3</v>
      </c>
      <c r="F677">
        <v>0</v>
      </c>
      <c r="G677">
        <v>0</v>
      </c>
      <c r="H677">
        <v>-3.3333333333334103E-3</v>
      </c>
      <c r="I677">
        <v>1.6129032258064502E-2</v>
      </c>
      <c r="J677">
        <v>-4.4897959183673564E-2</v>
      </c>
      <c r="K677">
        <f>SUMPRODUCT(Sheet1!$AV$8:$BE$8,Sheet2!A677:J677)</f>
        <v>4.0962780893904335E-3</v>
      </c>
    </row>
    <row r="678" spans="1:11" x14ac:dyDescent="0.35">
      <c r="A678">
        <v>0</v>
      </c>
      <c r="B678">
        <v>0</v>
      </c>
      <c r="C678">
        <v>2.0764838207302461E-2</v>
      </c>
      <c r="D678">
        <v>-7.5815011372248886E-4</v>
      </c>
      <c r="E678">
        <v>3.5419126328215533E-3</v>
      </c>
      <c r="F678">
        <v>0</v>
      </c>
      <c r="G678">
        <v>-5.2083333333333703E-3</v>
      </c>
      <c r="H678">
        <v>3.3444816053511683E-3</v>
      </c>
      <c r="I678">
        <v>0</v>
      </c>
      <c r="J678">
        <v>-1.2820512820512775E-2</v>
      </c>
      <c r="K678">
        <f>SUMPRODUCT(Sheet1!$AV$8:$BE$8,Sheet2!A678:J678)</f>
        <v>1.0842417579429206E-2</v>
      </c>
    </row>
    <row r="679" spans="1:11" x14ac:dyDescent="0.35">
      <c r="A679">
        <v>0</v>
      </c>
      <c r="B679">
        <v>-1.2368583797157662E-3</v>
      </c>
      <c r="C679">
        <v>5.1025597558908231E-2</v>
      </c>
      <c r="D679">
        <v>-1.4415781487101653E-2</v>
      </c>
      <c r="E679">
        <v>2.5882352941176467E-2</v>
      </c>
      <c r="F679">
        <v>-2.5031289111390187E-3</v>
      </c>
      <c r="G679">
        <v>-1.0471204188481686E-2</v>
      </c>
      <c r="H679">
        <v>0</v>
      </c>
      <c r="I679">
        <v>1.1904761904761862E-2</v>
      </c>
      <c r="J679">
        <v>-4.3290043290044045E-3</v>
      </c>
      <c r="K679">
        <f>SUMPRODUCT(Sheet1!$AV$8:$BE$8,Sheet2!A679:J679)</f>
        <v>2.7151125609941817E-2</v>
      </c>
    </row>
    <row r="680" spans="1:11" x14ac:dyDescent="0.35">
      <c r="A680">
        <v>-1.5625E-2</v>
      </c>
      <c r="B680">
        <v>-1.8575851393188736E-2</v>
      </c>
      <c r="C680">
        <v>1.6129032258064502E-2</v>
      </c>
      <c r="D680">
        <v>7.6982294072363011E-3</v>
      </c>
      <c r="E680">
        <v>1.4908256880733939E-2</v>
      </c>
      <c r="F680">
        <v>-2.1329987452948562E-2</v>
      </c>
      <c r="G680">
        <v>5.2910052910053462E-3</v>
      </c>
      <c r="H680">
        <v>0</v>
      </c>
      <c r="I680">
        <v>-1.5686274509804088E-3</v>
      </c>
      <c r="J680">
        <v>8.6956521739129933E-3</v>
      </c>
      <c r="K680">
        <f>SUMPRODUCT(Sheet1!$AV$8:$BE$8,Sheet2!A680:J680)</f>
        <v>5.6331220005029882E-3</v>
      </c>
    </row>
    <row r="681" spans="1:11" x14ac:dyDescent="0.35">
      <c r="A681">
        <v>-1.5873015873015928E-2</v>
      </c>
      <c r="B681">
        <v>2.0820189274447953E-2</v>
      </c>
      <c r="C681">
        <v>-1.5873015873015928E-2</v>
      </c>
      <c r="D681">
        <v>-1.5278838808250317E-3</v>
      </c>
      <c r="E681">
        <v>-6.7796610169491567E-3</v>
      </c>
      <c r="F681">
        <v>1.2820512820512997E-2</v>
      </c>
      <c r="G681">
        <v>-1.0526315789473717E-2</v>
      </c>
      <c r="H681">
        <v>0</v>
      </c>
      <c r="I681">
        <v>-2.3566378633150808E-3</v>
      </c>
      <c r="J681">
        <v>-8.6206896551723755E-3</v>
      </c>
      <c r="K681">
        <f>SUMPRODUCT(Sheet1!$AV$8:$BE$8,Sheet2!A681:J681)</f>
        <v>-6.9009442484057031E-3</v>
      </c>
    </row>
    <row r="682" spans="1:11" x14ac:dyDescent="0.35">
      <c r="A682">
        <v>1.6129032258064502E-2</v>
      </c>
      <c r="B682">
        <v>-1.1124845488257096E-2</v>
      </c>
      <c r="C682">
        <v>2.4193548387096975E-3</v>
      </c>
      <c r="D682">
        <v>8.4162203519508871E-3</v>
      </c>
      <c r="E682">
        <v>-4.55062571103515E-3</v>
      </c>
      <c r="F682">
        <v>1.13924050632912E-2</v>
      </c>
      <c r="G682">
        <v>0</v>
      </c>
      <c r="H682">
        <v>-6.6666666666670427E-4</v>
      </c>
      <c r="I682">
        <v>0</v>
      </c>
      <c r="J682">
        <v>0</v>
      </c>
      <c r="K682">
        <f>SUMPRODUCT(Sheet1!$AV$8:$BE$8,Sheet2!A682:J682)</f>
        <v>1.8392372727404091E-3</v>
      </c>
    </row>
    <row r="683" spans="1:11" x14ac:dyDescent="0.35">
      <c r="A683">
        <v>1.5873015873015817E-2</v>
      </c>
      <c r="B683">
        <v>4.4999999999999929E-2</v>
      </c>
      <c r="C683">
        <v>1.2067578439259874E-2</v>
      </c>
      <c r="D683">
        <v>-6.0698027314112224E-3</v>
      </c>
      <c r="E683">
        <v>-5.7142857142857828E-3</v>
      </c>
      <c r="F683">
        <v>0</v>
      </c>
      <c r="G683">
        <v>5.3191489361701372E-3</v>
      </c>
      <c r="H683">
        <v>6.6711140760511434E-4</v>
      </c>
      <c r="I683">
        <v>0</v>
      </c>
      <c r="J683">
        <v>0</v>
      </c>
      <c r="K683">
        <f>SUMPRODUCT(Sheet1!$AV$8:$BE$8,Sheet2!A683:J683)</f>
        <v>6.5879591271315483E-3</v>
      </c>
    </row>
    <row r="684" spans="1:11" x14ac:dyDescent="0.35">
      <c r="A684">
        <v>-1.5625E-2</v>
      </c>
      <c r="B684">
        <v>-9.5693779904306719E-3</v>
      </c>
      <c r="C684">
        <v>-3.1796502384736636E-3</v>
      </c>
      <c r="D684">
        <v>1.5267175572519109E-2</v>
      </c>
      <c r="E684">
        <v>0</v>
      </c>
      <c r="F684">
        <v>0</v>
      </c>
      <c r="G684">
        <v>5.2910052910053462E-3</v>
      </c>
      <c r="H684">
        <v>-1.3333333333332975E-3</v>
      </c>
      <c r="I684">
        <v>1.5748031496063408E-3</v>
      </c>
      <c r="J684">
        <v>2.1739130434782705E-2</v>
      </c>
      <c r="K684">
        <f>SUMPRODUCT(Sheet1!$AV$8:$BE$8,Sheet2!A684:J684)</f>
        <v>-1.6036345951593023E-3</v>
      </c>
    </row>
    <row r="685" spans="1:11" x14ac:dyDescent="0.35">
      <c r="A685">
        <v>0</v>
      </c>
      <c r="B685">
        <v>9.6618357487923134E-3</v>
      </c>
      <c r="C685">
        <v>-3.3492822966507685E-3</v>
      </c>
      <c r="D685">
        <v>6.0150375939849177E-3</v>
      </c>
      <c r="E685">
        <v>-8.0459770114941209E-3</v>
      </c>
      <c r="F685">
        <v>0</v>
      </c>
      <c r="G685">
        <v>5.2631578947368585E-3</v>
      </c>
      <c r="H685">
        <v>-4.0053404539386328E-3</v>
      </c>
      <c r="I685">
        <v>-1.5723270440252124E-3</v>
      </c>
      <c r="J685">
        <v>4.2553191489361764E-2</v>
      </c>
      <c r="K685">
        <f>SUMPRODUCT(Sheet1!$AV$8:$BE$8,Sheet2!A685:J685)</f>
        <v>-2.6044748068659103E-3</v>
      </c>
    </row>
    <row r="686" spans="1:11" x14ac:dyDescent="0.35">
      <c r="A686">
        <v>3.1746031746031855E-2</v>
      </c>
      <c r="B686">
        <v>-1.1961722488037507E-3</v>
      </c>
      <c r="C686">
        <v>-2.2403584573531532E-3</v>
      </c>
      <c r="D686">
        <v>-7.4738415545591019E-3</v>
      </c>
      <c r="E686">
        <v>-1.1587485515645035E-3</v>
      </c>
      <c r="F686">
        <v>0</v>
      </c>
      <c r="G686">
        <v>0</v>
      </c>
      <c r="H686">
        <v>6.7024128686332674E-4</v>
      </c>
      <c r="I686">
        <v>0</v>
      </c>
      <c r="J686">
        <v>2.0408163265306145E-2</v>
      </c>
      <c r="K686">
        <f>SUMPRODUCT(Sheet1!$AV$8:$BE$8,Sheet2!A686:J686)</f>
        <v>-9.2461521385320798E-4</v>
      </c>
    </row>
    <row r="687" spans="1:11" x14ac:dyDescent="0.35">
      <c r="A687">
        <v>1.538461538461533E-2</v>
      </c>
      <c r="B687">
        <v>8.9820359281438389E-3</v>
      </c>
      <c r="C687">
        <v>-8.0192461908590307E-4</v>
      </c>
      <c r="D687">
        <v>-7.5301204819276935E-3</v>
      </c>
      <c r="E687">
        <v>-4.6403712296982924E-3</v>
      </c>
      <c r="F687">
        <v>-2.5031289111390187E-3</v>
      </c>
      <c r="G687">
        <v>-5.2356020942407877E-3</v>
      </c>
      <c r="H687">
        <v>-1.2726054922973851E-2</v>
      </c>
      <c r="I687">
        <v>-7.8740157480314821E-3</v>
      </c>
      <c r="J687">
        <v>-1.9999999999999907E-2</v>
      </c>
      <c r="K687">
        <f>SUMPRODUCT(Sheet1!$AV$8:$BE$8,Sheet2!A687:J687)</f>
        <v>-4.7676662530563773E-3</v>
      </c>
    </row>
    <row r="688" spans="1:11" x14ac:dyDescent="0.35">
      <c r="A688">
        <v>0</v>
      </c>
      <c r="B688">
        <v>0</v>
      </c>
      <c r="C688">
        <v>-1.6051364365969878E-3</v>
      </c>
      <c r="D688">
        <v>-2.2761760242792084E-3</v>
      </c>
      <c r="E688">
        <v>-3.4965034965034336E-3</v>
      </c>
      <c r="F688">
        <v>0</v>
      </c>
      <c r="G688">
        <v>0</v>
      </c>
      <c r="H688">
        <v>1.0854816824966029E-2</v>
      </c>
      <c r="I688">
        <v>-7.9365079365079083E-3</v>
      </c>
      <c r="J688">
        <v>-2.0408163265306256E-2</v>
      </c>
      <c r="K688">
        <f>SUMPRODUCT(Sheet1!$AV$8:$BE$8,Sheet2!A688:J688)</f>
        <v>-8.9656425953040631E-5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Yassine Esaadi</dc:creator>
  <cp:lastModifiedBy>Amine Bessaad</cp:lastModifiedBy>
  <dcterms:created xsi:type="dcterms:W3CDTF">2025-12-11T19:16:58Z</dcterms:created>
  <dcterms:modified xsi:type="dcterms:W3CDTF">2026-01-01T10:22:25Z</dcterms:modified>
</cp:coreProperties>
</file>