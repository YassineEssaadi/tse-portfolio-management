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ptek Store\Downloads\"/>
    </mc:Choice>
  </mc:AlternateContent>
  <xr:revisionPtr revIDLastSave="0" documentId="13_ncr:1_{7B6854EC-AA28-4DBD-BF91-87E6F931DC9D}" xr6:coauthVersionLast="47" xr6:coauthVersionMax="47" xr10:uidLastSave="{00000000-0000-0000-0000-000000000000}"/>
  <bookViews>
    <workbookView xWindow="28680" yWindow="-120" windowWidth="24240" windowHeight="13020" activeTab="2" xr2:uid="{00000000-000D-0000-FFFF-FFFF00000000}"/>
  </bookViews>
  <sheets>
    <sheet name="Data " sheetId="1" r:id="rId1"/>
    <sheet name="Ratios and Scoring System" sheetId="2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osFl8Lib8a/h85RX0zJADjRUCL+3qnD/hRSfglm6zE="/>
    </ext>
  </extLst>
</workbook>
</file>

<file path=xl/calcChain.xml><?xml version="1.0" encoding="utf-8"?>
<calcChain xmlns="http://schemas.openxmlformats.org/spreadsheetml/2006/main">
  <c r="H24" i="4" l="1"/>
  <c r="H7" i="4"/>
  <c r="H60" i="4"/>
  <c r="H55" i="4"/>
  <c r="H10" i="4"/>
  <c r="H2" i="4"/>
  <c r="H53" i="4"/>
  <c r="H46" i="4"/>
  <c r="H12" i="4"/>
  <c r="H40" i="4"/>
  <c r="H52" i="4"/>
  <c r="H29" i="4"/>
  <c r="H22" i="4"/>
  <c r="H20" i="4"/>
  <c r="H15" i="4"/>
  <c r="H8" i="4"/>
  <c r="H14" i="4"/>
  <c r="H17" i="4"/>
  <c r="H18" i="4"/>
  <c r="H19" i="4"/>
  <c r="H23" i="4"/>
  <c r="H5" i="4"/>
  <c r="H48" i="4"/>
  <c r="H65" i="4"/>
  <c r="H9" i="4"/>
  <c r="H57" i="4"/>
  <c r="H13" i="4"/>
  <c r="H44" i="4"/>
  <c r="H21" i="4"/>
  <c r="H63" i="4"/>
  <c r="H41" i="4"/>
  <c r="H16" i="4"/>
  <c r="H50" i="4"/>
  <c r="H61" i="4"/>
  <c r="H27" i="4"/>
  <c r="H54" i="4"/>
  <c r="H64" i="4"/>
  <c r="H45" i="4"/>
  <c r="H59" i="4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3" i="2"/>
  <c r="W64" i="2"/>
  <c r="W65" i="2"/>
  <c r="W66" i="2"/>
  <c r="W67" i="2"/>
  <c r="W69" i="2"/>
  <c r="W70" i="2"/>
  <c r="W71" i="2"/>
  <c r="W72" i="2"/>
  <c r="W73" i="2"/>
  <c r="W74" i="2"/>
  <c r="W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2" i="2"/>
  <c r="Q73" i="2"/>
  <c r="Q74" i="2"/>
  <c r="Q3" i="2"/>
  <c r="M20" i="2"/>
  <c r="AE77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78" i="2"/>
  <c r="AC61" i="2"/>
  <c r="AC63" i="2"/>
  <c r="AC64" i="2"/>
  <c r="AC65" i="2"/>
  <c r="AC66" i="2"/>
  <c r="AC67" i="2"/>
  <c r="AC69" i="2"/>
  <c r="AC70" i="2"/>
  <c r="AC71" i="2"/>
  <c r="AC72" i="2"/>
  <c r="AC73" i="2"/>
  <c r="AC74" i="2"/>
  <c r="AB61" i="2"/>
  <c r="AB63" i="2"/>
  <c r="AB64" i="2"/>
  <c r="AB65" i="2"/>
  <c r="AB66" i="2"/>
  <c r="AB67" i="2"/>
  <c r="AB69" i="2"/>
  <c r="AB70" i="2"/>
  <c r="AB71" i="2"/>
  <c r="AB72" i="2"/>
  <c r="AB73" i="2"/>
  <c r="AB74" i="2"/>
  <c r="AA61" i="2"/>
  <c r="AA63" i="2"/>
  <c r="AA64" i="2"/>
  <c r="AA65" i="2"/>
  <c r="AA66" i="2"/>
  <c r="AA67" i="2"/>
  <c r="AA69" i="2"/>
  <c r="AA70" i="2"/>
  <c r="AA71" i="2"/>
  <c r="AA72" i="2"/>
  <c r="AA73" i="2"/>
  <c r="AA74" i="2"/>
  <c r="Z61" i="2"/>
  <c r="Z63" i="2"/>
  <c r="Z64" i="2"/>
  <c r="Z65" i="2"/>
  <c r="Z66" i="2"/>
  <c r="Z67" i="2"/>
  <c r="Z69" i="2"/>
  <c r="Z70" i="2"/>
  <c r="Z72" i="2"/>
  <c r="Z73" i="2"/>
  <c r="Z74" i="2"/>
  <c r="Y63" i="2"/>
  <c r="Y64" i="2"/>
  <c r="Y65" i="2"/>
  <c r="Y67" i="2"/>
  <c r="Y70" i="2"/>
  <c r="Y72" i="2"/>
  <c r="Y73" i="2"/>
  <c r="V61" i="2"/>
  <c r="V63" i="2"/>
  <c r="V64" i="2"/>
  <c r="V65" i="2"/>
  <c r="V66" i="2"/>
  <c r="V67" i="2"/>
  <c r="V69" i="2"/>
  <c r="V70" i="2"/>
  <c r="V72" i="2"/>
  <c r="V73" i="2"/>
  <c r="V74" i="2"/>
  <c r="U61" i="2"/>
  <c r="U63" i="2"/>
  <c r="U64" i="2"/>
  <c r="U65" i="2"/>
  <c r="U66" i="2"/>
  <c r="U67" i="2"/>
  <c r="U69" i="2"/>
  <c r="U70" i="2"/>
  <c r="U71" i="2"/>
  <c r="U72" i="2"/>
  <c r="U73" i="2"/>
  <c r="U74" i="2"/>
  <c r="T61" i="2"/>
  <c r="T63" i="2"/>
  <c r="T64" i="2"/>
  <c r="T65" i="2"/>
  <c r="T66" i="2"/>
  <c r="T67" i="2"/>
  <c r="T69" i="2"/>
  <c r="T70" i="2"/>
  <c r="T72" i="2"/>
  <c r="T73" i="2"/>
  <c r="T74" i="2"/>
  <c r="S63" i="2"/>
  <c r="S64" i="2"/>
  <c r="S65" i="2"/>
  <c r="S67" i="2"/>
  <c r="S70" i="2"/>
  <c r="S71" i="2"/>
  <c r="S72" i="2"/>
  <c r="S73" i="2"/>
  <c r="S74" i="2"/>
  <c r="P61" i="2"/>
  <c r="P62" i="2"/>
  <c r="P63" i="2"/>
  <c r="P64" i="2"/>
  <c r="P65" i="2"/>
  <c r="P66" i="2"/>
  <c r="P67" i="2"/>
  <c r="P68" i="2"/>
  <c r="P69" i="2"/>
  <c r="P70" i="2"/>
  <c r="P72" i="2"/>
  <c r="P73" i="2"/>
  <c r="P74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N61" i="2"/>
  <c r="N62" i="2"/>
  <c r="N63" i="2"/>
  <c r="N64" i="2"/>
  <c r="N65" i="2"/>
  <c r="N66" i="2"/>
  <c r="N67" i="2"/>
  <c r="N68" i="2"/>
  <c r="N69" i="2"/>
  <c r="N70" i="2"/>
  <c r="N72" i="2"/>
  <c r="N73" i="2"/>
  <c r="N74" i="2"/>
  <c r="M62" i="2"/>
  <c r="M63" i="2"/>
  <c r="M64" i="2"/>
  <c r="M65" i="2"/>
  <c r="M67" i="2"/>
  <c r="M68" i="2"/>
  <c r="M70" i="2"/>
  <c r="M71" i="2"/>
  <c r="M72" i="2"/>
  <c r="M73" i="2"/>
  <c r="M74" i="2"/>
  <c r="F62" i="2"/>
  <c r="F63" i="2"/>
  <c r="F64" i="2"/>
  <c r="F65" i="2"/>
  <c r="F66" i="2"/>
  <c r="F67" i="2"/>
  <c r="F68" i="2"/>
  <c r="F69" i="2"/>
  <c r="F70" i="2"/>
  <c r="F72" i="2"/>
  <c r="F73" i="2"/>
  <c r="F74" i="2"/>
  <c r="E62" i="2"/>
  <c r="E63" i="2"/>
  <c r="E64" i="2"/>
  <c r="E65" i="2"/>
  <c r="J65" i="2" s="1"/>
  <c r="E66" i="2"/>
  <c r="E67" i="2"/>
  <c r="E68" i="2"/>
  <c r="E69" i="2"/>
  <c r="E70" i="2"/>
  <c r="E72" i="2"/>
  <c r="E73" i="2"/>
  <c r="E74" i="2"/>
  <c r="D62" i="2"/>
  <c r="D63" i="2"/>
  <c r="D64" i="2"/>
  <c r="J64" i="2" s="1"/>
  <c r="D65" i="2"/>
  <c r="D66" i="2"/>
  <c r="D67" i="2"/>
  <c r="D68" i="2"/>
  <c r="I68" i="2" s="1"/>
  <c r="D69" i="2"/>
  <c r="D70" i="2"/>
  <c r="D71" i="2"/>
  <c r="D72" i="2"/>
  <c r="D73" i="2"/>
  <c r="D74" i="2"/>
  <c r="I74" i="2" s="1"/>
  <c r="C62" i="2"/>
  <c r="C63" i="2"/>
  <c r="H63" i="2" s="1"/>
  <c r="C64" i="2"/>
  <c r="C65" i="2"/>
  <c r="C66" i="2"/>
  <c r="C67" i="2"/>
  <c r="I67" i="2" s="1"/>
  <c r="C68" i="2"/>
  <c r="C69" i="2"/>
  <c r="C70" i="2"/>
  <c r="H70" i="2" s="1"/>
  <c r="C71" i="2"/>
  <c r="C72" i="2"/>
  <c r="C73" i="2"/>
  <c r="C74" i="2"/>
  <c r="B62" i="2"/>
  <c r="B63" i="2"/>
  <c r="B64" i="2"/>
  <c r="B65" i="2"/>
  <c r="B67" i="2"/>
  <c r="B68" i="2"/>
  <c r="B70" i="2"/>
  <c r="B71" i="2"/>
  <c r="B72" i="2"/>
  <c r="B73" i="2"/>
  <c r="B74" i="2"/>
  <c r="F61" i="2"/>
  <c r="E61" i="2"/>
  <c r="D61" i="2"/>
  <c r="C61" i="2"/>
  <c r="M74" i="1"/>
  <c r="Y74" i="2" s="1"/>
  <c r="K71" i="1"/>
  <c r="P71" i="2" s="1"/>
  <c r="L71" i="1"/>
  <c r="F71" i="2" s="1"/>
  <c r="S71" i="1"/>
  <c r="T71" i="2" s="1"/>
  <c r="I71" i="1"/>
  <c r="N71" i="2" s="1"/>
  <c r="J71" i="1"/>
  <c r="M71" i="1"/>
  <c r="Y71" i="2" s="1"/>
  <c r="R68" i="1"/>
  <c r="Y68" i="2" s="1"/>
  <c r="S68" i="1"/>
  <c r="Z68" i="2" s="1"/>
  <c r="T68" i="1"/>
  <c r="AA68" i="2" s="1"/>
  <c r="U68" i="1"/>
  <c r="AB68" i="2" s="1"/>
  <c r="V68" i="1"/>
  <c r="W68" i="2" s="1"/>
  <c r="R62" i="1"/>
  <c r="Y62" i="2" s="1"/>
  <c r="S62" i="1"/>
  <c r="T62" i="2" s="1"/>
  <c r="T62" i="1"/>
  <c r="U62" i="2" s="1"/>
  <c r="U62" i="1"/>
  <c r="V62" i="2" s="1"/>
  <c r="V62" i="1"/>
  <c r="W62" i="2" s="1"/>
  <c r="Y47" i="2"/>
  <c r="Z47" i="2"/>
  <c r="AA47" i="2"/>
  <c r="AB47" i="2"/>
  <c r="AC47" i="2"/>
  <c r="AA48" i="2"/>
  <c r="AB48" i="2"/>
  <c r="Y49" i="2"/>
  <c r="Z49" i="2"/>
  <c r="AA49" i="2"/>
  <c r="AB49" i="2"/>
  <c r="AC49" i="2"/>
  <c r="Y50" i="2"/>
  <c r="Z50" i="2"/>
  <c r="AA50" i="2"/>
  <c r="AB50" i="2"/>
  <c r="AC50" i="2"/>
  <c r="Y51" i="2"/>
  <c r="Z51" i="2"/>
  <c r="AA51" i="2"/>
  <c r="AB51" i="2"/>
  <c r="AC51" i="2"/>
  <c r="Y52" i="2"/>
  <c r="Z52" i="2"/>
  <c r="AA52" i="2"/>
  <c r="AB52" i="2"/>
  <c r="AC52" i="2"/>
  <c r="Y53" i="2"/>
  <c r="Z53" i="2"/>
  <c r="AA53" i="2"/>
  <c r="AB53" i="2"/>
  <c r="AC53" i="2"/>
  <c r="Y54" i="2"/>
  <c r="Z54" i="2"/>
  <c r="AA54" i="2"/>
  <c r="AB54" i="2"/>
  <c r="AC54" i="2"/>
  <c r="Y55" i="2"/>
  <c r="Z55" i="2"/>
  <c r="AA55" i="2"/>
  <c r="AB55" i="2"/>
  <c r="AC55" i="2"/>
  <c r="Y56" i="2"/>
  <c r="Z56" i="2"/>
  <c r="AA56" i="2"/>
  <c r="AB56" i="2"/>
  <c r="AC56" i="2"/>
  <c r="Y57" i="2"/>
  <c r="Z57" i="2"/>
  <c r="AA57" i="2"/>
  <c r="AB57" i="2"/>
  <c r="AC57" i="2"/>
  <c r="Y58" i="2"/>
  <c r="Z58" i="2"/>
  <c r="AA58" i="2"/>
  <c r="AB58" i="2"/>
  <c r="AC58" i="2"/>
  <c r="Y59" i="2"/>
  <c r="Z59" i="2"/>
  <c r="AA59" i="2"/>
  <c r="AB59" i="2"/>
  <c r="AC59" i="2"/>
  <c r="Y60" i="2"/>
  <c r="Z60" i="2"/>
  <c r="AA60" i="2"/>
  <c r="AB60" i="2"/>
  <c r="AC60" i="2"/>
  <c r="S47" i="2"/>
  <c r="T47" i="2"/>
  <c r="U47" i="2"/>
  <c r="V47" i="2"/>
  <c r="U48" i="2"/>
  <c r="S49" i="2"/>
  <c r="T49" i="2"/>
  <c r="U49" i="2"/>
  <c r="V49" i="2"/>
  <c r="S50" i="2"/>
  <c r="T50" i="2"/>
  <c r="U50" i="2"/>
  <c r="V50" i="2"/>
  <c r="S51" i="2"/>
  <c r="T51" i="2"/>
  <c r="U51" i="2"/>
  <c r="V51" i="2"/>
  <c r="S52" i="2"/>
  <c r="T52" i="2"/>
  <c r="U52" i="2"/>
  <c r="V52" i="2"/>
  <c r="S53" i="2"/>
  <c r="T53" i="2"/>
  <c r="U53" i="2"/>
  <c r="V53" i="2"/>
  <c r="S54" i="2"/>
  <c r="T54" i="2"/>
  <c r="U54" i="2"/>
  <c r="V54" i="2"/>
  <c r="S55" i="2"/>
  <c r="T55" i="2"/>
  <c r="U55" i="2"/>
  <c r="V55" i="2"/>
  <c r="S56" i="2"/>
  <c r="T56" i="2"/>
  <c r="U56" i="2"/>
  <c r="V56" i="2"/>
  <c r="S57" i="2"/>
  <c r="T57" i="2"/>
  <c r="U57" i="2"/>
  <c r="V57" i="2"/>
  <c r="S58" i="2"/>
  <c r="T58" i="2"/>
  <c r="U58" i="2"/>
  <c r="V58" i="2"/>
  <c r="S59" i="2"/>
  <c r="T59" i="2"/>
  <c r="U59" i="2"/>
  <c r="V59" i="2"/>
  <c r="S60" i="2"/>
  <c r="T60" i="2"/>
  <c r="U60" i="2"/>
  <c r="V60" i="2"/>
  <c r="M47" i="2"/>
  <c r="N47" i="2"/>
  <c r="O47" i="2"/>
  <c r="P47" i="2"/>
  <c r="M48" i="2"/>
  <c r="N48" i="2"/>
  <c r="O48" i="2"/>
  <c r="P48" i="2"/>
  <c r="M49" i="2"/>
  <c r="N49" i="2"/>
  <c r="O49" i="2"/>
  <c r="P49" i="2"/>
  <c r="M50" i="2"/>
  <c r="N50" i="2"/>
  <c r="O50" i="2"/>
  <c r="P50" i="2"/>
  <c r="M51" i="2"/>
  <c r="N51" i="2"/>
  <c r="O51" i="2"/>
  <c r="P51" i="2"/>
  <c r="M52" i="2"/>
  <c r="N52" i="2"/>
  <c r="O52" i="2"/>
  <c r="P52" i="2"/>
  <c r="M53" i="2"/>
  <c r="N53" i="2"/>
  <c r="O53" i="2"/>
  <c r="P53" i="2"/>
  <c r="M54" i="2"/>
  <c r="N54" i="2"/>
  <c r="O54" i="2"/>
  <c r="P54" i="2"/>
  <c r="M55" i="2"/>
  <c r="N55" i="2"/>
  <c r="O55" i="2"/>
  <c r="P55" i="2"/>
  <c r="M56" i="2"/>
  <c r="N56" i="2"/>
  <c r="O56" i="2"/>
  <c r="P56" i="2"/>
  <c r="M57" i="2"/>
  <c r="N57" i="2"/>
  <c r="O57" i="2"/>
  <c r="P57" i="2"/>
  <c r="M58" i="2"/>
  <c r="N58" i="2"/>
  <c r="O58" i="2"/>
  <c r="P58" i="2"/>
  <c r="M59" i="2"/>
  <c r="N59" i="2"/>
  <c r="O59" i="2"/>
  <c r="P59" i="2"/>
  <c r="M60" i="2"/>
  <c r="N60" i="2"/>
  <c r="O60" i="2"/>
  <c r="P60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47" i="2"/>
  <c r="U48" i="1"/>
  <c r="V48" i="2" s="1"/>
  <c r="V48" i="1"/>
  <c r="AC48" i="2" s="1"/>
  <c r="S48" i="1"/>
  <c r="T48" i="2" s="1"/>
  <c r="T48" i="1"/>
  <c r="R48" i="1"/>
  <c r="Y48" i="2" s="1"/>
  <c r="Z62" i="2" l="1"/>
  <c r="AC68" i="2"/>
  <c r="W48" i="2"/>
  <c r="S48" i="2"/>
  <c r="S68" i="2"/>
  <c r="T68" i="2"/>
  <c r="Q71" i="2"/>
  <c r="J55" i="2"/>
  <c r="V71" i="2"/>
  <c r="AA62" i="2"/>
  <c r="U68" i="2"/>
  <c r="Z71" i="2"/>
  <c r="E71" i="2"/>
  <c r="J71" i="2" s="1"/>
  <c r="AB62" i="2"/>
  <c r="V68" i="2"/>
  <c r="S62" i="2"/>
  <c r="AC62" i="2"/>
  <c r="Z48" i="2"/>
  <c r="I66" i="2"/>
  <c r="J63" i="2"/>
  <c r="H59" i="2"/>
  <c r="H51" i="2"/>
  <c r="I72" i="2"/>
  <c r="I59" i="2"/>
  <c r="I58" i="2"/>
  <c r="K61" i="2"/>
  <c r="H62" i="2"/>
  <c r="K69" i="2"/>
  <c r="H71" i="2"/>
  <c r="J56" i="2"/>
  <c r="K50" i="2"/>
  <c r="K68" i="2"/>
  <c r="K57" i="2"/>
  <c r="K49" i="2"/>
  <c r="H68" i="2"/>
  <c r="I73" i="2"/>
  <c r="I65" i="2"/>
  <c r="J70" i="2"/>
  <c r="J62" i="2"/>
  <c r="K67" i="2"/>
  <c r="I69" i="2"/>
  <c r="H49" i="2"/>
  <c r="K56" i="2"/>
  <c r="K48" i="2"/>
  <c r="J69" i="2"/>
  <c r="K74" i="2"/>
  <c r="K66" i="2"/>
  <c r="I61" i="2"/>
  <c r="J61" i="2"/>
  <c r="H74" i="2"/>
  <c r="I71" i="2"/>
  <c r="J68" i="2"/>
  <c r="K65" i="2"/>
  <c r="J66" i="2"/>
  <c r="H60" i="2"/>
  <c r="H52" i="2"/>
  <c r="J48" i="2"/>
  <c r="H73" i="2"/>
  <c r="H65" i="2"/>
  <c r="I70" i="2"/>
  <c r="I62" i="2"/>
  <c r="J67" i="2"/>
  <c r="K72" i="2"/>
  <c r="K64" i="2"/>
  <c r="K70" i="2"/>
  <c r="I50" i="2"/>
  <c r="K58" i="2"/>
  <c r="I51" i="2"/>
  <c r="K55" i="2"/>
  <c r="K47" i="2"/>
  <c r="I63" i="2"/>
  <c r="K73" i="2"/>
  <c r="I57" i="2"/>
  <c r="I49" i="2"/>
  <c r="J47" i="2"/>
  <c r="K53" i="2"/>
  <c r="H72" i="2"/>
  <c r="H64" i="2"/>
  <c r="J74" i="2"/>
  <c r="K71" i="2"/>
  <c r="K63" i="2"/>
  <c r="K62" i="2"/>
  <c r="J73" i="2"/>
  <c r="H67" i="2"/>
  <c r="J72" i="2"/>
  <c r="J57" i="2"/>
  <c r="I64" i="2"/>
  <c r="K54" i="2"/>
  <c r="J54" i="2"/>
  <c r="K51" i="2"/>
  <c r="H56" i="2"/>
  <c r="I56" i="2"/>
  <c r="H48" i="2"/>
  <c r="I48" i="2"/>
  <c r="I54" i="2"/>
  <c r="J60" i="2"/>
  <c r="J52" i="2"/>
  <c r="J58" i="2"/>
  <c r="J50" i="2"/>
  <c r="I53" i="2"/>
  <c r="H53" i="2"/>
  <c r="I55" i="2"/>
  <c r="I47" i="2"/>
  <c r="I60" i="2"/>
  <c r="H55" i="2"/>
  <c r="I52" i="2"/>
  <c r="J49" i="2"/>
  <c r="H47" i="2"/>
  <c r="H58" i="2"/>
  <c r="H50" i="2"/>
  <c r="K60" i="2"/>
  <c r="K52" i="2"/>
  <c r="K59" i="2"/>
  <c r="J53" i="2"/>
  <c r="H54" i="2"/>
  <c r="J59" i="2"/>
  <c r="H57" i="2"/>
  <c r="J51" i="2"/>
  <c r="AA17" i="2"/>
  <c r="N3" i="2"/>
  <c r="B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9" i="2"/>
  <c r="AC30" i="2"/>
  <c r="AC31" i="2"/>
  <c r="AC32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3" i="2"/>
  <c r="AB23" i="2"/>
  <c r="AB24" i="2"/>
  <c r="AB25" i="2"/>
  <c r="AB26" i="2"/>
  <c r="AB27" i="2"/>
  <c r="AB29" i="2"/>
  <c r="AB30" i="2"/>
  <c r="AB31" i="2"/>
  <c r="AB32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A23" i="2"/>
  <c r="AA24" i="2"/>
  <c r="AA25" i="2"/>
  <c r="AA26" i="2"/>
  <c r="AA27" i="2"/>
  <c r="AA29" i="2"/>
  <c r="AA30" i="2"/>
  <c r="AA31" i="2"/>
  <c r="AA32" i="2"/>
  <c r="AA34" i="2"/>
  <c r="AA35" i="2"/>
  <c r="AA36" i="2"/>
  <c r="AA37" i="2"/>
  <c r="AA38" i="2"/>
  <c r="AA39" i="2"/>
  <c r="AA40" i="2"/>
  <c r="AA41" i="2"/>
  <c r="AA42" i="2"/>
  <c r="AA43" i="2"/>
  <c r="AA45" i="2"/>
  <c r="AA46" i="2"/>
  <c r="Z23" i="2"/>
  <c r="Z24" i="2"/>
  <c r="Z25" i="2"/>
  <c r="Z26" i="2"/>
  <c r="Z27" i="2"/>
  <c r="Z28" i="2"/>
  <c r="Z29" i="2"/>
  <c r="Z30" i="2"/>
  <c r="Z31" i="2"/>
  <c r="Z32" i="2"/>
  <c r="Z34" i="2"/>
  <c r="Z35" i="2"/>
  <c r="Z36" i="2"/>
  <c r="Z37" i="2"/>
  <c r="Z38" i="2"/>
  <c r="Z39" i="2"/>
  <c r="Z40" i="2"/>
  <c r="Z41" i="2"/>
  <c r="Z42" i="2"/>
  <c r="Z43" i="2"/>
  <c r="Z45" i="2"/>
  <c r="Z46" i="2"/>
  <c r="Y23" i="2"/>
  <c r="Y24" i="2"/>
  <c r="Y25" i="2"/>
  <c r="Y26" i="2"/>
  <c r="Y27" i="2"/>
  <c r="Y28" i="2"/>
  <c r="Y29" i="2"/>
  <c r="Y30" i="2"/>
  <c r="Y31" i="2"/>
  <c r="Y32" i="2"/>
  <c r="Y34" i="2"/>
  <c r="Y35" i="2"/>
  <c r="Y36" i="2"/>
  <c r="Y37" i="2"/>
  <c r="Y38" i="2"/>
  <c r="Y39" i="2"/>
  <c r="Y40" i="2"/>
  <c r="Y41" i="2"/>
  <c r="Y42" i="2"/>
  <c r="Y43" i="2"/>
  <c r="Y46" i="2"/>
  <c r="V23" i="2"/>
  <c r="V24" i="2"/>
  <c r="V25" i="2"/>
  <c r="V26" i="2"/>
  <c r="V27" i="2"/>
  <c r="V29" i="2"/>
  <c r="V30" i="2"/>
  <c r="V31" i="2"/>
  <c r="V32" i="2"/>
  <c r="V34" i="2"/>
  <c r="V35" i="2"/>
  <c r="V36" i="2"/>
  <c r="V37" i="2"/>
  <c r="V38" i="2"/>
  <c r="V39" i="2"/>
  <c r="V40" i="2"/>
  <c r="V41" i="2"/>
  <c r="V43" i="2"/>
  <c r="V44" i="2"/>
  <c r="V45" i="2"/>
  <c r="V46" i="2"/>
  <c r="U23" i="2"/>
  <c r="U24" i="2"/>
  <c r="U25" i="2"/>
  <c r="U26" i="2"/>
  <c r="U27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T23" i="2"/>
  <c r="T24" i="2"/>
  <c r="T25" i="2"/>
  <c r="T26" i="2"/>
  <c r="T27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P23" i="2"/>
  <c r="P24" i="2"/>
  <c r="P25" i="2"/>
  <c r="P26" i="2"/>
  <c r="P27" i="2"/>
  <c r="P28" i="2"/>
  <c r="P29" i="2"/>
  <c r="P30" i="2"/>
  <c r="P31" i="2"/>
  <c r="P32" i="2"/>
  <c r="P34" i="2"/>
  <c r="P35" i="2"/>
  <c r="P36" i="2"/>
  <c r="P37" i="2"/>
  <c r="P38" i="2"/>
  <c r="P39" i="2"/>
  <c r="P40" i="2"/>
  <c r="P41" i="2"/>
  <c r="P43" i="2"/>
  <c r="P44" i="2"/>
  <c r="P45" i="2"/>
  <c r="P46" i="2"/>
  <c r="O23" i="2"/>
  <c r="O24" i="2"/>
  <c r="O25" i="2"/>
  <c r="O26" i="2"/>
  <c r="O27" i="2"/>
  <c r="O28" i="2"/>
  <c r="O29" i="2"/>
  <c r="O30" i="2"/>
  <c r="O31" i="2"/>
  <c r="O32" i="2"/>
  <c r="O34" i="2"/>
  <c r="O35" i="2"/>
  <c r="O36" i="2"/>
  <c r="O37" i="2"/>
  <c r="O38" i="2"/>
  <c r="O39" i="2"/>
  <c r="O40" i="2"/>
  <c r="O41" i="2"/>
  <c r="O43" i="2"/>
  <c r="O44" i="2"/>
  <c r="O45" i="2"/>
  <c r="O46" i="2"/>
  <c r="N23" i="2"/>
  <c r="N24" i="2"/>
  <c r="N25" i="2"/>
  <c r="N26" i="2"/>
  <c r="N27" i="2"/>
  <c r="N28" i="2"/>
  <c r="N29" i="2"/>
  <c r="N30" i="2"/>
  <c r="N31" i="2"/>
  <c r="N32" i="2"/>
  <c r="N34" i="2"/>
  <c r="N35" i="2"/>
  <c r="N36" i="2"/>
  <c r="N37" i="2"/>
  <c r="N38" i="2"/>
  <c r="N39" i="2"/>
  <c r="N40" i="2"/>
  <c r="N41" i="2"/>
  <c r="N43" i="2"/>
  <c r="N44" i="2"/>
  <c r="N45" i="2"/>
  <c r="N46" i="2"/>
  <c r="M23" i="2"/>
  <c r="M24" i="2"/>
  <c r="M25" i="2"/>
  <c r="M26" i="2"/>
  <c r="M27" i="2"/>
  <c r="M28" i="2"/>
  <c r="M29" i="2"/>
  <c r="M30" i="2"/>
  <c r="M31" i="2"/>
  <c r="M32" i="2"/>
  <c r="M34" i="2"/>
  <c r="M35" i="2"/>
  <c r="M36" i="2"/>
  <c r="M37" i="2"/>
  <c r="M38" i="2"/>
  <c r="M39" i="2"/>
  <c r="M40" i="2"/>
  <c r="M41" i="2"/>
  <c r="M43" i="2"/>
  <c r="M44" i="2"/>
  <c r="M45" i="2"/>
  <c r="M46" i="2"/>
  <c r="AB21" i="2"/>
  <c r="AA20" i="2"/>
  <c r="Z20" i="2"/>
  <c r="Y12" i="2"/>
  <c r="V21" i="2"/>
  <c r="U20" i="2"/>
  <c r="T20" i="2"/>
  <c r="S11" i="2"/>
  <c r="P18" i="2"/>
  <c r="P19" i="2"/>
  <c r="O18" i="2"/>
  <c r="N17" i="2"/>
  <c r="N18" i="2"/>
  <c r="M11" i="2"/>
  <c r="M12" i="2"/>
  <c r="K16" i="2"/>
  <c r="F23" i="2"/>
  <c r="F24" i="2"/>
  <c r="F25" i="2"/>
  <c r="F26" i="2"/>
  <c r="F27" i="2"/>
  <c r="F28" i="2"/>
  <c r="F29" i="2"/>
  <c r="F30" i="2"/>
  <c r="F31" i="2"/>
  <c r="F32" i="2"/>
  <c r="F34" i="2"/>
  <c r="F35" i="2"/>
  <c r="F36" i="2"/>
  <c r="F37" i="2"/>
  <c r="F38" i="2"/>
  <c r="F39" i="2"/>
  <c r="F40" i="2"/>
  <c r="F41" i="2"/>
  <c r="F43" i="2"/>
  <c r="F44" i="2"/>
  <c r="F45" i="2"/>
  <c r="F46" i="2"/>
  <c r="E23" i="2"/>
  <c r="E24" i="2"/>
  <c r="E25" i="2"/>
  <c r="E26" i="2"/>
  <c r="E27" i="2"/>
  <c r="E28" i="2"/>
  <c r="E29" i="2"/>
  <c r="E30" i="2"/>
  <c r="E31" i="2"/>
  <c r="E32" i="2"/>
  <c r="E34" i="2"/>
  <c r="E35" i="2"/>
  <c r="E36" i="2"/>
  <c r="E37" i="2"/>
  <c r="E38" i="2"/>
  <c r="E39" i="2"/>
  <c r="E40" i="2"/>
  <c r="E41" i="2"/>
  <c r="E43" i="2"/>
  <c r="E44" i="2"/>
  <c r="E45" i="2"/>
  <c r="E46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V28" i="1"/>
  <c r="U28" i="1"/>
  <c r="V28" i="2" s="1"/>
  <c r="T28" i="1"/>
  <c r="AA28" i="2" s="1"/>
  <c r="S28" i="1"/>
  <c r="T28" i="2" s="1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F15" i="2"/>
  <c r="F4" i="2"/>
  <c r="F5" i="2"/>
  <c r="F6" i="2"/>
  <c r="F7" i="2"/>
  <c r="F8" i="2"/>
  <c r="F9" i="2"/>
  <c r="F10" i="2"/>
  <c r="F11" i="2"/>
  <c r="F12" i="2"/>
  <c r="F13" i="2"/>
  <c r="F14" i="2"/>
  <c r="F17" i="2"/>
  <c r="F18" i="2"/>
  <c r="F20" i="2"/>
  <c r="F21" i="2"/>
  <c r="F3" i="2"/>
  <c r="M45" i="1"/>
  <c r="Y45" i="2" s="1"/>
  <c r="M44" i="1"/>
  <c r="Y44" i="2" s="1"/>
  <c r="N44" i="1"/>
  <c r="Z44" i="2" s="1"/>
  <c r="O44" i="1"/>
  <c r="AA44" i="2" s="1"/>
  <c r="M42" i="2"/>
  <c r="V42" i="2"/>
  <c r="F42" i="2"/>
  <c r="N42" i="2"/>
  <c r="O42" i="2"/>
  <c r="K33" i="1"/>
  <c r="V33" i="2" s="1"/>
  <c r="L33" i="1"/>
  <c r="I33" i="1"/>
  <c r="N33" i="2" s="1"/>
  <c r="J33" i="1"/>
  <c r="O33" i="2" s="1"/>
  <c r="H33" i="1"/>
  <c r="M33" i="2" s="1"/>
  <c r="M33" i="1"/>
  <c r="Y33" i="2" s="1"/>
  <c r="N33" i="1"/>
  <c r="Z33" i="2" s="1"/>
  <c r="O33" i="1"/>
  <c r="AA33" i="2" s="1"/>
  <c r="P33" i="1"/>
  <c r="AB33" i="2" s="1"/>
  <c r="Q33" i="1"/>
  <c r="AC33" i="2" s="1"/>
  <c r="B11" i="2"/>
  <c r="N22" i="2"/>
  <c r="O22" i="2"/>
  <c r="F22" i="2"/>
  <c r="P22" i="2"/>
  <c r="R14" i="1"/>
  <c r="S14" i="2" s="1"/>
  <c r="O4" i="2"/>
  <c r="O3" i="2"/>
  <c r="H76" i="2"/>
  <c r="B76" i="2"/>
  <c r="AB22" i="2"/>
  <c r="AA22" i="2"/>
  <c r="Z22" i="2"/>
  <c r="Y22" i="2"/>
  <c r="V22" i="2"/>
  <c r="U22" i="2"/>
  <c r="T22" i="2"/>
  <c r="S22" i="2"/>
  <c r="M22" i="2"/>
  <c r="E22" i="2"/>
  <c r="D22" i="2"/>
  <c r="C22" i="2"/>
  <c r="B22" i="2"/>
  <c r="AA21" i="2"/>
  <c r="Z21" i="2"/>
  <c r="Y21" i="2"/>
  <c r="U21" i="2"/>
  <c r="T21" i="2"/>
  <c r="S21" i="2"/>
  <c r="P21" i="2"/>
  <c r="O21" i="2"/>
  <c r="N21" i="2"/>
  <c r="M21" i="2"/>
  <c r="E21" i="2"/>
  <c r="D21" i="2"/>
  <c r="C21" i="2"/>
  <c r="B21" i="2"/>
  <c r="AB20" i="2"/>
  <c r="Y20" i="2"/>
  <c r="V20" i="2"/>
  <c r="S20" i="2"/>
  <c r="P20" i="2"/>
  <c r="O20" i="2"/>
  <c r="N20" i="2"/>
  <c r="E20" i="2"/>
  <c r="D20" i="2"/>
  <c r="C20" i="2"/>
  <c r="B20" i="2"/>
  <c r="AB19" i="2"/>
  <c r="AA19" i="2"/>
  <c r="Z19" i="2"/>
  <c r="Y19" i="2"/>
  <c r="V19" i="2"/>
  <c r="U19" i="2"/>
  <c r="T19" i="2"/>
  <c r="S19" i="2"/>
  <c r="O19" i="2"/>
  <c r="N19" i="2"/>
  <c r="M19" i="2"/>
  <c r="V18" i="2"/>
  <c r="U18" i="2"/>
  <c r="T18" i="2"/>
  <c r="S18" i="2"/>
  <c r="M18" i="2"/>
  <c r="E18" i="2"/>
  <c r="D18" i="2"/>
  <c r="C18" i="2"/>
  <c r="B18" i="2"/>
  <c r="AB17" i="2"/>
  <c r="Z17" i="2"/>
  <c r="Y17" i="2"/>
  <c r="V17" i="2"/>
  <c r="U17" i="2"/>
  <c r="T17" i="2"/>
  <c r="S17" i="2"/>
  <c r="P17" i="2"/>
  <c r="O17" i="2"/>
  <c r="M17" i="2"/>
  <c r="E17" i="2"/>
  <c r="D17" i="2"/>
  <c r="C17" i="2"/>
  <c r="B17" i="2"/>
  <c r="AB16" i="2"/>
  <c r="AA16" i="2"/>
  <c r="Z16" i="2"/>
  <c r="Y16" i="2"/>
  <c r="V16" i="2"/>
  <c r="U16" i="2"/>
  <c r="T16" i="2"/>
  <c r="S16" i="2"/>
  <c r="P16" i="2"/>
  <c r="O16" i="2"/>
  <c r="N16" i="2"/>
  <c r="M16" i="2"/>
  <c r="J16" i="2"/>
  <c r="I16" i="2"/>
  <c r="H16" i="2"/>
  <c r="AB15" i="2"/>
  <c r="AA15" i="2"/>
  <c r="Z15" i="2"/>
  <c r="Y15" i="2"/>
  <c r="V15" i="2"/>
  <c r="U15" i="2"/>
  <c r="T15" i="2"/>
  <c r="S15" i="2"/>
  <c r="P15" i="2"/>
  <c r="O15" i="2"/>
  <c r="N15" i="2"/>
  <c r="M15" i="2"/>
  <c r="E15" i="2"/>
  <c r="D15" i="2"/>
  <c r="C15" i="2"/>
  <c r="B15" i="2"/>
  <c r="V14" i="2"/>
  <c r="U14" i="2"/>
  <c r="T14" i="2"/>
  <c r="P14" i="2"/>
  <c r="O14" i="2"/>
  <c r="N14" i="2"/>
  <c r="M14" i="2"/>
  <c r="E14" i="2"/>
  <c r="D14" i="2"/>
  <c r="C14" i="2"/>
  <c r="B14" i="2"/>
  <c r="AB13" i="2"/>
  <c r="AA13" i="2"/>
  <c r="Z13" i="2"/>
  <c r="Y13" i="2"/>
  <c r="V13" i="2"/>
  <c r="U13" i="2"/>
  <c r="T13" i="2"/>
  <c r="S13" i="2"/>
  <c r="P13" i="2"/>
  <c r="O13" i="2"/>
  <c r="N13" i="2"/>
  <c r="M13" i="2"/>
  <c r="E13" i="2"/>
  <c r="D13" i="2"/>
  <c r="C13" i="2"/>
  <c r="B13" i="2"/>
  <c r="AB12" i="2"/>
  <c r="AA12" i="2"/>
  <c r="Z12" i="2"/>
  <c r="V12" i="2"/>
  <c r="U12" i="2"/>
  <c r="T12" i="2"/>
  <c r="S12" i="2"/>
  <c r="P12" i="2"/>
  <c r="O12" i="2"/>
  <c r="N12" i="2"/>
  <c r="E12" i="2"/>
  <c r="D12" i="2"/>
  <c r="C12" i="2"/>
  <c r="B12" i="2"/>
  <c r="AB11" i="2"/>
  <c r="AA11" i="2"/>
  <c r="Z11" i="2"/>
  <c r="Y11" i="2"/>
  <c r="V11" i="2"/>
  <c r="U11" i="2"/>
  <c r="T11" i="2"/>
  <c r="P11" i="2"/>
  <c r="O11" i="2"/>
  <c r="N11" i="2"/>
  <c r="E11" i="2"/>
  <c r="D11" i="2"/>
  <c r="C11" i="2"/>
  <c r="AB10" i="2"/>
  <c r="AA10" i="2"/>
  <c r="Z10" i="2"/>
  <c r="Y10" i="2"/>
  <c r="V10" i="2"/>
  <c r="U10" i="2"/>
  <c r="T10" i="2"/>
  <c r="S10" i="2"/>
  <c r="P10" i="2"/>
  <c r="O10" i="2"/>
  <c r="N10" i="2"/>
  <c r="M10" i="2"/>
  <c r="E10" i="2"/>
  <c r="D10" i="2"/>
  <c r="C10" i="2"/>
  <c r="B10" i="2"/>
  <c r="AB9" i="2"/>
  <c r="AA9" i="2"/>
  <c r="Z9" i="2"/>
  <c r="Y9" i="2"/>
  <c r="V9" i="2"/>
  <c r="U9" i="2"/>
  <c r="T9" i="2"/>
  <c r="S9" i="2"/>
  <c r="P9" i="2"/>
  <c r="O9" i="2"/>
  <c r="N9" i="2"/>
  <c r="M9" i="2"/>
  <c r="E9" i="2"/>
  <c r="D9" i="2"/>
  <c r="C9" i="2"/>
  <c r="B9" i="2"/>
  <c r="AB8" i="2"/>
  <c r="AA8" i="2"/>
  <c r="Z8" i="2"/>
  <c r="Y8" i="2"/>
  <c r="V8" i="2"/>
  <c r="U8" i="2"/>
  <c r="T8" i="2"/>
  <c r="S8" i="2"/>
  <c r="P8" i="2"/>
  <c r="O8" i="2"/>
  <c r="N8" i="2"/>
  <c r="M8" i="2"/>
  <c r="E8" i="2"/>
  <c r="D8" i="2"/>
  <c r="C8" i="2"/>
  <c r="B8" i="2"/>
  <c r="AB7" i="2"/>
  <c r="AA7" i="2"/>
  <c r="Z7" i="2"/>
  <c r="Y7" i="2"/>
  <c r="V7" i="2"/>
  <c r="U7" i="2"/>
  <c r="T7" i="2"/>
  <c r="S7" i="2"/>
  <c r="P7" i="2"/>
  <c r="O7" i="2"/>
  <c r="N7" i="2"/>
  <c r="M7" i="2"/>
  <c r="E7" i="2"/>
  <c r="D7" i="2"/>
  <c r="C7" i="2"/>
  <c r="B7" i="2"/>
  <c r="AB6" i="2"/>
  <c r="AA6" i="2"/>
  <c r="Z6" i="2"/>
  <c r="Y6" i="2"/>
  <c r="V6" i="2"/>
  <c r="U6" i="2"/>
  <c r="T6" i="2"/>
  <c r="S6" i="2"/>
  <c r="P6" i="2"/>
  <c r="O6" i="2"/>
  <c r="N6" i="2"/>
  <c r="M6" i="2"/>
  <c r="E6" i="2"/>
  <c r="D6" i="2"/>
  <c r="C6" i="2"/>
  <c r="B6" i="2"/>
  <c r="AB5" i="2"/>
  <c r="AA5" i="2"/>
  <c r="Z5" i="2"/>
  <c r="Y5" i="2"/>
  <c r="V5" i="2"/>
  <c r="U5" i="2"/>
  <c r="T5" i="2"/>
  <c r="S5" i="2"/>
  <c r="P5" i="2"/>
  <c r="O5" i="2"/>
  <c r="N5" i="2"/>
  <c r="M5" i="2"/>
  <c r="E5" i="2"/>
  <c r="D5" i="2"/>
  <c r="C5" i="2"/>
  <c r="B5" i="2"/>
  <c r="V4" i="2"/>
  <c r="U4" i="2"/>
  <c r="T4" i="2"/>
  <c r="S4" i="2"/>
  <c r="P4" i="2"/>
  <c r="N4" i="2"/>
  <c r="M4" i="2"/>
  <c r="E4" i="2"/>
  <c r="D4" i="2"/>
  <c r="C4" i="2"/>
  <c r="B4" i="2"/>
  <c r="AB3" i="2"/>
  <c r="AA3" i="2"/>
  <c r="Z3" i="2"/>
  <c r="Y3" i="2"/>
  <c r="V3" i="2"/>
  <c r="U3" i="2"/>
  <c r="T3" i="2"/>
  <c r="U130" i="2" s="1" a="1"/>
  <c r="U130" i="2" s="1"/>
  <c r="S3" i="2"/>
  <c r="P3" i="2"/>
  <c r="M3" i="2"/>
  <c r="E3" i="2"/>
  <c r="D3" i="2"/>
  <c r="C3" i="2"/>
  <c r="B19" i="1"/>
  <c r="F19" i="2" s="1"/>
  <c r="AC28" i="2" l="1"/>
  <c r="W28" i="2"/>
  <c r="F33" i="2"/>
  <c r="Q33" i="2"/>
  <c r="Y91" i="2"/>
  <c r="V85" i="2" a="1"/>
  <c r="V85" i="2" s="1"/>
  <c r="V90" i="2" a="1"/>
  <c r="V90" i="2" s="1"/>
  <c r="S79" i="2" a="1"/>
  <c r="S79" i="2" s="1"/>
  <c r="Z86" i="2"/>
  <c r="T93" i="2" a="1"/>
  <c r="T93" i="2" s="1"/>
  <c r="U89" i="2" a="1"/>
  <c r="U89" i="2" s="1"/>
  <c r="U126" i="2" a="1"/>
  <c r="U126" i="2" s="1"/>
  <c r="V77" i="2" a="1"/>
  <c r="V77" i="2" s="1"/>
  <c r="N87" i="2" a="1"/>
  <c r="N87" i="2" s="1"/>
  <c r="S145" i="2" a="1"/>
  <c r="S145" i="2" s="1"/>
  <c r="U122" i="2" a="1"/>
  <c r="U122" i="2" s="1"/>
  <c r="P131" i="2" a="1"/>
  <c r="P131" i="2" s="1"/>
  <c r="Z143" i="2"/>
  <c r="V96" i="2" a="1"/>
  <c r="V96" i="2" s="1"/>
  <c r="Z94" i="2"/>
  <c r="M105" i="2" a="1"/>
  <c r="M105" i="2" s="1"/>
  <c r="N112" i="2" a="1"/>
  <c r="N112" i="2" s="1"/>
  <c r="O119" i="2" a="1"/>
  <c r="O119" i="2" s="1"/>
  <c r="O101" i="2" a="1"/>
  <c r="O101" i="2" s="1"/>
  <c r="P108" i="2" a="1"/>
  <c r="P108" i="2" s="1"/>
  <c r="S115" i="2" a="1"/>
  <c r="S115" i="2" s="1"/>
  <c r="S99" i="2" a="1"/>
  <c r="S99" i="2" s="1"/>
  <c r="T107" i="2" a="1"/>
  <c r="T107" i="2" s="1"/>
  <c r="U114" i="2" a="1"/>
  <c r="U114" i="2" s="1"/>
  <c r="U97" i="2" a="1"/>
  <c r="U97" i="2" s="1"/>
  <c r="V103" i="2" a="1"/>
  <c r="V103" i="2" s="1"/>
  <c r="Y109" i="2"/>
  <c r="Z115" i="2"/>
  <c r="Z98" i="2"/>
  <c r="AA105" i="2"/>
  <c r="AB112" i="2"/>
  <c r="AC119" i="2"/>
  <c r="AC101" i="2"/>
  <c r="AC85" i="2"/>
  <c r="W115" i="2" a="1"/>
  <c r="W115" i="2" s="1"/>
  <c r="Q101" i="2" a="1"/>
  <c r="Q101" i="2" s="1"/>
  <c r="W128" i="2" a="1"/>
  <c r="W128" i="2" s="1"/>
  <c r="V137" i="2" a="1"/>
  <c r="V137" i="2" s="1"/>
  <c r="V126" i="2" a="1"/>
  <c r="V126" i="2" s="1"/>
  <c r="V142" i="2" a="1"/>
  <c r="V142" i="2" s="1"/>
  <c r="W129" i="2" a="1"/>
  <c r="W129" i="2" s="1"/>
  <c r="Z141" i="2"/>
  <c r="O121" i="2" a="1"/>
  <c r="O121" i="2" s="1"/>
  <c r="P129" i="2" a="1"/>
  <c r="P129" i="2" s="1"/>
  <c r="U144" i="2" a="1"/>
  <c r="U144" i="2" s="1"/>
  <c r="T147" i="2" a="1"/>
  <c r="T147" i="2" s="1"/>
  <c r="N130" i="2" a="1"/>
  <c r="N130" i="2" s="1"/>
  <c r="Y77" i="2"/>
  <c r="Y88" i="2"/>
  <c r="Y92" i="2"/>
  <c r="Y78" i="2"/>
  <c r="Y123" i="2"/>
  <c r="Y126" i="2"/>
  <c r="Y145" i="2" a="1"/>
  <c r="Y145" i="2" s="1"/>
  <c r="Y144" i="2" a="1"/>
  <c r="Y144" i="2" s="1"/>
  <c r="Y142" i="2" a="1"/>
  <c r="Y142" i="2" s="1"/>
  <c r="Y147" i="2" a="1"/>
  <c r="Y147" i="2" s="1"/>
  <c r="Y133" i="2"/>
  <c r="Y131" i="2"/>
  <c r="Y146" i="2" a="1"/>
  <c r="Y146" i="2" s="1"/>
  <c r="Y124" i="2"/>
  <c r="Y137" i="2" a="1"/>
  <c r="Y137" i="2" s="1"/>
  <c r="Y136" i="2" a="1"/>
  <c r="Y136" i="2" s="1"/>
  <c r="Y122" i="2"/>
  <c r="Y125" i="2"/>
  <c r="Y141" i="2" a="1"/>
  <c r="Y141" i="2" s="1"/>
  <c r="Y139" i="2" a="1"/>
  <c r="Y139" i="2" s="1"/>
  <c r="Y130" i="2"/>
  <c r="T79" i="2" a="1"/>
  <c r="T79" i="2" s="1"/>
  <c r="T80" i="2" a="1"/>
  <c r="T80" i="2" s="1"/>
  <c r="T81" i="2" a="1"/>
  <c r="T81" i="2" s="1"/>
  <c r="T82" i="2" a="1"/>
  <c r="T82" i="2" s="1"/>
  <c r="N86" i="2" a="1"/>
  <c r="N86" i="2" s="1"/>
  <c r="O87" i="2" a="1"/>
  <c r="O87" i="2" s="1"/>
  <c r="O88" i="2" a="1"/>
  <c r="O88" i="2" s="1"/>
  <c r="W123" i="2" a="1"/>
  <c r="W123" i="2" s="1"/>
  <c r="Q125" i="2" a="1"/>
  <c r="Q125" i="2" s="1"/>
  <c r="Q88" i="2" a="1"/>
  <c r="Q88" i="2" s="1"/>
  <c r="V128" i="2" a="1"/>
  <c r="V128" i="2" s="1"/>
  <c r="Y132" i="2"/>
  <c r="S142" i="2" a="1"/>
  <c r="S142" i="2" s="1"/>
  <c r="O143" i="2" a="1"/>
  <c r="O143" i="2" s="1"/>
  <c r="U141" i="2" a="1"/>
  <c r="U141" i="2" s="1"/>
  <c r="U138" i="2" a="1"/>
  <c r="U138" i="2" s="1"/>
  <c r="O129" i="2" a="1"/>
  <c r="O129" i="2" s="1"/>
  <c r="N140" i="2" a="1"/>
  <c r="N140" i="2" s="1"/>
  <c r="Z121" i="2"/>
  <c r="Z123" i="2"/>
  <c r="AA78" i="2"/>
  <c r="Z88" i="2"/>
  <c r="AB78" i="2"/>
  <c r="AA88" i="2"/>
  <c r="AA92" i="2"/>
  <c r="Z92" i="2"/>
  <c r="AB88" i="2"/>
  <c r="Z77" i="2"/>
  <c r="AB92" i="2"/>
  <c r="Z78" i="2"/>
  <c r="Z137" i="2"/>
  <c r="AA135" i="2"/>
  <c r="AC132" i="2"/>
  <c r="AA142" i="2"/>
  <c r="Z135" i="2"/>
  <c r="AC144" i="2"/>
  <c r="AA141" i="2"/>
  <c r="AC125" i="2"/>
  <c r="AC143" i="2"/>
  <c r="AC142" i="2"/>
  <c r="AB132" i="2"/>
  <c r="AA130" i="2"/>
  <c r="AC123" i="2"/>
  <c r="AA131" i="2"/>
  <c r="AB125" i="2"/>
  <c r="Z125" i="2"/>
  <c r="AB141" i="2"/>
  <c r="AC147" i="2"/>
  <c r="Z131" i="2"/>
  <c r="AB148" i="2"/>
  <c r="AB147" i="2"/>
  <c r="AA124" i="2"/>
  <c r="AC136" i="2"/>
  <c r="AB139" i="2"/>
  <c r="Z124" i="2"/>
  <c r="AC135" i="2"/>
  <c r="Z126" i="2"/>
  <c r="Z127" i="2"/>
  <c r="Z148" i="2"/>
  <c r="Z122" i="2"/>
  <c r="Z147" i="2"/>
  <c r="AC121" i="2"/>
  <c r="AB123" i="2"/>
  <c r="Z146" i="2"/>
  <c r="AC139" i="2"/>
  <c r="AB129" i="2"/>
  <c r="AB140" i="2"/>
  <c r="AC122" i="2"/>
  <c r="AA123" i="2"/>
  <c r="AB124" i="2"/>
  <c r="AC145" i="2"/>
  <c r="AB122" i="2"/>
  <c r="AA122" i="2"/>
  <c r="Z140" i="2"/>
  <c r="AA133" i="2"/>
  <c r="Z139" i="2"/>
  <c r="AC127" i="2"/>
  <c r="AC134" i="2"/>
  <c r="Z138" i="2"/>
  <c r="Z128" i="2"/>
  <c r="AA126" i="2"/>
  <c r="AC138" i="2"/>
  <c r="AA132" i="2"/>
  <c r="AA148" i="2"/>
  <c r="Z132" i="2"/>
  <c r="AA147" i="2"/>
  <c r="AA138" i="2"/>
  <c r="Z130" i="2"/>
  <c r="AA137" i="2"/>
  <c r="AB131" i="2"/>
  <c r="AA136" i="2"/>
  <c r="AC124" i="2"/>
  <c r="AC130" i="2"/>
  <c r="AA140" i="2"/>
  <c r="AB130" i="2"/>
  <c r="AA139" i="2"/>
  <c r="AB134" i="2"/>
  <c r="AB128" i="2"/>
  <c r="AB143" i="2"/>
  <c r="AB142" i="2"/>
  <c r="N78" i="2" a="1"/>
  <c r="N78" i="2" s="1"/>
  <c r="Q141" i="2" a="1"/>
  <c r="Q141" i="2" s="1"/>
  <c r="Q92" i="2" a="1"/>
  <c r="Q92" i="2" s="1"/>
  <c r="Q99" i="2" a="1"/>
  <c r="Q99" i="2" s="1"/>
  <c r="Q139" i="2" a="1"/>
  <c r="Q139" i="2" s="1"/>
  <c r="Q124" i="2" a="1"/>
  <c r="Q124" i="2" s="1"/>
  <c r="Q131" i="2" a="1"/>
  <c r="Q131" i="2" s="1"/>
  <c r="U79" i="2" a="1"/>
  <c r="U79" i="2" s="1"/>
  <c r="U80" i="2" a="1"/>
  <c r="U80" i="2" s="1"/>
  <c r="U81" i="2" a="1"/>
  <c r="U81" i="2" s="1"/>
  <c r="U82" i="2" a="1"/>
  <c r="U82" i="2" s="1"/>
  <c r="U83" i="2" a="1"/>
  <c r="U83" i="2" s="1"/>
  <c r="U84" i="2" a="1"/>
  <c r="U84" i="2" s="1"/>
  <c r="Z85" i="2"/>
  <c r="O86" i="2" a="1"/>
  <c r="O86" i="2" s="1"/>
  <c r="AB86" i="2"/>
  <c r="P87" i="2" a="1"/>
  <c r="P87" i="2" s="1"/>
  <c r="AB87" i="2"/>
  <c r="P88" i="2" a="1"/>
  <c r="P88" i="2" s="1"/>
  <c r="M89" i="2" a="1"/>
  <c r="M89" i="2" s="1"/>
  <c r="Y89" i="2"/>
  <c r="N90" i="2" a="1"/>
  <c r="N90" i="2" s="1"/>
  <c r="Z90" i="2"/>
  <c r="O91" i="2" a="1"/>
  <c r="O91" i="2" s="1"/>
  <c r="AB91" i="2"/>
  <c r="Q83" i="2" a="1"/>
  <c r="Q83" i="2" s="1"/>
  <c r="Q116" i="2" a="1"/>
  <c r="Q116" i="2" s="1"/>
  <c r="W78" i="2" a="1"/>
  <c r="W78" i="2" s="1"/>
  <c r="W119" i="2" a="1"/>
  <c r="W119" i="2" s="1"/>
  <c r="Q96" i="2" a="1"/>
  <c r="Q96" i="2" s="1"/>
  <c r="Q146" i="2" a="1"/>
  <c r="Q146" i="2" s="1"/>
  <c r="T141" i="2" a="1"/>
  <c r="T141" i="2" s="1"/>
  <c r="V134" i="2" a="1"/>
  <c r="V134" i="2" s="1"/>
  <c r="T129" i="2" a="1"/>
  <c r="T129" i="2" s="1"/>
  <c r="AA121" i="2"/>
  <c r="AC141" i="2"/>
  <c r="AA125" i="2"/>
  <c r="S148" i="2" a="1"/>
  <c r="S148" i="2" s="1"/>
  <c r="T123" i="2" a="1"/>
  <c r="T123" i="2" s="1"/>
  <c r="Q89" i="2" a="1"/>
  <c r="Q89" i="2" s="1"/>
  <c r="U142" i="2" a="1"/>
  <c r="U142" i="2" s="1"/>
  <c r="Y121" i="2"/>
  <c r="O131" i="2" a="1"/>
  <c r="O131" i="2" s="1"/>
  <c r="U136" i="2" a="1"/>
  <c r="U136" i="2" s="1"/>
  <c r="AB138" i="2"/>
  <c r="AB127" i="2"/>
  <c r="O140" i="2" a="1"/>
  <c r="O140" i="2" s="1"/>
  <c r="Y128" i="2"/>
  <c r="S92" i="2" a="1"/>
  <c r="S92" i="2" s="1"/>
  <c r="O92" i="2" a="1"/>
  <c r="O92" i="2" s="1"/>
  <c r="M114" i="2" a="1"/>
  <c r="M114" i="2" s="1"/>
  <c r="M97" i="2" a="1"/>
  <c r="M97" i="2" s="1"/>
  <c r="N103" i="2" a="1"/>
  <c r="N103" i="2" s="1"/>
  <c r="O110" i="2" a="1"/>
  <c r="O110" i="2" s="1"/>
  <c r="P117" i="2" a="1"/>
  <c r="P117" i="2" s="1"/>
  <c r="P99" i="2" a="1"/>
  <c r="P99" i="2" s="1"/>
  <c r="S107" i="2" a="1"/>
  <c r="S107" i="2" s="1"/>
  <c r="T115" i="2" a="1"/>
  <c r="T115" i="2" s="1"/>
  <c r="T98" i="2" a="1"/>
  <c r="T98" i="2" s="1"/>
  <c r="U106" i="2" a="1"/>
  <c r="U106" i="2" s="1"/>
  <c r="V112" i="2" a="1"/>
  <c r="V112" i="2" s="1"/>
  <c r="Y117" i="2"/>
  <c r="Y100" i="2"/>
  <c r="Z106" i="2"/>
  <c r="AA114" i="2"/>
  <c r="AB120" i="2"/>
  <c r="AB103" i="2"/>
  <c r="AC111" i="2"/>
  <c r="AC93" i="2"/>
  <c r="W148" i="2" a="1"/>
  <c r="W148" i="2" s="1"/>
  <c r="Q142" i="2" a="1"/>
  <c r="Q142" i="2" s="1"/>
  <c r="Q90" i="2" a="1"/>
  <c r="Q90" i="2" s="1"/>
  <c r="AC128" i="2"/>
  <c r="O122" i="2" a="1"/>
  <c r="O122" i="2" s="1"/>
  <c r="O135" i="2" a="1"/>
  <c r="O135" i="2" s="1"/>
  <c r="M127" i="2" a="1"/>
  <c r="M127" i="2" s="1"/>
  <c r="V147" i="2" a="1"/>
  <c r="V147" i="2" s="1"/>
  <c r="M124" i="2" a="1"/>
  <c r="M124" i="2" s="1"/>
  <c r="AC137" i="2"/>
  <c r="O146" i="2" a="1"/>
  <c r="O146" i="2" s="1"/>
  <c r="N143" i="2" a="1"/>
  <c r="N143" i="2" s="1"/>
  <c r="AB121" i="2"/>
  <c r="M78" i="2" a="1"/>
  <c r="M78" i="2" s="1"/>
  <c r="T83" i="2" a="1"/>
  <c r="T83" i="2" s="1"/>
  <c r="T84" i="2" a="1"/>
  <c r="T84" i="2" s="1"/>
  <c r="Y85" i="2"/>
  <c r="AA86" i="2"/>
  <c r="AA87" i="2"/>
  <c r="N128" i="2" a="1"/>
  <c r="N128" i="2" s="1"/>
  <c r="Q108" i="2" a="1"/>
  <c r="Q108" i="2" s="1"/>
  <c r="W79" i="2" a="1"/>
  <c r="W79" i="2" s="1"/>
  <c r="Q114" i="2" a="1"/>
  <c r="Q114" i="2" s="1"/>
  <c r="V145" i="2" a="1"/>
  <c r="V145" i="2" s="1"/>
  <c r="M129" i="2" a="1"/>
  <c r="M129" i="2" s="1"/>
  <c r="AB133" i="2"/>
  <c r="W137" i="2" a="1"/>
  <c r="W137" i="2" s="1"/>
  <c r="V148" i="2" a="1"/>
  <c r="V148" i="2" s="1"/>
  <c r="S144" i="2" a="1"/>
  <c r="S144" i="2" s="1"/>
  <c r="M77" i="2" a="1"/>
  <c r="M77" i="2" s="1"/>
  <c r="AA77" i="2"/>
  <c r="P78" i="2" a="1"/>
  <c r="P78" i="2" s="1"/>
  <c r="V79" i="2" a="1"/>
  <c r="V79" i="2" s="1"/>
  <c r="V80" i="2" a="1"/>
  <c r="V80" i="2" s="1"/>
  <c r="V81" i="2" a="1"/>
  <c r="V81" i="2" s="1"/>
  <c r="V82" i="2" a="1"/>
  <c r="V82" i="2" s="1"/>
  <c r="V83" i="2" a="1"/>
  <c r="V83" i="2" s="1"/>
  <c r="V84" i="2" a="1"/>
  <c r="V84" i="2" s="1"/>
  <c r="N85" i="2" a="1"/>
  <c r="N85" i="2" s="1"/>
  <c r="AA85" i="2"/>
  <c r="Q115" i="2" a="1"/>
  <c r="Q115" i="2" s="1"/>
  <c r="Q140" i="2" a="1"/>
  <c r="Q140" i="2" s="1"/>
  <c r="W86" i="2" a="1"/>
  <c r="W86" i="2" s="1"/>
  <c r="Q79" i="2" a="1"/>
  <c r="Q79" i="2" s="1"/>
  <c r="Q128" i="2" a="1"/>
  <c r="Q128" i="2" s="1"/>
  <c r="W139" i="2" a="1"/>
  <c r="W139" i="2" s="1"/>
  <c r="P148" i="2" a="1"/>
  <c r="P148" i="2" s="1"/>
  <c r="P128" i="2" a="1"/>
  <c r="P128" i="2" s="1"/>
  <c r="N131" i="2" a="1"/>
  <c r="N131" i="2" s="1"/>
  <c r="M132" i="2" a="1"/>
  <c r="M132" i="2" s="1"/>
  <c r="AB135" i="2"/>
  <c r="Y127" i="2"/>
  <c r="N121" i="2" a="1"/>
  <c r="N121" i="2" s="1"/>
  <c r="AB126" i="2"/>
  <c r="Q121" i="2" a="1"/>
  <c r="Q121" i="2" s="1"/>
  <c r="S139" i="2" a="1"/>
  <c r="S139" i="2" s="1"/>
  <c r="AA127" i="2"/>
  <c r="AB146" i="2"/>
  <c r="AD146" i="2" s="1"/>
  <c r="Z129" i="2"/>
  <c r="AA129" i="2"/>
  <c r="M147" i="2" a="1"/>
  <c r="M147" i="2" s="1"/>
  <c r="AA134" i="2"/>
  <c r="V144" i="2" a="1"/>
  <c r="V144" i="2" s="1"/>
  <c r="S80" i="2" a="1"/>
  <c r="S80" i="2" s="1"/>
  <c r="S81" i="2" a="1"/>
  <c r="S81" i="2" s="1"/>
  <c r="S82" i="2" a="1"/>
  <c r="S82" i="2" s="1"/>
  <c r="S83" i="2" a="1"/>
  <c r="S83" i="2" s="1"/>
  <c r="S84" i="2" a="1"/>
  <c r="S84" i="2" s="1"/>
  <c r="Z87" i="2"/>
  <c r="Y94" i="2"/>
  <c r="O78" i="2" a="1"/>
  <c r="O78" i="2" s="1"/>
  <c r="S78" i="2" a="1"/>
  <c r="S78" i="2" s="1"/>
  <c r="M81" i="2" a="1"/>
  <c r="M81" i="2" s="1"/>
  <c r="Y83" i="2"/>
  <c r="S86" i="2" a="1"/>
  <c r="S86" i="2" s="1"/>
  <c r="O89" i="2" a="1"/>
  <c r="O89" i="2" s="1"/>
  <c r="U95" i="2" a="1"/>
  <c r="U95" i="2" s="1"/>
  <c r="V116" i="2" a="1"/>
  <c r="V116" i="2" s="1"/>
  <c r="T103" i="2" a="1"/>
  <c r="T103" i="2" s="1"/>
  <c r="N88" i="2" a="1"/>
  <c r="N88" i="2" s="1"/>
  <c r="O95" i="2" a="1"/>
  <c r="O95" i="2" s="1"/>
  <c r="AB77" i="2"/>
  <c r="Y80" i="2"/>
  <c r="Y82" i="2"/>
  <c r="Y84" i="2"/>
  <c r="T87" i="2" a="1"/>
  <c r="T87" i="2" s="1"/>
  <c r="AA89" i="2"/>
  <c r="S91" i="2" a="1"/>
  <c r="S91" i="2" s="1"/>
  <c r="O94" i="2" a="1"/>
  <c r="O94" i="2" s="1"/>
  <c r="O96" i="2" a="1"/>
  <c r="O96" i="2" s="1"/>
  <c r="M119" i="2" a="1"/>
  <c r="M119" i="2" s="1"/>
  <c r="N117" i="2" a="1"/>
  <c r="N117" i="2" s="1"/>
  <c r="N99" i="2" a="1"/>
  <c r="N99" i="2" s="1"/>
  <c r="O105" i="2" a="1"/>
  <c r="O105" i="2" s="1"/>
  <c r="P103" i="2" a="1"/>
  <c r="P103" i="2" s="1"/>
  <c r="S103" i="2" a="1"/>
  <c r="S103" i="2" s="1"/>
  <c r="U118" i="2" a="1"/>
  <c r="U118" i="2" s="1"/>
  <c r="V117" i="2" a="1"/>
  <c r="V117" i="2" s="1"/>
  <c r="Y113" i="2"/>
  <c r="AA118" i="2"/>
  <c r="AB116" i="2"/>
  <c r="AC115" i="2"/>
  <c r="AC97" i="2"/>
  <c r="W101" i="2" a="1"/>
  <c r="W101" i="2" s="1"/>
  <c r="W90" i="2" a="1"/>
  <c r="W90" i="2" s="1"/>
  <c r="O142" i="2" a="1"/>
  <c r="O142" i="2" s="1"/>
  <c r="O144" i="2" a="1"/>
  <c r="O144" i="2" s="1"/>
  <c r="Q129" i="2" a="1"/>
  <c r="Q129" i="2" s="1"/>
  <c r="S134" i="2" a="1"/>
  <c r="S134" i="2" s="1"/>
  <c r="AC146" i="2"/>
  <c r="AA143" i="2"/>
  <c r="N79" i="2" a="1"/>
  <c r="N79" i="2" s="1"/>
  <c r="N80" i="2" a="1"/>
  <c r="N80" i="2" s="1"/>
  <c r="N82" i="2" a="1"/>
  <c r="N82" i="2" s="1"/>
  <c r="Z83" i="2"/>
  <c r="P85" i="2" a="1"/>
  <c r="P85" i="2" s="1"/>
  <c r="P89" i="2" a="1"/>
  <c r="P89" i="2" s="1"/>
  <c r="N93" i="2" a="1"/>
  <c r="N93" i="2" s="1"/>
  <c r="N96" i="2" a="1"/>
  <c r="N96" i="2" s="1"/>
  <c r="U94" i="2" a="1"/>
  <c r="U94" i="2" s="1"/>
  <c r="M100" i="2" a="1"/>
  <c r="M100" i="2" s="1"/>
  <c r="N106" i="2" a="1"/>
  <c r="N106" i="2" s="1"/>
  <c r="O113" i="2" a="1"/>
  <c r="O113" i="2" s="1"/>
  <c r="O104" i="2" a="1"/>
  <c r="O104" i="2" s="1"/>
  <c r="P111" i="2" a="1"/>
  <c r="P111" i="2" s="1"/>
  <c r="P102" i="2" a="1"/>
  <c r="P102" i="2" s="1"/>
  <c r="S118" i="2" a="1"/>
  <c r="S118" i="2" s="1"/>
  <c r="S102" i="2" a="1"/>
  <c r="S102" i="2" s="1"/>
  <c r="T118" i="2" a="1"/>
  <c r="T118" i="2" s="1"/>
  <c r="T110" i="2" a="1"/>
  <c r="T110" i="2" s="1"/>
  <c r="T101" i="2" a="1"/>
  <c r="T101" i="2" s="1"/>
  <c r="U117" i="2" a="1"/>
  <c r="U117" i="2" s="1"/>
  <c r="U109" i="2" a="1"/>
  <c r="U109" i="2" s="1"/>
  <c r="U100" i="2" a="1"/>
  <c r="U100" i="2" s="1"/>
  <c r="V115" i="2" a="1"/>
  <c r="V115" i="2" s="1"/>
  <c r="V106" i="2" a="1"/>
  <c r="V106" i="2" s="1"/>
  <c r="V97" i="2" a="1"/>
  <c r="V97" i="2" s="1"/>
  <c r="Y112" i="2"/>
  <c r="Y103" i="2"/>
  <c r="Z119" i="2"/>
  <c r="Z110" i="2"/>
  <c r="Z101" i="2"/>
  <c r="AA117" i="2"/>
  <c r="AA109" i="2"/>
  <c r="AA99" i="2"/>
  <c r="AB115" i="2"/>
  <c r="AB106" i="2"/>
  <c r="AB97" i="2"/>
  <c r="AC114" i="2"/>
  <c r="AC105" i="2"/>
  <c r="AC96" i="2"/>
  <c r="AC88" i="2"/>
  <c r="AC80" i="2"/>
  <c r="Q147" i="2" a="1"/>
  <c r="Q147" i="2" s="1"/>
  <c r="W109" i="2" a="1"/>
  <c r="W109" i="2" s="1"/>
  <c r="W142" i="2" a="1"/>
  <c r="W142" i="2" s="1"/>
  <c r="Q119" i="2" a="1"/>
  <c r="Q119" i="2" s="1"/>
  <c r="W98" i="2" a="1"/>
  <c r="W98" i="2" s="1"/>
  <c r="AC140" i="2"/>
  <c r="M139" i="2" a="1"/>
  <c r="M139" i="2" s="1"/>
  <c r="AC126" i="2"/>
  <c r="N138" i="2" a="1"/>
  <c r="N138" i="2" s="1"/>
  <c r="V138" i="2" a="1"/>
  <c r="V138" i="2" s="1"/>
  <c r="S125" i="2" a="1"/>
  <c r="S125" i="2" s="1"/>
  <c r="Y148" i="2" a="1"/>
  <c r="Y148" i="2" s="1"/>
  <c r="AB136" i="2"/>
  <c r="N139" i="2" a="1"/>
  <c r="N139" i="2" s="1"/>
  <c r="AC133" i="2"/>
  <c r="M130" i="2" a="1"/>
  <c r="M130" i="2" s="1"/>
  <c r="U135" i="2" a="1"/>
  <c r="U135" i="2" s="1"/>
  <c r="V127" i="2" a="1"/>
  <c r="V127" i="2" s="1"/>
  <c r="Z136" i="2"/>
  <c r="T128" i="2" a="1"/>
  <c r="T128" i="2" s="1"/>
  <c r="Z145" i="2"/>
  <c r="V107" i="2" a="1"/>
  <c r="V107" i="2" s="1"/>
  <c r="P77" i="2" a="1"/>
  <c r="P77" i="2" s="1"/>
  <c r="Y79" i="2"/>
  <c r="Y81" i="2"/>
  <c r="M83" i="2" a="1"/>
  <c r="M83" i="2" s="1"/>
  <c r="O85" i="2" a="1"/>
  <c r="O85" i="2" s="1"/>
  <c r="P90" i="2" a="1"/>
  <c r="P90" i="2" s="1"/>
  <c r="M93" i="2" a="1"/>
  <c r="M93" i="2" s="1"/>
  <c r="AB96" i="2"/>
  <c r="AA102" i="2"/>
  <c r="M86" i="2" a="1"/>
  <c r="M86" i="2" s="1"/>
  <c r="M110" i="2" a="1"/>
  <c r="M110" i="2" s="1"/>
  <c r="O114" i="2" a="1"/>
  <c r="O114" i="2" s="1"/>
  <c r="P112" i="2" a="1"/>
  <c r="P112" i="2" s="1"/>
  <c r="S119" i="2" a="1"/>
  <c r="S119" i="2" s="1"/>
  <c r="T119" i="2" a="1"/>
  <c r="T119" i="2" s="1"/>
  <c r="U110" i="2" a="1"/>
  <c r="U110" i="2" s="1"/>
  <c r="V108" i="2" a="1"/>
  <c r="V108" i="2" s="1"/>
  <c r="Y104" i="2"/>
  <c r="Z111" i="2"/>
  <c r="AA110" i="2"/>
  <c r="AB98" i="2"/>
  <c r="AC89" i="2"/>
  <c r="W110" i="2" a="1"/>
  <c r="W110" i="2" s="1"/>
  <c r="O130" i="2" a="1"/>
  <c r="O130" i="2" s="1"/>
  <c r="Y129" i="2"/>
  <c r="Z142" i="2"/>
  <c r="Z134" i="2"/>
  <c r="T122" i="2" a="1"/>
  <c r="T122" i="2" s="1"/>
  <c r="Z80" i="2"/>
  <c r="Z81" i="2"/>
  <c r="N83" i="2" a="1"/>
  <c r="N83" i="2" s="1"/>
  <c r="Z84" i="2"/>
  <c r="U87" i="2" a="1"/>
  <c r="U87" i="2" s="1"/>
  <c r="V88" i="2" a="1"/>
  <c r="V88" i="2" s="1"/>
  <c r="S90" i="2" a="1"/>
  <c r="S90" i="2" s="1"/>
  <c r="P94" i="2" a="1"/>
  <c r="P94" i="2" s="1"/>
  <c r="S96" i="2" a="1"/>
  <c r="S96" i="2" s="1"/>
  <c r="O107" i="2" a="1"/>
  <c r="O107" i="2" s="1"/>
  <c r="M85" i="2" a="1"/>
  <c r="M85" i="2" s="1"/>
  <c r="M109" i="2" a="1"/>
  <c r="M109" i="2" s="1"/>
  <c r="N115" i="2" a="1"/>
  <c r="N115" i="2" s="1"/>
  <c r="N98" i="2" a="1"/>
  <c r="N98" i="2" s="1"/>
  <c r="S110" i="2" a="1"/>
  <c r="S110" i="2" s="1"/>
  <c r="T77" i="2" a="1"/>
  <c r="T77" i="2" s="1"/>
  <c r="W103" i="2" a="1"/>
  <c r="W103" i="2" s="1"/>
  <c r="W104" i="2" a="1"/>
  <c r="W104" i="2" s="1"/>
  <c r="T134" i="2" a="1"/>
  <c r="T134" i="2" s="1"/>
  <c r="T139" i="2" a="1"/>
  <c r="T139" i="2" s="1"/>
  <c r="V125" i="2" a="1"/>
  <c r="V125" i="2" s="1"/>
  <c r="V141" i="2" a="1"/>
  <c r="V141" i="2" s="1"/>
  <c r="U128" i="2" a="1"/>
  <c r="U128" i="2" s="1"/>
  <c r="U125" i="2" a="1"/>
  <c r="U125" i="2" s="1"/>
  <c r="V140" i="2" a="1"/>
  <c r="V140" i="2" s="1"/>
  <c r="W121" i="2" a="1"/>
  <c r="W121" i="2" s="1"/>
  <c r="V124" i="2" a="1"/>
  <c r="V124" i="2" s="1"/>
  <c r="W146" i="2" a="1"/>
  <c r="W146" i="2" s="1"/>
  <c r="W82" i="2" a="1"/>
  <c r="W82" i="2" s="1"/>
  <c r="W143" i="2" a="1"/>
  <c r="W143" i="2" s="1"/>
  <c r="W134" i="2" a="1"/>
  <c r="W134" i="2" s="1"/>
  <c r="W93" i="2" a="1"/>
  <c r="W93" i="2" s="1"/>
  <c r="W100" i="2" a="1"/>
  <c r="W100" i="2" s="1"/>
  <c r="W107" i="2" a="1"/>
  <c r="W107" i="2" s="1"/>
  <c r="T132" i="2" a="1"/>
  <c r="T132" i="2" s="1"/>
  <c r="U145" i="2" a="1"/>
  <c r="U145" i="2" s="1"/>
  <c r="V123" i="2" a="1"/>
  <c r="V123" i="2" s="1"/>
  <c r="U123" i="2" a="1"/>
  <c r="U123" i="2" s="1"/>
  <c r="W113" i="2" a="1"/>
  <c r="W113" i="2" s="1"/>
  <c r="V122" i="2" a="1"/>
  <c r="V122" i="2" s="1"/>
  <c r="W138" i="2" a="1"/>
  <c r="W138" i="2" s="1"/>
  <c r="W144" i="2" a="1"/>
  <c r="W144" i="2" s="1"/>
  <c r="W135" i="2" a="1"/>
  <c r="W135" i="2" s="1"/>
  <c r="W126" i="2" a="1"/>
  <c r="W126" i="2" s="1"/>
  <c r="W77" i="2" a="1"/>
  <c r="W77" i="2" s="1"/>
  <c r="W85" i="2" a="1"/>
  <c r="W85" i="2" s="1"/>
  <c r="W92" i="2" a="1"/>
  <c r="W92" i="2" s="1"/>
  <c r="W99" i="2" a="1"/>
  <c r="W99" i="2" s="1"/>
  <c r="T130" i="2" a="1"/>
  <c r="T130" i="2" s="1"/>
  <c r="U137" i="2" a="1"/>
  <c r="U137" i="2" s="1"/>
  <c r="U132" i="2" a="1"/>
  <c r="U132" i="2" s="1"/>
  <c r="V121" i="2" a="1"/>
  <c r="V121" i="2" s="1"/>
  <c r="U121" i="2" a="1"/>
  <c r="U121" i="2" s="1"/>
  <c r="W105" i="2" a="1"/>
  <c r="W105" i="2" s="1"/>
  <c r="W87" i="2" a="1"/>
  <c r="W87" i="2" s="1"/>
  <c r="T133" i="2" a="1"/>
  <c r="T133" i="2" s="1"/>
  <c r="V139" i="2" a="1"/>
  <c r="V139" i="2" s="1"/>
  <c r="W130" i="2" a="1"/>
  <c r="W130" i="2" s="1"/>
  <c r="W136" i="2" a="1"/>
  <c r="W136" i="2" s="1"/>
  <c r="W127" i="2" a="1"/>
  <c r="W127" i="2" s="1"/>
  <c r="W118" i="2" a="1"/>
  <c r="W118" i="2" s="1"/>
  <c r="W141" i="2" a="1"/>
  <c r="W141" i="2" s="1"/>
  <c r="W84" i="2" a="1"/>
  <c r="W84" i="2" s="1"/>
  <c r="W91" i="2" a="1"/>
  <c r="W91" i="2" s="1"/>
  <c r="U146" i="2" a="1"/>
  <c r="U146" i="2" s="1"/>
  <c r="T126" i="2" a="1"/>
  <c r="T126" i="2" s="1"/>
  <c r="V135" i="2" a="1"/>
  <c r="V135" i="2" s="1"/>
  <c r="V133" i="2" a="1"/>
  <c r="V133" i="2" s="1"/>
  <c r="T145" i="2" a="1"/>
  <c r="T145" i="2" s="1"/>
  <c r="T140" i="2" a="1"/>
  <c r="T140" i="2" s="1"/>
  <c r="U133" i="2" a="1"/>
  <c r="U133" i="2" s="1"/>
  <c r="T144" i="2" a="1"/>
  <c r="T144" i="2" s="1"/>
  <c r="W89" i="2" a="1"/>
  <c r="W89" i="2" s="1"/>
  <c r="U134" i="2" a="1"/>
  <c r="U134" i="2" s="1"/>
  <c r="T131" i="2" a="1"/>
  <c r="T131" i="2" s="1"/>
  <c r="T143" i="2" a="1"/>
  <c r="T143" i="2" s="1"/>
  <c r="U148" i="2" a="1"/>
  <c r="U148" i="2" s="1"/>
  <c r="T125" i="2" a="1"/>
  <c r="T125" i="2" s="1"/>
  <c r="V132" i="2" a="1"/>
  <c r="V132" i="2" s="1"/>
  <c r="U147" i="2" a="1"/>
  <c r="U147" i="2" s="1"/>
  <c r="W88" i="2" a="1"/>
  <c r="W88" i="2" s="1"/>
  <c r="W114" i="2" a="1"/>
  <c r="W114" i="2" s="1"/>
  <c r="W120" i="2" a="1"/>
  <c r="W120" i="2" s="1"/>
  <c r="W111" i="2" a="1"/>
  <c r="W111" i="2" s="1"/>
  <c r="W102" i="2" a="1"/>
  <c r="W102" i="2" s="1"/>
  <c r="W125" i="2" a="1"/>
  <c r="W125" i="2" s="1"/>
  <c r="W132" i="2" a="1"/>
  <c r="W132" i="2" s="1"/>
  <c r="W147" i="2" a="1"/>
  <c r="W147" i="2" s="1"/>
  <c r="T124" i="2" a="1"/>
  <c r="T124" i="2" s="1"/>
  <c r="V131" i="2" a="1"/>
  <c r="V131" i="2" s="1"/>
  <c r="T137" i="2" a="1"/>
  <c r="T137" i="2" s="1"/>
  <c r="T146" i="2" a="1"/>
  <c r="T146" i="2" s="1"/>
  <c r="U131" i="2" a="1"/>
  <c r="U131" i="2" s="1"/>
  <c r="T136" i="2" a="1"/>
  <c r="T136" i="2" s="1"/>
  <c r="W145" i="2" a="1"/>
  <c r="W145" i="2" s="1"/>
  <c r="W81" i="2" a="1"/>
  <c r="W81" i="2" s="1"/>
  <c r="T138" i="2" a="1"/>
  <c r="T138" i="2" s="1"/>
  <c r="T127" i="2" a="1"/>
  <c r="T127" i="2" s="1"/>
  <c r="T135" i="2" a="1"/>
  <c r="T135" i="2" s="1"/>
  <c r="U140" i="2" a="1"/>
  <c r="U140" i="2" s="1"/>
  <c r="T121" i="2" a="1"/>
  <c r="T121" i="2" s="1"/>
  <c r="V130" i="2" a="1"/>
  <c r="V130" i="2" s="1"/>
  <c r="U139" i="2" a="1"/>
  <c r="U139" i="2" s="1"/>
  <c r="W140" i="2" a="1"/>
  <c r="W140" i="2" s="1"/>
  <c r="W106" i="2" a="1"/>
  <c r="W106" i="2" s="1"/>
  <c r="W112" i="2" a="1"/>
  <c r="W112" i="2" s="1"/>
  <c r="W95" i="2" a="1"/>
  <c r="W95" i="2" s="1"/>
  <c r="W94" i="2" a="1"/>
  <c r="W94" i="2" s="1"/>
  <c r="W117" i="2" a="1"/>
  <c r="W117" i="2" s="1"/>
  <c r="W124" i="2" a="1"/>
  <c r="W124" i="2" s="1"/>
  <c r="W131" i="2" a="1"/>
  <c r="W131" i="2" s="1"/>
  <c r="U78" i="2" a="1"/>
  <c r="U78" i="2" s="1"/>
  <c r="O79" i="2" a="1"/>
  <c r="O79" i="2" s="1"/>
  <c r="AA79" i="2"/>
  <c r="O80" i="2" a="1"/>
  <c r="O80" i="2" s="1"/>
  <c r="AA80" i="2"/>
  <c r="O81" i="2" a="1"/>
  <c r="O81" i="2" s="1"/>
  <c r="AA81" i="2"/>
  <c r="O82" i="2" a="1"/>
  <c r="O82" i="2" s="1"/>
  <c r="AA82" i="2"/>
  <c r="O83" i="2" a="1"/>
  <c r="O83" i="2" s="1"/>
  <c r="AA83" i="2"/>
  <c r="O84" i="2" a="1"/>
  <c r="O84" i="2" s="1"/>
  <c r="AA84" i="2"/>
  <c r="T85" i="2" a="1"/>
  <c r="T85" i="2" s="1"/>
  <c r="U86" i="2" a="1"/>
  <c r="U86" i="2" s="1"/>
  <c r="V87" i="2" a="1"/>
  <c r="V87" i="2" s="1"/>
  <c r="S89" i="2" a="1"/>
  <c r="S89" i="2" s="1"/>
  <c r="T90" i="2" a="1"/>
  <c r="T90" i="2" s="1"/>
  <c r="U91" i="2" a="1"/>
  <c r="U91" i="2" s="1"/>
  <c r="W108" i="2" a="1"/>
  <c r="W108" i="2" s="1"/>
  <c r="W133" i="2" a="1"/>
  <c r="W133" i="2" s="1"/>
  <c r="Q78" i="2" a="1"/>
  <c r="Q78" i="2" s="1"/>
  <c r="W80" i="2" a="1"/>
  <c r="W80" i="2" s="1"/>
  <c r="W122" i="2" a="1"/>
  <c r="W122" i="2" s="1"/>
  <c r="AC148" i="2"/>
  <c r="AA128" i="2"/>
  <c r="V136" i="2" a="1"/>
  <c r="V136" i="2" s="1"/>
  <c r="V146" i="2" a="1"/>
  <c r="V146" i="2" s="1"/>
  <c r="S127" i="2" a="1"/>
  <c r="S127" i="2" s="1"/>
  <c r="M136" i="2" a="1"/>
  <c r="M136" i="2" s="1"/>
  <c r="AB144" i="2"/>
  <c r="AB137" i="2"/>
  <c r="U127" i="2" a="1"/>
  <c r="U127" i="2" s="1"/>
  <c r="U143" i="2" a="1"/>
  <c r="U143" i="2" s="1"/>
  <c r="V129" i="2" a="1"/>
  <c r="V129" i="2" s="1"/>
  <c r="Z144" i="2"/>
  <c r="N122" i="2" a="1"/>
  <c r="N122" i="2" s="1"/>
  <c r="AB107" i="2"/>
  <c r="M79" i="2" a="1"/>
  <c r="M79" i="2" s="1"/>
  <c r="M80" i="2" a="1"/>
  <c r="M80" i="2" s="1"/>
  <c r="M82" i="2" a="1"/>
  <c r="M82" i="2" s="1"/>
  <c r="M84" i="2" a="1"/>
  <c r="M84" i="2" s="1"/>
  <c r="AB85" i="2"/>
  <c r="U88" i="2" a="1"/>
  <c r="U88" i="2" s="1"/>
  <c r="AB90" i="2"/>
  <c r="Z93" i="2"/>
  <c r="M96" i="2" a="1"/>
  <c r="M96" i="2" s="1"/>
  <c r="M107" i="2" a="1"/>
  <c r="M107" i="2" s="1"/>
  <c r="T94" i="2" a="1"/>
  <c r="T94" i="2" s="1"/>
  <c r="M101" i="2" a="1"/>
  <c r="M101" i="2" s="1"/>
  <c r="N108" i="2" a="1"/>
  <c r="N108" i="2" s="1"/>
  <c r="O97" i="2" a="1"/>
  <c r="O97" i="2" s="1"/>
  <c r="S111" i="2" a="1"/>
  <c r="S111" i="2" s="1"/>
  <c r="T111" i="2" a="1"/>
  <c r="T111" i="2" s="1"/>
  <c r="U101" i="2" a="1"/>
  <c r="U101" i="2" s="1"/>
  <c r="V98" i="2" a="1"/>
  <c r="V98" i="2" s="1"/>
  <c r="Z120" i="2"/>
  <c r="Z102" i="2"/>
  <c r="AA100" i="2"/>
  <c r="AB108" i="2"/>
  <c r="AC106" i="2"/>
  <c r="AC81" i="2"/>
  <c r="Q123" i="2" a="1"/>
  <c r="Q123" i="2" s="1"/>
  <c r="Q87" i="2" a="1"/>
  <c r="Q87" i="2" s="1"/>
  <c r="Q120" i="2" a="1"/>
  <c r="Q120" i="2" s="1"/>
  <c r="P130" i="2" a="1"/>
  <c r="P130" i="2" s="1"/>
  <c r="AA145" i="2"/>
  <c r="AC131" i="2"/>
  <c r="O145" i="2" a="1"/>
  <c r="O145" i="2" s="1"/>
  <c r="Y134" i="2"/>
  <c r="P139" i="2" a="1"/>
  <c r="P139" i="2" s="1"/>
  <c r="S77" i="2" a="1"/>
  <c r="S77" i="2" s="1"/>
  <c r="S124" i="2" a="1"/>
  <c r="S124" i="2" s="1"/>
  <c r="S123" i="2" a="1"/>
  <c r="S123" i="2" s="1"/>
  <c r="S130" i="2" a="1"/>
  <c r="S130" i="2" s="1"/>
  <c r="S121" i="2" a="1"/>
  <c r="S121" i="2" s="1"/>
  <c r="S147" i="2" a="1"/>
  <c r="S147" i="2" s="1"/>
  <c r="S122" i="2" a="1"/>
  <c r="S122" i="2" s="1"/>
  <c r="S138" i="2" a="1"/>
  <c r="S138" i="2" s="1"/>
  <c r="S146" i="2" a="1"/>
  <c r="S146" i="2" s="1"/>
  <c r="S132" i="2" a="1"/>
  <c r="S132" i="2" s="1"/>
  <c r="S137" i="2" a="1"/>
  <c r="S137" i="2" s="1"/>
  <c r="S136" i="2" a="1"/>
  <c r="S136" i="2" s="1"/>
  <c r="S131" i="2" a="1"/>
  <c r="S131" i="2" s="1"/>
  <c r="S128" i="2" a="1"/>
  <c r="S128" i="2" s="1"/>
  <c r="S129" i="2" a="1"/>
  <c r="S129" i="2" s="1"/>
  <c r="T78" i="2" a="1"/>
  <c r="T78" i="2" s="1"/>
  <c r="Z79" i="2"/>
  <c r="N81" i="2" a="1"/>
  <c r="N81" i="2" s="1"/>
  <c r="Z82" i="2"/>
  <c r="N84" i="2" a="1"/>
  <c r="N84" i="2" s="1"/>
  <c r="T86" i="2" a="1"/>
  <c r="T86" i="2" s="1"/>
  <c r="AB89" i="2"/>
  <c r="T91" i="2" a="1"/>
  <c r="T91" i="2" s="1"/>
  <c r="AA93" i="2"/>
  <c r="Y95" i="2"/>
  <c r="M116" i="2" a="1"/>
  <c r="M116" i="2" s="1"/>
  <c r="V102" i="2" a="1"/>
  <c r="V102" i="2" s="1"/>
  <c r="M118" i="2" a="1"/>
  <c r="M118" i="2" s="1"/>
  <c r="P120" i="2" a="1"/>
  <c r="P120" i="2" s="1"/>
  <c r="U77" i="2" a="1"/>
  <c r="U77" i="2" s="1"/>
  <c r="V78" i="2" a="1"/>
  <c r="V78" i="2" s="1"/>
  <c r="P79" i="2" a="1"/>
  <c r="P79" i="2" s="1"/>
  <c r="AB79" i="2"/>
  <c r="P80" i="2" a="1"/>
  <c r="P80" i="2" s="1"/>
  <c r="AB80" i="2"/>
  <c r="P81" i="2" a="1"/>
  <c r="P81" i="2" s="1"/>
  <c r="AB81" i="2"/>
  <c r="P82" i="2" a="1"/>
  <c r="P82" i="2" s="1"/>
  <c r="AB82" i="2"/>
  <c r="P83" i="2" a="1"/>
  <c r="P83" i="2" s="1"/>
  <c r="AB83" i="2"/>
  <c r="P84" i="2" a="1"/>
  <c r="P84" i="2" s="1"/>
  <c r="AB84" i="2"/>
  <c r="U85" i="2" a="1"/>
  <c r="U85" i="2" s="1"/>
  <c r="V86" i="2" a="1"/>
  <c r="V86" i="2" s="1"/>
  <c r="M87" i="2" a="1"/>
  <c r="M87" i="2" s="1"/>
  <c r="Y87" i="2"/>
  <c r="M88" i="2" a="1"/>
  <c r="M88" i="2" s="1"/>
  <c r="T89" i="2" a="1"/>
  <c r="T89" i="2" s="1"/>
  <c r="U90" i="2" a="1"/>
  <c r="U90" i="2" s="1"/>
  <c r="V91" i="2" a="1"/>
  <c r="V91" i="2" s="1"/>
  <c r="M92" i="2" a="1"/>
  <c r="M92" i="2" s="1"/>
  <c r="S93" i="2" a="1"/>
  <c r="S93" i="2" s="1"/>
  <c r="W83" i="2" a="1"/>
  <c r="W83" i="2" s="1"/>
  <c r="W116" i="2" a="1"/>
  <c r="W116" i="2" s="1"/>
  <c r="Q93" i="2" a="1"/>
  <c r="Q93" i="2" s="1"/>
  <c r="Q110" i="2" a="1"/>
  <c r="Q110" i="2" s="1"/>
  <c r="W96" i="2" a="1"/>
  <c r="W96" i="2" s="1"/>
  <c r="Q82" i="2" a="1"/>
  <c r="Q82" i="2" s="1"/>
  <c r="AA144" i="2"/>
  <c r="Z133" i="2"/>
  <c r="U124" i="2" a="1"/>
  <c r="U124" i="2" s="1"/>
  <c r="T142" i="2" a="1"/>
  <c r="T142" i="2" s="1"/>
  <c r="S133" i="2" a="1"/>
  <c r="S133" i="2" s="1"/>
  <c r="AA146" i="2"/>
  <c r="S126" i="2" a="1"/>
  <c r="S126" i="2" s="1"/>
  <c r="W97" i="2" a="1"/>
  <c r="W97" i="2" s="1"/>
  <c r="AB145" i="2"/>
  <c r="U129" i="2" a="1"/>
  <c r="U129" i="2" s="1"/>
  <c r="O126" i="2" a="1"/>
  <c r="O126" i="2" s="1"/>
  <c r="S141" i="2" a="1"/>
  <c r="S141" i="2" s="1"/>
  <c r="P121" i="2" a="1"/>
  <c r="P121" i="2" s="1"/>
  <c r="Y138" i="2" a="1"/>
  <c r="Y138" i="2" s="1"/>
  <c r="T148" i="2" a="1"/>
  <c r="T148" i="2" s="1"/>
  <c r="V143" i="2" a="1"/>
  <c r="V143" i="2" s="1"/>
  <c r="X143" i="2" s="1"/>
  <c r="N124" i="2" a="1"/>
  <c r="N124" i="2" s="1"/>
  <c r="AC129" i="2"/>
  <c r="O93" i="2" a="1"/>
  <c r="O93" i="2" s="1"/>
  <c r="AB93" i="2"/>
  <c r="S94" i="2" a="1"/>
  <c r="S94" i="2" s="1"/>
  <c r="M95" i="2" a="1"/>
  <c r="M95" i="2" s="1"/>
  <c r="Z95" i="2"/>
  <c r="T96" i="2" a="1"/>
  <c r="T96" i="2" s="1"/>
  <c r="N107" i="2" a="1"/>
  <c r="N107" i="2" s="1"/>
  <c r="AC102" i="2"/>
  <c r="N92" i="2" a="1"/>
  <c r="N92" i="2" s="1"/>
  <c r="V95" i="2" a="1"/>
  <c r="V95" i="2" s="1"/>
  <c r="M117" i="2" a="1"/>
  <c r="M117" i="2" s="1"/>
  <c r="M108" i="2" a="1"/>
  <c r="M108" i="2" s="1"/>
  <c r="M99" i="2" a="1"/>
  <c r="M99" i="2" s="1"/>
  <c r="N114" i="2" a="1"/>
  <c r="N114" i="2" s="1"/>
  <c r="N105" i="2" a="1"/>
  <c r="N105" i="2" s="1"/>
  <c r="N97" i="2" a="1"/>
  <c r="N97" i="2" s="1"/>
  <c r="O112" i="2" a="1"/>
  <c r="O112" i="2" s="1"/>
  <c r="O103" i="2" a="1"/>
  <c r="O103" i="2" s="1"/>
  <c r="P119" i="2" a="1"/>
  <c r="P119" i="2" s="1"/>
  <c r="P110" i="2" a="1"/>
  <c r="P110" i="2" s="1"/>
  <c r="P101" i="2" a="1"/>
  <c r="P101" i="2" s="1"/>
  <c r="S117" i="2" a="1"/>
  <c r="S117" i="2" s="1"/>
  <c r="S109" i="2" a="1"/>
  <c r="S109" i="2" s="1"/>
  <c r="S101" i="2" a="1"/>
  <c r="S101" i="2" s="1"/>
  <c r="T117" i="2" a="1"/>
  <c r="T117" i="2" s="1"/>
  <c r="T109" i="2" a="1"/>
  <c r="T109" i="2" s="1"/>
  <c r="T100" i="2" a="1"/>
  <c r="T100" i="2" s="1"/>
  <c r="U116" i="2" a="1"/>
  <c r="U116" i="2" s="1"/>
  <c r="U108" i="2" a="1"/>
  <c r="U108" i="2" s="1"/>
  <c r="U99" i="2" a="1"/>
  <c r="U99" i="2" s="1"/>
  <c r="V114" i="2" a="1"/>
  <c r="V114" i="2" s="1"/>
  <c r="V105" i="2" a="1"/>
  <c r="V105" i="2" s="1"/>
  <c r="Y120" i="2"/>
  <c r="Y111" i="2"/>
  <c r="Y102" i="2"/>
  <c r="Z117" i="2"/>
  <c r="Z109" i="2"/>
  <c r="Z100" i="2"/>
  <c r="AA116" i="2"/>
  <c r="AA108" i="2"/>
  <c r="AA98" i="2"/>
  <c r="AB114" i="2"/>
  <c r="AB105" i="2"/>
  <c r="AC77" i="2"/>
  <c r="AC113" i="2"/>
  <c r="AC104" i="2"/>
  <c r="AC95" i="2"/>
  <c r="AC87" i="2"/>
  <c r="AC79" i="2"/>
  <c r="Q109" i="2" a="1"/>
  <c r="Q109" i="2" s="1"/>
  <c r="Q86" i="2" a="1"/>
  <c r="Q86" i="2" s="1"/>
  <c r="Q95" i="2" a="1"/>
  <c r="Q95" i="2" s="1"/>
  <c r="Q104" i="2" a="1"/>
  <c r="Q104" i="2" s="1"/>
  <c r="Q98" i="2" a="1"/>
  <c r="Q98" i="2" s="1"/>
  <c r="N136" i="2" a="1"/>
  <c r="N136" i="2" s="1"/>
  <c r="P132" i="2" a="1"/>
  <c r="P132" i="2" s="1"/>
  <c r="M142" i="2" a="1"/>
  <c r="M142" i="2" s="1"/>
  <c r="O139" i="2" a="1"/>
  <c r="O139" i="2" s="1"/>
  <c r="O134" i="2" a="1"/>
  <c r="O134" i="2" s="1"/>
  <c r="N137" i="2" a="1"/>
  <c r="N137" i="2" s="1"/>
  <c r="M131" i="2" a="1"/>
  <c r="M131" i="2" s="1"/>
  <c r="M134" i="2" a="1"/>
  <c r="M134" i="2" s="1"/>
  <c r="Q137" i="2" a="1"/>
  <c r="Q137" i="2" s="1"/>
  <c r="N147" i="2" a="1"/>
  <c r="N147" i="2" s="1"/>
  <c r="O133" i="2" a="1"/>
  <c r="O133" i="2" s="1"/>
  <c r="N148" i="2" a="1"/>
  <c r="N148" i="2" s="1"/>
  <c r="P133" i="2" a="1"/>
  <c r="P133" i="2" s="1"/>
  <c r="P137" i="2" a="1"/>
  <c r="P137" i="2" s="1"/>
  <c r="P138" i="2" a="1"/>
  <c r="P138" i="2" s="1"/>
  <c r="N126" i="2" a="1"/>
  <c r="N126" i="2" s="1"/>
  <c r="O124" i="2" a="1"/>
  <c r="O124" i="2" s="1"/>
  <c r="M138" i="2" a="1"/>
  <c r="M138" i="2" s="1"/>
  <c r="M141" i="2" a="1"/>
  <c r="M141" i="2" s="1"/>
  <c r="V94" i="2" a="1"/>
  <c r="V94" i="2" s="1"/>
  <c r="N95" i="2" a="1"/>
  <c r="N95" i="2" s="1"/>
  <c r="AA95" i="2"/>
  <c r="U96" i="2" a="1"/>
  <c r="U96" i="2" s="1"/>
  <c r="O77" i="2" a="1"/>
  <c r="O77" i="2" s="1"/>
  <c r="AC107" i="2"/>
  <c r="Z118" i="2"/>
  <c r="N91" i="2" a="1"/>
  <c r="N91" i="2" s="1"/>
  <c r="Y86" i="2"/>
  <c r="M115" i="2" a="1"/>
  <c r="M115" i="2" s="1"/>
  <c r="M106" i="2" a="1"/>
  <c r="M106" i="2" s="1"/>
  <c r="M98" i="2" a="1"/>
  <c r="M98" i="2" s="1"/>
  <c r="N113" i="2" a="1"/>
  <c r="N113" i="2" s="1"/>
  <c r="N104" i="2" a="1"/>
  <c r="N104" i="2" s="1"/>
  <c r="O120" i="2" a="1"/>
  <c r="O120" i="2" s="1"/>
  <c r="O111" i="2" a="1"/>
  <c r="O111" i="2" s="1"/>
  <c r="O102" i="2" a="1"/>
  <c r="O102" i="2" s="1"/>
  <c r="P118" i="2" a="1"/>
  <c r="P118" i="2" s="1"/>
  <c r="P109" i="2" a="1"/>
  <c r="P109" i="2" s="1"/>
  <c r="P100" i="2" a="1"/>
  <c r="P100" i="2" s="1"/>
  <c r="S116" i="2" a="1"/>
  <c r="S116" i="2" s="1"/>
  <c r="S108" i="2" a="1"/>
  <c r="S108" i="2" s="1"/>
  <c r="S100" i="2" a="1"/>
  <c r="S100" i="2" s="1"/>
  <c r="T116" i="2" a="1"/>
  <c r="T116" i="2" s="1"/>
  <c r="T108" i="2" a="1"/>
  <c r="T108" i="2" s="1"/>
  <c r="T99" i="2" a="1"/>
  <c r="T99" i="2" s="1"/>
  <c r="U115" i="2" a="1"/>
  <c r="U115" i="2" s="1"/>
  <c r="U107" i="2" a="1"/>
  <c r="U107" i="2" s="1"/>
  <c r="U98" i="2" a="1"/>
  <c r="U98" i="2" s="1"/>
  <c r="V113" i="2" a="1"/>
  <c r="V113" i="2" s="1"/>
  <c r="V104" i="2" a="1"/>
  <c r="V104" i="2" s="1"/>
  <c r="Y118" i="2"/>
  <c r="Y110" i="2"/>
  <c r="Y101" i="2"/>
  <c r="Z116" i="2"/>
  <c r="Z108" i="2"/>
  <c r="Z99" i="2"/>
  <c r="AA115" i="2"/>
  <c r="AA106" i="2"/>
  <c r="AA97" i="2"/>
  <c r="AB113" i="2"/>
  <c r="AB104" i="2"/>
  <c r="AC120" i="2"/>
  <c r="AC112" i="2"/>
  <c r="AC103" i="2"/>
  <c r="AC94" i="2"/>
  <c r="AC86" i="2"/>
  <c r="AC78" i="2"/>
  <c r="Q132" i="2" a="1"/>
  <c r="Q132" i="2" s="1"/>
  <c r="Q117" i="2" a="1"/>
  <c r="Q117" i="2" s="1"/>
  <c r="Q94" i="2" a="1"/>
  <c r="Q94" i="2" s="1"/>
  <c r="Q111" i="2" a="1"/>
  <c r="Q111" i="2" s="1"/>
  <c r="Q112" i="2" a="1"/>
  <c r="Q112" i="2" s="1"/>
  <c r="Q106" i="2" a="1"/>
  <c r="Q106" i="2" s="1"/>
  <c r="N144" i="2" a="1"/>
  <c r="N144" i="2" s="1"/>
  <c r="P134" i="2" a="1"/>
  <c r="P134" i="2" s="1"/>
  <c r="M146" i="2" a="1"/>
  <c r="M146" i="2" s="1"/>
  <c r="N145" i="2" a="1"/>
  <c r="N145" i="2" s="1"/>
  <c r="M133" i="2" a="1"/>
  <c r="M133" i="2" s="1"/>
  <c r="P145" i="2" a="1"/>
  <c r="P145" i="2" s="1"/>
  <c r="Q81" i="2" a="1"/>
  <c r="Q81" i="2" s="1"/>
  <c r="Q145" i="2" a="1"/>
  <c r="Q145" i="2" s="1"/>
  <c r="M144" i="2" a="1"/>
  <c r="M144" i="2" s="1"/>
  <c r="O147" i="2" a="1"/>
  <c r="O147" i="2" s="1"/>
  <c r="M145" i="2" a="1"/>
  <c r="M145" i="2" s="1"/>
  <c r="N141" i="2" a="1"/>
  <c r="N141" i="2" s="1"/>
  <c r="M128" i="2" a="1"/>
  <c r="M128" i="2" s="1"/>
  <c r="P146" i="2" a="1"/>
  <c r="P146" i="2" s="1"/>
  <c r="V89" i="2" a="1"/>
  <c r="V89" i="2" s="1"/>
  <c r="M90" i="2" a="1"/>
  <c r="M90" i="2" s="1"/>
  <c r="Y90" i="2"/>
  <c r="M91" i="2" a="1"/>
  <c r="M91" i="2" s="1"/>
  <c r="Z91" i="2"/>
  <c r="T92" i="2" a="1"/>
  <c r="T92" i="2" s="1"/>
  <c r="U93" i="2" a="1"/>
  <c r="U93" i="2" s="1"/>
  <c r="AB94" i="2"/>
  <c r="P95" i="2" a="1"/>
  <c r="P95" i="2" s="1"/>
  <c r="Y96" i="2"/>
  <c r="S88" i="2" a="1"/>
  <c r="S88" i="2" s="1"/>
  <c r="AA107" i="2"/>
  <c r="O116" i="2" a="1"/>
  <c r="O116" i="2" s="1"/>
  <c r="Y119" i="2"/>
  <c r="P93" i="2" a="1"/>
  <c r="P93" i="2" s="1"/>
  <c r="AA94" i="2"/>
  <c r="M113" i="2" a="1"/>
  <c r="M113" i="2" s="1"/>
  <c r="M104" i="2" a="1"/>
  <c r="M104" i="2" s="1"/>
  <c r="N120" i="2" a="1"/>
  <c r="N120" i="2" s="1"/>
  <c r="N111" i="2" a="1"/>
  <c r="N111" i="2" s="1"/>
  <c r="N102" i="2" a="1"/>
  <c r="N102" i="2" s="1"/>
  <c r="O118" i="2" a="1"/>
  <c r="O118" i="2" s="1"/>
  <c r="O109" i="2" a="1"/>
  <c r="O109" i="2" s="1"/>
  <c r="O100" i="2" a="1"/>
  <c r="O100" i="2" s="1"/>
  <c r="P115" i="2" a="1"/>
  <c r="P115" i="2" s="1"/>
  <c r="P106" i="2" a="1"/>
  <c r="P106" i="2" s="1"/>
  <c r="P98" i="2" a="1"/>
  <c r="P98" i="2" s="1"/>
  <c r="S114" i="2" a="1"/>
  <c r="S114" i="2" s="1"/>
  <c r="S106" i="2" a="1"/>
  <c r="S106" i="2" s="1"/>
  <c r="S98" i="2" a="1"/>
  <c r="S98" i="2" s="1"/>
  <c r="T114" i="2" a="1"/>
  <c r="T114" i="2" s="1"/>
  <c r="T106" i="2" a="1"/>
  <c r="T106" i="2" s="1"/>
  <c r="T97" i="2" a="1"/>
  <c r="T97" i="2" s="1"/>
  <c r="U113" i="2" a="1"/>
  <c r="U113" i="2" s="1"/>
  <c r="U105" i="2" a="1"/>
  <c r="U105" i="2" s="1"/>
  <c r="V120" i="2" a="1"/>
  <c r="V120" i="2" s="1"/>
  <c r="V111" i="2" a="1"/>
  <c r="V111" i="2" s="1"/>
  <c r="V101" i="2" a="1"/>
  <c r="V101" i="2" s="1"/>
  <c r="Y116" i="2"/>
  <c r="AD116" i="2" s="1"/>
  <c r="Y108" i="2"/>
  <c r="Y99" i="2"/>
  <c r="Z114" i="2"/>
  <c r="Z105" i="2"/>
  <c r="Z97" i="2"/>
  <c r="AA113" i="2"/>
  <c r="AA104" i="2"/>
  <c r="AB119" i="2"/>
  <c r="AB111" i="2"/>
  <c r="AB101" i="2"/>
  <c r="AC118" i="2"/>
  <c r="AC110" i="2"/>
  <c r="AC100" i="2"/>
  <c r="AC92" i="2"/>
  <c r="AC84" i="2"/>
  <c r="N77" i="2" a="1"/>
  <c r="N77" i="2" s="1"/>
  <c r="Q102" i="2" a="1"/>
  <c r="Q102" i="2" s="1"/>
  <c r="Q103" i="2" a="1"/>
  <c r="Q103" i="2" s="1"/>
  <c r="M94" i="2" a="1"/>
  <c r="M94" i="2" s="1"/>
  <c r="Q91" i="2" a="1"/>
  <c r="Q91" i="2" s="1"/>
  <c r="Q84" i="2" a="1"/>
  <c r="Q84" i="2" s="1"/>
  <c r="Q148" i="2" a="1"/>
  <c r="Q148" i="2" s="1"/>
  <c r="Q133" i="2" a="1"/>
  <c r="Q133" i="2" s="1"/>
  <c r="Q118" i="2" a="1"/>
  <c r="Q118" i="2" s="1"/>
  <c r="Q127" i="2" a="1"/>
  <c r="Q127" i="2" s="1"/>
  <c r="Q136" i="2" a="1"/>
  <c r="Q136" i="2" s="1"/>
  <c r="Q122" i="2" a="1"/>
  <c r="Q122" i="2" s="1"/>
  <c r="P122" i="2" a="1"/>
  <c r="P122" i="2" s="1"/>
  <c r="N135" i="2" a="1"/>
  <c r="N135" i="2" s="1"/>
  <c r="M121" i="2" a="1"/>
  <c r="M121" i="2" s="1"/>
  <c r="O136" i="2" a="1"/>
  <c r="O136" i="2" s="1"/>
  <c r="N125" i="2" a="1"/>
  <c r="N125" i="2" s="1"/>
  <c r="O141" i="2" a="1"/>
  <c r="O141" i="2" s="1"/>
  <c r="Q97" i="2" a="1"/>
  <c r="Q97" i="2" s="1"/>
  <c r="P135" i="2" a="1"/>
  <c r="P135" i="2" s="1"/>
  <c r="O123" i="2" a="1"/>
  <c r="O123" i="2" s="1"/>
  <c r="P136" i="2" a="1"/>
  <c r="P136" i="2" s="1"/>
  <c r="P123" i="2" a="1"/>
  <c r="P123" i="2" s="1"/>
  <c r="O148" i="2" a="1"/>
  <c r="O148" i="2" s="1"/>
  <c r="N132" i="2" a="1"/>
  <c r="N132" i="2" s="1"/>
  <c r="P147" i="2" a="1"/>
  <c r="P147" i="2" s="1"/>
  <c r="O128" i="2" a="1"/>
  <c r="O128" i="2" s="1"/>
  <c r="U92" i="2" a="1"/>
  <c r="U92" i="2" s="1"/>
  <c r="V93" i="2" a="1"/>
  <c r="V93" i="2" s="1"/>
  <c r="S95" i="2" a="1"/>
  <c r="S95" i="2" s="1"/>
  <c r="Z96" i="2"/>
  <c r="P96" i="2" a="1"/>
  <c r="P96" i="2" s="1"/>
  <c r="Z107" i="2"/>
  <c r="N116" i="2" a="1"/>
  <c r="N116" i="2" s="1"/>
  <c r="P92" i="2" a="1"/>
  <c r="P92" i="2" s="1"/>
  <c r="AB95" i="2"/>
  <c r="M112" i="2" a="1"/>
  <c r="M112" i="2" s="1"/>
  <c r="M103" i="2" a="1"/>
  <c r="M103" i="2" s="1"/>
  <c r="N119" i="2" a="1"/>
  <c r="N119" i="2" s="1"/>
  <c r="N110" i="2" a="1"/>
  <c r="N110" i="2" s="1"/>
  <c r="N101" i="2" a="1"/>
  <c r="N101" i="2" s="1"/>
  <c r="O117" i="2" a="1"/>
  <c r="O117" i="2" s="1"/>
  <c r="O108" i="2" a="1"/>
  <c r="O108" i="2" s="1"/>
  <c r="O99" i="2" a="1"/>
  <c r="O99" i="2" s="1"/>
  <c r="P114" i="2" a="1"/>
  <c r="P114" i="2" s="1"/>
  <c r="P105" i="2" a="1"/>
  <c r="P105" i="2" s="1"/>
  <c r="P97" i="2" a="1"/>
  <c r="P97" i="2" s="1"/>
  <c r="S113" i="2" a="1"/>
  <c r="S113" i="2" s="1"/>
  <c r="S105" i="2" a="1"/>
  <c r="S105" i="2" s="1"/>
  <c r="S97" i="2" a="1"/>
  <c r="S97" i="2" s="1"/>
  <c r="T113" i="2" a="1"/>
  <c r="T113" i="2" s="1"/>
  <c r="T105" i="2" a="1"/>
  <c r="T105" i="2" s="1"/>
  <c r="U120" i="2" a="1"/>
  <c r="U120" i="2" s="1"/>
  <c r="U112" i="2" a="1"/>
  <c r="U112" i="2" s="1"/>
  <c r="U104" i="2" a="1"/>
  <c r="U104" i="2" s="1"/>
  <c r="V119" i="2" a="1"/>
  <c r="V119" i="2" s="1"/>
  <c r="V110" i="2" a="1"/>
  <c r="V110" i="2" s="1"/>
  <c r="V100" i="2" a="1"/>
  <c r="V100" i="2" s="1"/>
  <c r="Y115" i="2"/>
  <c r="Y106" i="2"/>
  <c r="Y98" i="2"/>
  <c r="Z113" i="2"/>
  <c r="Z104" i="2"/>
  <c r="AA120" i="2"/>
  <c r="AA112" i="2"/>
  <c r="AA103" i="2"/>
  <c r="AB118" i="2"/>
  <c r="AB110" i="2"/>
  <c r="AB100" i="2"/>
  <c r="AC117" i="2"/>
  <c r="AC109" i="2"/>
  <c r="AC99" i="2"/>
  <c r="AC91" i="2"/>
  <c r="AC83" i="2"/>
  <c r="AA91" i="2"/>
  <c r="Q126" i="2" a="1"/>
  <c r="Q126" i="2" s="1"/>
  <c r="Q135" i="2" a="1"/>
  <c r="Q135" i="2" s="1"/>
  <c r="Q144" i="2" a="1"/>
  <c r="Q144" i="2" s="1"/>
  <c r="Q130" i="2" a="1"/>
  <c r="Q130" i="2" s="1"/>
  <c r="P124" i="2" a="1"/>
  <c r="P124" i="2" s="1"/>
  <c r="N123" i="2" a="1"/>
  <c r="N123" i="2" s="1"/>
  <c r="M123" i="2" a="1"/>
  <c r="M123" i="2" s="1"/>
  <c r="N146" i="2" a="1"/>
  <c r="N146" i="2" s="1"/>
  <c r="N129" i="2" a="1"/>
  <c r="N129" i="2" s="1"/>
  <c r="Q105" i="2" a="1"/>
  <c r="Q105" i="2" s="1"/>
  <c r="P143" i="2" a="1"/>
  <c r="P143" i="2" s="1"/>
  <c r="R143" i="2" s="1"/>
  <c r="O125" i="2" a="1"/>
  <c r="O125" i="2" s="1"/>
  <c r="P144" i="2" a="1"/>
  <c r="P144" i="2" s="1"/>
  <c r="P125" i="2" a="1"/>
  <c r="P125" i="2" s="1"/>
  <c r="O132" i="2" a="1"/>
  <c r="O132" i="2" s="1"/>
  <c r="N142" i="2" a="1"/>
  <c r="N142" i="2" s="1"/>
  <c r="N134" i="2" a="1"/>
  <c r="N134" i="2" s="1"/>
  <c r="M148" i="2" a="1"/>
  <c r="M148" i="2" s="1"/>
  <c r="M122" i="2" a="1"/>
  <c r="M122" i="2" s="1"/>
  <c r="P86" i="2" a="1"/>
  <c r="P86" i="2" s="1"/>
  <c r="S87" i="2" a="1"/>
  <c r="S87" i="2" s="1"/>
  <c r="T88" i="2" a="1"/>
  <c r="T88" i="2" s="1"/>
  <c r="N89" i="2" a="1"/>
  <c r="N89" i="2" s="1"/>
  <c r="Z89" i="2"/>
  <c r="O90" i="2" a="1"/>
  <c r="O90" i="2" s="1"/>
  <c r="AA90" i="2"/>
  <c r="P91" i="2" a="1"/>
  <c r="P91" i="2" s="1"/>
  <c r="V92" i="2" a="1"/>
  <c r="V92" i="2" s="1"/>
  <c r="Y93" i="2"/>
  <c r="N94" i="2" a="1"/>
  <c r="N94" i="2" s="1"/>
  <c r="T95" i="2" a="1"/>
  <c r="T95" i="2" s="1"/>
  <c r="AA96" i="2"/>
  <c r="Y107" i="2"/>
  <c r="T102" i="2" a="1"/>
  <c r="T102" i="2" s="1"/>
  <c r="S85" i="2" a="1"/>
  <c r="S85" i="2" s="1"/>
  <c r="M120" i="2" a="1"/>
  <c r="M120" i="2" s="1"/>
  <c r="M111" i="2" a="1"/>
  <c r="M111" i="2" s="1"/>
  <c r="M102" i="2" a="1"/>
  <c r="M102" i="2" s="1"/>
  <c r="N118" i="2" a="1"/>
  <c r="N118" i="2" s="1"/>
  <c r="N109" i="2" a="1"/>
  <c r="N109" i="2" s="1"/>
  <c r="N100" i="2" a="1"/>
  <c r="N100" i="2" s="1"/>
  <c r="O115" i="2" a="1"/>
  <c r="O115" i="2" s="1"/>
  <c r="O106" i="2" a="1"/>
  <c r="O106" i="2" s="1"/>
  <c r="O98" i="2" a="1"/>
  <c r="O98" i="2" s="1"/>
  <c r="P113" i="2" a="1"/>
  <c r="P113" i="2" s="1"/>
  <c r="P104" i="2" a="1"/>
  <c r="P104" i="2" s="1"/>
  <c r="S120" i="2" a="1"/>
  <c r="S120" i="2" s="1"/>
  <c r="S112" i="2" a="1"/>
  <c r="S112" i="2" s="1"/>
  <c r="S104" i="2" a="1"/>
  <c r="S104" i="2" s="1"/>
  <c r="T120" i="2" a="1"/>
  <c r="T120" i="2" s="1"/>
  <c r="T112" i="2" a="1"/>
  <c r="T112" i="2" s="1"/>
  <c r="T104" i="2" a="1"/>
  <c r="T104" i="2" s="1"/>
  <c r="U119" i="2" a="1"/>
  <c r="U119" i="2" s="1"/>
  <c r="U111" i="2" a="1"/>
  <c r="U111" i="2" s="1"/>
  <c r="U103" i="2" a="1"/>
  <c r="U103" i="2" s="1"/>
  <c r="V118" i="2" a="1"/>
  <c r="V118" i="2" s="1"/>
  <c r="V109" i="2" a="1"/>
  <c r="V109" i="2" s="1"/>
  <c r="V99" i="2" a="1"/>
  <c r="V99" i="2" s="1"/>
  <c r="Y114" i="2"/>
  <c r="Y105" i="2"/>
  <c r="Y97" i="2"/>
  <c r="Z112" i="2"/>
  <c r="Z103" i="2"/>
  <c r="AA119" i="2"/>
  <c r="AD119" i="2" s="1"/>
  <c r="AA111" i="2"/>
  <c r="AA101" i="2"/>
  <c r="AB117" i="2"/>
  <c r="AB109" i="2"/>
  <c r="AB99" i="2"/>
  <c r="AC116" i="2"/>
  <c r="AC108" i="2"/>
  <c r="AC98" i="2"/>
  <c r="AC90" i="2"/>
  <c r="AC82" i="2"/>
  <c r="Q107" i="2" a="1"/>
  <c r="Q107" i="2" s="1"/>
  <c r="Q100" i="2" a="1"/>
  <c r="Q100" i="2" s="1"/>
  <c r="Q85" i="2" a="1"/>
  <c r="Q85" i="2" s="1"/>
  <c r="Q77" i="2" a="1"/>
  <c r="Q77" i="2" s="1"/>
  <c r="Q134" i="2" a="1"/>
  <c r="Q134" i="2" s="1"/>
  <c r="Q143" i="2" a="1"/>
  <c r="Q143" i="2" s="1"/>
  <c r="Q80" i="2" a="1"/>
  <c r="Q80" i="2" s="1"/>
  <c r="Q138" i="2" a="1"/>
  <c r="Q138" i="2" s="1"/>
  <c r="P140" i="2" a="1"/>
  <c r="P140" i="2" s="1"/>
  <c r="R140" i="2" s="1"/>
  <c r="P126" i="2" a="1"/>
  <c r="P126" i="2" s="1"/>
  <c r="P142" i="2" a="1"/>
  <c r="P142" i="2" s="1"/>
  <c r="N127" i="2" a="1"/>
  <c r="N127" i="2" s="1"/>
  <c r="P141" i="2" a="1"/>
  <c r="P141" i="2" s="1"/>
  <c r="M125" i="2" a="1"/>
  <c r="M125" i="2" s="1"/>
  <c r="N133" i="2" a="1"/>
  <c r="N133" i="2" s="1"/>
  <c r="Q113" i="2" a="1"/>
  <c r="Q113" i="2" s="1"/>
  <c r="O137" i="2" a="1"/>
  <c r="O137" i="2" s="1"/>
  <c r="O127" i="2" a="1"/>
  <c r="O127" i="2" s="1"/>
  <c r="O138" i="2" a="1"/>
  <c r="O138" i="2" s="1"/>
  <c r="P127" i="2" a="1"/>
  <c r="P127" i="2" s="1"/>
  <c r="M137" i="2" a="1"/>
  <c r="M137" i="2" s="1"/>
  <c r="M126" i="2" a="1"/>
  <c r="M126" i="2" s="1"/>
  <c r="AD143" i="2"/>
  <c r="X140" i="2"/>
  <c r="AD142" i="2"/>
  <c r="AD140" i="2"/>
  <c r="R135" i="2"/>
  <c r="U28" i="2"/>
  <c r="U102" i="2" s="1" a="1"/>
  <c r="U102" i="2" s="1"/>
  <c r="K6" i="2"/>
  <c r="K14" i="2"/>
  <c r="J39" i="2"/>
  <c r="J30" i="2"/>
  <c r="K46" i="2"/>
  <c r="K37" i="2"/>
  <c r="K41" i="2"/>
  <c r="K38" i="2"/>
  <c r="K18" i="2"/>
  <c r="H24" i="2"/>
  <c r="J38" i="2"/>
  <c r="H40" i="2"/>
  <c r="H32" i="2"/>
  <c r="J40" i="2"/>
  <c r="K29" i="2"/>
  <c r="K28" i="2"/>
  <c r="H39" i="2"/>
  <c r="H31" i="2"/>
  <c r="H23" i="2"/>
  <c r="K45" i="2"/>
  <c r="K13" i="2"/>
  <c r="K25" i="2"/>
  <c r="K8" i="2"/>
  <c r="I32" i="2"/>
  <c r="K7" i="2"/>
  <c r="J29" i="2"/>
  <c r="K36" i="2"/>
  <c r="K27" i="2"/>
  <c r="K5" i="2"/>
  <c r="H45" i="2"/>
  <c r="H37" i="2"/>
  <c r="H29" i="2"/>
  <c r="K9" i="2"/>
  <c r="K21" i="2"/>
  <c r="K30" i="2"/>
  <c r="I40" i="2"/>
  <c r="I23" i="2"/>
  <c r="H46" i="2"/>
  <c r="H38" i="2"/>
  <c r="H30" i="2"/>
  <c r="I46" i="2"/>
  <c r="I38" i="2"/>
  <c r="I30" i="2"/>
  <c r="J46" i="2"/>
  <c r="J37" i="2"/>
  <c r="J28" i="2"/>
  <c r="K44" i="2"/>
  <c r="K35" i="2"/>
  <c r="K26" i="2"/>
  <c r="I39" i="2"/>
  <c r="I45" i="2"/>
  <c r="I37" i="2"/>
  <c r="I29" i="2"/>
  <c r="J45" i="2"/>
  <c r="J36" i="2"/>
  <c r="J27" i="2"/>
  <c r="K43" i="2"/>
  <c r="K34" i="2"/>
  <c r="K3" i="2"/>
  <c r="K12" i="2"/>
  <c r="K4" i="2"/>
  <c r="H44" i="2"/>
  <c r="H36" i="2"/>
  <c r="H28" i="2"/>
  <c r="I44" i="2"/>
  <c r="I36" i="2"/>
  <c r="I28" i="2"/>
  <c r="J44" i="2"/>
  <c r="J35" i="2"/>
  <c r="J26" i="2"/>
  <c r="K32" i="2"/>
  <c r="K24" i="2"/>
  <c r="K17" i="2"/>
  <c r="K22" i="2"/>
  <c r="K11" i="2"/>
  <c r="K15" i="2"/>
  <c r="H43" i="2"/>
  <c r="H35" i="2"/>
  <c r="H27" i="2"/>
  <c r="I43" i="2"/>
  <c r="I35" i="2"/>
  <c r="I27" i="2"/>
  <c r="J43" i="2"/>
  <c r="J34" i="2"/>
  <c r="J25" i="2"/>
  <c r="K40" i="2"/>
  <c r="K31" i="2"/>
  <c r="K23" i="2"/>
  <c r="I24" i="2"/>
  <c r="K10" i="2"/>
  <c r="H42" i="2"/>
  <c r="H34" i="2"/>
  <c r="H26" i="2"/>
  <c r="I42" i="2"/>
  <c r="I34" i="2"/>
  <c r="I26" i="2"/>
  <c r="J41" i="2"/>
  <c r="J32" i="2"/>
  <c r="J24" i="2"/>
  <c r="K39" i="2"/>
  <c r="I31" i="2"/>
  <c r="K20" i="2"/>
  <c r="H41" i="2"/>
  <c r="H33" i="2"/>
  <c r="H25" i="2"/>
  <c r="I41" i="2"/>
  <c r="I33" i="2"/>
  <c r="I25" i="2"/>
  <c r="J31" i="2"/>
  <c r="J23" i="2"/>
  <c r="E42" i="2"/>
  <c r="E33" i="2"/>
  <c r="AB28" i="2"/>
  <c r="AB102" i="2" s="1"/>
  <c r="P42" i="2"/>
  <c r="P116" i="2" s="1" a="1"/>
  <c r="P116" i="2" s="1"/>
  <c r="P33" i="2"/>
  <c r="P107" i="2" s="1" a="1"/>
  <c r="P107" i="2" s="1"/>
  <c r="J18" i="2"/>
  <c r="H20" i="2"/>
  <c r="J15" i="2"/>
  <c r="H5" i="2"/>
  <c r="J21" i="2"/>
  <c r="I11" i="2"/>
  <c r="I5" i="2"/>
  <c r="J11" i="2"/>
  <c r="H3" i="2"/>
  <c r="I17" i="2"/>
  <c r="J7" i="2"/>
  <c r="H9" i="2"/>
  <c r="J14" i="2"/>
  <c r="J20" i="2"/>
  <c r="H21" i="2"/>
  <c r="I12" i="2"/>
  <c r="J4" i="2"/>
  <c r="J17" i="2"/>
  <c r="I18" i="2"/>
  <c r="H12" i="2"/>
  <c r="H7" i="2"/>
  <c r="H11" i="2"/>
  <c r="J13" i="2"/>
  <c r="I15" i="2"/>
  <c r="J3" i="2"/>
  <c r="H4" i="2"/>
  <c r="H6" i="2"/>
  <c r="H18" i="2"/>
  <c r="J6" i="2"/>
  <c r="J10" i="2"/>
  <c r="H10" i="2"/>
  <c r="I10" i="2"/>
  <c r="D19" i="2"/>
  <c r="C19" i="2"/>
  <c r="B19" i="2"/>
  <c r="B93" i="2" s="1" a="1"/>
  <c r="B93" i="2" s="1"/>
  <c r="E19" i="2"/>
  <c r="H17" i="2"/>
  <c r="J8" i="2"/>
  <c r="J12" i="2"/>
  <c r="H22" i="2"/>
  <c r="J22" i="2"/>
  <c r="I7" i="2"/>
  <c r="H14" i="2"/>
  <c r="H8" i="2"/>
  <c r="I20" i="2"/>
  <c r="H13" i="2"/>
  <c r="I13" i="2"/>
  <c r="I22" i="2"/>
  <c r="I4" i="2"/>
  <c r="I8" i="2"/>
  <c r="J5" i="2"/>
  <c r="I3" i="2"/>
  <c r="I9" i="2"/>
  <c r="I14" i="2"/>
  <c r="J9" i="2"/>
  <c r="H15" i="2"/>
  <c r="I21" i="2"/>
  <c r="I6" i="2"/>
  <c r="C101" i="2" l="1" a="1"/>
  <c r="C101" i="2" s="1"/>
  <c r="F78" i="2" a="1"/>
  <c r="F78" i="2" s="1"/>
  <c r="D104" i="2" a="1"/>
  <c r="D104" i="2" s="1"/>
  <c r="D105" i="2" a="1"/>
  <c r="D105" i="2" s="1"/>
  <c r="F120" i="2" a="1"/>
  <c r="F120" i="2" s="1"/>
  <c r="D92" i="2" a="1"/>
  <c r="D92" i="2" s="1"/>
  <c r="B78" i="2" a="1"/>
  <c r="B78" i="2" s="1"/>
  <c r="E127" i="2" a="1"/>
  <c r="E127" i="2" s="1"/>
  <c r="E77" i="2" a="1"/>
  <c r="E77" i="2" s="1"/>
  <c r="C80" i="2" a="1"/>
  <c r="C80" i="2" s="1"/>
  <c r="B138" i="2" a="1"/>
  <c r="B138" i="2" s="1"/>
  <c r="B125" i="2" a="1"/>
  <c r="B125" i="2" s="1"/>
  <c r="C144" i="2" a="1"/>
  <c r="C144" i="2" s="1"/>
  <c r="E101" i="2" a="1"/>
  <c r="E101" i="2" s="1"/>
  <c r="F117" i="2" a="1"/>
  <c r="F117" i="2" s="1"/>
  <c r="D108" i="2" a="1"/>
  <c r="D108" i="2" s="1"/>
  <c r="D93" i="2" a="1"/>
  <c r="D93" i="2" s="1"/>
  <c r="C108" i="2" a="1"/>
  <c r="C108" i="2" s="1"/>
  <c r="E96" i="2" a="1"/>
  <c r="E96" i="2" s="1"/>
  <c r="B97" i="2" a="1"/>
  <c r="B97" i="2" s="1"/>
  <c r="F115" i="2" a="1"/>
  <c r="F115" i="2" s="1"/>
  <c r="C104" i="2" a="1"/>
  <c r="C104" i="2" s="1"/>
  <c r="C105" i="2" a="1"/>
  <c r="C105" i="2" s="1"/>
  <c r="D98" i="2" a="1"/>
  <c r="D98" i="2" s="1"/>
  <c r="C103" i="2" a="1"/>
  <c r="C103" i="2" s="1"/>
  <c r="F136" i="2" a="1"/>
  <c r="F136" i="2" s="1"/>
  <c r="C91" i="2" a="1"/>
  <c r="C91" i="2" s="1"/>
  <c r="C114" i="2" a="1"/>
  <c r="C114" i="2" s="1"/>
  <c r="AD113" i="2"/>
  <c r="E78" i="2" a="1"/>
  <c r="E78" i="2" s="1"/>
  <c r="C79" i="2" a="1"/>
  <c r="C79" i="2" s="1"/>
  <c r="D133" i="2" a="1"/>
  <c r="D133" i="2" s="1"/>
  <c r="D147" i="2" a="1"/>
  <c r="D147" i="2" s="1"/>
  <c r="E124" i="2" a="1"/>
  <c r="E124" i="2" s="1"/>
  <c r="C148" i="2" a="1"/>
  <c r="C148" i="2" s="1"/>
  <c r="D83" i="2" a="1"/>
  <c r="D83" i="2" s="1"/>
  <c r="E110" i="2" a="1"/>
  <c r="E110" i="2" s="1"/>
  <c r="F89" i="2" a="1"/>
  <c r="F89" i="2" s="1"/>
  <c r="B95" i="2" a="1"/>
  <c r="B95" i="2" s="1"/>
  <c r="E118" i="2" a="1"/>
  <c r="E118" i="2" s="1"/>
  <c r="B100" i="2" a="1"/>
  <c r="B100" i="2" s="1"/>
  <c r="B110" i="2" a="1"/>
  <c r="B110" i="2" s="1"/>
  <c r="F103" i="2" a="1"/>
  <c r="F103" i="2" s="1"/>
  <c r="C140" i="2" a="1"/>
  <c r="C140" i="2" s="1"/>
  <c r="E80" i="2" a="1"/>
  <c r="E80" i="2" s="1"/>
  <c r="C121" i="2" a="1"/>
  <c r="C121" i="2" s="1"/>
  <c r="F140" i="2" a="1"/>
  <c r="F140" i="2" s="1"/>
  <c r="E125" i="2" a="1"/>
  <c r="E125" i="2" s="1"/>
  <c r="B77" i="2" a="1"/>
  <c r="B77" i="2" s="1"/>
  <c r="B79" i="2" a="1"/>
  <c r="B79" i="2" s="1"/>
  <c r="B104" i="2" a="1"/>
  <c r="B104" i="2" s="1"/>
  <c r="F97" i="2" a="1"/>
  <c r="F97" i="2" s="1"/>
  <c r="F85" i="2" a="1"/>
  <c r="F85" i="2" s="1"/>
  <c r="E94" i="2" a="1"/>
  <c r="E94" i="2" s="1"/>
  <c r="D102" i="2" a="1"/>
  <c r="D102" i="2" s="1"/>
  <c r="AD110" i="2"/>
  <c r="B108" i="2" a="1"/>
  <c r="B108" i="2" s="1"/>
  <c r="B109" i="2" a="1"/>
  <c r="B109" i="2" s="1"/>
  <c r="B118" i="2" a="1"/>
  <c r="B118" i="2" s="1"/>
  <c r="D144" i="2" a="1"/>
  <c r="D144" i="2" s="1"/>
  <c r="E113" i="2" a="1"/>
  <c r="E113" i="2" s="1"/>
  <c r="C134" i="2" a="1"/>
  <c r="C134" i="2" s="1"/>
  <c r="C143" i="2" a="1"/>
  <c r="C143" i="2" s="1"/>
  <c r="B145" i="2" a="1"/>
  <c r="B145" i="2" s="1"/>
  <c r="D143" i="2" a="1"/>
  <c r="D143" i="2" s="1"/>
  <c r="C138" i="2" a="1"/>
  <c r="C138" i="2" s="1"/>
  <c r="B112" i="2" a="1"/>
  <c r="B112" i="2" s="1"/>
  <c r="F105" i="2" a="1"/>
  <c r="F105" i="2" s="1"/>
  <c r="F77" i="2" a="1"/>
  <c r="F77" i="2" s="1"/>
  <c r="D110" i="2" a="1"/>
  <c r="D110" i="2" s="1"/>
  <c r="B116" i="2" a="1"/>
  <c r="B116" i="2" s="1"/>
  <c r="B94" i="2" a="1"/>
  <c r="B94" i="2" s="1"/>
  <c r="AD111" i="2"/>
  <c r="B117" i="2" a="1"/>
  <c r="B117" i="2" s="1"/>
  <c r="E147" i="2" a="1"/>
  <c r="E147" i="2" s="1"/>
  <c r="X139" i="2"/>
  <c r="D106" i="2" a="1"/>
  <c r="D106" i="2" s="1"/>
  <c r="F87" i="2" a="1"/>
  <c r="F87" i="2" s="1"/>
  <c r="D141" i="2" a="1"/>
  <c r="D141" i="2" s="1"/>
  <c r="B132" i="2" a="1"/>
  <c r="B132" i="2" s="1"/>
  <c r="E130" i="2" a="1"/>
  <c r="E130" i="2" s="1"/>
  <c r="E107" i="2" a="1"/>
  <c r="E107" i="2" s="1"/>
  <c r="F113" i="2" a="1"/>
  <c r="F113" i="2" s="1"/>
  <c r="B120" i="2" a="1"/>
  <c r="B120" i="2" s="1"/>
  <c r="B87" i="2" a="1"/>
  <c r="B87" i="2" s="1"/>
  <c r="E108" i="2" a="1"/>
  <c r="E108" i="2" s="1"/>
  <c r="C110" i="2" a="1"/>
  <c r="C110" i="2" s="1"/>
  <c r="F109" i="2" a="1"/>
  <c r="F109" i="2" s="1"/>
  <c r="F93" i="2" a="1"/>
  <c r="F93" i="2" s="1"/>
  <c r="F112" i="2" a="1"/>
  <c r="F112" i="2" s="1"/>
  <c r="E87" i="2" a="1"/>
  <c r="E87" i="2" s="1"/>
  <c r="C78" i="2" a="1"/>
  <c r="C78" i="2" s="1"/>
  <c r="X135" i="2"/>
  <c r="B83" i="2" a="1"/>
  <c r="B83" i="2" s="1"/>
  <c r="E84" i="2" a="1"/>
  <c r="E84" i="2" s="1"/>
  <c r="F145" i="2" a="1"/>
  <c r="F145" i="2" s="1"/>
  <c r="F122" i="2" a="1"/>
  <c r="F122" i="2" s="1"/>
  <c r="F144" i="2" a="1"/>
  <c r="F144" i="2" s="1"/>
  <c r="E144" i="2" a="1"/>
  <c r="E144" i="2" s="1"/>
  <c r="E93" i="2" a="1"/>
  <c r="E93" i="2" s="1"/>
  <c r="E116" i="2" a="1"/>
  <c r="E116" i="2" s="1"/>
  <c r="E115" i="2" a="1"/>
  <c r="E115" i="2" s="1"/>
  <c r="F116" i="2" a="1"/>
  <c r="F116" i="2" s="1"/>
  <c r="D109" i="2" a="1"/>
  <c r="D109" i="2" s="1"/>
  <c r="B106" i="2" a="1"/>
  <c r="B106" i="2" s="1"/>
  <c r="C96" i="2" a="1"/>
  <c r="C96" i="2" s="1"/>
  <c r="E111" i="2" a="1"/>
  <c r="E111" i="2" s="1"/>
  <c r="F110" i="2" a="1"/>
  <c r="F110" i="2" s="1"/>
  <c r="C115" i="2" a="1"/>
  <c r="C115" i="2" s="1"/>
  <c r="D140" i="2" a="1"/>
  <c r="D140" i="2" s="1"/>
  <c r="F139" i="2" a="1"/>
  <c r="F139" i="2" s="1"/>
  <c r="F94" i="2" a="1"/>
  <c r="F94" i="2" s="1"/>
  <c r="D87" i="2" a="1"/>
  <c r="D87" i="2" s="1"/>
  <c r="E133" i="2" a="1"/>
  <c r="E133" i="2" s="1"/>
  <c r="D138" i="2" a="1"/>
  <c r="D138" i="2" s="1"/>
  <c r="E139" i="2" a="1"/>
  <c r="E139" i="2" s="1"/>
  <c r="E140" i="2" a="1"/>
  <c r="E140" i="2" s="1"/>
  <c r="AD135" i="2"/>
  <c r="F142" i="2" a="1"/>
  <c r="F142" i="2" s="1"/>
  <c r="D100" i="2" a="1"/>
  <c r="D100" i="2" s="1"/>
  <c r="D117" i="2" a="1"/>
  <c r="D117" i="2" s="1"/>
  <c r="B114" i="2" a="1"/>
  <c r="B114" i="2" s="1"/>
  <c r="E120" i="2" a="1"/>
  <c r="E120" i="2" s="1"/>
  <c r="D97" i="2" a="1"/>
  <c r="D97" i="2" s="1"/>
  <c r="D119" i="2" a="1"/>
  <c r="D119" i="2" s="1"/>
  <c r="AD129" i="2"/>
  <c r="D79" i="2" a="1"/>
  <c r="D79" i="2" s="1"/>
  <c r="E143" i="2" a="1"/>
  <c r="E143" i="2" s="1"/>
  <c r="D135" i="2" a="1"/>
  <c r="D135" i="2" s="1"/>
  <c r="C146" i="2" a="1"/>
  <c r="C146" i="2" s="1"/>
  <c r="F108" i="2" a="1"/>
  <c r="F108" i="2" s="1"/>
  <c r="F98" i="2" a="1"/>
  <c r="F98" i="2" s="1"/>
  <c r="D118" i="2" a="1"/>
  <c r="D118" i="2" s="1"/>
  <c r="F86" i="2" a="1"/>
  <c r="F86" i="2" s="1"/>
  <c r="D112" i="2" a="1"/>
  <c r="D112" i="2" s="1"/>
  <c r="F80" i="2" a="1"/>
  <c r="F80" i="2" s="1"/>
  <c r="D113" i="2" a="1"/>
  <c r="D113" i="2" s="1"/>
  <c r="F81" i="2" a="1"/>
  <c r="F81" i="2" s="1"/>
  <c r="D91" i="2" a="1"/>
  <c r="D91" i="2" s="1"/>
  <c r="D78" i="2" a="1"/>
  <c r="D78" i="2" s="1"/>
  <c r="C98" i="2" a="1"/>
  <c r="C98" i="2" s="1"/>
  <c r="D88" i="2" a="1"/>
  <c r="D88" i="2" s="1"/>
  <c r="E114" i="2" a="1"/>
  <c r="E114" i="2" s="1"/>
  <c r="B126" i="2" a="1"/>
  <c r="B126" i="2" s="1"/>
  <c r="C86" i="2" a="1"/>
  <c r="C86" i="2" s="1"/>
  <c r="C106" i="2" a="1"/>
  <c r="C106" i="2" s="1"/>
  <c r="B148" i="2" a="1"/>
  <c r="B148" i="2" s="1"/>
  <c r="F121" i="2" a="1"/>
  <c r="F121" i="2" s="1"/>
  <c r="D95" i="2" a="1"/>
  <c r="D95" i="2" s="1"/>
  <c r="D126" i="2" a="1"/>
  <c r="D126" i="2" s="1"/>
  <c r="F92" i="2" a="1"/>
  <c r="F92" i="2" s="1"/>
  <c r="E105" i="2" a="1"/>
  <c r="E105" i="2" s="1"/>
  <c r="E91" i="2" a="1"/>
  <c r="E91" i="2" s="1"/>
  <c r="C92" i="2" a="1"/>
  <c r="C92" i="2" s="1"/>
  <c r="E83" i="2" a="1"/>
  <c r="E83" i="2" s="1"/>
  <c r="E79" i="2" a="1"/>
  <c r="E79" i="2" s="1"/>
  <c r="D131" i="2" a="1"/>
  <c r="D131" i="2" s="1"/>
  <c r="B133" i="2" a="1"/>
  <c r="B133" i="2" s="1"/>
  <c r="C125" i="2" a="1"/>
  <c r="C125" i="2" s="1"/>
  <c r="F123" i="2" a="1"/>
  <c r="F123" i="2" s="1"/>
  <c r="D122" i="2" a="1"/>
  <c r="D122" i="2" s="1"/>
  <c r="F130" i="2" a="1"/>
  <c r="F130" i="2" s="1"/>
  <c r="B121" i="2" a="1"/>
  <c r="B121" i="2" s="1"/>
  <c r="D128" i="2" a="1"/>
  <c r="D128" i="2" s="1"/>
  <c r="C127" i="2" a="1"/>
  <c r="C127" i="2" s="1"/>
  <c r="D130" i="2" a="1"/>
  <c r="D130" i="2" s="1"/>
  <c r="B129" i="2" a="1"/>
  <c r="B129" i="2" s="1"/>
  <c r="C139" i="2" a="1"/>
  <c r="C139" i="2" s="1"/>
  <c r="E138" i="2" a="1"/>
  <c r="E138" i="2" s="1"/>
  <c r="C90" i="2" a="1"/>
  <c r="C90" i="2" s="1"/>
  <c r="E119" i="2" a="1"/>
  <c r="E119" i="2" s="1"/>
  <c r="D121" i="2" a="1"/>
  <c r="D121" i="2" s="1"/>
  <c r="F128" i="2" a="1"/>
  <c r="F128" i="2" s="1"/>
  <c r="D82" i="2" a="1"/>
  <c r="D82" i="2" s="1"/>
  <c r="D85" i="2" a="1"/>
  <c r="D85" i="2" s="1"/>
  <c r="D103" i="2" a="1"/>
  <c r="D103" i="2" s="1"/>
  <c r="D116" i="2" a="1"/>
  <c r="D116" i="2" s="1"/>
  <c r="F84" i="2" a="1"/>
  <c r="F84" i="2" s="1"/>
  <c r="C95" i="2" a="1"/>
  <c r="C95" i="2" s="1"/>
  <c r="F114" i="2" a="1"/>
  <c r="F114" i="2" s="1"/>
  <c r="C109" i="2" a="1"/>
  <c r="C109" i="2" s="1"/>
  <c r="C93" i="2" a="1"/>
  <c r="C93" i="2" s="1"/>
  <c r="F104" i="2" a="1"/>
  <c r="F104" i="2" s="1"/>
  <c r="C100" i="2" a="1"/>
  <c r="C100" i="2" s="1"/>
  <c r="F95" i="2" a="1"/>
  <c r="F95" i="2" s="1"/>
  <c r="E99" i="2" a="1"/>
  <c r="E99" i="2" s="1"/>
  <c r="C117" i="2" a="1"/>
  <c r="C117" i="2" s="1"/>
  <c r="F106" i="2" a="1"/>
  <c r="F106" i="2" s="1"/>
  <c r="C102" i="2" a="1"/>
  <c r="C102" i="2" s="1"/>
  <c r="D94" i="2" a="1"/>
  <c r="D94" i="2" s="1"/>
  <c r="E89" i="2" a="1"/>
  <c r="E89" i="2" s="1"/>
  <c r="F100" i="2" a="1"/>
  <c r="F100" i="2" s="1"/>
  <c r="D120" i="2" a="1"/>
  <c r="D120" i="2" s="1"/>
  <c r="F88" i="2" a="1"/>
  <c r="F88" i="2" s="1"/>
  <c r="F101" i="2" a="1"/>
  <c r="F101" i="2" s="1"/>
  <c r="C97" i="2" a="1"/>
  <c r="C97" i="2" s="1"/>
  <c r="F91" i="2" a="1"/>
  <c r="F91" i="2" s="1"/>
  <c r="D86" i="2" a="1"/>
  <c r="D86" i="2" s="1"/>
  <c r="D115" i="2" a="1"/>
  <c r="D115" i="2" s="1"/>
  <c r="B136" i="2" a="1"/>
  <c r="B136" i="2" s="1"/>
  <c r="B102" i="2" a="1"/>
  <c r="B102" i="2" s="1"/>
  <c r="C99" i="2" a="1"/>
  <c r="C99" i="2" s="1"/>
  <c r="D89" i="2" a="1"/>
  <c r="D89" i="2" s="1"/>
  <c r="B82" i="2" a="1"/>
  <c r="B82" i="2" s="1"/>
  <c r="D148" i="2" a="1"/>
  <c r="D148" i="2" s="1"/>
  <c r="F133" i="2" a="1"/>
  <c r="F133" i="2" s="1"/>
  <c r="D77" i="2" a="1"/>
  <c r="D77" i="2" s="1"/>
  <c r="F143" i="2" a="1"/>
  <c r="F143" i="2" s="1"/>
  <c r="F147" i="2" a="1"/>
  <c r="F147" i="2" s="1"/>
  <c r="C129" i="2" a="1"/>
  <c r="C129" i="2" s="1"/>
  <c r="D139" i="2" a="1"/>
  <c r="D139" i="2" s="1"/>
  <c r="E145" i="2" a="1"/>
  <c r="E145" i="2" s="1"/>
  <c r="E148" i="2" a="1"/>
  <c r="E148" i="2" s="1"/>
  <c r="F135" i="2" a="1"/>
  <c r="F135" i="2" s="1"/>
  <c r="E137" i="2" a="1"/>
  <c r="E137" i="2" s="1"/>
  <c r="F125" i="2" a="1"/>
  <c r="F125" i="2" s="1"/>
  <c r="D146" i="2" a="1"/>
  <c r="D146" i="2" s="1"/>
  <c r="D137" i="2" a="1"/>
  <c r="D137" i="2" s="1"/>
  <c r="E136" i="2" a="1"/>
  <c r="E136" i="2" s="1"/>
  <c r="F90" i="2" a="1"/>
  <c r="F90" i="2" s="1"/>
  <c r="D111" i="2" a="1"/>
  <c r="D111" i="2" s="1"/>
  <c r="C84" i="2" a="1"/>
  <c r="C84" i="2" s="1"/>
  <c r="D123" i="2" a="1"/>
  <c r="D123" i="2" s="1"/>
  <c r="B99" i="2" a="1"/>
  <c r="B99" i="2" s="1"/>
  <c r="F82" i="2" a="1"/>
  <c r="F82" i="2" s="1"/>
  <c r="B86" i="2" a="1"/>
  <c r="B86" i="2" s="1"/>
  <c r="E97" i="2" a="1"/>
  <c r="E97" i="2" s="1"/>
  <c r="C111" i="2" a="1"/>
  <c r="C111" i="2" s="1"/>
  <c r="F124" i="2" a="1"/>
  <c r="F124" i="2" s="1"/>
  <c r="E95" i="2" a="1"/>
  <c r="E95" i="2" s="1"/>
  <c r="B103" i="2" a="1"/>
  <c r="B103" i="2" s="1"/>
  <c r="C133" i="2" a="1"/>
  <c r="C133" i="2" s="1"/>
  <c r="E131" i="2" a="1"/>
  <c r="E131" i="2" s="1"/>
  <c r="F129" i="2" a="1"/>
  <c r="F129" i="2" s="1"/>
  <c r="D125" i="2" a="1"/>
  <c r="D125" i="2" s="1"/>
  <c r="C141" i="2" a="1"/>
  <c r="C141" i="2" s="1"/>
  <c r="F146" i="2" a="1"/>
  <c r="F146" i="2" s="1"/>
  <c r="E129" i="2" a="1"/>
  <c r="E129" i="2" s="1"/>
  <c r="B107" i="2" a="1"/>
  <c r="B107" i="2" s="1"/>
  <c r="C83" i="2" a="1"/>
  <c r="C83" i="2" s="1"/>
  <c r="F134" i="2" a="1"/>
  <c r="F134" i="2" s="1"/>
  <c r="E117" i="2" a="1"/>
  <c r="E117" i="2" s="1"/>
  <c r="B105" i="2" a="1"/>
  <c r="B105" i="2" s="1"/>
  <c r="E100" i="2" a="1"/>
  <c r="E100" i="2" s="1"/>
  <c r="C118" i="2" a="1"/>
  <c r="C118" i="2" s="1"/>
  <c r="F118" i="2" a="1"/>
  <c r="F118" i="2" s="1"/>
  <c r="C112" i="2" a="1"/>
  <c r="C112" i="2" s="1"/>
  <c r="F107" i="2" a="1"/>
  <c r="F107" i="2" s="1"/>
  <c r="F119" i="2" a="1"/>
  <c r="F119" i="2" s="1"/>
  <c r="C113" i="2" a="1"/>
  <c r="C113" i="2" s="1"/>
  <c r="B85" i="2" a="1"/>
  <c r="B85" i="2" s="1"/>
  <c r="B142" i="2" a="1"/>
  <c r="B142" i="2" s="1"/>
  <c r="B119" i="2" a="1"/>
  <c r="B119" i="2" s="1"/>
  <c r="D134" i="2" a="1"/>
  <c r="D134" i="2" s="1"/>
  <c r="B89" i="2" a="1"/>
  <c r="B89" i="2" s="1"/>
  <c r="D107" i="2" a="1"/>
  <c r="D107" i="2" s="1"/>
  <c r="C88" i="2" a="1"/>
  <c r="C88" i="2" s="1"/>
  <c r="D127" i="2" a="1"/>
  <c r="D127" i="2" s="1"/>
  <c r="C136" i="2" a="1"/>
  <c r="C136" i="2" s="1"/>
  <c r="F132" i="2" a="1"/>
  <c r="F132" i="2" s="1"/>
  <c r="F83" i="2" a="1"/>
  <c r="F83" i="2" s="1"/>
  <c r="C85" i="2" a="1"/>
  <c r="C85" i="2" s="1"/>
  <c r="B81" i="2" a="1"/>
  <c r="B81" i="2" s="1"/>
  <c r="R77" i="2"/>
  <c r="C142" i="2" a="1"/>
  <c r="C142" i="2" s="1"/>
  <c r="B144" i="2" a="1"/>
  <c r="B144" i="2" s="1"/>
  <c r="C122" i="2" a="1"/>
  <c r="C122" i="2" s="1"/>
  <c r="F126" i="2" a="1"/>
  <c r="F126" i="2" s="1"/>
  <c r="F138" i="2" a="1"/>
  <c r="F138" i="2" s="1"/>
  <c r="F131" i="2" a="1"/>
  <c r="F131" i="2" s="1"/>
  <c r="F137" i="2" a="1"/>
  <c r="F137" i="2" s="1"/>
  <c r="B130" i="2" a="1"/>
  <c r="B130" i="2" s="1"/>
  <c r="D132" i="2" a="1"/>
  <c r="D132" i="2" s="1"/>
  <c r="B141" i="2" a="1"/>
  <c r="B141" i="2" s="1"/>
  <c r="B147" i="2" a="1"/>
  <c r="B147" i="2" s="1"/>
  <c r="B90" i="2" a="1"/>
  <c r="B90" i="2" s="1"/>
  <c r="D90" i="2" a="1"/>
  <c r="D90" i="2" s="1"/>
  <c r="F79" i="2" a="1"/>
  <c r="F79" i="2" s="1"/>
  <c r="D129" i="2" a="1"/>
  <c r="D129" i="2" s="1"/>
  <c r="E82" i="2" a="1"/>
  <c r="E82" i="2" s="1"/>
  <c r="C123" i="2" a="1"/>
  <c r="C123" i="2" s="1"/>
  <c r="C131" i="2" a="1"/>
  <c r="C131" i="2" s="1"/>
  <c r="F141" i="2" a="1"/>
  <c r="F141" i="2" s="1"/>
  <c r="E141" i="2" a="1"/>
  <c r="E141" i="2" s="1"/>
  <c r="D136" i="2" a="1"/>
  <c r="D136" i="2" s="1"/>
  <c r="C135" i="2" a="1"/>
  <c r="C135" i="2" s="1"/>
  <c r="E90" i="2" a="1"/>
  <c r="E90" i="2" s="1"/>
  <c r="E85" i="2" a="1"/>
  <c r="E85" i="2" s="1"/>
  <c r="B115" i="2" a="1"/>
  <c r="B115" i="2" s="1"/>
  <c r="E98" i="2" a="1"/>
  <c r="E98" i="2" s="1"/>
  <c r="C116" i="2" a="1"/>
  <c r="C116" i="2" s="1"/>
  <c r="G116" i="2" s="1"/>
  <c r="B88" i="2" a="1"/>
  <c r="B88" i="2" s="1"/>
  <c r="E106" i="2" a="1"/>
  <c r="E106" i="2" s="1"/>
  <c r="F96" i="2" a="1"/>
  <c r="F96" i="2" s="1"/>
  <c r="B92" i="2" a="1"/>
  <c r="B92" i="2" s="1"/>
  <c r="D101" i="2" a="1"/>
  <c r="D101" i="2" s="1"/>
  <c r="B113" i="2" a="1"/>
  <c r="B113" i="2" s="1"/>
  <c r="D96" i="2" a="1"/>
  <c r="D96" i="2" s="1"/>
  <c r="E109" i="2" a="1"/>
  <c r="E109" i="2" s="1"/>
  <c r="B98" i="2" a="1"/>
  <c r="B98" i="2" s="1"/>
  <c r="E102" i="2" a="1"/>
  <c r="E102" i="2" s="1"/>
  <c r="C120" i="2" a="1"/>
  <c r="C120" i="2" s="1"/>
  <c r="E103" i="2" a="1"/>
  <c r="E103" i="2" s="1"/>
  <c r="C147" i="2" a="1"/>
  <c r="C147" i="2" s="1"/>
  <c r="C89" i="2" a="1"/>
  <c r="C89" i="2" s="1"/>
  <c r="E88" i="2" a="1"/>
  <c r="E88" i="2" s="1"/>
  <c r="C107" i="2" a="1"/>
  <c r="C107" i="2" s="1"/>
  <c r="C87" i="2" a="1"/>
  <c r="C87" i="2" s="1"/>
  <c r="C94" i="2" a="1"/>
  <c r="C94" i="2" s="1"/>
  <c r="F127" i="2" a="1"/>
  <c r="F127" i="2" s="1"/>
  <c r="E104" i="2" a="1"/>
  <c r="E104" i="2" s="1"/>
  <c r="B91" i="2" a="1"/>
  <c r="B91" i="2" s="1"/>
  <c r="E146" i="2" a="1"/>
  <c r="E146" i="2" s="1"/>
  <c r="D99" i="2" a="1"/>
  <c r="D99" i="2" s="1"/>
  <c r="C137" i="2" a="1"/>
  <c r="C137" i="2" s="1"/>
  <c r="E81" i="2" a="1"/>
  <c r="E81" i="2" s="1"/>
  <c r="D81" i="2" a="1"/>
  <c r="D81" i="2" s="1"/>
  <c r="C82" i="2" a="1"/>
  <c r="C82" i="2" s="1"/>
  <c r="C128" i="2" a="1"/>
  <c r="C128" i="2" s="1"/>
  <c r="E142" i="2" a="1"/>
  <c r="E142" i="2" s="1"/>
  <c r="C124" i="2" a="1"/>
  <c r="C124" i="2" s="1"/>
  <c r="E123" i="2" a="1"/>
  <c r="E123" i="2" s="1"/>
  <c r="E122" i="2" a="1"/>
  <c r="E122" i="2" s="1"/>
  <c r="D142" i="2" a="1"/>
  <c r="D142" i="2" s="1"/>
  <c r="E121" i="2" a="1"/>
  <c r="E121" i="2" s="1"/>
  <c r="E132" i="2" a="1"/>
  <c r="E132" i="2" s="1"/>
  <c r="E135" i="2" a="1"/>
  <c r="E135" i="2" s="1"/>
  <c r="B131" i="2" a="1"/>
  <c r="B131" i="2" s="1"/>
  <c r="B134" i="2" a="1"/>
  <c r="B134" i="2" s="1"/>
  <c r="B139" i="2" a="1"/>
  <c r="B139" i="2" s="1"/>
  <c r="B146" i="2" a="1"/>
  <c r="B146" i="2" s="1"/>
  <c r="B96" i="2" a="1"/>
  <c r="B96" i="2" s="1"/>
  <c r="D84" i="2" a="1"/>
  <c r="D84" i="2" s="1"/>
  <c r="C132" i="2" a="1"/>
  <c r="C132" i="2" s="1"/>
  <c r="E86" i="2" a="1"/>
  <c r="E86" i="2" s="1"/>
  <c r="E112" i="2" a="1"/>
  <c r="E112" i="2" s="1"/>
  <c r="B101" i="2" a="1"/>
  <c r="B101" i="2" s="1"/>
  <c r="F102" i="2" a="1"/>
  <c r="F102" i="2" s="1"/>
  <c r="E92" i="2" a="1"/>
  <c r="E92" i="2" s="1"/>
  <c r="F111" i="2" a="1"/>
  <c r="F111" i="2" s="1"/>
  <c r="C77" i="2" a="1"/>
  <c r="C77" i="2" s="1"/>
  <c r="D114" i="2" a="1"/>
  <c r="D114" i="2" s="1"/>
  <c r="C119" i="2" a="1"/>
  <c r="C119" i="2" s="1"/>
  <c r="B111" i="2" a="1"/>
  <c r="B111" i="2" s="1"/>
  <c r="B84" i="2" a="1"/>
  <c r="B84" i="2" s="1"/>
  <c r="B80" i="2" a="1"/>
  <c r="B80" i="2" s="1"/>
  <c r="D80" i="2" a="1"/>
  <c r="D80" i="2" s="1"/>
  <c r="C81" i="2" a="1"/>
  <c r="C81" i="2" s="1"/>
  <c r="E126" i="2" a="1"/>
  <c r="E126" i="2" s="1"/>
  <c r="E134" i="2" a="1"/>
  <c r="E134" i="2" s="1"/>
  <c r="C130" i="2" a="1"/>
  <c r="C130" i="2" s="1"/>
  <c r="D145" i="2" a="1"/>
  <c r="D145" i="2" s="1"/>
  <c r="E128" i="2" a="1"/>
  <c r="E128" i="2" s="1"/>
  <c r="B122" i="2" a="1"/>
  <c r="B122" i="2" s="1"/>
  <c r="C126" i="2" a="1"/>
  <c r="C126" i="2" s="1"/>
  <c r="B127" i="2" a="1"/>
  <c r="B127" i="2" s="1"/>
  <c r="F148" i="2" a="1"/>
  <c r="F148" i="2" s="1"/>
  <c r="C145" i="2" a="1"/>
  <c r="C145" i="2" s="1"/>
  <c r="B124" i="2" a="1"/>
  <c r="B124" i="2" s="1"/>
  <c r="B123" i="2" a="1"/>
  <c r="B123" i="2" s="1"/>
  <c r="B128" i="2" a="1"/>
  <c r="B128" i="2" s="1"/>
  <c r="B137" i="2" a="1"/>
  <c r="B137" i="2" s="1"/>
  <c r="F99" i="2" a="1"/>
  <c r="F99" i="2" s="1"/>
  <c r="D124" i="2" a="1"/>
  <c r="D124" i="2" s="1"/>
  <c r="AD127" i="2"/>
  <c r="AD118" i="2"/>
  <c r="AD147" i="2"/>
  <c r="AD104" i="2"/>
  <c r="AD108" i="2"/>
  <c r="G147" i="2"/>
  <c r="AD148" i="2"/>
  <c r="AD138" i="2"/>
  <c r="AD145" i="2"/>
  <c r="AD107" i="2"/>
  <c r="G136" i="2"/>
  <c r="AD144" i="2"/>
  <c r="AD137" i="2"/>
  <c r="AD130" i="2"/>
  <c r="AD126" i="2"/>
  <c r="X145" i="2"/>
  <c r="AD134" i="2"/>
  <c r="AD139" i="2"/>
  <c r="AD141" i="2"/>
  <c r="G144" i="2"/>
  <c r="AD136" i="2"/>
  <c r="AD124" i="2"/>
  <c r="X141" i="2"/>
  <c r="G138" i="2"/>
  <c r="X128" i="2"/>
  <c r="G140" i="2"/>
  <c r="X142" i="2"/>
  <c r="X122" i="2"/>
  <c r="X137" i="2"/>
  <c r="X148" i="2"/>
  <c r="X144" i="2"/>
  <c r="X136" i="2"/>
  <c r="X138" i="2"/>
  <c r="X146" i="2"/>
  <c r="X129" i="2"/>
  <c r="X147" i="2"/>
  <c r="X125" i="2"/>
  <c r="X119" i="2"/>
  <c r="G143" i="2"/>
  <c r="X115" i="2"/>
  <c r="R148" i="2"/>
  <c r="R144" i="2"/>
  <c r="R147" i="2"/>
  <c r="R137" i="2"/>
  <c r="R136" i="2"/>
  <c r="R139" i="2"/>
  <c r="R138" i="2"/>
  <c r="R146" i="2"/>
  <c r="R142" i="2"/>
  <c r="R145" i="2"/>
  <c r="R141" i="2"/>
  <c r="R111" i="2"/>
  <c r="R131" i="2"/>
  <c r="R97" i="2"/>
  <c r="R129" i="2"/>
  <c r="R123" i="2"/>
  <c r="R109" i="2"/>
  <c r="R105" i="2"/>
  <c r="X117" i="2"/>
  <c r="X98" i="2"/>
  <c r="X103" i="2"/>
  <c r="R116" i="2"/>
  <c r="R103" i="2"/>
  <c r="R117" i="2"/>
  <c r="X126" i="2"/>
  <c r="R130" i="2"/>
  <c r="X104" i="2"/>
  <c r="X113" i="2"/>
  <c r="X121" i="2"/>
  <c r="X118" i="2"/>
  <c r="X131" i="2"/>
  <c r="R113" i="2"/>
  <c r="R98" i="2"/>
  <c r="X105" i="2"/>
  <c r="R119" i="2"/>
  <c r="AD117" i="2"/>
  <c r="AD121" i="2"/>
  <c r="R102" i="2"/>
  <c r="X106" i="2"/>
  <c r="X101" i="2"/>
  <c r="R118" i="2"/>
  <c r="X97" i="2"/>
  <c r="R115" i="2"/>
  <c r="AD133" i="2"/>
  <c r="R101" i="2"/>
  <c r="R107" i="2"/>
  <c r="X114" i="2"/>
  <c r="X124" i="2"/>
  <c r="X112" i="2"/>
  <c r="R120" i="2"/>
  <c r="AD131" i="2"/>
  <c r="R126" i="2"/>
  <c r="X111" i="2"/>
  <c r="R100" i="2"/>
  <c r="R127" i="2"/>
  <c r="AD103" i="2"/>
  <c r="X100" i="2"/>
  <c r="R110" i="2"/>
  <c r="J33" i="2"/>
  <c r="AD102" i="2"/>
  <c r="AD106" i="2"/>
  <c r="AD100" i="2"/>
  <c r="X134" i="2"/>
  <c r="R134" i="2"/>
  <c r="R114" i="2"/>
  <c r="AD128" i="2"/>
  <c r="AD122" i="2"/>
  <c r="R112" i="2"/>
  <c r="AD101" i="2"/>
  <c r="R121" i="2"/>
  <c r="X109" i="2"/>
  <c r="X120" i="2"/>
  <c r="X99" i="2"/>
  <c r="J42" i="2"/>
  <c r="R128" i="2"/>
  <c r="AD120" i="2"/>
  <c r="R99" i="2"/>
  <c r="AD112" i="2"/>
  <c r="X102" i="2"/>
  <c r="X133" i="2"/>
  <c r="X130" i="2"/>
  <c r="AD98" i="2"/>
  <c r="AD109" i="2"/>
  <c r="X132" i="2"/>
  <c r="R133" i="2"/>
  <c r="AD97" i="2"/>
  <c r="AD123" i="2"/>
  <c r="AD114" i="2"/>
  <c r="R122" i="2"/>
  <c r="X107" i="2"/>
  <c r="AD132" i="2"/>
  <c r="AD115" i="2"/>
  <c r="R124" i="2"/>
  <c r="R125" i="2"/>
  <c r="AD125" i="2"/>
  <c r="R104" i="2"/>
  <c r="R108" i="2"/>
  <c r="R132" i="2"/>
  <c r="R106" i="2"/>
  <c r="X110" i="2"/>
  <c r="X127" i="2"/>
  <c r="X116" i="2"/>
  <c r="X123" i="2"/>
  <c r="AD105" i="2"/>
  <c r="AD99" i="2"/>
  <c r="X108" i="2"/>
  <c r="K19" i="2"/>
  <c r="K42" i="2"/>
  <c r="K33" i="2"/>
  <c r="R84" i="2"/>
  <c r="AD87" i="2"/>
  <c r="AD86" i="2"/>
  <c r="R92" i="2"/>
  <c r="X95" i="2"/>
  <c r="AD84" i="2"/>
  <c r="AD80" i="2"/>
  <c r="X89" i="2"/>
  <c r="R80" i="2"/>
  <c r="X92" i="2"/>
  <c r="R86" i="2"/>
  <c r="AD88" i="2"/>
  <c r="AD85" i="2"/>
  <c r="X85" i="2"/>
  <c r="R79" i="2"/>
  <c r="X86" i="2"/>
  <c r="R87" i="2"/>
  <c r="R94" i="2"/>
  <c r="R89" i="2"/>
  <c r="AD89" i="2"/>
  <c r="X77" i="2"/>
  <c r="X82" i="2"/>
  <c r="R91" i="2"/>
  <c r="X90" i="2"/>
  <c r="AD77" i="2"/>
  <c r="J19" i="2"/>
  <c r="R83" i="2"/>
  <c r="I19" i="2"/>
  <c r="R90" i="2"/>
  <c r="AD82" i="2"/>
  <c r="AD94" i="2"/>
  <c r="X84" i="2"/>
  <c r="X80" i="2"/>
  <c r="AD90" i="2"/>
  <c r="AD78" i="2"/>
  <c r="R82" i="2"/>
  <c r="H19" i="2"/>
  <c r="H93" i="2" s="1" a="1"/>
  <c r="H93" i="2" s="1"/>
  <c r="X79" i="2"/>
  <c r="AD83" i="2"/>
  <c r="AD95" i="2"/>
  <c r="AD93" i="2"/>
  <c r="R93" i="2"/>
  <c r="R96" i="2"/>
  <c r="X87" i="2"/>
  <c r="X83" i="2"/>
  <c r="X88" i="2"/>
  <c r="AD81" i="2"/>
  <c r="AD96" i="2"/>
  <c r="X93" i="2"/>
  <c r="R81" i="2"/>
  <c r="AD92" i="2"/>
  <c r="AD91" i="2"/>
  <c r="X94" i="2"/>
  <c r="R95" i="2"/>
  <c r="X96" i="2"/>
  <c r="X91" i="2"/>
  <c r="X78" i="2"/>
  <c r="R78" i="2"/>
  <c r="X81" i="2"/>
  <c r="R85" i="2"/>
  <c r="R88" i="2"/>
  <c r="AD79" i="2"/>
  <c r="G139" i="2" l="1"/>
  <c r="G146" i="2"/>
  <c r="G142" i="2"/>
  <c r="G148" i="2"/>
  <c r="G141" i="2"/>
  <c r="G145" i="2"/>
  <c r="G137" i="2"/>
  <c r="J89" i="2" a="1"/>
  <c r="J89" i="2" s="1"/>
  <c r="I108" i="2" a="1"/>
  <c r="I108" i="2" s="1"/>
  <c r="I124" i="2" a="1"/>
  <c r="I124" i="2" s="1"/>
  <c r="H122" i="2" a="1"/>
  <c r="H122" i="2" s="1"/>
  <c r="H118" i="2" a="1"/>
  <c r="H118" i="2" s="1"/>
  <c r="K148" i="2" a="1"/>
  <c r="K148" i="2" s="1"/>
  <c r="H86" i="2" a="1"/>
  <c r="H86" i="2" s="1"/>
  <c r="I93" i="2" a="1"/>
  <c r="I93" i="2" s="1"/>
  <c r="J116" i="2" a="1"/>
  <c r="J116" i="2" s="1"/>
  <c r="K92" i="2" a="1"/>
  <c r="K92" i="2" s="1"/>
  <c r="K91" i="2" a="1"/>
  <c r="K91" i="2" s="1"/>
  <c r="J84" i="2" a="1"/>
  <c r="J84" i="2" s="1"/>
  <c r="H92" i="2" a="1"/>
  <c r="H92" i="2" s="1"/>
  <c r="H130" i="2" a="1"/>
  <c r="H130" i="2" s="1"/>
  <c r="I137" i="2" a="1"/>
  <c r="I137" i="2" s="1"/>
  <c r="I112" i="2" a="1"/>
  <c r="I112" i="2" s="1"/>
  <c r="I115" i="2" a="1"/>
  <c r="I115" i="2" s="1"/>
  <c r="I107" i="2" a="1"/>
  <c r="I107" i="2" s="1"/>
  <c r="I128" i="2" a="1"/>
  <c r="I128" i="2" s="1"/>
  <c r="J137" i="2" a="1"/>
  <c r="J137" i="2" s="1"/>
  <c r="J145" i="2" a="1"/>
  <c r="J145" i="2" s="1"/>
  <c r="J77" i="2" a="1"/>
  <c r="J77" i="2" s="1"/>
  <c r="K126" i="2" a="1"/>
  <c r="K126" i="2" s="1"/>
  <c r="H97" i="2" a="1"/>
  <c r="H97" i="2" s="1"/>
  <c r="I89" i="2" a="1"/>
  <c r="I89" i="2" s="1"/>
  <c r="I147" i="2" a="1"/>
  <c r="I147" i="2" s="1"/>
  <c r="J120" i="2" a="1"/>
  <c r="J120" i="2" s="1"/>
  <c r="K115" i="2" a="1"/>
  <c r="K115" i="2" s="1"/>
  <c r="I145" i="2" a="1"/>
  <c r="I145" i="2" s="1"/>
  <c r="I130" i="2" a="1"/>
  <c r="I130" i="2" s="1"/>
  <c r="H81" i="2" a="1"/>
  <c r="H81" i="2" s="1"/>
  <c r="H134" i="2" a="1"/>
  <c r="H134" i="2" s="1"/>
  <c r="J111" i="2" a="1"/>
  <c r="J111" i="2" s="1"/>
  <c r="J105" i="2" a="1"/>
  <c r="J105" i="2" s="1"/>
  <c r="I80" i="2" a="1"/>
  <c r="I80" i="2" s="1"/>
  <c r="K111" i="2" a="1"/>
  <c r="K111" i="2" s="1"/>
  <c r="I92" i="2" a="1"/>
  <c r="I92" i="2" s="1"/>
  <c r="H83" i="2" a="1"/>
  <c r="H83" i="2" s="1"/>
  <c r="I139" i="2" a="1"/>
  <c r="I139" i="2" s="1"/>
  <c r="H109" i="2" a="1"/>
  <c r="H109" i="2" s="1"/>
  <c r="I127" i="2" a="1"/>
  <c r="I127" i="2" s="1"/>
  <c r="L127" i="2" s="1"/>
  <c r="H82" i="2" a="1"/>
  <c r="H82" i="2" s="1"/>
  <c r="J112" i="2" a="1"/>
  <c r="J112" i="2" s="1"/>
  <c r="H146" i="2" a="1"/>
  <c r="H146" i="2" s="1"/>
  <c r="I82" i="2" a="1"/>
  <c r="I82" i="2" s="1"/>
  <c r="H113" i="2" a="1"/>
  <c r="H113" i="2" s="1"/>
  <c r="I109" i="2" a="1"/>
  <c r="I109" i="2" s="1"/>
  <c r="J82" i="2" a="1"/>
  <c r="J82" i="2" s="1"/>
  <c r="I100" i="2" a="1"/>
  <c r="I100" i="2" s="1"/>
  <c r="I148" i="2" a="1"/>
  <c r="I148" i="2" s="1"/>
  <c r="K86" i="2" a="1"/>
  <c r="K86" i="2" s="1"/>
  <c r="I116" i="2" a="1"/>
  <c r="I116" i="2" s="1"/>
  <c r="I98" i="2" a="1"/>
  <c r="I98" i="2" s="1"/>
  <c r="J136" i="2" a="1"/>
  <c r="J136" i="2" s="1"/>
  <c r="K108" i="2" a="1"/>
  <c r="K108" i="2" s="1"/>
  <c r="H95" i="2" a="1"/>
  <c r="H95" i="2" s="1"/>
  <c r="K140" i="2" a="1"/>
  <c r="K140" i="2" s="1"/>
  <c r="H137" i="2" a="1"/>
  <c r="H137" i="2" s="1"/>
  <c r="I140" i="2" a="1"/>
  <c r="I140" i="2" s="1"/>
  <c r="I78" i="2" a="1"/>
  <c r="I78" i="2" s="1"/>
  <c r="I136" i="2" a="1"/>
  <c r="I136" i="2" s="1"/>
  <c r="I119" i="2" a="1"/>
  <c r="I119" i="2" s="1"/>
  <c r="H96" i="2" a="1"/>
  <c r="H96" i="2" s="1"/>
  <c r="I134" i="2" a="1"/>
  <c r="I134" i="2" s="1"/>
  <c r="K89" i="2" a="1"/>
  <c r="K89" i="2" s="1"/>
  <c r="H101" i="2" a="1"/>
  <c r="H101" i="2" s="1"/>
  <c r="K102" i="2" a="1"/>
  <c r="K102" i="2" s="1"/>
  <c r="I106" i="2" a="1"/>
  <c r="I106" i="2" s="1"/>
  <c r="K135" i="2" a="1"/>
  <c r="K135" i="2" s="1"/>
  <c r="K78" i="2" a="1"/>
  <c r="K78" i="2" s="1"/>
  <c r="I91" i="2" a="1"/>
  <c r="I91" i="2" s="1"/>
  <c r="H120" i="2" a="1"/>
  <c r="H120" i="2" s="1"/>
  <c r="H139" i="2" a="1"/>
  <c r="H139" i="2" s="1"/>
  <c r="I83" i="2" a="1"/>
  <c r="I83" i="2" s="1"/>
  <c r="K121" i="2" a="1"/>
  <c r="K121" i="2" s="1"/>
  <c r="K128" i="2" a="1"/>
  <c r="K128" i="2" s="1"/>
  <c r="J97" i="2" a="1"/>
  <c r="J97" i="2" s="1"/>
  <c r="L97" i="2" s="1"/>
  <c r="K124" i="2" a="1"/>
  <c r="K124" i="2" s="1"/>
  <c r="K97" i="2" a="1"/>
  <c r="K97" i="2" s="1"/>
  <c r="J107" i="2" a="1"/>
  <c r="J107" i="2" s="1"/>
  <c r="I135" i="2" a="1"/>
  <c r="I135" i="2" s="1"/>
  <c r="H115" i="2" a="1"/>
  <c r="H115" i="2" s="1"/>
  <c r="J83" i="2" a="1"/>
  <c r="J83" i="2" s="1"/>
  <c r="I99" i="2" a="1"/>
  <c r="I99" i="2" s="1"/>
  <c r="I86" i="2" a="1"/>
  <c r="I86" i="2" s="1"/>
  <c r="H128" i="2" a="1"/>
  <c r="H128" i="2" s="1"/>
  <c r="H141" i="2" a="1"/>
  <c r="H141" i="2" s="1"/>
  <c r="I113" i="2" a="1"/>
  <c r="I113" i="2" s="1"/>
  <c r="J147" i="2" a="1"/>
  <c r="J147" i="2" s="1"/>
  <c r="H90" i="2" a="1"/>
  <c r="H90" i="2" s="1"/>
  <c r="I103" i="2" a="1"/>
  <c r="I103" i="2" s="1"/>
  <c r="K99" i="2" a="1"/>
  <c r="K99" i="2" s="1"/>
  <c r="K136" i="2" a="1"/>
  <c r="K136" i="2" s="1"/>
  <c r="J144" i="2" a="1"/>
  <c r="J144" i="2" s="1"/>
  <c r="H87" i="2" a="1"/>
  <c r="H87" i="2" s="1"/>
  <c r="K129" i="2" a="1"/>
  <c r="K129" i="2" s="1"/>
  <c r="K88" i="2" a="1"/>
  <c r="K88" i="2" s="1"/>
  <c r="I110" i="2" a="1"/>
  <c r="I110" i="2" s="1"/>
  <c r="J87" i="2" a="1"/>
  <c r="J87" i="2" s="1"/>
  <c r="K110" i="2" a="1"/>
  <c r="K110" i="2" s="1"/>
  <c r="K144" i="2" a="1"/>
  <c r="K144" i="2" s="1"/>
  <c r="I114" i="2" a="1"/>
  <c r="I114" i="2" s="1"/>
  <c r="I133" i="2" a="1"/>
  <c r="I133" i="2" s="1"/>
  <c r="J129" i="2" a="1"/>
  <c r="J129" i="2" s="1"/>
  <c r="I95" i="2" a="1"/>
  <c r="I95" i="2" s="1"/>
  <c r="I102" i="2" a="1"/>
  <c r="I102" i="2" s="1"/>
  <c r="I96" i="2" a="1"/>
  <c r="I96" i="2" s="1"/>
  <c r="J140" i="2" a="1"/>
  <c r="J140" i="2" s="1"/>
  <c r="H108" i="2" a="1"/>
  <c r="H108" i="2" s="1"/>
  <c r="H79" i="2" a="1"/>
  <c r="H79" i="2" s="1"/>
  <c r="H103" i="2" a="1"/>
  <c r="H103" i="2" s="1"/>
  <c r="H104" i="2" a="1"/>
  <c r="H104" i="2" s="1"/>
  <c r="K120" i="2" a="1"/>
  <c r="K120" i="2" s="1"/>
  <c r="J109" i="2" a="1"/>
  <c r="J109" i="2" s="1"/>
  <c r="J91" i="2" a="1"/>
  <c r="J91" i="2" s="1"/>
  <c r="J119" i="2" a="1"/>
  <c r="J119" i="2" s="1"/>
  <c r="K146" i="2" a="1"/>
  <c r="K146" i="2" s="1"/>
  <c r="K122" i="2" a="1"/>
  <c r="K122" i="2" s="1"/>
  <c r="H127" i="2" a="1"/>
  <c r="H127" i="2" s="1"/>
  <c r="J142" i="2" a="1"/>
  <c r="J142" i="2" s="1"/>
  <c r="K90" i="2" a="1"/>
  <c r="K90" i="2" s="1"/>
  <c r="J81" i="2" a="1"/>
  <c r="J81" i="2" s="1"/>
  <c r="J122" i="2" a="1"/>
  <c r="J122" i="2" s="1"/>
  <c r="J80" i="2" a="1"/>
  <c r="J80" i="2" s="1"/>
  <c r="K80" i="2" a="1"/>
  <c r="K80" i="2" s="1"/>
  <c r="H85" i="2" a="1"/>
  <c r="H85" i="2" s="1"/>
  <c r="K101" i="2" a="1"/>
  <c r="K101" i="2" s="1"/>
  <c r="H148" i="2" a="1"/>
  <c r="H148" i="2" s="1"/>
  <c r="J95" i="2" a="1"/>
  <c r="J95" i="2" s="1"/>
  <c r="I97" i="2" a="1"/>
  <c r="I97" i="2" s="1"/>
  <c r="I132" i="2" a="1"/>
  <c r="I132" i="2" s="1"/>
  <c r="I84" i="2" a="1"/>
  <c r="I84" i="2" s="1"/>
  <c r="J90" i="2" a="1"/>
  <c r="J90" i="2" s="1"/>
  <c r="K137" i="2" a="1"/>
  <c r="K137" i="2" s="1"/>
  <c r="K142" i="2" a="1"/>
  <c r="K142" i="2" s="1"/>
  <c r="J126" i="2" a="1"/>
  <c r="J126" i="2" s="1"/>
  <c r="I77" i="2" a="1"/>
  <c r="I77" i="2" s="1"/>
  <c r="H121" i="2" a="1"/>
  <c r="H121" i="2" s="1"/>
  <c r="H124" i="2" a="1"/>
  <c r="H124" i="2" s="1"/>
  <c r="J93" i="2" a="1"/>
  <c r="J93" i="2" s="1"/>
  <c r="K81" i="2" a="1"/>
  <c r="K81" i="2" s="1"/>
  <c r="H91" i="2" a="1"/>
  <c r="H91" i="2" s="1"/>
  <c r="J124" i="2" a="1"/>
  <c r="J124" i="2" s="1"/>
  <c r="K83" i="2" a="1"/>
  <c r="K83" i="2" s="1"/>
  <c r="J115" i="2" a="1"/>
  <c r="J115" i="2" s="1"/>
  <c r="I88" i="2" a="1"/>
  <c r="I88" i="2" s="1"/>
  <c r="K107" i="2" a="1"/>
  <c r="K107" i="2" s="1"/>
  <c r="J135" i="2" a="1"/>
  <c r="J135" i="2" s="1"/>
  <c r="J132" i="2" a="1"/>
  <c r="J132" i="2" s="1"/>
  <c r="I120" i="2" a="1"/>
  <c r="I120" i="2" s="1"/>
  <c r="H99" i="2" a="1"/>
  <c r="H99" i="2" s="1"/>
  <c r="K103" i="2" a="1"/>
  <c r="K103" i="2" s="1"/>
  <c r="H136" i="2" a="1"/>
  <c r="H136" i="2" s="1"/>
  <c r="K125" i="2" a="1"/>
  <c r="K125" i="2" s="1"/>
  <c r="K134" i="2" a="1"/>
  <c r="K134" i="2" s="1"/>
  <c r="H98" i="2" a="1"/>
  <c r="H98" i="2" s="1"/>
  <c r="K96" i="2" a="1"/>
  <c r="K96" i="2" s="1"/>
  <c r="H84" i="2" a="1"/>
  <c r="H84" i="2" s="1"/>
  <c r="I104" i="2" a="1"/>
  <c r="I104" i="2" s="1"/>
  <c r="H126" i="2" a="1"/>
  <c r="H126" i="2" s="1"/>
  <c r="I111" i="2" a="1"/>
  <c r="I111" i="2" s="1"/>
  <c r="I146" i="2" a="1"/>
  <c r="I146" i="2" s="1"/>
  <c r="H133" i="2" a="1"/>
  <c r="H133" i="2" s="1"/>
  <c r="J127" i="2" a="1"/>
  <c r="J127" i="2" s="1"/>
  <c r="I121" i="2" a="1"/>
  <c r="I121" i="2" s="1"/>
  <c r="J117" i="2" a="1"/>
  <c r="J117" i="2" s="1"/>
  <c r="H89" i="2" a="1"/>
  <c r="H89" i="2" s="1"/>
  <c r="J104" i="2" a="1"/>
  <c r="J104" i="2" s="1"/>
  <c r="J92" i="2" a="1"/>
  <c r="J92" i="2" s="1"/>
  <c r="I143" i="2" a="1"/>
  <c r="I143" i="2" s="1"/>
  <c r="L143" i="2" s="1"/>
  <c r="K109" i="2" a="1"/>
  <c r="K109" i="2" s="1"/>
  <c r="J101" i="2" a="1"/>
  <c r="J101" i="2" s="1"/>
  <c r="H131" i="2" a="1"/>
  <c r="H131" i="2" s="1"/>
  <c r="H123" i="2" a="1"/>
  <c r="H123" i="2" s="1"/>
  <c r="I138" i="2" a="1"/>
  <c r="I138" i="2" s="1"/>
  <c r="H106" i="2" a="1"/>
  <c r="H106" i="2" s="1"/>
  <c r="H117" i="2" a="1"/>
  <c r="H117" i="2" s="1"/>
  <c r="H78" i="2" a="1"/>
  <c r="H78" i="2" s="1"/>
  <c r="K130" i="2" a="1"/>
  <c r="K130" i="2" s="1"/>
  <c r="J100" i="2" a="1"/>
  <c r="J100" i="2" s="1"/>
  <c r="J121" i="2" a="1"/>
  <c r="J121" i="2" s="1"/>
  <c r="K133" i="2" a="1"/>
  <c r="K133" i="2" s="1"/>
  <c r="J114" i="2" a="1"/>
  <c r="J114" i="2" s="1"/>
  <c r="H80" i="2" a="1"/>
  <c r="H80" i="2" s="1"/>
  <c r="K82" i="2" a="1"/>
  <c r="K82" i="2" s="1"/>
  <c r="J130" i="2" a="1"/>
  <c r="J130" i="2" s="1"/>
  <c r="I118" i="2" a="1"/>
  <c r="I118" i="2" s="1"/>
  <c r="K95" i="2" a="1"/>
  <c r="K95" i="2" s="1"/>
  <c r="H116" i="2" a="1"/>
  <c r="H116" i="2" s="1"/>
  <c r="L116" i="2" s="1"/>
  <c r="H125" i="2" a="1"/>
  <c r="H125" i="2" s="1"/>
  <c r="J143" i="2" a="1"/>
  <c r="J143" i="2" s="1"/>
  <c r="I126" i="2" a="1"/>
  <c r="I126" i="2" s="1"/>
  <c r="H132" i="2" a="1"/>
  <c r="H132" i="2" s="1"/>
  <c r="J148" i="2" a="1"/>
  <c r="J148" i="2" s="1"/>
  <c r="I122" i="2" a="1"/>
  <c r="I122" i="2" s="1"/>
  <c r="I79" i="2" a="1"/>
  <c r="I79" i="2" s="1"/>
  <c r="J146" i="2" a="1"/>
  <c r="J146" i="2" s="1"/>
  <c r="K104" i="2" a="1"/>
  <c r="K104" i="2" s="1"/>
  <c r="H94" i="2" a="1"/>
  <c r="H94" i="2" s="1"/>
  <c r="K127" i="2" a="1"/>
  <c r="K127" i="2" s="1"/>
  <c r="K100" i="2" a="1"/>
  <c r="K100" i="2" s="1"/>
  <c r="I85" i="2" a="1"/>
  <c r="I85" i="2" s="1"/>
  <c r="H112" i="2" a="1"/>
  <c r="H112" i="2" s="1"/>
  <c r="H138" i="2" a="1"/>
  <c r="H138" i="2" s="1"/>
  <c r="K131" i="2" a="1"/>
  <c r="K131" i="2" s="1"/>
  <c r="H105" i="2" a="1"/>
  <c r="H105" i="2" s="1"/>
  <c r="I101" i="2" a="1"/>
  <c r="I101" i="2" s="1"/>
  <c r="J86" i="2" a="1"/>
  <c r="J86" i="2" s="1"/>
  <c r="K77" i="2" a="1"/>
  <c r="K77" i="2" s="1"/>
  <c r="I90" i="2" a="1"/>
  <c r="I90" i="2" s="1"/>
  <c r="J118" i="2" a="1"/>
  <c r="J118" i="2" s="1"/>
  <c r="J139" i="2" a="1"/>
  <c r="J139" i="2" s="1"/>
  <c r="I142" i="2" a="1"/>
  <c r="I142" i="2" s="1"/>
  <c r="K139" i="2" a="1"/>
  <c r="K139" i="2" s="1"/>
  <c r="J131" i="2" a="1"/>
  <c r="J131" i="2" s="1"/>
  <c r="J98" i="2" a="1"/>
  <c r="J98" i="2" s="1"/>
  <c r="H114" i="2" a="1"/>
  <c r="H114" i="2" s="1"/>
  <c r="J78" i="2" a="1"/>
  <c r="J78" i="2" s="1"/>
  <c r="J123" i="2" a="1"/>
  <c r="J123" i="2" s="1"/>
  <c r="H102" i="2" a="1"/>
  <c r="H102" i="2" s="1"/>
  <c r="K98" i="2" a="1"/>
  <c r="K98" i="2" s="1"/>
  <c r="K145" i="2" a="1"/>
  <c r="K145" i="2" s="1"/>
  <c r="I123" i="2" a="1"/>
  <c r="I123" i="2" s="1"/>
  <c r="J133" i="2" a="1"/>
  <c r="J133" i="2" s="1"/>
  <c r="K138" i="2" a="1"/>
  <c r="K138" i="2" s="1"/>
  <c r="K87" i="2" a="1"/>
  <c r="K87" i="2" s="1"/>
  <c r="J99" i="2" a="1"/>
  <c r="J99" i="2" s="1"/>
  <c r="K114" i="2" a="1"/>
  <c r="K114" i="2" s="1"/>
  <c r="H111" i="2" a="1"/>
  <c r="H111" i="2" s="1"/>
  <c r="H119" i="2" a="1"/>
  <c r="H119" i="2" s="1"/>
  <c r="H88" i="2" a="1"/>
  <c r="H88" i="2" s="1"/>
  <c r="J110" i="2" a="1"/>
  <c r="J110" i="2" s="1"/>
  <c r="J125" i="2" a="1"/>
  <c r="J125" i="2" s="1"/>
  <c r="J106" i="2" a="1"/>
  <c r="J106" i="2" s="1"/>
  <c r="H147" i="2" a="1"/>
  <c r="H147" i="2" s="1"/>
  <c r="H77" i="2" a="1"/>
  <c r="H77" i="2" s="1"/>
  <c r="J88" i="2" a="1"/>
  <c r="J88" i="2" s="1"/>
  <c r="I105" i="2" a="1"/>
  <c r="I105" i="2" s="1"/>
  <c r="L105" i="2" s="1"/>
  <c r="I125" i="2" a="1"/>
  <c r="I125" i="2" s="1"/>
  <c r="H144" i="2" a="1"/>
  <c r="H144" i="2" s="1"/>
  <c r="J96" i="2" a="1"/>
  <c r="J96" i="2" s="1"/>
  <c r="K143" i="2" a="1"/>
  <c r="K143" i="2" s="1"/>
  <c r="K118" i="2" a="1"/>
  <c r="K118" i="2" s="1"/>
  <c r="H142" i="2" a="1"/>
  <c r="H142" i="2" s="1"/>
  <c r="K112" i="2" a="1"/>
  <c r="K112" i="2" s="1"/>
  <c r="I94" i="2" a="1"/>
  <c r="I94" i="2" s="1"/>
  <c r="J134" i="2" a="1"/>
  <c r="J134" i="2" s="1"/>
  <c r="K116" i="2" a="1"/>
  <c r="K116" i="2" s="1"/>
  <c r="K93" i="2" a="1"/>
  <c r="K93" i="2" s="1"/>
  <c r="K147" i="2" a="1"/>
  <c r="K147" i="2" s="1"/>
  <c r="I129" i="2" a="1"/>
  <c r="I129" i="2" s="1"/>
  <c r="K117" i="2" a="1"/>
  <c r="K117" i="2" s="1"/>
  <c r="J94" i="2" a="1"/>
  <c r="J94" i="2" s="1"/>
  <c r="K106" i="2" a="1"/>
  <c r="K106" i="2" s="1"/>
  <c r="K123" i="2" a="1"/>
  <c r="K123" i="2" s="1"/>
  <c r="J103" i="2" a="1"/>
  <c r="J103" i="2" s="1"/>
  <c r="K84" i="2" a="1"/>
  <c r="K84" i="2" s="1"/>
  <c r="I87" i="2" a="1"/>
  <c r="I87" i="2" s="1"/>
  <c r="K85" i="2" a="1"/>
  <c r="K85" i="2" s="1"/>
  <c r="I131" i="2" a="1"/>
  <c r="I131" i="2" s="1"/>
  <c r="J108" i="2" a="1"/>
  <c r="J108" i="2" s="1"/>
  <c r="I141" i="2" a="1"/>
  <c r="I141" i="2" s="1"/>
  <c r="J138" i="2" a="1"/>
  <c r="J138" i="2" s="1"/>
  <c r="I117" i="2" a="1"/>
  <c r="I117" i="2" s="1"/>
  <c r="H129" i="2" a="1"/>
  <c r="H129" i="2" s="1"/>
  <c r="J113" i="2" a="1"/>
  <c r="J113" i="2" s="1"/>
  <c r="J85" i="2" a="1"/>
  <c r="J85" i="2" s="1"/>
  <c r="J128" i="2" a="1"/>
  <c r="J128" i="2" s="1"/>
  <c r="K119" i="2" a="1"/>
  <c r="K119" i="2" s="1"/>
  <c r="H145" i="2" a="1"/>
  <c r="H145" i="2" s="1"/>
  <c r="K132" i="2" a="1"/>
  <c r="K132" i="2" s="1"/>
  <c r="K113" i="2" a="1"/>
  <c r="K113" i="2" s="1"/>
  <c r="H107" i="2" a="1"/>
  <c r="H107" i="2" s="1"/>
  <c r="J141" i="2" a="1"/>
  <c r="J141" i="2" s="1"/>
  <c r="K79" i="2" a="1"/>
  <c r="K79" i="2" s="1"/>
  <c r="H100" i="2" a="1"/>
  <c r="H100" i="2" s="1"/>
  <c r="L100" i="2" s="1"/>
  <c r="I81" i="2" a="1"/>
  <c r="I81" i="2" s="1"/>
  <c r="K94" i="2" a="1"/>
  <c r="K94" i="2" s="1"/>
  <c r="H110" i="2" a="1"/>
  <c r="H110" i="2" s="1"/>
  <c r="I144" i="2" a="1"/>
  <c r="I144" i="2" s="1"/>
  <c r="J102" i="2" a="1"/>
  <c r="J102" i="2" s="1"/>
  <c r="J79" i="2" a="1"/>
  <c r="J79" i="2" s="1"/>
  <c r="K105" i="2" a="1"/>
  <c r="K105" i="2" s="1"/>
  <c r="K141" i="2" a="1"/>
  <c r="K141" i="2" s="1"/>
  <c r="L135" i="2"/>
  <c r="G135" i="2"/>
  <c r="L136" i="2"/>
  <c r="L140" i="2"/>
  <c r="L137" i="2"/>
  <c r="L139" i="2"/>
  <c r="G111" i="2"/>
  <c r="G124" i="2"/>
  <c r="G129" i="2"/>
  <c r="G130" i="2"/>
  <c r="G109" i="2"/>
  <c r="G97" i="2"/>
  <c r="G133" i="2"/>
  <c r="G113" i="2"/>
  <c r="G118" i="2"/>
  <c r="G105" i="2"/>
  <c r="G112" i="2"/>
  <c r="G103" i="2"/>
  <c r="G128" i="2"/>
  <c r="G131" i="2"/>
  <c r="G101" i="2"/>
  <c r="G121" i="2"/>
  <c r="G127" i="2"/>
  <c r="G119" i="2"/>
  <c r="G106" i="2"/>
  <c r="G98" i="2"/>
  <c r="L133" i="2"/>
  <c r="G132" i="2"/>
  <c r="G115" i="2"/>
  <c r="G102" i="2"/>
  <c r="G125" i="2"/>
  <c r="G120" i="2"/>
  <c r="G99" i="2"/>
  <c r="G100" i="2"/>
  <c r="L124" i="2"/>
  <c r="G134" i="2"/>
  <c r="G114" i="2"/>
  <c r="G117" i="2"/>
  <c r="G107" i="2"/>
  <c r="G122" i="2"/>
  <c r="L99" i="2"/>
  <c r="G104" i="2"/>
  <c r="G110" i="2"/>
  <c r="G108" i="2"/>
  <c r="G126" i="2"/>
  <c r="G123" i="2"/>
  <c r="G90" i="2"/>
  <c r="G82" i="2"/>
  <c r="G84" i="2"/>
  <c r="G85" i="2"/>
  <c r="G88" i="2"/>
  <c r="G95" i="2"/>
  <c r="G86" i="2"/>
  <c r="G93" i="2"/>
  <c r="G83" i="2"/>
  <c r="G94" i="2"/>
  <c r="G77" i="2"/>
  <c r="G78" i="2"/>
  <c r="G80" i="2"/>
  <c r="G87" i="2"/>
  <c r="G92" i="2"/>
  <c r="G79" i="2"/>
  <c r="G81" i="2"/>
  <c r="G96" i="2"/>
  <c r="G91" i="2"/>
  <c r="G89" i="2"/>
  <c r="L147" i="2" l="1"/>
  <c r="L138" i="2"/>
  <c r="L145" i="2"/>
  <c r="L146" i="2"/>
  <c r="L121" i="2"/>
  <c r="L107" i="2"/>
  <c r="L144" i="2"/>
  <c r="L98" i="2"/>
  <c r="L106" i="2"/>
  <c r="L126" i="2"/>
  <c r="L148" i="2"/>
  <c r="L142" i="2"/>
  <c r="L129" i="2"/>
  <c r="L141" i="2"/>
  <c r="L111" i="2"/>
  <c r="L112" i="2"/>
  <c r="L117" i="2"/>
  <c r="L134" i="2"/>
  <c r="L108" i="2"/>
  <c r="L132" i="2"/>
  <c r="L101" i="2"/>
  <c r="L102" i="2"/>
  <c r="L103" i="2"/>
  <c r="L120" i="2"/>
  <c r="L104" i="2"/>
  <c r="L118" i="2"/>
  <c r="L115" i="2"/>
  <c r="L130" i="2"/>
  <c r="L131" i="2"/>
  <c r="L113" i="2"/>
  <c r="L125" i="2"/>
  <c r="L123" i="2"/>
  <c r="L128" i="2"/>
  <c r="L119" i="2"/>
  <c r="L109" i="2"/>
  <c r="L114" i="2"/>
  <c r="L122" i="2"/>
  <c r="L110" i="2"/>
  <c r="L79" i="2"/>
  <c r="L85" i="2"/>
  <c r="L78" i="2"/>
  <c r="L88" i="2"/>
  <c r="L84" i="2"/>
  <c r="L77" i="2"/>
  <c r="L91" i="2"/>
  <c r="L87" i="2"/>
  <c r="L92" i="2"/>
  <c r="L89" i="2"/>
  <c r="L82" i="2"/>
  <c r="L83" i="2"/>
  <c r="L86" i="2"/>
  <c r="L81" i="2"/>
  <c r="L95" i="2"/>
  <c r="L80" i="2"/>
  <c r="L90" i="2"/>
  <c r="L96" i="2"/>
  <c r="L94" i="2"/>
  <c r="L9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<sst xmlns="http://schemas.openxmlformats.org/spreadsheetml/2006/main" count="317" uniqueCount="105">
  <si>
    <t>*All figures in TND</t>
  </si>
  <si>
    <t>Net income</t>
  </si>
  <si>
    <t>Total revenues</t>
  </si>
  <si>
    <t>Liabilities</t>
  </si>
  <si>
    <t>Equity</t>
  </si>
  <si>
    <t>Name</t>
  </si>
  <si>
    <t>shares</t>
  </si>
  <si>
    <t>Societe Frigorifique Et Brasserie</t>
  </si>
  <si>
    <t>Banque Attijari De Tunisie</t>
  </si>
  <si>
    <t>Poulina Group Holding</t>
  </si>
  <si>
    <t>Societe Delice Holding</t>
  </si>
  <si>
    <t>One Tech Ho</t>
  </si>
  <si>
    <t>Carthage Cement</t>
  </si>
  <si>
    <t>Societe Tunisienne De Verreries</t>
  </si>
  <si>
    <t>Societe Tunisie Profiles Aluminium</t>
  </si>
  <si>
    <t>SPDIT-SICAF</t>
  </si>
  <si>
    <t>Automobile Reseau Tunisien Et Service SA</t>
  </si>
  <si>
    <t>City Cars</t>
  </si>
  <si>
    <t>Ste Assurances Magrebia SA</t>
  </si>
  <si>
    <t xml:space="preserve">Tunisie Leasing </t>
  </si>
  <si>
    <t>Compagnie Internationale De Leasing</t>
  </si>
  <si>
    <t>Tunis Re</t>
  </si>
  <si>
    <t>Assurances Maghrebia Vie SA</t>
  </si>
  <si>
    <t>SAH</t>
  </si>
  <si>
    <t>Arab Tunisian Lease</t>
  </si>
  <si>
    <t>Societe Tunisienne des Marches de Gros SA</t>
  </si>
  <si>
    <t>Hannibal Lease</t>
  </si>
  <si>
    <t>EPS</t>
  </si>
  <si>
    <t>EPS Growth</t>
  </si>
  <si>
    <t>Net profit margin</t>
  </si>
  <si>
    <t>ROE</t>
  </si>
  <si>
    <t>D/E ratio (for banks LCR)</t>
  </si>
  <si>
    <t>P/E</t>
  </si>
  <si>
    <t>CURRENT</t>
  </si>
  <si>
    <t>Ste Assurances Maghrebia SA</t>
  </si>
  <si>
    <t>Tunisie Leasing</t>
  </si>
  <si>
    <t xml:space="preserve">SCORING SYSYTEM </t>
  </si>
  <si>
    <t>average EPS</t>
  </si>
  <si>
    <t>average EPS g</t>
  </si>
  <si>
    <t>average NPM</t>
  </si>
  <si>
    <t>average ROE</t>
  </si>
  <si>
    <t>average DE</t>
  </si>
  <si>
    <t>société de fabrication des boissons de tunisie</t>
  </si>
  <si>
    <t>One Tech Holding</t>
  </si>
  <si>
    <t>SOTUVER</t>
  </si>
  <si>
    <t>ATB</t>
  </si>
  <si>
    <t>BIAT</t>
  </si>
  <si>
    <t>BNA</t>
  </si>
  <si>
    <t>BT</t>
  </si>
  <si>
    <t>AMEN BANK</t>
  </si>
  <si>
    <t>EURO-CYCLES</t>
  </si>
  <si>
    <t>ICF</t>
  </si>
  <si>
    <t>STB</t>
  </si>
  <si>
    <t>UIB</t>
  </si>
  <si>
    <t>ENNAKL AUTOMOBILES</t>
  </si>
  <si>
    <t>ASTREE</t>
  </si>
  <si>
    <t>BH LEASING</t>
  </si>
  <si>
    <t>CIMENTS DE BIZERTE</t>
  </si>
  <si>
    <t>ESSOUKNA</t>
  </si>
  <si>
    <t>LAND'OR</t>
  </si>
  <si>
    <t>MONOPRIX</t>
  </si>
  <si>
    <t>NEW BODY LINE</t>
  </si>
  <si>
    <t>SIMPAR</t>
  </si>
  <si>
    <t>SOTIPAPIER</t>
  </si>
  <si>
    <t>STAR</t>
  </si>
  <si>
    <t>TELNET HOLDING</t>
  </si>
  <si>
    <t>TUNINVEST SICAR</t>
  </si>
  <si>
    <t>Tunis RE</t>
  </si>
  <si>
    <t>UNIMED</t>
  </si>
  <si>
    <t>WIFACK INTERNATIONAL BANK</t>
  </si>
  <si>
    <t>AETECH</t>
  </si>
  <si>
    <t>AIR LIQUIDE TUNISIE</t>
  </si>
  <si>
    <t>ALKIMIA</t>
  </si>
  <si>
    <t>ASSAD</t>
  </si>
  <si>
    <t>BEST LEASE</t>
  </si>
  <si>
    <t>BNA ASSURANCES</t>
  </si>
  <si>
    <t>BTE</t>
  </si>
  <si>
    <t>CELLCOM</t>
  </si>
  <si>
    <t>MAGASIN GENERAL</t>
  </si>
  <si>
    <t>MPBS</t>
  </si>
  <si>
    <t>SAM</t>
  </si>
  <si>
    <t>SANIMED</t>
  </si>
  <si>
    <t>SIAME</t>
  </si>
  <si>
    <t>SITS</t>
  </si>
  <si>
    <t>SMART TUNISIE</t>
  </si>
  <si>
    <t>SOMOCER</t>
  </si>
  <si>
    <t>SOTEMAIL</t>
  </si>
  <si>
    <t>SOTETEL</t>
  </si>
  <si>
    <t>SOTRAPIL</t>
  </si>
  <si>
    <t>STA</t>
  </si>
  <si>
    <t>STIP</t>
  </si>
  <si>
    <t>TAWASOL GH</t>
  </si>
  <si>
    <t>TUNISAIR</t>
  </si>
  <si>
    <t>BH</t>
  </si>
  <si>
    <t>BH ASSURANCES</t>
  </si>
  <si>
    <t>PLTU</t>
  </si>
  <si>
    <t>TJL</t>
  </si>
  <si>
    <t>UBCI</t>
  </si>
  <si>
    <t>Average EPS growth</t>
  </si>
  <si>
    <t>Average NPM</t>
  </si>
  <si>
    <t>Average ROE</t>
  </si>
  <si>
    <t xml:space="preserve">Average D/E </t>
  </si>
  <si>
    <t>Average P/E</t>
  </si>
  <si>
    <t>Score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</si>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</sst>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0"/>
    <numFmt numFmtId="166" formatCode="0.000"/>
    <numFmt numFmtId="167" formatCode="#,##0.0"/>
  </numFmts>
  <fonts count="27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Ui-sans-serif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3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994C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ED7D3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4A86E8"/>
        <bgColor rgb="FF4A86E8"/>
      </patternFill>
    </fill>
    <fill>
      <patternFill patternType="solid">
        <fgColor rgb="FF073763"/>
        <bgColor rgb="FF073763"/>
      </patternFill>
    </fill>
    <fill>
      <patternFill patternType="solid">
        <fgColor rgb="FF9BBB59"/>
        <bgColor rgb="FF9BBB5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7" fillId="2" borderId="0" xfId="0" applyFont="1" applyFill="1"/>
    <xf numFmtId="0" fontId="9" fillId="2" borderId="0" xfId="0" applyFont="1" applyFill="1"/>
    <xf numFmtId="0" fontId="8" fillId="3" borderId="1" xfId="0" applyFont="1" applyFill="1" applyBorder="1"/>
    <xf numFmtId="0" fontId="10" fillId="3" borderId="0" xfId="0" applyFont="1" applyFill="1" applyAlignment="1">
      <alignment horizontal="center"/>
    </xf>
    <xf numFmtId="0" fontId="10" fillId="0" borderId="0" xfId="0" applyFont="1"/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4" fontId="14" fillId="2" borderId="0" xfId="0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10" fontId="14" fillId="2" borderId="0" xfId="0" applyNumberFormat="1" applyFont="1" applyFill="1" applyAlignment="1">
      <alignment horizontal="center"/>
    </xf>
    <xf numFmtId="10" fontId="14" fillId="0" borderId="0" xfId="0" applyNumberFormat="1" applyFont="1" applyAlignment="1">
      <alignment horizontal="center"/>
    </xf>
    <xf numFmtId="10" fontId="15" fillId="2" borderId="0" xfId="0" applyNumberFormat="1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10" fontId="16" fillId="2" borderId="0" xfId="0" applyNumberFormat="1" applyFont="1" applyFill="1" applyAlignment="1">
      <alignment horizontal="center"/>
    </xf>
    <xf numFmtId="10" fontId="16" fillId="0" borderId="0" xfId="0" applyNumberFormat="1" applyFont="1" applyAlignment="1">
      <alignment horizontal="center"/>
    </xf>
    <xf numFmtId="0" fontId="13" fillId="2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165" fontId="14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18" fillId="8" borderId="0" xfId="0" applyFont="1" applyFill="1" applyAlignment="1">
      <alignment horizontal="center"/>
    </xf>
    <xf numFmtId="4" fontId="18" fillId="8" borderId="0" xfId="0" applyNumberFormat="1" applyFont="1" applyFill="1" applyAlignment="1">
      <alignment horizontal="center"/>
    </xf>
    <xf numFmtId="4" fontId="9" fillId="6" borderId="0" xfId="0" applyNumberFormat="1" applyFont="1" applyFill="1" applyAlignment="1">
      <alignment horizontal="center"/>
    </xf>
    <xf numFmtId="167" fontId="9" fillId="0" borderId="0" xfId="0" applyNumberFormat="1" applyFont="1" applyAlignment="1">
      <alignment horizontal="center"/>
    </xf>
    <xf numFmtId="0" fontId="0" fillId="0" borderId="1" xfId="0" applyBorder="1"/>
    <xf numFmtId="0" fontId="10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13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5" fillId="9" borderId="1" xfId="0" applyFont="1" applyFill="1" applyBorder="1" applyAlignment="1">
      <alignment horizontal="center"/>
    </xf>
    <xf numFmtId="0" fontId="21" fillId="0" borderId="2" xfId="0" applyFont="1" applyBorder="1"/>
    <xf numFmtId="0" fontId="22" fillId="5" borderId="5" xfId="0" applyFont="1" applyFill="1" applyBorder="1"/>
    <xf numFmtId="0" fontId="22" fillId="5" borderId="6" xfId="0" applyFont="1" applyFill="1" applyBorder="1"/>
    <xf numFmtId="0" fontId="22" fillId="5" borderId="7" xfId="0" applyFont="1" applyFill="1" applyBorder="1"/>
    <xf numFmtId="0" fontId="21" fillId="10" borderId="5" xfId="0" applyFont="1" applyFill="1" applyBorder="1"/>
    <xf numFmtId="2" fontId="21" fillId="10" borderId="6" xfId="0" applyNumberFormat="1" applyFont="1" applyFill="1" applyBorder="1"/>
    <xf numFmtId="2" fontId="21" fillId="10" borderId="7" xfId="0" applyNumberFormat="1" applyFont="1" applyFill="1" applyBorder="1"/>
    <xf numFmtId="0" fontId="21" fillId="0" borderId="5" xfId="0" applyFont="1" applyBorder="1"/>
    <xf numFmtId="2" fontId="21" fillId="0" borderId="6" xfId="0" applyNumberFormat="1" applyFont="1" applyBorder="1"/>
    <xf numFmtId="2" fontId="21" fillId="0" borderId="7" xfId="0" applyNumberFormat="1" applyFont="1" applyBorder="1"/>
    <xf numFmtId="2" fontId="21" fillId="0" borderId="3" xfId="0" applyNumberFormat="1" applyFont="1" applyBorder="1"/>
    <xf numFmtId="2" fontId="21" fillId="0" borderId="4" xfId="0" applyNumberFormat="1" applyFont="1" applyBorder="1"/>
    <xf numFmtId="0" fontId="9" fillId="11" borderId="1" xfId="0" applyFont="1" applyFill="1" applyBorder="1"/>
    <xf numFmtId="0" fontId="0" fillId="11" borderId="1" xfId="0" applyFill="1" applyBorder="1"/>
    <xf numFmtId="0" fontId="9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17" fillId="8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3" fontId="23" fillId="11" borderId="8" xfId="0" applyNumberFormat="1" applyFont="1" applyFill="1" applyBorder="1" applyAlignment="1">
      <alignment horizontal="center" vertical="center"/>
    </xf>
    <xf numFmtId="3" fontId="24" fillId="11" borderId="8" xfId="0" applyNumberFormat="1" applyFont="1" applyFill="1" applyBorder="1" applyAlignment="1">
      <alignment horizontal="center" vertical="center"/>
    </xf>
    <xf numFmtId="3" fontId="25" fillId="11" borderId="8" xfId="0" applyNumberFormat="1" applyFont="1" applyFill="1" applyBorder="1" applyAlignment="1">
      <alignment horizontal="center" vertical="center"/>
    </xf>
    <xf numFmtId="3" fontId="26" fillId="11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7D31"/>
      <color rgb="FF7030A0"/>
      <color rgb="FF4F81BD"/>
      <color rgb="FF0099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8"/>
  <sheetViews>
    <sheetView showGridLines="0" workbookViewId="0">
      <selection activeCell="D9" sqref="D9"/>
    </sheetView>
  </sheetViews>
  <sheetFormatPr defaultColWidth="14.453125" defaultRowHeight="15" customHeight="1"/>
  <cols>
    <col min="1" max="1" width="37.90625" customWidth="1"/>
    <col min="2" max="2" width="17.453125" customWidth="1"/>
    <col min="3" max="3" width="15.08984375" style="55" customWidth="1"/>
    <col min="4" max="4" width="14.6328125" style="55" customWidth="1"/>
    <col min="5" max="5" width="16.36328125" style="55" customWidth="1"/>
    <col min="6" max="7" width="17.54296875" style="55" customWidth="1"/>
    <col min="8" max="8" width="15.6328125" style="55" customWidth="1"/>
    <col min="9" max="9" width="17" style="55" customWidth="1"/>
    <col min="10" max="10" width="17.08984375" style="55" customWidth="1"/>
    <col min="11" max="11" width="16.90625" style="55" customWidth="1"/>
    <col min="12" max="12" width="15.6328125" style="55" bestFit="1" customWidth="1"/>
    <col min="13" max="13" width="16.453125" style="55" customWidth="1"/>
    <col min="14" max="14" width="15.6328125" style="55" bestFit="1" customWidth="1"/>
    <col min="15" max="15" width="14.36328125" style="55" customWidth="1"/>
    <col min="16" max="16" width="15.453125" style="55" bestFit="1" customWidth="1"/>
    <col min="17" max="17" width="13.6328125" style="55" customWidth="1"/>
    <col min="18" max="18" width="14.453125" style="55" bestFit="1" customWidth="1"/>
    <col min="19" max="19" width="14.36328125" style="55" customWidth="1"/>
    <col min="20" max="20" width="15.08984375" style="55" customWidth="1"/>
    <col min="21" max="21" width="14.08984375" style="55" customWidth="1"/>
    <col min="22" max="22" width="14.6328125" style="55" bestFit="1" customWidth="1"/>
    <col min="23" max="23" width="8.08984375" style="31" customWidth="1"/>
    <col min="24" max="24" width="8.6328125" style="31" customWidth="1"/>
    <col min="25" max="25" width="0.453125" style="31" customWidth="1"/>
    <col min="26" max="16384" width="14.453125" style="31"/>
  </cols>
  <sheetData>
    <row r="1" spans="1:22" ht="14.25" customHeight="1">
      <c r="A1" s="1" t="s">
        <v>0</v>
      </c>
      <c r="B1" s="2"/>
      <c r="C1" s="56" t="s">
        <v>1</v>
      </c>
      <c r="D1" s="56"/>
      <c r="E1" s="56"/>
      <c r="F1" s="56"/>
      <c r="G1" s="56"/>
      <c r="H1" s="56" t="s">
        <v>2</v>
      </c>
      <c r="I1" s="56"/>
      <c r="J1" s="56"/>
      <c r="K1" s="56"/>
      <c r="L1" s="56"/>
      <c r="M1" s="56" t="s">
        <v>3</v>
      </c>
      <c r="N1" s="56"/>
      <c r="O1" s="56"/>
      <c r="P1" s="56"/>
      <c r="Q1" s="56"/>
      <c r="R1" s="56" t="s">
        <v>4</v>
      </c>
      <c r="S1" s="56"/>
      <c r="T1" s="56"/>
      <c r="U1" s="56"/>
      <c r="V1" s="56"/>
    </row>
    <row r="2" spans="1:22" ht="14.25" customHeight="1">
      <c r="A2" s="3" t="s">
        <v>5</v>
      </c>
      <c r="B2" s="4" t="s">
        <v>6</v>
      </c>
      <c r="C2" s="32">
        <v>2020</v>
      </c>
      <c r="D2" s="32">
        <v>2021</v>
      </c>
      <c r="E2" s="32">
        <v>2022</v>
      </c>
      <c r="F2" s="32">
        <v>2023</v>
      </c>
      <c r="G2" s="32">
        <v>2024</v>
      </c>
      <c r="H2" s="32">
        <v>2020</v>
      </c>
      <c r="I2" s="32">
        <v>2021</v>
      </c>
      <c r="J2" s="32">
        <v>2022</v>
      </c>
      <c r="K2" s="32">
        <v>2023</v>
      </c>
      <c r="L2" s="32">
        <v>2024</v>
      </c>
      <c r="M2" s="32">
        <v>2020</v>
      </c>
      <c r="N2" s="32">
        <v>2021</v>
      </c>
      <c r="O2" s="32">
        <v>2022</v>
      </c>
      <c r="P2" s="32">
        <v>2023</v>
      </c>
      <c r="Q2" s="32">
        <v>2024</v>
      </c>
      <c r="R2" s="32">
        <v>2020</v>
      </c>
      <c r="S2" s="32">
        <v>2021</v>
      </c>
      <c r="T2" s="32">
        <v>2022</v>
      </c>
      <c r="U2" s="32">
        <v>2023</v>
      </c>
      <c r="V2" s="32">
        <v>2024</v>
      </c>
    </row>
    <row r="3" spans="1:22" ht="14.25" customHeight="1">
      <c r="A3" s="5" t="s">
        <v>42</v>
      </c>
      <c r="B3" s="39">
        <v>268125000</v>
      </c>
      <c r="C3" s="64">
        <v>210586454</v>
      </c>
      <c r="D3" s="64">
        <v>251025666</v>
      </c>
      <c r="E3" s="64">
        <v>257026776</v>
      </c>
      <c r="F3" s="64">
        <v>281681042</v>
      </c>
      <c r="G3" s="64">
        <v>282951677</v>
      </c>
      <c r="H3" s="65">
        <v>1202858757</v>
      </c>
      <c r="I3" s="65">
        <v>1197117395</v>
      </c>
      <c r="J3" s="65">
        <v>1329913407</v>
      </c>
      <c r="K3" s="65">
        <v>1369328653</v>
      </c>
      <c r="L3" s="65">
        <v>1396203653</v>
      </c>
      <c r="M3" s="66">
        <v>605198771</v>
      </c>
      <c r="N3" s="66">
        <v>582089575</v>
      </c>
      <c r="O3" s="66">
        <v>663900702</v>
      </c>
      <c r="P3" s="66">
        <v>674204914</v>
      </c>
      <c r="Q3" s="66">
        <v>702784435</v>
      </c>
      <c r="R3" s="67">
        <v>1044895289</v>
      </c>
      <c r="S3" s="67">
        <v>1128462280</v>
      </c>
      <c r="T3" s="67">
        <v>1214081074</v>
      </c>
      <c r="U3" s="67">
        <v>1330442193</v>
      </c>
      <c r="V3" s="67">
        <v>1419478330</v>
      </c>
    </row>
    <row r="4" spans="1:22" ht="14.25" customHeight="1">
      <c r="A4" s="5" t="s">
        <v>8</v>
      </c>
      <c r="B4" s="39">
        <v>42000000</v>
      </c>
      <c r="C4" s="64">
        <v>275188000</v>
      </c>
      <c r="D4" s="64">
        <v>283034000</v>
      </c>
      <c r="E4" s="64">
        <v>332403000</v>
      </c>
      <c r="F4" s="64">
        <v>366478000</v>
      </c>
      <c r="G4" s="64">
        <v>356943000</v>
      </c>
      <c r="H4" s="65">
        <v>543892000</v>
      </c>
      <c r="I4" s="65">
        <v>601056000</v>
      </c>
      <c r="J4" s="65">
        <v>664428000</v>
      </c>
      <c r="K4" s="65">
        <v>692133000</v>
      </c>
      <c r="L4" s="65">
        <v>739756000</v>
      </c>
      <c r="M4" s="66">
        <v>9404191000</v>
      </c>
      <c r="N4" s="66">
        <v>10014188000</v>
      </c>
      <c r="O4" s="66">
        <v>10671334000</v>
      </c>
      <c r="P4" s="66">
        <v>10761871000</v>
      </c>
      <c r="Q4" s="66">
        <v>11218431000</v>
      </c>
      <c r="R4" s="67">
        <v>885704000</v>
      </c>
      <c r="S4" s="67">
        <v>944291000</v>
      </c>
      <c r="T4" s="67">
        <v>1012474000</v>
      </c>
      <c r="U4" s="67">
        <v>1119719000</v>
      </c>
      <c r="V4" s="67">
        <v>1182999000</v>
      </c>
    </row>
    <row r="5" spans="1:22" ht="14.25" customHeight="1">
      <c r="A5" s="5" t="s">
        <v>9</v>
      </c>
      <c r="B5" s="39">
        <v>180003600</v>
      </c>
      <c r="C5" s="64">
        <v>74937220</v>
      </c>
      <c r="D5" s="64">
        <v>93285368</v>
      </c>
      <c r="E5" s="64">
        <v>65769556</v>
      </c>
      <c r="F5" s="64">
        <v>129654069</v>
      </c>
      <c r="G5" s="64">
        <v>162090645</v>
      </c>
      <c r="H5" s="65">
        <v>2293947835</v>
      </c>
      <c r="I5" s="65">
        <v>2882599824</v>
      </c>
      <c r="J5" s="65">
        <v>3164460391</v>
      </c>
      <c r="K5" s="65">
        <v>3477502364</v>
      </c>
      <c r="L5" s="65">
        <v>3447451207</v>
      </c>
      <c r="M5" s="66">
        <v>2811485344</v>
      </c>
      <c r="N5" s="66">
        <v>3996369427</v>
      </c>
      <c r="O5" s="66">
        <v>4270526977</v>
      </c>
      <c r="P5" s="66">
        <v>3367995642</v>
      </c>
      <c r="Q5" s="66">
        <v>3249814754</v>
      </c>
      <c r="R5" s="67">
        <v>942307377</v>
      </c>
      <c r="S5" s="67">
        <v>979707603</v>
      </c>
      <c r="T5" s="67">
        <v>978293945</v>
      </c>
      <c r="U5" s="67">
        <v>1062563406</v>
      </c>
      <c r="V5" s="67">
        <v>1151954920</v>
      </c>
    </row>
    <row r="6" spans="1:22" ht="14.25" customHeight="1">
      <c r="A6" s="5" t="s">
        <v>10</v>
      </c>
      <c r="B6" s="39">
        <v>54907262</v>
      </c>
      <c r="C6" s="64">
        <v>57816018</v>
      </c>
      <c r="D6" s="64">
        <v>70352493</v>
      </c>
      <c r="E6" s="64">
        <v>78543635</v>
      </c>
      <c r="F6" s="64">
        <v>97781367</v>
      </c>
      <c r="G6" s="64">
        <v>101013371</v>
      </c>
      <c r="H6" s="65">
        <v>1046727484</v>
      </c>
      <c r="I6" s="65">
        <v>1164933467</v>
      </c>
      <c r="J6" s="65">
        <v>1266872997</v>
      </c>
      <c r="K6" s="65">
        <v>1388767638</v>
      </c>
      <c r="L6" s="65">
        <v>1442665250</v>
      </c>
      <c r="M6" s="66">
        <v>421245165</v>
      </c>
      <c r="N6" s="66">
        <v>404261860</v>
      </c>
      <c r="O6" s="66">
        <v>450915549</v>
      </c>
      <c r="P6" s="66">
        <v>522155650</v>
      </c>
      <c r="Q6" s="66">
        <v>564831339</v>
      </c>
      <c r="R6" s="67">
        <v>241147799</v>
      </c>
      <c r="S6" s="67">
        <v>304147184</v>
      </c>
      <c r="T6" s="67">
        <v>364189269</v>
      </c>
      <c r="U6" s="67">
        <v>422934128</v>
      </c>
      <c r="V6" s="67">
        <v>489797529</v>
      </c>
    </row>
    <row r="7" spans="1:22" ht="14.25" customHeight="1">
      <c r="A7" s="5" t="s">
        <v>43</v>
      </c>
      <c r="B7" s="39">
        <v>80400000</v>
      </c>
      <c r="C7" s="64">
        <v>19769312</v>
      </c>
      <c r="D7" s="64">
        <v>30744092</v>
      </c>
      <c r="E7" s="64">
        <v>13791941</v>
      </c>
      <c r="F7" s="64">
        <v>38332438</v>
      </c>
      <c r="G7" s="64">
        <v>30197705</v>
      </c>
      <c r="H7" s="65">
        <v>718581103</v>
      </c>
      <c r="I7" s="65">
        <v>905056057</v>
      </c>
      <c r="J7" s="65">
        <v>1046772970</v>
      </c>
      <c r="K7" s="65">
        <v>1104751430</v>
      </c>
      <c r="L7" s="65">
        <v>1048199298</v>
      </c>
      <c r="M7" s="66">
        <v>310101478</v>
      </c>
      <c r="N7" s="66">
        <v>335686674</v>
      </c>
      <c r="O7" s="66">
        <v>366593922</v>
      </c>
      <c r="P7" s="66">
        <v>349239677</v>
      </c>
      <c r="Q7" s="66">
        <v>298618444</v>
      </c>
      <c r="R7" s="67">
        <v>346534054</v>
      </c>
      <c r="S7" s="67">
        <v>362643559</v>
      </c>
      <c r="T7" s="67">
        <v>354158354</v>
      </c>
      <c r="U7" s="67">
        <v>386546573</v>
      </c>
      <c r="V7" s="67">
        <v>394399831</v>
      </c>
    </row>
    <row r="8" spans="1:22" ht="14.25" customHeight="1">
      <c r="A8" s="5" t="s">
        <v>12</v>
      </c>
      <c r="B8" s="39">
        <v>343624940</v>
      </c>
      <c r="C8" s="64">
        <v>19364586</v>
      </c>
      <c r="D8" s="64">
        <v>31509188</v>
      </c>
      <c r="E8" s="64">
        <v>35650372</v>
      </c>
      <c r="F8" s="64">
        <v>55193147</v>
      </c>
      <c r="G8" s="64">
        <v>70256035</v>
      </c>
      <c r="H8" s="65">
        <v>252976021</v>
      </c>
      <c r="I8" s="65">
        <v>325968814</v>
      </c>
      <c r="J8" s="65">
        <v>366979942</v>
      </c>
      <c r="K8" s="65">
        <v>431588146</v>
      </c>
      <c r="L8" s="65">
        <v>421573245</v>
      </c>
      <c r="M8" s="66">
        <v>708595935</v>
      </c>
      <c r="N8" s="66">
        <v>640245531</v>
      </c>
      <c r="O8" s="66">
        <v>658953060</v>
      </c>
      <c r="P8" s="66">
        <v>615719080</v>
      </c>
      <c r="Q8" s="66">
        <v>544934512</v>
      </c>
      <c r="R8" s="67">
        <v>135979012</v>
      </c>
      <c r="S8" s="67">
        <v>167488200</v>
      </c>
      <c r="T8" s="67">
        <v>203138572</v>
      </c>
      <c r="U8" s="67">
        <v>258331719</v>
      </c>
      <c r="V8" s="67">
        <v>328587754</v>
      </c>
    </row>
    <row r="9" spans="1:22" ht="14.25" customHeight="1">
      <c r="A9" s="5" t="s">
        <v>44</v>
      </c>
      <c r="B9" s="39">
        <v>39254475</v>
      </c>
      <c r="C9" s="64">
        <v>10651279</v>
      </c>
      <c r="D9" s="64">
        <v>19985560</v>
      </c>
      <c r="E9" s="64">
        <v>29905517</v>
      </c>
      <c r="F9" s="64">
        <v>46641768</v>
      </c>
      <c r="G9" s="64">
        <v>41791733</v>
      </c>
      <c r="H9" s="65">
        <v>91090533</v>
      </c>
      <c r="I9" s="65">
        <v>104902769</v>
      </c>
      <c r="J9" s="65">
        <v>156191940</v>
      </c>
      <c r="K9" s="65">
        <v>262355892</v>
      </c>
      <c r="L9" s="65">
        <v>235107783</v>
      </c>
      <c r="M9" s="66">
        <v>91956837</v>
      </c>
      <c r="N9" s="66">
        <v>170267584</v>
      </c>
      <c r="O9" s="66">
        <v>264579385</v>
      </c>
      <c r="P9" s="66">
        <v>334927249</v>
      </c>
      <c r="Q9" s="66">
        <v>401543583</v>
      </c>
      <c r="R9" s="67">
        <v>75018410</v>
      </c>
      <c r="S9" s="67">
        <v>85484294</v>
      </c>
      <c r="T9" s="67">
        <v>101921247</v>
      </c>
      <c r="U9" s="67">
        <v>130270434</v>
      </c>
      <c r="V9" s="67">
        <v>150579061</v>
      </c>
    </row>
    <row r="10" spans="1:22" ht="14.25" customHeight="1">
      <c r="A10" s="5" t="s">
        <v>14</v>
      </c>
      <c r="B10" s="39">
        <v>50000000</v>
      </c>
      <c r="C10" s="64">
        <v>21220962</v>
      </c>
      <c r="D10" s="64">
        <v>19059221</v>
      </c>
      <c r="E10" s="64">
        <v>28965394</v>
      </c>
      <c r="F10" s="64">
        <v>41345385</v>
      </c>
      <c r="G10" s="64">
        <v>48271762</v>
      </c>
      <c r="H10" s="65">
        <v>180466964</v>
      </c>
      <c r="I10" s="65">
        <v>214886191</v>
      </c>
      <c r="J10" s="65">
        <v>284773841</v>
      </c>
      <c r="K10" s="65">
        <v>287981082</v>
      </c>
      <c r="L10" s="65">
        <v>340361979</v>
      </c>
      <c r="M10" s="66">
        <v>131432591</v>
      </c>
      <c r="N10" s="66">
        <v>155341106</v>
      </c>
      <c r="O10" s="66">
        <v>167089348</v>
      </c>
      <c r="P10" s="66">
        <v>160005488</v>
      </c>
      <c r="Q10" s="66">
        <v>208765994</v>
      </c>
      <c r="R10" s="67">
        <v>136745685</v>
      </c>
      <c r="S10" s="67">
        <v>137213594</v>
      </c>
      <c r="T10" s="67">
        <v>148247471</v>
      </c>
      <c r="U10" s="67">
        <v>180629473</v>
      </c>
      <c r="V10" s="67">
        <v>210685434</v>
      </c>
    </row>
    <row r="11" spans="1:22" ht="14.25" customHeight="1">
      <c r="A11" s="5" t="s">
        <v>15</v>
      </c>
      <c r="B11" s="39">
        <v>28000000</v>
      </c>
      <c r="C11" s="64">
        <v>16915587</v>
      </c>
      <c r="D11" s="64">
        <v>17431933</v>
      </c>
      <c r="E11" s="64">
        <v>21767036</v>
      </c>
      <c r="F11" s="64">
        <v>26798947</v>
      </c>
      <c r="G11" s="64">
        <v>31978317</v>
      </c>
      <c r="H11" s="65">
        <v>19682665</v>
      </c>
      <c r="I11" s="65">
        <v>20489302</v>
      </c>
      <c r="J11" s="65">
        <v>23671906</v>
      </c>
      <c r="K11" s="65">
        <v>31146141</v>
      </c>
      <c r="L11" s="65">
        <v>34548651</v>
      </c>
      <c r="M11" s="66">
        <v>2782823</v>
      </c>
      <c r="N11" s="66">
        <v>1921585</v>
      </c>
      <c r="O11" s="66">
        <v>2792929</v>
      </c>
      <c r="P11" s="66">
        <v>4279120</v>
      </c>
      <c r="Q11" s="66">
        <v>4487488</v>
      </c>
      <c r="R11" s="67">
        <v>70761043</v>
      </c>
      <c r="S11" s="67">
        <v>71392976</v>
      </c>
      <c r="T11" s="67">
        <v>76360012</v>
      </c>
      <c r="U11" s="67">
        <v>83558959</v>
      </c>
      <c r="V11" s="67">
        <v>91737276</v>
      </c>
    </row>
    <row r="12" spans="1:22" ht="14.25" customHeight="1">
      <c r="A12" s="5" t="s">
        <v>16</v>
      </c>
      <c r="B12" s="39">
        <v>38250000</v>
      </c>
      <c r="C12" s="64">
        <v>33238344</v>
      </c>
      <c r="D12" s="64">
        <v>41292326</v>
      </c>
      <c r="E12" s="64">
        <v>29181541</v>
      </c>
      <c r="F12" s="64">
        <v>42191994</v>
      </c>
      <c r="G12" s="64">
        <v>42191994</v>
      </c>
      <c r="H12" s="65">
        <v>212270266</v>
      </c>
      <c r="I12" s="65">
        <v>270149720</v>
      </c>
      <c r="J12" s="65">
        <v>175328865</v>
      </c>
      <c r="K12" s="65">
        <v>307457210</v>
      </c>
      <c r="L12" s="65">
        <v>307457210</v>
      </c>
      <c r="M12" s="66">
        <v>83515129</v>
      </c>
      <c r="N12" s="66">
        <v>47123113</v>
      </c>
      <c r="O12" s="66">
        <v>69394960</v>
      </c>
      <c r="P12" s="66">
        <v>147330366</v>
      </c>
      <c r="Q12" s="66">
        <v>157502369</v>
      </c>
      <c r="R12" s="67">
        <v>202470049</v>
      </c>
      <c r="S12" s="67">
        <v>213751115</v>
      </c>
      <c r="T12" s="67">
        <v>212324796</v>
      </c>
      <c r="U12" s="67">
        <v>140945761</v>
      </c>
      <c r="V12" s="67">
        <v>223222609</v>
      </c>
    </row>
    <row r="13" spans="1:22" ht="14.25" customHeight="1">
      <c r="A13" s="5" t="s">
        <v>17</v>
      </c>
      <c r="B13" s="39">
        <v>18000000</v>
      </c>
      <c r="C13" s="64">
        <v>20997476</v>
      </c>
      <c r="D13" s="64">
        <v>33354791</v>
      </c>
      <c r="E13" s="64">
        <v>30325763</v>
      </c>
      <c r="F13" s="64">
        <v>31718596</v>
      </c>
      <c r="G13" s="64">
        <v>29518791</v>
      </c>
      <c r="H13" s="65">
        <v>236557895</v>
      </c>
      <c r="I13" s="65">
        <v>343752648</v>
      </c>
      <c r="J13" s="65">
        <v>343102459</v>
      </c>
      <c r="K13" s="65">
        <v>375037265</v>
      </c>
      <c r="L13" s="65">
        <v>378411694</v>
      </c>
      <c r="M13" s="66">
        <v>94479452</v>
      </c>
      <c r="N13" s="66">
        <v>125141075</v>
      </c>
      <c r="O13" s="66">
        <v>156681418</v>
      </c>
      <c r="P13" s="66">
        <v>178709683</v>
      </c>
      <c r="Q13" s="66">
        <v>188626944</v>
      </c>
      <c r="R13" s="67">
        <v>57993863</v>
      </c>
      <c r="S13" s="67">
        <v>75777791</v>
      </c>
      <c r="T13" s="67">
        <v>84264584</v>
      </c>
      <c r="U13" s="67">
        <v>93488979</v>
      </c>
      <c r="V13" s="67">
        <v>100515697</v>
      </c>
    </row>
    <row r="14" spans="1:22" ht="14.25" customHeight="1">
      <c r="A14" s="5" t="s">
        <v>18</v>
      </c>
      <c r="B14" s="39">
        <v>4500000</v>
      </c>
      <c r="C14" s="64">
        <v>53498963</v>
      </c>
      <c r="D14" s="64">
        <v>77138663</v>
      </c>
      <c r="E14" s="64">
        <v>81214552</v>
      </c>
      <c r="F14" s="64">
        <v>82043544</v>
      </c>
      <c r="G14" s="64">
        <v>100657148</v>
      </c>
      <c r="H14" s="65">
        <v>39437994</v>
      </c>
      <c r="I14" s="65">
        <v>25824239</v>
      </c>
      <c r="J14" s="65">
        <v>28099216</v>
      </c>
      <c r="K14" s="65">
        <v>58872202</v>
      </c>
      <c r="L14" s="65">
        <v>69462727</v>
      </c>
      <c r="M14" s="66">
        <v>705324780</v>
      </c>
      <c r="N14" s="66">
        <v>748804044</v>
      </c>
      <c r="O14" s="66">
        <v>818450849</v>
      </c>
      <c r="P14" s="66">
        <v>925960837</v>
      </c>
      <c r="Q14" s="66">
        <v>1000685399</v>
      </c>
      <c r="R14" s="67">
        <f>45000000+64915188</f>
        <v>109915188</v>
      </c>
      <c r="S14" s="67">
        <v>154247479</v>
      </c>
      <c r="T14" s="67">
        <v>180502400</v>
      </c>
      <c r="U14" s="67">
        <v>202661534</v>
      </c>
      <c r="V14" s="67">
        <v>222179266</v>
      </c>
    </row>
    <row r="15" spans="1:22" ht="14.25" customHeight="1">
      <c r="A15" s="5" t="s">
        <v>19</v>
      </c>
      <c r="B15" s="39">
        <v>10800000</v>
      </c>
      <c r="C15" s="64">
        <v>8979580</v>
      </c>
      <c r="D15" s="64">
        <v>7219162</v>
      </c>
      <c r="E15" s="64">
        <v>20706291</v>
      </c>
      <c r="F15" s="64">
        <v>28217472</v>
      </c>
      <c r="G15" s="64">
        <v>37470534</v>
      </c>
      <c r="H15" s="65">
        <v>144274295</v>
      </c>
      <c r="I15" s="65">
        <v>135140038</v>
      </c>
      <c r="J15" s="65">
        <v>150119991</v>
      </c>
      <c r="K15" s="65">
        <v>159079516</v>
      </c>
      <c r="L15" s="65">
        <v>195436341</v>
      </c>
      <c r="M15" s="66">
        <v>1796491353</v>
      </c>
      <c r="N15" s="66">
        <v>1775948425</v>
      </c>
      <c r="O15" s="66">
        <v>1776253794</v>
      </c>
      <c r="P15" s="66">
        <v>1982538258</v>
      </c>
      <c r="Q15" s="66">
        <v>2701941948</v>
      </c>
      <c r="R15" s="67">
        <v>223423406</v>
      </c>
      <c r="S15" s="67">
        <v>219991497</v>
      </c>
      <c r="T15" s="67">
        <v>239740658</v>
      </c>
      <c r="U15" s="67">
        <v>262109131</v>
      </c>
      <c r="V15" s="67">
        <v>289189747</v>
      </c>
    </row>
    <row r="16" spans="1:22" ht="14.25" customHeight="1">
      <c r="A16" s="5" t="s">
        <v>20</v>
      </c>
      <c r="B16" s="39">
        <v>7000000</v>
      </c>
      <c r="C16" s="64">
        <v>12447280</v>
      </c>
      <c r="D16" s="64">
        <v>15554485</v>
      </c>
      <c r="E16" s="64">
        <v>17229686</v>
      </c>
      <c r="F16" s="64">
        <v>19604550</v>
      </c>
      <c r="G16" s="64">
        <v>20182707</v>
      </c>
      <c r="H16" s="65">
        <v>30371293</v>
      </c>
      <c r="I16" s="65">
        <v>37117968</v>
      </c>
      <c r="J16" s="65">
        <v>42675715</v>
      </c>
      <c r="K16" s="65">
        <v>43823948</v>
      </c>
      <c r="L16" s="65">
        <v>46075652</v>
      </c>
      <c r="M16" s="66">
        <v>519445701</v>
      </c>
      <c r="N16" s="66">
        <v>538160372</v>
      </c>
      <c r="O16" s="66">
        <v>526021032</v>
      </c>
      <c r="P16" s="66">
        <v>573586678</v>
      </c>
      <c r="Q16" s="66">
        <v>591321795</v>
      </c>
      <c r="R16" s="67">
        <v>102953690</v>
      </c>
      <c r="S16" s="67">
        <v>109669667</v>
      </c>
      <c r="T16" s="67">
        <v>117583196</v>
      </c>
      <c r="U16" s="67">
        <v>127006909</v>
      </c>
      <c r="V16" s="67">
        <v>134157467</v>
      </c>
    </row>
    <row r="17" spans="1:22" ht="14.25" customHeight="1">
      <c r="A17" s="5" t="s">
        <v>67</v>
      </c>
      <c r="B17" s="39">
        <v>20000000</v>
      </c>
      <c r="C17" s="64">
        <v>739837</v>
      </c>
      <c r="D17" s="64">
        <v>334289</v>
      </c>
      <c r="E17" s="64">
        <v>440431</v>
      </c>
      <c r="F17" s="64">
        <v>114589</v>
      </c>
      <c r="G17" s="64">
        <v>3559600</v>
      </c>
      <c r="H17" s="65">
        <v>26770378</v>
      </c>
      <c r="I17" s="65">
        <v>23989023</v>
      </c>
      <c r="J17" s="65">
        <v>26689229</v>
      </c>
      <c r="K17" s="65">
        <v>31460523</v>
      </c>
      <c r="L17" s="65">
        <v>34087211</v>
      </c>
      <c r="M17" s="66">
        <v>707669341</v>
      </c>
      <c r="N17" s="66">
        <v>688447995</v>
      </c>
      <c r="O17" s="66">
        <v>707235919</v>
      </c>
      <c r="P17" s="66">
        <v>679956517</v>
      </c>
      <c r="Q17" s="66">
        <v>764975240</v>
      </c>
      <c r="R17" s="67">
        <v>212407678</v>
      </c>
      <c r="S17" s="67">
        <v>223916077</v>
      </c>
      <c r="T17" s="67">
        <v>236382079</v>
      </c>
      <c r="U17" s="67">
        <v>246462733</v>
      </c>
      <c r="V17" s="67">
        <v>258375216</v>
      </c>
    </row>
    <row r="18" spans="1:22" ht="14.25" customHeight="1">
      <c r="A18" s="5" t="s">
        <v>22</v>
      </c>
      <c r="B18" s="39">
        <v>25000000</v>
      </c>
      <c r="C18" s="64">
        <v>12061819</v>
      </c>
      <c r="D18" s="64">
        <v>13614231</v>
      </c>
      <c r="E18" s="64">
        <v>13631045</v>
      </c>
      <c r="F18" s="64">
        <v>14999019</v>
      </c>
      <c r="G18" s="64">
        <v>26535372</v>
      </c>
      <c r="H18" s="65">
        <v>15282744</v>
      </c>
      <c r="I18" s="65">
        <v>17646440</v>
      </c>
      <c r="J18" s="65">
        <v>19923333</v>
      </c>
      <c r="K18" s="65">
        <v>22261847</v>
      </c>
      <c r="L18" s="65">
        <v>24899687</v>
      </c>
      <c r="M18" s="66">
        <v>369823362</v>
      </c>
      <c r="N18" s="66">
        <v>433230835</v>
      </c>
      <c r="O18" s="66">
        <v>496111565</v>
      </c>
      <c r="P18" s="66">
        <v>695019447</v>
      </c>
      <c r="Q18" s="66">
        <v>776430083</v>
      </c>
      <c r="R18" s="67">
        <v>62863953</v>
      </c>
      <c r="S18" s="67">
        <v>72697316</v>
      </c>
      <c r="T18" s="67">
        <v>115471809</v>
      </c>
      <c r="U18" s="67">
        <v>127870307</v>
      </c>
      <c r="V18" s="67">
        <v>142842908</v>
      </c>
    </row>
    <row r="19" spans="1:22" ht="14.25" customHeight="1">
      <c r="A19" s="5" t="s">
        <v>23</v>
      </c>
      <c r="B19" s="39">
        <f>84015979</f>
        <v>84015979</v>
      </c>
      <c r="C19" s="64">
        <v>33389210</v>
      </c>
      <c r="D19" s="64">
        <v>16220997</v>
      </c>
      <c r="E19" s="64">
        <v>35323742</v>
      </c>
      <c r="F19" s="64">
        <v>35650047</v>
      </c>
      <c r="G19" s="64">
        <v>61608801</v>
      </c>
      <c r="H19" s="65">
        <v>631666504</v>
      </c>
      <c r="I19" s="65">
        <v>673903901</v>
      </c>
      <c r="J19" s="65">
        <v>880620421</v>
      </c>
      <c r="K19" s="65">
        <v>901985011</v>
      </c>
      <c r="L19" s="65">
        <v>981989853</v>
      </c>
      <c r="M19" s="66">
        <v>571148278</v>
      </c>
      <c r="N19" s="66">
        <v>669145153</v>
      </c>
      <c r="O19" s="66">
        <v>715018763</v>
      </c>
      <c r="P19" s="66">
        <v>760318382</v>
      </c>
      <c r="Q19" s="66">
        <v>882318491</v>
      </c>
      <c r="R19" s="67">
        <v>314215854</v>
      </c>
      <c r="S19" s="67">
        <v>295909720</v>
      </c>
      <c r="T19" s="67">
        <v>312143492</v>
      </c>
      <c r="U19" s="67">
        <v>319267092</v>
      </c>
      <c r="V19" s="67">
        <v>353488673</v>
      </c>
    </row>
    <row r="20" spans="1:22" ht="14.25" customHeight="1">
      <c r="A20" s="5" t="s">
        <v>24</v>
      </c>
      <c r="B20" s="39">
        <v>32500000</v>
      </c>
      <c r="C20" s="64">
        <v>5279696</v>
      </c>
      <c r="D20" s="64">
        <v>11132156</v>
      </c>
      <c r="E20" s="64">
        <v>16270427</v>
      </c>
      <c r="F20" s="64">
        <v>19975764</v>
      </c>
      <c r="G20" s="64">
        <v>22111702</v>
      </c>
      <c r="H20" s="65">
        <v>30224741</v>
      </c>
      <c r="I20" s="65">
        <v>39917653</v>
      </c>
      <c r="J20" s="65">
        <v>46605128</v>
      </c>
      <c r="K20" s="65">
        <v>51196690</v>
      </c>
      <c r="L20" s="65">
        <v>58431579</v>
      </c>
      <c r="M20" s="66">
        <v>101586485</v>
      </c>
      <c r="N20" s="66">
        <v>550778433</v>
      </c>
      <c r="O20" s="66">
        <v>511992456</v>
      </c>
      <c r="P20" s="66">
        <v>555632129</v>
      </c>
      <c r="Q20" s="66">
        <v>577991444</v>
      </c>
      <c r="R20" s="67">
        <v>529216961</v>
      </c>
      <c r="S20" s="67">
        <v>110283583</v>
      </c>
      <c r="T20" s="67">
        <v>120054439</v>
      </c>
      <c r="U20" s="67">
        <v>131251766</v>
      </c>
      <c r="V20" s="67">
        <v>143613469</v>
      </c>
    </row>
    <row r="21" spans="1:22" ht="14.25" customHeight="1">
      <c r="A21" s="5" t="s">
        <v>25</v>
      </c>
      <c r="B21" s="39">
        <v>13200000</v>
      </c>
      <c r="C21" s="64">
        <v>4635285</v>
      </c>
      <c r="D21" s="64">
        <v>5846000</v>
      </c>
      <c r="E21" s="64">
        <v>6221525</v>
      </c>
      <c r="F21" s="64">
        <v>7650860</v>
      </c>
      <c r="G21" s="64">
        <v>7058807</v>
      </c>
      <c r="H21" s="65">
        <v>14953062</v>
      </c>
      <c r="I21" s="65">
        <v>15429133</v>
      </c>
      <c r="J21" s="65">
        <v>16508737</v>
      </c>
      <c r="K21" s="65">
        <v>17707272</v>
      </c>
      <c r="L21" s="65">
        <v>18543742</v>
      </c>
      <c r="M21" s="66">
        <v>4661439</v>
      </c>
      <c r="N21" s="66">
        <v>4534835</v>
      </c>
      <c r="O21" s="66">
        <v>5959719</v>
      </c>
      <c r="P21" s="66">
        <v>6392678</v>
      </c>
      <c r="Q21" s="66">
        <v>6362805</v>
      </c>
      <c r="R21" s="67">
        <v>29054683</v>
      </c>
      <c r="S21" s="67">
        <v>31809716</v>
      </c>
      <c r="T21" s="67">
        <v>32624556</v>
      </c>
      <c r="U21" s="67">
        <v>34528357</v>
      </c>
      <c r="V21" s="67">
        <v>34496586</v>
      </c>
    </row>
    <row r="22" spans="1:22" ht="14.25" customHeight="1">
      <c r="A22" s="5" t="s">
        <v>26</v>
      </c>
      <c r="B22" s="39">
        <v>11000000</v>
      </c>
      <c r="C22" s="64">
        <v>-3178572</v>
      </c>
      <c r="D22" s="64">
        <v>5908464</v>
      </c>
      <c r="E22" s="64">
        <v>7977572</v>
      </c>
      <c r="F22" s="64">
        <v>13065086</v>
      </c>
      <c r="G22" s="64">
        <v>12638444</v>
      </c>
      <c r="H22" s="65">
        <v>18642707</v>
      </c>
      <c r="I22" s="65">
        <v>32461319</v>
      </c>
      <c r="J22" s="65">
        <v>43826623</v>
      </c>
      <c r="K22" s="65">
        <v>46219616</v>
      </c>
      <c r="L22" s="65">
        <v>48837921</v>
      </c>
      <c r="M22" s="66">
        <v>609669899</v>
      </c>
      <c r="N22" s="66">
        <v>546064460</v>
      </c>
      <c r="O22" s="66">
        <v>537406584</v>
      </c>
      <c r="P22" s="66">
        <v>567056088</v>
      </c>
      <c r="Q22" s="66">
        <v>636933102</v>
      </c>
      <c r="R22" s="67">
        <v>70402866</v>
      </c>
      <c r="S22" s="67">
        <v>76174587</v>
      </c>
      <c r="T22" s="67">
        <v>81775841</v>
      </c>
      <c r="U22" s="67">
        <v>91419671</v>
      </c>
      <c r="V22" s="67">
        <v>99902831</v>
      </c>
    </row>
    <row r="23" spans="1:22" ht="14.25" customHeight="1">
      <c r="A23" t="s">
        <v>45</v>
      </c>
      <c r="B23" s="39">
        <v>128000000</v>
      </c>
      <c r="C23" s="64">
        <v>12458000</v>
      </c>
      <c r="D23" s="64">
        <v>-61435000</v>
      </c>
      <c r="E23" s="64">
        <v>29600000</v>
      </c>
      <c r="F23" s="64">
        <v>-158000</v>
      </c>
      <c r="G23" s="64">
        <v>31285000</v>
      </c>
      <c r="H23" s="65">
        <v>297547000</v>
      </c>
      <c r="I23" s="65">
        <v>333106000</v>
      </c>
      <c r="J23" s="65">
        <v>365930000</v>
      </c>
      <c r="K23" s="65">
        <v>406023000</v>
      </c>
      <c r="L23" s="65">
        <v>436785000</v>
      </c>
      <c r="M23" s="66">
        <v>7371459000</v>
      </c>
      <c r="N23" s="66">
        <v>7630042000</v>
      </c>
      <c r="O23" s="66">
        <v>7744312000</v>
      </c>
      <c r="P23" s="66">
        <v>7600100000</v>
      </c>
      <c r="Q23" s="66">
        <v>8360359000</v>
      </c>
      <c r="R23" s="67">
        <v>585655000</v>
      </c>
      <c r="S23" s="67">
        <v>594128000</v>
      </c>
      <c r="T23" s="67">
        <v>618059000</v>
      </c>
      <c r="U23" s="67">
        <v>617788000</v>
      </c>
      <c r="V23" s="67">
        <v>649326000</v>
      </c>
    </row>
    <row r="24" spans="1:22" ht="14.25" customHeight="1">
      <c r="A24" s="5" t="s">
        <v>46</v>
      </c>
      <c r="B24" s="39">
        <v>40800000</v>
      </c>
      <c r="C24" s="64">
        <v>277480000</v>
      </c>
      <c r="D24" s="64">
        <v>283431000</v>
      </c>
      <c r="E24" s="64">
        <v>312402000</v>
      </c>
      <c r="F24" s="64">
        <v>358591000</v>
      </c>
      <c r="G24" s="64">
        <v>379406000</v>
      </c>
      <c r="H24" s="65">
        <v>1034036000</v>
      </c>
      <c r="I24" s="65">
        <v>1134600000</v>
      </c>
      <c r="J24" s="65">
        <v>1415147000</v>
      </c>
      <c r="K24" s="65">
        <v>1603909000</v>
      </c>
      <c r="L24" s="65">
        <v>1750286000</v>
      </c>
      <c r="M24" s="66">
        <v>16106196000</v>
      </c>
      <c r="N24" s="66">
        <v>17356171000</v>
      </c>
      <c r="O24" s="66">
        <v>18948687000</v>
      </c>
      <c r="P24" s="66">
        <v>20633250000</v>
      </c>
      <c r="Q24" s="66">
        <v>22776769000</v>
      </c>
      <c r="R24" s="67">
        <v>1771111000</v>
      </c>
      <c r="S24" s="67">
        <v>1877408000</v>
      </c>
      <c r="T24" s="67">
        <v>2000681000</v>
      </c>
      <c r="U24" s="67">
        <v>2158755000</v>
      </c>
      <c r="V24" s="67">
        <v>2314276000</v>
      </c>
    </row>
    <row r="25" spans="1:22" ht="14.25" customHeight="1">
      <c r="A25" s="33" t="s">
        <v>47</v>
      </c>
      <c r="B25" s="39">
        <v>64000000</v>
      </c>
      <c r="C25" s="64">
        <v>107639000</v>
      </c>
      <c r="D25" s="64">
        <v>173366000</v>
      </c>
      <c r="E25" s="64">
        <v>169910000</v>
      </c>
      <c r="F25" s="64">
        <v>212043000</v>
      </c>
      <c r="G25" s="64">
        <v>210906000</v>
      </c>
      <c r="H25" s="65">
        <v>691244000</v>
      </c>
      <c r="I25" s="65">
        <v>912190000</v>
      </c>
      <c r="J25" s="65">
        <v>946380000</v>
      </c>
      <c r="K25" s="65">
        <v>1047026000</v>
      </c>
      <c r="L25" s="65">
        <v>1044281000</v>
      </c>
      <c r="M25" s="66">
        <v>12684441000</v>
      </c>
      <c r="N25" s="66">
        <v>17590365000</v>
      </c>
      <c r="O25" s="66">
        <v>20071667000</v>
      </c>
      <c r="P25" s="66">
        <v>21323167000</v>
      </c>
      <c r="Q25" s="66">
        <v>20576496000</v>
      </c>
      <c r="R25" s="67">
        <v>1650596000</v>
      </c>
      <c r="S25" s="67">
        <v>1761097000</v>
      </c>
      <c r="T25" s="67">
        <v>1865475000</v>
      </c>
      <c r="U25" s="67">
        <v>2035541000</v>
      </c>
      <c r="V25" s="67">
        <v>2188321000</v>
      </c>
    </row>
    <row r="26" spans="1:22" ht="14.25" customHeight="1">
      <c r="A26" s="33" t="s">
        <v>48</v>
      </c>
      <c r="B26" s="39">
        <v>270000000</v>
      </c>
      <c r="C26" s="64">
        <v>94411000</v>
      </c>
      <c r="D26" s="64">
        <v>152124000</v>
      </c>
      <c r="E26" s="64">
        <v>168562000</v>
      </c>
      <c r="F26" s="64">
        <v>182322000</v>
      </c>
      <c r="G26" s="64">
        <v>199437000</v>
      </c>
      <c r="H26" s="65">
        <v>380424000</v>
      </c>
      <c r="I26" s="65">
        <v>385983000</v>
      </c>
      <c r="J26" s="65">
        <v>428815000</v>
      </c>
      <c r="K26" s="65">
        <v>493636000</v>
      </c>
      <c r="L26" s="65">
        <v>518336000</v>
      </c>
      <c r="M26" s="66">
        <v>5566025000</v>
      </c>
      <c r="N26" s="66">
        <v>5851368000</v>
      </c>
      <c r="O26" s="66">
        <v>6387792000</v>
      </c>
      <c r="P26" s="66">
        <v>6918575000</v>
      </c>
      <c r="Q26" s="66">
        <v>7783177000</v>
      </c>
      <c r="R26" s="67">
        <v>1089048000</v>
      </c>
      <c r="S26" s="67">
        <v>1163594000</v>
      </c>
      <c r="T26" s="67">
        <v>1281121000</v>
      </c>
      <c r="U26" s="67">
        <v>1385289000</v>
      </c>
      <c r="V26" s="67">
        <v>1457011000</v>
      </c>
    </row>
    <row r="27" spans="1:22" ht="14.25" customHeight="1">
      <c r="A27" s="33" t="s">
        <v>49</v>
      </c>
      <c r="B27" s="39">
        <v>30264000</v>
      </c>
      <c r="C27" s="64">
        <v>98440000</v>
      </c>
      <c r="D27" s="64">
        <v>136147000</v>
      </c>
      <c r="E27" s="64">
        <v>152578000</v>
      </c>
      <c r="F27" s="64">
        <v>216546000</v>
      </c>
      <c r="G27" s="64">
        <v>243545000</v>
      </c>
      <c r="H27" s="65">
        <v>395028000</v>
      </c>
      <c r="I27" s="65">
        <v>453158000</v>
      </c>
      <c r="J27" s="65">
        <v>488396000</v>
      </c>
      <c r="K27" s="65">
        <v>538309000</v>
      </c>
      <c r="L27" s="65">
        <v>562660000</v>
      </c>
      <c r="M27" s="66">
        <v>7895119000</v>
      </c>
      <c r="N27" s="66">
        <v>8163618000</v>
      </c>
      <c r="O27" s="66">
        <v>8871857000</v>
      </c>
      <c r="P27" s="66">
        <v>9384043000</v>
      </c>
      <c r="Q27" s="66">
        <v>10072285000</v>
      </c>
      <c r="R27" s="67">
        <v>1169511000</v>
      </c>
      <c r="S27" s="67">
        <v>1241864000</v>
      </c>
      <c r="T27" s="67">
        <v>1366659000</v>
      </c>
      <c r="U27" s="67">
        <v>1564603000</v>
      </c>
      <c r="V27" s="67">
        <v>1703741000</v>
      </c>
    </row>
    <row r="28" spans="1:22" ht="14.25" customHeight="1">
      <c r="A28" s="33" t="s">
        <v>50</v>
      </c>
      <c r="B28" s="39">
        <v>9801000</v>
      </c>
      <c r="C28" s="64">
        <v>16610924.004000001</v>
      </c>
      <c r="D28" s="64">
        <v>26619458.351</v>
      </c>
      <c r="E28" s="64">
        <v>16628745.380999999</v>
      </c>
      <c r="F28" s="64">
        <v>4959031.7769999998</v>
      </c>
      <c r="G28" s="64">
        <v>10976340.937999999</v>
      </c>
      <c r="H28" s="65">
        <v>119833658.38600001</v>
      </c>
      <c r="I28" s="65">
        <v>149132710.54499999</v>
      </c>
      <c r="J28" s="65">
        <v>162713552.44999999</v>
      </c>
      <c r="K28" s="65">
        <v>113215407.03200001</v>
      </c>
      <c r="L28" s="65">
        <v>122250026.26199999</v>
      </c>
      <c r="M28" s="66">
        <v>67110276.245000005</v>
      </c>
      <c r="N28" s="66">
        <v>158206754.752</v>
      </c>
      <c r="O28" s="66">
        <v>161567412.57800001</v>
      </c>
      <c r="P28" s="66">
        <v>111423865.01800001</v>
      </c>
      <c r="Q28" s="66">
        <v>99591113.758000001</v>
      </c>
      <c r="R28" s="67">
        <v>46724055.604999997</v>
      </c>
      <c r="S28" s="67">
        <f>59646348.181-1616.184</f>
        <v>59644731.997000001</v>
      </c>
      <c r="T28" s="67">
        <f>61351391.438-1493.16</f>
        <v>61349898.278000005</v>
      </c>
      <c r="U28" s="67">
        <f>56259856.585-402.38</f>
        <v>56259454.204999998</v>
      </c>
      <c r="V28" s="67">
        <f>64094899.424-1105.968</f>
        <v>64093793.456</v>
      </c>
    </row>
    <row r="29" spans="1:22" ht="14.25" customHeight="1">
      <c r="A29" s="33" t="s">
        <v>51</v>
      </c>
      <c r="B29" s="39">
        <v>2100000</v>
      </c>
      <c r="C29" s="64">
        <v>-11366764</v>
      </c>
      <c r="D29" s="64">
        <v>9015089</v>
      </c>
      <c r="E29" s="64">
        <v>31090040</v>
      </c>
      <c r="F29" s="64">
        <v>7320560</v>
      </c>
      <c r="G29" s="64">
        <v>21453470</v>
      </c>
      <c r="H29" s="65">
        <v>117519304</v>
      </c>
      <c r="I29" s="65">
        <v>148047650</v>
      </c>
      <c r="J29" s="65">
        <v>230831878</v>
      </c>
      <c r="K29" s="65">
        <v>146579725</v>
      </c>
      <c r="L29" s="65">
        <v>169862009</v>
      </c>
      <c r="M29" s="66">
        <v>25293660</v>
      </c>
      <c r="N29" s="66">
        <v>47481668</v>
      </c>
      <c r="O29" s="66">
        <v>51268475</v>
      </c>
      <c r="P29" s="66">
        <v>25129700</v>
      </c>
      <c r="Q29" s="66">
        <v>55599127</v>
      </c>
      <c r="R29" s="67">
        <v>87466518</v>
      </c>
      <c r="S29" s="67">
        <v>93052722</v>
      </c>
      <c r="T29" s="67">
        <v>116093876</v>
      </c>
      <c r="U29" s="67">
        <v>107403020</v>
      </c>
      <c r="V29" s="67">
        <v>121626025</v>
      </c>
    </row>
    <row r="30" spans="1:22" ht="14.25" customHeight="1">
      <c r="A30" s="33" t="s">
        <v>52</v>
      </c>
      <c r="B30" s="39">
        <v>155375000</v>
      </c>
      <c r="C30" s="64">
        <v>72159000</v>
      </c>
      <c r="D30" s="64">
        <v>117019000</v>
      </c>
      <c r="E30" s="64">
        <v>87878000</v>
      </c>
      <c r="F30" s="64">
        <v>86035000</v>
      </c>
      <c r="G30" s="64">
        <v>102331000</v>
      </c>
      <c r="H30" s="65">
        <v>625657000</v>
      </c>
      <c r="I30" s="65">
        <v>650447000</v>
      </c>
      <c r="J30" s="65">
        <v>697492000</v>
      </c>
      <c r="K30" s="65">
        <v>714678000</v>
      </c>
      <c r="L30" s="65">
        <v>689336000</v>
      </c>
      <c r="M30" s="66">
        <v>11149312000</v>
      </c>
      <c r="N30" s="66">
        <v>12304641000</v>
      </c>
      <c r="O30" s="66">
        <v>13396948000</v>
      </c>
      <c r="P30" s="66">
        <v>13232421000</v>
      </c>
      <c r="Q30" s="66">
        <v>13480669000</v>
      </c>
      <c r="R30" s="67">
        <v>1100124000</v>
      </c>
      <c r="S30" s="67">
        <v>1267335000</v>
      </c>
      <c r="T30" s="67">
        <v>1356233000</v>
      </c>
      <c r="U30" s="67">
        <v>1323092000</v>
      </c>
      <c r="V30" s="67">
        <v>1419547000</v>
      </c>
    </row>
    <row r="31" spans="1:22" ht="14.25" customHeight="1">
      <c r="A31" s="33" t="s">
        <v>53</v>
      </c>
      <c r="B31" s="39">
        <v>32560000</v>
      </c>
      <c r="C31" s="64">
        <v>65171000</v>
      </c>
      <c r="D31" s="64">
        <v>82782000</v>
      </c>
      <c r="E31" s="64">
        <v>132539000</v>
      </c>
      <c r="F31" s="64">
        <v>124983000</v>
      </c>
      <c r="G31" s="64">
        <v>71861000</v>
      </c>
      <c r="H31" s="65">
        <v>403016000</v>
      </c>
      <c r="I31" s="65">
        <v>444415000</v>
      </c>
      <c r="J31" s="65">
        <v>493246000</v>
      </c>
      <c r="K31" s="65">
        <v>522981000</v>
      </c>
      <c r="L31" s="65">
        <v>539825000</v>
      </c>
      <c r="M31" s="66">
        <v>5761185000</v>
      </c>
      <c r="N31" s="66">
        <v>6044581000</v>
      </c>
      <c r="O31" s="66">
        <v>6366819000</v>
      </c>
      <c r="P31" s="66">
        <v>6732963000</v>
      </c>
      <c r="Q31" s="66">
        <v>7268244000</v>
      </c>
      <c r="R31" s="67">
        <v>721311000</v>
      </c>
      <c r="S31" s="67">
        <v>780025000</v>
      </c>
      <c r="T31" s="67">
        <v>889994000</v>
      </c>
      <c r="U31" s="67">
        <v>987375000</v>
      </c>
      <c r="V31" s="67">
        <v>1030162000</v>
      </c>
    </row>
    <row r="32" spans="1:22" ht="14.25" customHeight="1">
      <c r="A32" s="33" t="s">
        <v>54</v>
      </c>
      <c r="B32" s="39">
        <v>30000000</v>
      </c>
      <c r="C32" s="64">
        <v>14083691</v>
      </c>
      <c r="D32" s="64">
        <v>36056125</v>
      </c>
      <c r="E32" s="64">
        <v>43211101</v>
      </c>
      <c r="F32" s="64">
        <v>52798417</v>
      </c>
      <c r="G32" s="64">
        <v>55526338</v>
      </c>
      <c r="H32" s="65">
        <v>448683874</v>
      </c>
      <c r="I32" s="65">
        <v>538114892</v>
      </c>
      <c r="J32" s="65">
        <v>568542801</v>
      </c>
      <c r="K32" s="65">
        <v>348209795</v>
      </c>
      <c r="L32" s="65">
        <v>352118840</v>
      </c>
      <c r="M32" s="66">
        <v>202955633</v>
      </c>
      <c r="N32" s="66">
        <v>165667191</v>
      </c>
      <c r="O32" s="66">
        <v>291923651</v>
      </c>
      <c r="P32" s="66">
        <v>224228380</v>
      </c>
      <c r="Q32" s="66">
        <v>286727611</v>
      </c>
      <c r="R32" s="67">
        <v>163243575</v>
      </c>
      <c r="S32" s="67">
        <v>179686332</v>
      </c>
      <c r="T32" s="67">
        <v>203382280</v>
      </c>
      <c r="U32" s="67">
        <v>302335851</v>
      </c>
      <c r="V32" s="67">
        <v>331462189</v>
      </c>
    </row>
    <row r="33" spans="1:22" ht="14.25" customHeight="1">
      <c r="A33" s="33" t="s">
        <v>55</v>
      </c>
      <c r="B33" s="39">
        <v>6000000</v>
      </c>
      <c r="C33" s="64">
        <v>25524992</v>
      </c>
      <c r="D33" s="64">
        <v>21056249</v>
      </c>
      <c r="E33" s="64">
        <v>17103870</v>
      </c>
      <c r="F33" s="64">
        <v>22678287</v>
      </c>
      <c r="G33" s="64">
        <v>28985751</v>
      </c>
      <c r="H33" s="65">
        <f>25863627+10533472+25395777</f>
        <v>61792876</v>
      </c>
      <c r="I33" s="65">
        <f>7762313+4208100+25190756</f>
        <v>37161169</v>
      </c>
      <c r="J33" s="65">
        <f>6846173+6959655+24305395</f>
        <v>38111223</v>
      </c>
      <c r="K33" s="65">
        <f>14782595+14560216+31466266</f>
        <v>60809077</v>
      </c>
      <c r="L33" s="65">
        <f>15541709+16950863+35701976</f>
        <v>68194548</v>
      </c>
      <c r="M33" s="66">
        <f>630810375-R33</f>
        <v>477472991</v>
      </c>
      <c r="N33" s="66">
        <f>686764477-S33</f>
        <v>529170844</v>
      </c>
      <c r="O33" s="66">
        <f>764430352-T33</f>
        <v>606532849</v>
      </c>
      <c r="P33" s="66">
        <f>864062717-U33</f>
        <v>695486928</v>
      </c>
      <c r="Q33" s="66">
        <f>817830616-V32</f>
        <v>486368427</v>
      </c>
      <c r="R33" s="67">
        <v>153337384</v>
      </c>
      <c r="S33" s="67">
        <v>157593633</v>
      </c>
      <c r="T33" s="67">
        <v>157897503</v>
      </c>
      <c r="U33" s="67">
        <v>168575789</v>
      </c>
      <c r="V33" s="67">
        <v>184361541</v>
      </c>
    </row>
    <row r="34" spans="1:22" ht="14.25" customHeight="1">
      <c r="A34" s="33" t="s">
        <v>56</v>
      </c>
      <c r="B34" s="39">
        <v>7000000</v>
      </c>
      <c r="C34" s="64">
        <v>-513135</v>
      </c>
      <c r="D34" s="64">
        <v>1140342</v>
      </c>
      <c r="E34" s="64">
        <v>1961523</v>
      </c>
      <c r="F34" s="64">
        <v>3149573</v>
      </c>
      <c r="G34" s="64">
        <v>3898695</v>
      </c>
      <c r="H34" s="65">
        <v>8500405</v>
      </c>
      <c r="I34" s="65">
        <v>13704752</v>
      </c>
      <c r="J34" s="65">
        <v>15733748</v>
      </c>
      <c r="K34" s="65">
        <v>14960151</v>
      </c>
      <c r="L34" s="65">
        <v>18535404</v>
      </c>
      <c r="M34" s="66">
        <v>282858023</v>
      </c>
      <c r="N34" s="66">
        <v>254182700</v>
      </c>
      <c r="O34" s="66">
        <v>263947305</v>
      </c>
      <c r="P34" s="66">
        <v>251831404</v>
      </c>
      <c r="Q34" s="66">
        <v>270253037</v>
      </c>
      <c r="R34" s="67">
        <v>29189001</v>
      </c>
      <c r="S34" s="67">
        <v>30315318</v>
      </c>
      <c r="T34" s="67">
        <v>32265200</v>
      </c>
      <c r="U34" s="67">
        <v>35402071</v>
      </c>
      <c r="V34" s="67">
        <v>39285275</v>
      </c>
    </row>
    <row r="35" spans="1:22" ht="14.25" customHeight="1">
      <c r="A35" s="33" t="s">
        <v>57</v>
      </c>
      <c r="B35" s="39">
        <v>44047290</v>
      </c>
      <c r="C35" s="64">
        <v>-421318</v>
      </c>
      <c r="D35" s="64">
        <v>-6153262</v>
      </c>
      <c r="E35" s="64">
        <v>-28950468</v>
      </c>
      <c r="F35" s="64">
        <v>-34355944</v>
      </c>
      <c r="G35" s="64">
        <v>-44790355</v>
      </c>
      <c r="H35" s="65">
        <v>111057228</v>
      </c>
      <c r="I35" s="65">
        <v>125207539</v>
      </c>
      <c r="J35" s="65">
        <v>120080846</v>
      </c>
      <c r="K35" s="65">
        <v>91323675</v>
      </c>
      <c r="L35" s="65">
        <v>27838606</v>
      </c>
      <c r="M35" s="66">
        <v>214816606</v>
      </c>
      <c r="N35" s="66">
        <v>201740080</v>
      </c>
      <c r="O35" s="66">
        <v>225797912</v>
      </c>
      <c r="P35" s="66">
        <v>219922350</v>
      </c>
      <c r="Q35" s="66">
        <v>245366150</v>
      </c>
      <c r="R35" s="67">
        <v>30569803</v>
      </c>
      <c r="S35" s="67">
        <v>85919313</v>
      </c>
      <c r="T35" s="67">
        <v>56754210</v>
      </c>
      <c r="U35" s="67">
        <v>21742193</v>
      </c>
      <c r="V35" s="67">
        <v>143302286</v>
      </c>
    </row>
    <row r="36" spans="1:22" ht="14.25" customHeight="1">
      <c r="A36" s="33" t="s">
        <v>58</v>
      </c>
      <c r="B36" s="39">
        <v>5050500</v>
      </c>
      <c r="C36" s="64">
        <v>-172078</v>
      </c>
      <c r="D36" s="64">
        <v>-952432</v>
      </c>
      <c r="E36" s="64">
        <v>672754</v>
      </c>
      <c r="F36" s="64">
        <v>-2846051</v>
      </c>
      <c r="G36" s="64">
        <v>-2501388</v>
      </c>
      <c r="H36" s="65">
        <v>17253957</v>
      </c>
      <c r="I36" s="65">
        <v>12015612</v>
      </c>
      <c r="J36" s="65">
        <v>17480481</v>
      </c>
      <c r="K36" s="65">
        <v>6652987</v>
      </c>
      <c r="L36" s="65">
        <v>389696</v>
      </c>
      <c r="M36" s="66">
        <v>34790177</v>
      </c>
      <c r="N36" s="66">
        <v>31046730</v>
      </c>
      <c r="O36" s="66">
        <v>23462088</v>
      </c>
      <c r="P36" s="66">
        <v>27128831</v>
      </c>
      <c r="Q36" s="66">
        <v>48126294</v>
      </c>
      <c r="R36" s="67">
        <v>34104440</v>
      </c>
      <c r="S36" s="67">
        <v>33606766</v>
      </c>
      <c r="T36" s="67">
        <v>34235231</v>
      </c>
      <c r="U36" s="67">
        <v>30336199</v>
      </c>
      <c r="V36" s="67">
        <v>28340886</v>
      </c>
    </row>
    <row r="37" spans="1:22" ht="14.25" customHeight="1">
      <c r="A37" s="33" t="s">
        <v>59</v>
      </c>
      <c r="B37" s="39">
        <v>13784285</v>
      </c>
      <c r="C37" s="64">
        <v>6980368</v>
      </c>
      <c r="D37" s="64">
        <v>9631470</v>
      </c>
      <c r="E37" s="64">
        <v>-9932649</v>
      </c>
      <c r="F37" s="64">
        <v>6840834</v>
      </c>
      <c r="G37" s="64">
        <v>12631257</v>
      </c>
      <c r="H37" s="65">
        <v>133756032</v>
      </c>
      <c r="I37" s="65">
        <v>160856608</v>
      </c>
      <c r="J37" s="65">
        <v>192456617</v>
      </c>
      <c r="K37" s="65">
        <v>257094946</v>
      </c>
      <c r="L37" s="65">
        <v>261556427</v>
      </c>
      <c r="M37" s="66">
        <v>59383985</v>
      </c>
      <c r="N37" s="66">
        <v>103705103</v>
      </c>
      <c r="O37" s="66">
        <v>128463976</v>
      </c>
      <c r="P37" s="66">
        <v>134953183</v>
      </c>
      <c r="Q37" s="66">
        <v>129227282</v>
      </c>
      <c r="R37" s="67">
        <v>68431213</v>
      </c>
      <c r="S37" s="67">
        <v>77673850</v>
      </c>
      <c r="T37" s="67">
        <v>88613806</v>
      </c>
      <c r="U37" s="67">
        <v>97538786</v>
      </c>
      <c r="V37" s="67">
        <v>110868117</v>
      </c>
    </row>
    <row r="38" spans="1:22" ht="14.25" customHeight="1">
      <c r="A38" s="33" t="s">
        <v>60</v>
      </c>
      <c r="B38" s="40">
        <v>25345736</v>
      </c>
      <c r="C38" s="64">
        <v>-9586617</v>
      </c>
      <c r="D38" s="64">
        <v>-3117449</v>
      </c>
      <c r="E38" s="64">
        <v>-8392666</v>
      </c>
      <c r="F38" s="64">
        <v>1013684</v>
      </c>
      <c r="G38" s="64">
        <v>6872913</v>
      </c>
      <c r="H38" s="65">
        <v>649624978</v>
      </c>
      <c r="I38" s="65">
        <v>657548597</v>
      </c>
      <c r="J38" s="65">
        <v>665523304</v>
      </c>
      <c r="K38" s="65">
        <v>724783677</v>
      </c>
      <c r="L38" s="65">
        <v>775277935</v>
      </c>
      <c r="M38" s="66">
        <v>314223680</v>
      </c>
      <c r="N38" s="66">
        <v>323651502</v>
      </c>
      <c r="O38" s="66">
        <v>338300600</v>
      </c>
      <c r="P38" s="66">
        <v>298077011</v>
      </c>
      <c r="Q38" s="66">
        <v>299295661</v>
      </c>
      <c r="R38" s="67">
        <v>50037812</v>
      </c>
      <c r="S38" s="67">
        <v>46812093</v>
      </c>
      <c r="T38" s="67">
        <v>37261685</v>
      </c>
      <c r="U38" s="67">
        <v>44697377</v>
      </c>
      <c r="V38" s="67">
        <v>49423396</v>
      </c>
    </row>
    <row r="39" spans="1:22" ht="14.25" customHeight="1">
      <c r="A39" s="33" t="s">
        <v>61</v>
      </c>
      <c r="B39" s="39">
        <v>4250400</v>
      </c>
      <c r="C39" s="64">
        <v>1216170</v>
      </c>
      <c r="D39" s="64">
        <v>2167848</v>
      </c>
      <c r="E39" s="64">
        <v>1135336</v>
      </c>
      <c r="F39" s="64">
        <v>1136892</v>
      </c>
      <c r="G39" s="64">
        <v>-6120768</v>
      </c>
      <c r="H39" s="65">
        <v>4947403</v>
      </c>
      <c r="I39" s="65">
        <v>6843886</v>
      </c>
      <c r="J39" s="65">
        <v>5466474</v>
      </c>
      <c r="K39" s="65">
        <v>13057296</v>
      </c>
      <c r="L39" s="65">
        <v>8932846</v>
      </c>
      <c r="M39" s="66">
        <v>555272</v>
      </c>
      <c r="N39" s="66">
        <v>1334010</v>
      </c>
      <c r="O39" s="66">
        <v>1351167</v>
      </c>
      <c r="P39" s="66">
        <v>1719857</v>
      </c>
      <c r="Q39" s="66">
        <v>2016622</v>
      </c>
      <c r="R39" s="67">
        <v>12068397</v>
      </c>
      <c r="S39" s="67">
        <v>12687912</v>
      </c>
      <c r="T39" s="67">
        <v>12200418</v>
      </c>
      <c r="U39" s="67">
        <v>13120762</v>
      </c>
      <c r="V39" s="67">
        <v>5073268</v>
      </c>
    </row>
    <row r="40" spans="1:22" ht="14.25" customHeight="1">
      <c r="A40" s="33" t="s">
        <v>62</v>
      </c>
      <c r="B40" s="39">
        <v>1100000</v>
      </c>
      <c r="C40" s="64">
        <v>-9375293</v>
      </c>
      <c r="D40" s="64">
        <v>-8961870</v>
      </c>
      <c r="E40" s="64">
        <v>-3341071</v>
      </c>
      <c r="F40" s="64">
        <v>-5512252</v>
      </c>
      <c r="G40" s="64">
        <v>-7700174</v>
      </c>
      <c r="H40" s="65">
        <v>44960783</v>
      </c>
      <c r="I40" s="65">
        <v>39563223</v>
      </c>
      <c r="J40" s="65">
        <v>66860622</v>
      </c>
      <c r="K40" s="65">
        <v>44448221</v>
      </c>
      <c r="L40" s="65">
        <v>17984310</v>
      </c>
      <c r="M40" s="66">
        <v>165713904</v>
      </c>
      <c r="N40" s="66">
        <v>166207065</v>
      </c>
      <c r="O40" s="66">
        <v>153733055</v>
      </c>
      <c r="P40" s="66">
        <v>169671737</v>
      </c>
      <c r="Q40" s="66">
        <v>230817868</v>
      </c>
      <c r="R40" s="67">
        <v>61794177</v>
      </c>
      <c r="S40" s="67">
        <v>52622689</v>
      </c>
      <c r="T40" s="67">
        <v>49084912</v>
      </c>
      <c r="U40" s="67">
        <v>48480225</v>
      </c>
      <c r="V40" s="67">
        <v>37809397</v>
      </c>
    </row>
    <row r="41" spans="1:22" ht="14.25" customHeight="1">
      <c r="A41" s="33" t="s">
        <v>63</v>
      </c>
      <c r="B41" s="39">
        <v>28184091</v>
      </c>
      <c r="C41" s="64">
        <v>1621460</v>
      </c>
      <c r="D41" s="64">
        <v>18638969</v>
      </c>
      <c r="E41" s="64">
        <v>25980182</v>
      </c>
      <c r="F41" s="64">
        <v>2440312</v>
      </c>
      <c r="G41" s="64">
        <v>3110466</v>
      </c>
      <c r="H41" s="65">
        <v>82783819</v>
      </c>
      <c r="I41" s="65">
        <v>127900616</v>
      </c>
      <c r="J41" s="65">
        <v>159442785</v>
      </c>
      <c r="K41" s="65">
        <v>99053745</v>
      </c>
      <c r="L41" s="65">
        <v>111229349</v>
      </c>
      <c r="M41" s="66">
        <v>35568632</v>
      </c>
      <c r="N41" s="66">
        <v>40315206</v>
      </c>
      <c r="O41" s="66">
        <v>44581007</v>
      </c>
      <c r="P41" s="66">
        <v>49209724</v>
      </c>
      <c r="Q41" s="66">
        <v>71045620</v>
      </c>
      <c r="R41" s="67">
        <v>64946476</v>
      </c>
      <c r="S41" s="67">
        <v>71376034</v>
      </c>
      <c r="T41" s="67">
        <v>84827954</v>
      </c>
      <c r="U41" s="67">
        <v>74383286</v>
      </c>
      <c r="V41" s="67">
        <v>68616227</v>
      </c>
    </row>
    <row r="42" spans="1:22" ht="14.25" customHeight="1">
      <c r="A42" s="33" t="s">
        <v>64</v>
      </c>
      <c r="B42" s="39">
        <v>2307693</v>
      </c>
      <c r="C42" s="64">
        <v>16398079</v>
      </c>
      <c r="D42" s="64">
        <v>21055608</v>
      </c>
      <c r="E42" s="64">
        <v>29341890</v>
      </c>
      <c r="F42" s="64">
        <v>23271441</v>
      </c>
      <c r="G42" s="64">
        <v>27492685</v>
      </c>
      <c r="H42" s="65">
        <v>17558266</v>
      </c>
      <c r="I42" s="65">
        <v>30162325</v>
      </c>
      <c r="J42" s="65">
        <v>19665311</v>
      </c>
      <c r="K42" s="65">
        <v>35330767</v>
      </c>
      <c r="L42" s="65">
        <v>40533534</v>
      </c>
      <c r="M42" s="66">
        <v>959370851</v>
      </c>
      <c r="N42" s="66">
        <v>981072774</v>
      </c>
      <c r="O42" s="66">
        <v>1041041053</v>
      </c>
      <c r="P42" s="66">
        <v>1113716118</v>
      </c>
      <c r="Q42" s="66">
        <v>1157457803</v>
      </c>
      <c r="R42" s="67">
        <v>365412862</v>
      </c>
      <c r="S42" s="67">
        <v>379642622</v>
      </c>
      <c r="T42" s="67">
        <v>400302433</v>
      </c>
      <c r="U42" s="67">
        <v>408932925</v>
      </c>
      <c r="V42" s="67">
        <v>421318516</v>
      </c>
    </row>
    <row r="43" spans="1:22" ht="14.25" customHeight="1">
      <c r="A43" s="33" t="s">
        <v>65</v>
      </c>
      <c r="B43" s="39">
        <v>12130800</v>
      </c>
      <c r="C43" s="64">
        <v>7145624.4280000003</v>
      </c>
      <c r="D43" s="64">
        <v>9063508.3090000004</v>
      </c>
      <c r="E43" s="64">
        <v>8051777.0369999995</v>
      </c>
      <c r="F43" s="64">
        <v>-3951540.2289999998</v>
      </c>
      <c r="G43" s="64">
        <v>9540002.7060000002</v>
      </c>
      <c r="H43" s="65">
        <v>40634653.523000002</v>
      </c>
      <c r="I43" s="65">
        <v>49386786.600000001</v>
      </c>
      <c r="J43" s="65">
        <v>56863378.447999999</v>
      </c>
      <c r="K43" s="65">
        <v>61818227.652000003</v>
      </c>
      <c r="L43" s="65">
        <v>69331868.394999996</v>
      </c>
      <c r="M43" s="66">
        <v>22695948.642000001</v>
      </c>
      <c r="N43" s="66">
        <v>30334050.420000002</v>
      </c>
      <c r="O43" s="66">
        <v>30522708.671999998</v>
      </c>
      <c r="P43" s="66">
        <v>41528663.935000002</v>
      </c>
      <c r="Q43" s="66">
        <v>44329720.756999999</v>
      </c>
      <c r="R43" s="67">
        <v>32318116.535999998</v>
      </c>
      <c r="S43" s="67">
        <v>37209066.523000002</v>
      </c>
      <c r="T43" s="67">
        <v>37524262.825000003</v>
      </c>
      <c r="U43" s="67">
        <v>25095527.987</v>
      </c>
      <c r="V43" s="67">
        <v>29690928.886</v>
      </c>
    </row>
    <row r="44" spans="1:22" ht="14.25" customHeight="1">
      <c r="A44" s="34" t="s">
        <v>66</v>
      </c>
      <c r="B44" s="39">
        <v>966000</v>
      </c>
      <c r="C44" s="64">
        <v>2790467</v>
      </c>
      <c r="D44" s="64">
        <v>489939</v>
      </c>
      <c r="E44" s="64">
        <v>142237</v>
      </c>
      <c r="F44" s="64">
        <v>416550</v>
      </c>
      <c r="G44" s="64">
        <v>787460</v>
      </c>
      <c r="H44" s="65">
        <v>5921854</v>
      </c>
      <c r="I44" s="65">
        <v>744297</v>
      </c>
      <c r="J44" s="65">
        <v>758996</v>
      </c>
      <c r="K44" s="65">
        <v>1052556</v>
      </c>
      <c r="L44" s="65">
        <v>1192821</v>
      </c>
      <c r="M44" s="66">
        <f>11810500-R44</f>
        <v>4505217</v>
      </c>
      <c r="N44" s="66">
        <f>3760000+339785</f>
        <v>4099785</v>
      </c>
      <c r="O44" s="66">
        <f>3896500+343752</f>
        <v>4240252</v>
      </c>
      <c r="P44" s="66">
        <v>4677768</v>
      </c>
      <c r="Q44" s="66">
        <v>4545077</v>
      </c>
      <c r="R44" s="67">
        <v>7305283</v>
      </c>
      <c r="S44" s="67">
        <v>6346222</v>
      </c>
      <c r="T44" s="67">
        <v>6005460</v>
      </c>
      <c r="U44" s="67">
        <v>5939010</v>
      </c>
      <c r="V44" s="67">
        <v>6243470</v>
      </c>
    </row>
    <row r="45" spans="1:22" ht="14.25" customHeight="1">
      <c r="A45" s="34" t="s">
        <v>68</v>
      </c>
      <c r="B45" s="39">
        <v>32000000</v>
      </c>
      <c r="C45" s="64">
        <v>6979958</v>
      </c>
      <c r="D45" s="64">
        <v>8703199</v>
      </c>
      <c r="E45" s="64">
        <v>7830096</v>
      </c>
      <c r="F45" s="64">
        <v>5545876</v>
      </c>
      <c r="G45" s="64">
        <v>19371990</v>
      </c>
      <c r="H45" s="65">
        <v>91074505</v>
      </c>
      <c r="I45" s="65">
        <v>84549649</v>
      </c>
      <c r="J45" s="65">
        <v>96616277</v>
      </c>
      <c r="K45" s="65">
        <v>136146412</v>
      </c>
      <c r="L45" s="65">
        <v>147871511</v>
      </c>
      <c r="M45" s="66">
        <f>158416399-R45</f>
        <v>43269652</v>
      </c>
      <c r="N45" s="66">
        <v>45642269</v>
      </c>
      <c r="O45" s="66">
        <v>80166169</v>
      </c>
      <c r="P45" s="66">
        <v>103926136</v>
      </c>
      <c r="Q45" s="66">
        <v>100071407</v>
      </c>
      <c r="R45" s="67">
        <v>115146747</v>
      </c>
      <c r="S45" s="67">
        <v>108833938</v>
      </c>
      <c r="T45" s="67">
        <v>103698489</v>
      </c>
      <c r="U45" s="67">
        <v>94252712</v>
      </c>
      <c r="V45" s="67">
        <v>116206097</v>
      </c>
    </row>
    <row r="46" spans="1:22" ht="14.25" customHeight="1">
      <c r="A46" t="s">
        <v>69</v>
      </c>
      <c r="B46" s="39">
        <v>30000000</v>
      </c>
      <c r="C46" s="64">
        <v>-5765829</v>
      </c>
      <c r="D46" s="64">
        <v>1808344</v>
      </c>
      <c r="E46" s="64">
        <v>6340059</v>
      </c>
      <c r="F46" s="64">
        <v>8998657</v>
      </c>
      <c r="G46" s="64">
        <v>10126529</v>
      </c>
      <c r="H46" s="65">
        <v>32018292</v>
      </c>
      <c r="I46" s="65">
        <v>49934915</v>
      </c>
      <c r="J46" s="65">
        <v>68790330</v>
      </c>
      <c r="K46" s="65">
        <v>84718638</v>
      </c>
      <c r="L46" s="65">
        <v>103534618</v>
      </c>
      <c r="M46" s="66">
        <v>664750055</v>
      </c>
      <c r="N46" s="66">
        <v>833255508</v>
      </c>
      <c r="O46" s="66">
        <v>1066752060</v>
      </c>
      <c r="P46" s="66">
        <v>1264337588</v>
      </c>
      <c r="Q46" s="66">
        <v>1513574232</v>
      </c>
      <c r="R46" s="67">
        <v>155458203</v>
      </c>
      <c r="S46" s="67">
        <v>157269765</v>
      </c>
      <c r="T46" s="67">
        <v>163612043</v>
      </c>
      <c r="U46" s="67">
        <v>170081835</v>
      </c>
      <c r="V46" s="67">
        <v>179123397</v>
      </c>
    </row>
    <row r="47" spans="1:22" ht="14.25" customHeight="1">
      <c r="A47" s="36" t="s">
        <v>70</v>
      </c>
      <c r="B47" s="40">
        <v>2223334</v>
      </c>
      <c r="C47" s="64">
        <v>290537</v>
      </c>
      <c r="D47" s="64">
        <v>-384549</v>
      </c>
      <c r="E47" s="64">
        <v>-391079</v>
      </c>
      <c r="F47" s="64">
        <v>-1413801</v>
      </c>
      <c r="G47" s="64">
        <v>-714137</v>
      </c>
      <c r="H47" s="65">
        <v>6186198</v>
      </c>
      <c r="I47" s="65">
        <v>7925085</v>
      </c>
      <c r="J47" s="65">
        <v>7955547</v>
      </c>
      <c r="K47" s="65">
        <v>6271779</v>
      </c>
      <c r="L47" s="65">
        <v>4588790</v>
      </c>
      <c r="M47" s="66">
        <v>9407312</v>
      </c>
      <c r="N47" s="66">
        <v>10451909</v>
      </c>
      <c r="O47" s="66">
        <v>12514405</v>
      </c>
      <c r="P47" s="66">
        <v>12359552</v>
      </c>
      <c r="Q47" s="66">
        <v>12643889</v>
      </c>
      <c r="R47" s="67">
        <v>-4795270</v>
      </c>
      <c r="S47" s="67">
        <v>-5179818</v>
      </c>
      <c r="T47" s="67">
        <v>-5911534</v>
      </c>
      <c r="U47" s="67">
        <v>-7379313</v>
      </c>
      <c r="V47" s="67">
        <v>-8160236</v>
      </c>
    </row>
    <row r="48" spans="1:22" ht="14.25" customHeight="1">
      <c r="A48" s="36" t="s">
        <v>71</v>
      </c>
      <c r="B48" s="40">
        <v>1637504</v>
      </c>
      <c r="C48" s="64">
        <v>15530807</v>
      </c>
      <c r="D48" s="64">
        <v>21323933</v>
      </c>
      <c r="E48" s="64">
        <v>19115474</v>
      </c>
      <c r="F48" s="64">
        <v>23540861</v>
      </c>
      <c r="G48" s="64">
        <v>27542392</v>
      </c>
      <c r="H48" s="65">
        <v>99769848</v>
      </c>
      <c r="I48" s="65">
        <v>128954528</v>
      </c>
      <c r="J48" s="65">
        <v>119230650</v>
      </c>
      <c r="K48" s="65">
        <v>131347248</v>
      </c>
      <c r="L48" s="65">
        <v>140071799</v>
      </c>
      <c r="M48" s="66">
        <v>55460152</v>
      </c>
      <c r="N48" s="66">
        <v>62317105</v>
      </c>
      <c r="O48" s="66">
        <v>60054598</v>
      </c>
      <c r="P48" s="66">
        <v>66268353</v>
      </c>
      <c r="Q48" s="66">
        <v>73418154</v>
      </c>
      <c r="R48" s="67">
        <f>60311198-586355+15530807</f>
        <v>75255650</v>
      </c>
      <c r="S48" s="67">
        <f>67998174-1217186+21323933</f>
        <v>88104921</v>
      </c>
      <c r="T48" s="67">
        <f>79563412-1189628+19115474</f>
        <v>97489258</v>
      </c>
      <c r="U48" s="67">
        <f>88946172-1225474+23540861</f>
        <v>111261559</v>
      </c>
      <c r="V48" s="67">
        <f>101636404-1450653+27542392</f>
        <v>127728143</v>
      </c>
    </row>
    <row r="49" spans="1:22" ht="14.25" customHeight="1">
      <c r="A49" s="36" t="s">
        <v>72</v>
      </c>
      <c r="B49" s="40">
        <v>1947253</v>
      </c>
      <c r="C49" s="64">
        <v>-40174933</v>
      </c>
      <c r="D49" s="64">
        <v>-45846561</v>
      </c>
      <c r="E49" s="64">
        <v>-24719789</v>
      </c>
      <c r="F49" s="64">
        <v>-39309786</v>
      </c>
      <c r="G49" s="64">
        <v>-44400661</v>
      </c>
      <c r="H49" s="65">
        <v>179605997</v>
      </c>
      <c r="I49" s="65">
        <v>184151492</v>
      </c>
      <c r="J49" s="65">
        <v>253834897</v>
      </c>
      <c r="K49" s="65">
        <v>193563960</v>
      </c>
      <c r="L49" s="65">
        <v>168509961</v>
      </c>
      <c r="M49" s="66">
        <v>266422126</v>
      </c>
      <c r="N49" s="66">
        <v>342310913</v>
      </c>
      <c r="O49" s="66">
        <v>389088179</v>
      </c>
      <c r="P49" s="66">
        <v>372906866</v>
      </c>
      <c r="Q49" s="66">
        <v>384422260</v>
      </c>
      <c r="R49" s="67">
        <v>-55611143</v>
      </c>
      <c r="S49" s="67">
        <v>-101511541</v>
      </c>
      <c r="T49" s="67">
        <v>-126284291</v>
      </c>
      <c r="U49" s="67">
        <v>-165653600</v>
      </c>
      <c r="V49" s="67">
        <v>-190055502</v>
      </c>
    </row>
    <row r="50" spans="1:22" ht="14.25" customHeight="1">
      <c r="A50" s="36" t="s">
        <v>73</v>
      </c>
      <c r="B50" s="40">
        <v>24000000</v>
      </c>
      <c r="C50" s="64">
        <v>-4756960</v>
      </c>
      <c r="D50" s="64">
        <v>-13168949</v>
      </c>
      <c r="E50" s="64">
        <v>-8568749</v>
      </c>
      <c r="F50" s="64">
        <v>-9649983</v>
      </c>
      <c r="G50" s="64">
        <v>3693042</v>
      </c>
      <c r="H50" s="65">
        <v>122749935</v>
      </c>
      <c r="I50" s="65">
        <v>124775213</v>
      </c>
      <c r="J50" s="65">
        <v>129454469</v>
      </c>
      <c r="K50" s="65">
        <v>117620623</v>
      </c>
      <c r="L50" s="65">
        <v>153403518</v>
      </c>
      <c r="M50" s="66">
        <v>111181507</v>
      </c>
      <c r="N50" s="66">
        <v>130247980</v>
      </c>
      <c r="O50" s="66">
        <v>131602517</v>
      </c>
      <c r="P50" s="66">
        <v>145488659</v>
      </c>
      <c r="Q50" s="66">
        <v>136786312</v>
      </c>
      <c r="R50" s="67">
        <v>47081827</v>
      </c>
      <c r="S50" s="67">
        <v>33852648</v>
      </c>
      <c r="T50" s="67">
        <v>25328875</v>
      </c>
      <c r="U50" s="67">
        <v>15673420</v>
      </c>
      <c r="V50" s="67">
        <v>19685979</v>
      </c>
    </row>
    <row r="51" spans="1:22" ht="14.25" customHeight="1">
      <c r="A51" s="36" t="s">
        <v>74</v>
      </c>
      <c r="B51" s="40">
        <v>30000000</v>
      </c>
      <c r="C51" s="64">
        <v>13396097</v>
      </c>
      <c r="D51" s="64">
        <v>28819634</v>
      </c>
      <c r="E51" s="64">
        <v>18896541</v>
      </c>
      <c r="F51" s="64">
        <v>37815493</v>
      </c>
      <c r="G51" s="64">
        <v>61222876</v>
      </c>
      <c r="H51" s="65">
        <v>17837494</v>
      </c>
      <c r="I51" s="65">
        <v>24955019</v>
      </c>
      <c r="J51" s="65">
        <v>30215962</v>
      </c>
      <c r="K51" s="65">
        <v>28951503</v>
      </c>
      <c r="L51" s="65">
        <v>27449311</v>
      </c>
      <c r="M51" s="66">
        <v>281577533</v>
      </c>
      <c r="N51" s="66">
        <v>324692820</v>
      </c>
      <c r="O51" s="66">
        <v>307141873</v>
      </c>
      <c r="P51" s="66">
        <v>343784953</v>
      </c>
      <c r="Q51" s="66">
        <v>359051333</v>
      </c>
      <c r="R51" s="67">
        <v>88005294</v>
      </c>
      <c r="S51" s="67">
        <v>94932008</v>
      </c>
      <c r="T51" s="67">
        <v>103756822</v>
      </c>
      <c r="U51" s="67">
        <v>112467530</v>
      </c>
      <c r="V51" s="67">
        <v>111210504</v>
      </c>
    </row>
    <row r="52" spans="1:22" ht="14.25" customHeight="1">
      <c r="A52" s="36" t="s">
        <v>75</v>
      </c>
      <c r="B52" s="40">
        <v>87391790</v>
      </c>
      <c r="C52" s="64">
        <v>624641</v>
      </c>
      <c r="D52" s="64">
        <v>1766521</v>
      </c>
      <c r="E52" s="64">
        <v>5569995</v>
      </c>
      <c r="F52" s="64">
        <v>8577827</v>
      </c>
      <c r="G52" s="64">
        <v>16315042</v>
      </c>
      <c r="H52" s="65">
        <v>17974822</v>
      </c>
      <c r="I52" s="65">
        <v>18836747</v>
      </c>
      <c r="J52" s="65">
        <v>27878876</v>
      </c>
      <c r="K52" s="65">
        <v>30356888</v>
      </c>
      <c r="L52" s="65">
        <v>30737418</v>
      </c>
      <c r="M52" s="66">
        <v>473906727</v>
      </c>
      <c r="N52" s="66">
        <v>457167856</v>
      </c>
      <c r="O52" s="66">
        <v>509408579</v>
      </c>
      <c r="P52" s="66">
        <v>532572561</v>
      </c>
      <c r="Q52" s="66">
        <v>556237211</v>
      </c>
      <c r="R52" s="67">
        <v>-64124657</v>
      </c>
      <c r="S52" s="67">
        <v>70457972</v>
      </c>
      <c r="T52" s="67">
        <v>76027967</v>
      </c>
      <c r="U52" s="67">
        <v>84605794</v>
      </c>
      <c r="V52" s="67">
        <v>100920836</v>
      </c>
    </row>
    <row r="53" spans="1:22" ht="14.25" customHeight="1">
      <c r="A53" s="36" t="s">
        <v>76</v>
      </c>
      <c r="B53" s="40">
        <v>4500000</v>
      </c>
      <c r="C53" s="64">
        <v>-18324000</v>
      </c>
      <c r="D53" s="64">
        <v>-32427000</v>
      </c>
      <c r="E53" s="64">
        <v>-30303000</v>
      </c>
      <c r="F53" s="64">
        <v>-37874000</v>
      </c>
      <c r="G53" s="64">
        <v>-30204000</v>
      </c>
      <c r="H53" s="65">
        <v>48869000</v>
      </c>
      <c r="I53" s="65">
        <v>75281000</v>
      </c>
      <c r="J53" s="65">
        <v>74332000</v>
      </c>
      <c r="K53" s="65">
        <v>78713000</v>
      </c>
      <c r="L53" s="65">
        <v>83432000</v>
      </c>
      <c r="M53" s="66">
        <v>1057972000</v>
      </c>
      <c r="N53" s="66">
        <v>1173663000</v>
      </c>
      <c r="O53" s="66">
        <v>1228991000</v>
      </c>
      <c r="P53" s="66">
        <v>1393027000</v>
      </c>
      <c r="Q53" s="66">
        <v>1472034000</v>
      </c>
      <c r="R53" s="67">
        <v>327290000</v>
      </c>
      <c r="S53" s="67">
        <v>349190000</v>
      </c>
      <c r="T53" s="67">
        <v>327643000</v>
      </c>
      <c r="U53" s="67">
        <v>170705000</v>
      </c>
      <c r="V53" s="67">
        <v>158713000</v>
      </c>
    </row>
    <row r="54" spans="1:22" ht="14.25" customHeight="1">
      <c r="A54" s="36" t="s">
        <v>77</v>
      </c>
      <c r="B54" s="40">
        <v>4461532</v>
      </c>
      <c r="C54" s="64">
        <v>804082</v>
      </c>
      <c r="D54" s="64">
        <v>10148</v>
      </c>
      <c r="E54" s="64">
        <v>-3333845</v>
      </c>
      <c r="F54" s="64">
        <v>218409</v>
      </c>
      <c r="G54" s="64">
        <v>943507</v>
      </c>
      <c r="H54" s="65">
        <v>56227345</v>
      </c>
      <c r="I54" s="65">
        <v>66462113</v>
      </c>
      <c r="J54" s="65">
        <v>62392987</v>
      </c>
      <c r="K54" s="65">
        <v>62509056</v>
      </c>
      <c r="L54" s="65">
        <v>72475993</v>
      </c>
      <c r="M54" s="66">
        <v>19665844</v>
      </c>
      <c r="N54" s="66">
        <v>22114646</v>
      </c>
      <c r="O54" s="66">
        <v>21952580</v>
      </c>
      <c r="P54" s="66">
        <v>21769731</v>
      </c>
      <c r="Q54" s="66">
        <v>26582519</v>
      </c>
      <c r="R54" s="67">
        <v>9129693</v>
      </c>
      <c r="S54" s="67">
        <v>8845150</v>
      </c>
      <c r="T54" s="67">
        <v>5481331</v>
      </c>
      <c r="U54" s="67">
        <v>5674694</v>
      </c>
      <c r="V54" s="67">
        <v>6618201</v>
      </c>
    </row>
    <row r="55" spans="1:22" ht="14.25" customHeight="1">
      <c r="A55" s="36" t="s">
        <v>78</v>
      </c>
      <c r="B55" s="40">
        <v>15777070</v>
      </c>
      <c r="C55" s="64">
        <v>-37032899</v>
      </c>
      <c r="D55" s="64">
        <v>-26898042</v>
      </c>
      <c r="E55" s="64">
        <v>-39188000</v>
      </c>
      <c r="F55" s="64">
        <v>-42372774</v>
      </c>
      <c r="G55" s="64">
        <v>-10067663</v>
      </c>
      <c r="H55" s="65">
        <v>1018231699</v>
      </c>
      <c r="I55" s="65">
        <v>1018302242</v>
      </c>
      <c r="J55" s="65">
        <v>1030434817</v>
      </c>
      <c r="K55" s="65">
        <v>1109063173</v>
      </c>
      <c r="L55" s="65">
        <v>1139052949</v>
      </c>
      <c r="M55" s="66">
        <v>723507514</v>
      </c>
      <c r="N55" s="66">
        <v>720750372</v>
      </c>
      <c r="O55" s="66">
        <v>737209137</v>
      </c>
      <c r="P55" s="66">
        <v>692022783</v>
      </c>
      <c r="Q55" s="66">
        <v>678457677</v>
      </c>
      <c r="R55" s="67">
        <v>-56534766</v>
      </c>
      <c r="S55" s="67">
        <v>-42423295</v>
      </c>
      <c r="T55" s="67">
        <v>-82679645</v>
      </c>
      <c r="U55" s="67">
        <v>-6819474</v>
      </c>
      <c r="V55" s="67">
        <v>-77338323</v>
      </c>
    </row>
    <row r="56" spans="1:22" ht="14.25" customHeight="1">
      <c r="A56" s="36" t="s">
        <v>79</v>
      </c>
      <c r="B56" s="40">
        <v>10334430</v>
      </c>
      <c r="C56" s="64">
        <v>759248</v>
      </c>
      <c r="D56" s="64">
        <v>7903399</v>
      </c>
      <c r="E56" s="64">
        <v>5715195</v>
      </c>
      <c r="F56" s="64">
        <v>2975079</v>
      </c>
      <c r="G56" s="64">
        <v>8365882</v>
      </c>
      <c r="H56" s="65">
        <v>89599099</v>
      </c>
      <c r="I56" s="65">
        <v>114990628</v>
      </c>
      <c r="J56" s="65">
        <v>116185518</v>
      </c>
      <c r="K56" s="65">
        <v>124709171</v>
      </c>
      <c r="L56" s="65">
        <v>162592160</v>
      </c>
      <c r="M56" s="66">
        <v>43593964</v>
      </c>
      <c r="N56" s="66">
        <v>48185799</v>
      </c>
      <c r="O56" s="66">
        <v>48053251</v>
      </c>
      <c r="P56" s="66">
        <v>48540549</v>
      </c>
      <c r="Q56" s="66">
        <v>63337467</v>
      </c>
      <c r="R56" s="67">
        <v>46555480</v>
      </c>
      <c r="S56" s="67">
        <v>53276717</v>
      </c>
      <c r="T56" s="67">
        <v>56806265</v>
      </c>
      <c r="U56" s="67">
        <v>57498899</v>
      </c>
      <c r="V56" s="67">
        <v>63212502</v>
      </c>
    </row>
    <row r="57" spans="1:22" ht="14.25" customHeight="1">
      <c r="A57" s="36" t="s">
        <v>80</v>
      </c>
      <c r="B57" s="40">
        <v>5561635</v>
      </c>
      <c r="C57" s="64">
        <v>1056402</v>
      </c>
      <c r="D57" s="64">
        <v>1834726</v>
      </c>
      <c r="E57" s="64">
        <v>3314647</v>
      </c>
      <c r="F57" s="64">
        <v>3764171</v>
      </c>
      <c r="G57" s="64">
        <v>2816529</v>
      </c>
      <c r="H57" s="65">
        <v>18733455</v>
      </c>
      <c r="I57" s="65">
        <v>23347071</v>
      </c>
      <c r="J57" s="65">
        <v>28585109</v>
      </c>
      <c r="K57" s="65">
        <v>28768485</v>
      </c>
      <c r="L57" s="65">
        <v>29360090</v>
      </c>
      <c r="M57" s="66">
        <v>8677634</v>
      </c>
      <c r="N57" s="66">
        <v>9055388</v>
      </c>
      <c r="O57" s="66">
        <v>7830925</v>
      </c>
      <c r="P57" s="66">
        <v>9621387</v>
      </c>
      <c r="Q57" s="66">
        <v>9139031</v>
      </c>
      <c r="R57" s="67">
        <v>11672857</v>
      </c>
      <c r="S57" s="67">
        <v>12235522</v>
      </c>
      <c r="T57" s="67">
        <v>14359703</v>
      </c>
      <c r="U57" s="67">
        <v>16008448</v>
      </c>
      <c r="V57" s="67">
        <v>15583424</v>
      </c>
    </row>
    <row r="58" spans="1:22" ht="14.25" customHeight="1">
      <c r="A58" s="36" t="s">
        <v>81</v>
      </c>
      <c r="B58" s="40">
        <v>12400000</v>
      </c>
      <c r="C58" s="64">
        <v>-12968704</v>
      </c>
      <c r="D58" s="64">
        <v>-194892</v>
      </c>
      <c r="E58" s="64">
        <v>-9941027</v>
      </c>
      <c r="F58" s="64">
        <v>-8687140</v>
      </c>
      <c r="G58" s="64">
        <v>-11876483</v>
      </c>
      <c r="H58" s="65">
        <v>38670214</v>
      </c>
      <c r="I58" s="65">
        <v>63820219</v>
      </c>
      <c r="J58" s="65">
        <v>58395182</v>
      </c>
      <c r="K58" s="65">
        <v>40764050</v>
      </c>
      <c r="L58" s="65">
        <v>33030212</v>
      </c>
      <c r="M58" s="66">
        <v>121785155</v>
      </c>
      <c r="N58" s="66">
        <v>143261932</v>
      </c>
      <c r="O58" s="66">
        <v>152638866</v>
      </c>
      <c r="P58" s="66">
        <v>156745772</v>
      </c>
      <c r="Q58" s="66">
        <v>159586306</v>
      </c>
      <c r="R58" s="67">
        <v>21901561</v>
      </c>
      <c r="S58" s="67">
        <v>21634125</v>
      </c>
      <c r="T58" s="67">
        <v>11620553</v>
      </c>
      <c r="U58" s="67">
        <v>19871886</v>
      </c>
      <c r="V58" s="67">
        <v>18374915</v>
      </c>
    </row>
    <row r="59" spans="1:22" ht="14.25" customHeight="1">
      <c r="A59" s="36" t="s">
        <v>82</v>
      </c>
      <c r="B59" s="40">
        <v>15444000</v>
      </c>
      <c r="C59" s="64">
        <v>1676521</v>
      </c>
      <c r="D59" s="64">
        <v>4110684</v>
      </c>
      <c r="E59" s="64">
        <v>-251665</v>
      </c>
      <c r="F59" s="64">
        <v>1432924</v>
      </c>
      <c r="G59" s="64">
        <v>2383035</v>
      </c>
      <c r="H59" s="65">
        <v>53952982</v>
      </c>
      <c r="I59" s="65">
        <v>64602126</v>
      </c>
      <c r="J59" s="65">
        <v>49298589</v>
      </c>
      <c r="K59" s="65">
        <v>63688596</v>
      </c>
      <c r="L59" s="65">
        <v>64170175</v>
      </c>
      <c r="M59" s="66">
        <v>36921391</v>
      </c>
      <c r="N59" s="66">
        <v>32824436</v>
      </c>
      <c r="O59" s="66">
        <v>33977649</v>
      </c>
      <c r="P59" s="66">
        <v>39436193</v>
      </c>
      <c r="Q59" s="66">
        <v>37576025</v>
      </c>
      <c r="R59" s="67">
        <v>28211521</v>
      </c>
      <c r="S59" s="67">
        <v>30184594</v>
      </c>
      <c r="T59" s="67">
        <v>29437205</v>
      </c>
      <c r="U59" s="67">
        <v>29653156</v>
      </c>
      <c r="V59" s="67">
        <v>29899264</v>
      </c>
    </row>
    <row r="60" spans="1:22" ht="14.25" customHeight="1">
      <c r="A60" s="36" t="s">
        <v>83</v>
      </c>
      <c r="B60" s="40">
        <v>15600000</v>
      </c>
      <c r="C60" s="64">
        <v>10300180</v>
      </c>
      <c r="D60" s="64">
        <v>4664913</v>
      </c>
      <c r="E60" s="64">
        <v>1413255</v>
      </c>
      <c r="F60" s="64">
        <v>1873169</v>
      </c>
      <c r="G60" s="64">
        <v>720325</v>
      </c>
      <c r="H60" s="65">
        <v>46084011</v>
      </c>
      <c r="I60" s="65">
        <v>7234656</v>
      </c>
      <c r="J60" s="65">
        <v>7672136</v>
      </c>
      <c r="K60" s="65">
        <v>8689162</v>
      </c>
      <c r="L60" s="65">
        <v>5014410</v>
      </c>
      <c r="M60" s="66">
        <v>25239211</v>
      </c>
      <c r="N60" s="66">
        <v>19130051</v>
      </c>
      <c r="O60" s="66">
        <v>16877246</v>
      </c>
      <c r="P60" s="66">
        <v>20631104</v>
      </c>
      <c r="Q60" s="66">
        <v>27234964</v>
      </c>
      <c r="R60" s="67">
        <v>36766016</v>
      </c>
      <c r="S60" s="67">
        <v>37788968</v>
      </c>
      <c r="T60" s="67">
        <v>38948141</v>
      </c>
      <c r="U60" s="67">
        <v>40855316</v>
      </c>
      <c r="V60" s="67">
        <v>41670487</v>
      </c>
    </row>
    <row r="61" spans="1:22" ht="14.25" customHeight="1">
      <c r="A61" s="38" t="s">
        <v>84</v>
      </c>
      <c r="B61" s="40">
        <v>10123443</v>
      </c>
      <c r="C61" s="64"/>
      <c r="D61" s="64">
        <v>20163148</v>
      </c>
      <c r="E61" s="64">
        <v>18051261</v>
      </c>
      <c r="F61" s="64">
        <v>15074832</v>
      </c>
      <c r="G61" s="64">
        <v>15041631</v>
      </c>
      <c r="H61" s="65"/>
      <c r="I61" s="65">
        <v>317951491</v>
      </c>
      <c r="J61" s="65">
        <v>363624072</v>
      </c>
      <c r="K61" s="65">
        <v>374533327</v>
      </c>
      <c r="L61" s="65">
        <v>436303760</v>
      </c>
      <c r="M61" s="66"/>
      <c r="N61" s="66">
        <v>84759906</v>
      </c>
      <c r="O61" s="66">
        <v>110880734</v>
      </c>
      <c r="P61" s="66">
        <v>124436196</v>
      </c>
      <c r="Q61" s="66">
        <v>140262055</v>
      </c>
      <c r="R61" s="67"/>
      <c r="S61" s="67">
        <v>96240590</v>
      </c>
      <c r="T61" s="67">
        <v>97546025</v>
      </c>
      <c r="U61" s="67">
        <v>99613283</v>
      </c>
      <c r="V61" s="67">
        <v>104921806</v>
      </c>
    </row>
    <row r="62" spans="1:22" ht="14.25" customHeight="1">
      <c r="A62" s="38" t="s">
        <v>85</v>
      </c>
      <c r="B62" s="40">
        <v>40656000</v>
      </c>
      <c r="C62" s="64">
        <v>-15303588</v>
      </c>
      <c r="D62" s="64">
        <v>2253385</v>
      </c>
      <c r="E62" s="64">
        <v>-13823702</v>
      </c>
      <c r="F62" s="64">
        <v>-21107779</v>
      </c>
      <c r="G62" s="64">
        <v>-43516501</v>
      </c>
      <c r="H62" s="65">
        <v>127256481</v>
      </c>
      <c r="I62" s="65">
        <v>152305834</v>
      </c>
      <c r="J62" s="65">
        <v>154210248</v>
      </c>
      <c r="K62" s="65">
        <v>131208983</v>
      </c>
      <c r="L62" s="65">
        <v>90570116</v>
      </c>
      <c r="M62" s="66">
        <v>305454994</v>
      </c>
      <c r="N62" s="66">
        <v>316539753</v>
      </c>
      <c r="O62" s="66">
        <v>326088991</v>
      </c>
      <c r="P62" s="66">
        <v>359225211</v>
      </c>
      <c r="Q62" s="66">
        <v>350617305</v>
      </c>
      <c r="R62" s="67">
        <f>69149625+2046712</f>
        <v>71196337</v>
      </c>
      <c r="S62" s="67">
        <f>72954483-622437</f>
        <v>72332046</v>
      </c>
      <c r="T62" s="67">
        <f>58531898+1957674</f>
        <v>60489572</v>
      </c>
      <c r="U62" s="67">
        <f>3655506+33571655</f>
        <v>37227161</v>
      </c>
      <c r="V62" s="67">
        <f>-15309408+5059348</f>
        <v>-10250060</v>
      </c>
    </row>
    <row r="63" spans="1:22" ht="14.25" customHeight="1">
      <c r="A63" s="38" t="s">
        <v>86</v>
      </c>
      <c r="B63" s="40">
        <v>34513514</v>
      </c>
      <c r="C63" s="64">
        <v>-5962275</v>
      </c>
      <c r="D63" s="64">
        <v>1025715</v>
      </c>
      <c r="E63" s="64">
        <v>-4768161</v>
      </c>
      <c r="F63" s="64">
        <v>-9767631</v>
      </c>
      <c r="G63" s="64">
        <v>-14524034</v>
      </c>
      <c r="H63" s="65">
        <v>47785527</v>
      </c>
      <c r="I63" s="65">
        <v>62152220</v>
      </c>
      <c r="J63" s="65">
        <v>64601297</v>
      </c>
      <c r="K63" s="65">
        <v>56725256</v>
      </c>
      <c r="L63" s="65">
        <v>37616704</v>
      </c>
      <c r="M63" s="66">
        <v>93326817</v>
      </c>
      <c r="N63" s="66">
        <v>106228080</v>
      </c>
      <c r="O63" s="66">
        <v>104820102</v>
      </c>
      <c r="P63" s="66">
        <v>114751020</v>
      </c>
      <c r="Q63" s="66">
        <v>105744523</v>
      </c>
      <c r="R63" s="67">
        <v>42053675</v>
      </c>
      <c r="S63" s="67">
        <v>42900393</v>
      </c>
      <c r="T63" s="67">
        <v>37953233</v>
      </c>
      <c r="U63" s="67">
        <v>28006604</v>
      </c>
      <c r="V63" s="67">
        <v>36335543</v>
      </c>
    </row>
    <row r="64" spans="1:22" ht="14.25" customHeight="1">
      <c r="A64" s="38" t="s">
        <v>87</v>
      </c>
      <c r="B64" s="40">
        <v>4636800</v>
      </c>
      <c r="C64" s="64">
        <v>3882012</v>
      </c>
      <c r="D64" s="64">
        <v>-254799</v>
      </c>
      <c r="E64" s="64">
        <v>1196336</v>
      </c>
      <c r="F64" s="64">
        <v>3878594</v>
      </c>
      <c r="G64" s="64">
        <v>4103909</v>
      </c>
      <c r="H64" s="65">
        <v>32710420</v>
      </c>
      <c r="I64" s="65">
        <v>40152788</v>
      </c>
      <c r="J64" s="65">
        <v>50742688</v>
      </c>
      <c r="K64" s="65">
        <v>66485835</v>
      </c>
      <c r="L64" s="65">
        <v>71866163</v>
      </c>
      <c r="M64" s="66">
        <v>44434391</v>
      </c>
      <c r="N64" s="66">
        <v>41405802</v>
      </c>
      <c r="O64" s="66">
        <v>44048001</v>
      </c>
      <c r="P64" s="66">
        <v>63317875</v>
      </c>
      <c r="Q64" s="66">
        <v>56536928</v>
      </c>
      <c r="R64" s="67">
        <v>26877165</v>
      </c>
      <c r="S64" s="67">
        <v>26158686</v>
      </c>
      <c r="T64" s="67">
        <v>27355022</v>
      </c>
      <c r="U64" s="67">
        <v>31233616</v>
      </c>
      <c r="V64" s="67">
        <v>33059249</v>
      </c>
    </row>
    <row r="65" spans="1:22" ht="14.25" customHeight="1">
      <c r="A65" s="38" t="s">
        <v>88</v>
      </c>
      <c r="B65" s="40">
        <v>4138200</v>
      </c>
      <c r="C65" s="64">
        <v>7162143</v>
      </c>
      <c r="D65" s="64">
        <v>7640593</v>
      </c>
      <c r="E65" s="64">
        <v>9377564</v>
      </c>
      <c r="F65" s="64">
        <v>8696848</v>
      </c>
      <c r="G65" s="64">
        <v>8933920</v>
      </c>
      <c r="H65" s="65">
        <v>9266440</v>
      </c>
      <c r="I65" s="65">
        <v>18060234</v>
      </c>
      <c r="J65" s="65">
        <v>20244337</v>
      </c>
      <c r="K65" s="65">
        <v>18331311</v>
      </c>
      <c r="L65" s="65">
        <v>18775419</v>
      </c>
      <c r="M65" s="66">
        <v>9710521</v>
      </c>
      <c r="N65" s="66">
        <v>11600471</v>
      </c>
      <c r="O65" s="66">
        <v>12121588</v>
      </c>
      <c r="P65" s="66">
        <v>15785857</v>
      </c>
      <c r="Q65" s="66">
        <v>9957265</v>
      </c>
      <c r="R65" s="67">
        <v>47622038</v>
      </c>
      <c r="S65" s="67">
        <v>50492949</v>
      </c>
      <c r="T65" s="67">
        <v>54711406</v>
      </c>
      <c r="U65" s="67">
        <v>57123495</v>
      </c>
      <c r="V65" s="67">
        <v>59669093</v>
      </c>
    </row>
    <row r="66" spans="1:22" ht="14.25" customHeight="1">
      <c r="A66" s="38" t="s">
        <v>89</v>
      </c>
      <c r="B66" s="40">
        <v>2000000</v>
      </c>
      <c r="C66" s="64"/>
      <c r="D66" s="64">
        <v>4569765</v>
      </c>
      <c r="E66" s="64">
        <v>6369579</v>
      </c>
      <c r="F66" s="64">
        <v>1345754</v>
      </c>
      <c r="G66" s="64">
        <v>5823031</v>
      </c>
      <c r="H66" s="65"/>
      <c r="I66" s="65">
        <v>71633801</v>
      </c>
      <c r="J66" s="65">
        <v>113049772</v>
      </c>
      <c r="K66" s="65">
        <v>79975827</v>
      </c>
      <c r="L66" s="65">
        <v>109190916</v>
      </c>
      <c r="M66" s="66"/>
      <c r="N66" s="66">
        <v>30456876</v>
      </c>
      <c r="O66" s="66">
        <v>48321725</v>
      </c>
      <c r="P66" s="66">
        <v>41894683</v>
      </c>
      <c r="Q66" s="66">
        <v>75963070</v>
      </c>
      <c r="R66" s="67"/>
      <c r="S66" s="67">
        <v>28153587</v>
      </c>
      <c r="T66" s="67">
        <v>30495386</v>
      </c>
      <c r="U66" s="67">
        <v>27241140</v>
      </c>
      <c r="V66" s="67">
        <v>31064171</v>
      </c>
    </row>
    <row r="67" spans="1:22" ht="14.25" customHeight="1">
      <c r="A67" s="38" t="s">
        <v>90</v>
      </c>
      <c r="B67" s="40">
        <v>4207823</v>
      </c>
      <c r="C67" s="64">
        <v>142752222</v>
      </c>
      <c r="D67" s="64">
        <v>24184881</v>
      </c>
      <c r="E67" s="64">
        <v>11922736</v>
      </c>
      <c r="F67" s="64">
        <v>-1570648</v>
      </c>
      <c r="G67" s="64">
        <v>-9929154</v>
      </c>
      <c r="H67" s="65">
        <v>75983685</v>
      </c>
      <c r="I67" s="65">
        <v>123201339</v>
      </c>
      <c r="J67" s="65">
        <v>152426163</v>
      </c>
      <c r="K67" s="65">
        <v>139154927</v>
      </c>
      <c r="L67" s="65">
        <v>143206220</v>
      </c>
      <c r="M67" s="66">
        <v>182228196</v>
      </c>
      <c r="N67" s="66">
        <v>184860041</v>
      </c>
      <c r="O67" s="66">
        <v>211955616</v>
      </c>
      <c r="P67" s="66">
        <v>212597264</v>
      </c>
      <c r="Q67" s="66">
        <v>199452120</v>
      </c>
      <c r="R67" s="67">
        <v>-93230691</v>
      </c>
      <c r="S67" s="67">
        <v>5037776</v>
      </c>
      <c r="T67" s="67">
        <v>16900924</v>
      </c>
      <c r="U67" s="67">
        <v>15139375</v>
      </c>
      <c r="V67" s="67">
        <v>5210221</v>
      </c>
    </row>
    <row r="68" spans="1:22" ht="14.25" customHeight="1">
      <c r="A68" s="38" t="s">
        <v>91</v>
      </c>
      <c r="B68" s="40">
        <v>108000000</v>
      </c>
      <c r="C68" s="64">
        <v>-7254712</v>
      </c>
      <c r="D68" s="64">
        <v>-7254712</v>
      </c>
      <c r="E68" s="64">
        <v>-1903377</v>
      </c>
      <c r="F68" s="64">
        <v>1158519</v>
      </c>
      <c r="G68" s="64">
        <v>-866039</v>
      </c>
      <c r="H68" s="65">
        <v>68673429</v>
      </c>
      <c r="I68" s="65">
        <v>68673429</v>
      </c>
      <c r="J68" s="65">
        <v>80599640</v>
      </c>
      <c r="K68" s="65">
        <v>97250752</v>
      </c>
      <c r="L68" s="65">
        <v>73976177</v>
      </c>
      <c r="M68" s="66">
        <v>152006162</v>
      </c>
      <c r="N68" s="66">
        <v>152006162</v>
      </c>
      <c r="O68" s="66">
        <v>147361163</v>
      </c>
      <c r="P68" s="66">
        <v>162037514</v>
      </c>
      <c r="Q68" s="66">
        <v>167651920</v>
      </c>
      <c r="R68" s="67">
        <f>26470182-97347</f>
        <v>26372835</v>
      </c>
      <c r="S68" s="67">
        <f>26470182-97347</f>
        <v>26372835</v>
      </c>
      <c r="T68" s="67">
        <f>24959374+178548</f>
        <v>25137922</v>
      </c>
      <c r="U68" s="67">
        <f>26729343+221735</f>
        <v>26951078</v>
      </c>
      <c r="V68" s="67">
        <f>19655434+286949</f>
        <v>19942383</v>
      </c>
    </row>
    <row r="69" spans="1:22" ht="14.25" customHeight="1">
      <c r="A69" s="38" t="s">
        <v>92</v>
      </c>
      <c r="B69" s="40">
        <v>106199280</v>
      </c>
      <c r="C69" s="64"/>
      <c r="D69" s="64">
        <v>-239382</v>
      </c>
      <c r="E69" s="64">
        <v>-209038</v>
      </c>
      <c r="F69" s="64">
        <v>-317448</v>
      </c>
      <c r="G69" s="64">
        <v>-335031</v>
      </c>
      <c r="H69" s="65"/>
      <c r="I69" s="65">
        <v>1878415</v>
      </c>
      <c r="J69" s="65">
        <v>1935598</v>
      </c>
      <c r="K69" s="65">
        <v>646691</v>
      </c>
      <c r="L69" s="65">
        <v>809098</v>
      </c>
      <c r="M69" s="66"/>
      <c r="N69" s="66">
        <v>1827202</v>
      </c>
      <c r="O69" s="66">
        <v>2148260</v>
      </c>
      <c r="P69" s="66">
        <v>2492442</v>
      </c>
      <c r="Q69" s="66">
        <v>2623051</v>
      </c>
      <c r="R69" s="67"/>
      <c r="S69" s="67">
        <v>-669556</v>
      </c>
      <c r="T69" s="67">
        <v>-874048</v>
      </c>
      <c r="U69" s="67">
        <v>-1187511</v>
      </c>
      <c r="V69" s="67">
        <v>-1520391</v>
      </c>
    </row>
    <row r="70" spans="1:22" ht="14.25" customHeight="1">
      <c r="A70" s="38" t="s">
        <v>93</v>
      </c>
      <c r="B70" s="40">
        <v>47600000</v>
      </c>
      <c r="C70" s="64">
        <v>73065000</v>
      </c>
      <c r="D70" s="64">
        <v>137810000</v>
      </c>
      <c r="E70" s="64">
        <v>125148000</v>
      </c>
      <c r="F70" s="64">
        <v>142978000</v>
      </c>
      <c r="G70" s="64">
        <v>71028000</v>
      </c>
      <c r="H70" s="65">
        <v>559853000</v>
      </c>
      <c r="I70" s="65">
        <v>620842000</v>
      </c>
      <c r="J70" s="65">
        <v>711433000</v>
      </c>
      <c r="K70" s="65">
        <v>744647000</v>
      </c>
      <c r="L70" s="65">
        <v>840677000</v>
      </c>
      <c r="M70" s="66">
        <v>11884632000</v>
      </c>
      <c r="N70" s="66">
        <v>11578186000</v>
      </c>
      <c r="O70" s="66">
        <v>12804267000</v>
      </c>
      <c r="P70" s="66">
        <v>12694273000</v>
      </c>
      <c r="Q70" s="66">
        <v>13654610000</v>
      </c>
      <c r="R70" s="67">
        <v>1073447000</v>
      </c>
      <c r="S70" s="67">
        <v>1184175000</v>
      </c>
      <c r="T70" s="67">
        <v>1261158000</v>
      </c>
      <c r="U70" s="67">
        <v>1366864000</v>
      </c>
      <c r="V70" s="67">
        <v>1611089000</v>
      </c>
    </row>
    <row r="71" spans="1:22" ht="14.25" customHeight="1">
      <c r="A71" s="38" t="s">
        <v>94</v>
      </c>
      <c r="B71" s="40">
        <v>2660000</v>
      </c>
      <c r="C71" s="64">
        <v>9662269</v>
      </c>
      <c r="D71" s="64">
        <v>13147954</v>
      </c>
      <c r="E71" s="64">
        <v>13306391</v>
      </c>
      <c r="F71" s="64">
        <v>13175452</v>
      </c>
      <c r="G71" s="64">
        <v>11013950</v>
      </c>
      <c r="H71" s="65">
        <v>8264619</v>
      </c>
      <c r="I71" s="65">
        <f>8542386+932988</f>
        <v>9475374</v>
      </c>
      <c r="J71" s="65">
        <f>11053493+279251</f>
        <v>11332744</v>
      </c>
      <c r="K71" s="65">
        <f>12890750+1035450</f>
        <v>13926200</v>
      </c>
      <c r="L71" s="65">
        <f>13902221+23062</f>
        <v>13925283</v>
      </c>
      <c r="M71" s="66">
        <f>348726782-70228626</f>
        <v>278498156</v>
      </c>
      <c r="N71" s="66">
        <v>301787701</v>
      </c>
      <c r="O71" s="66">
        <v>352386529</v>
      </c>
      <c r="P71" s="66">
        <v>-864380431</v>
      </c>
      <c r="Q71" s="66">
        <v>456528739</v>
      </c>
      <c r="R71" s="67">
        <v>70228626</v>
      </c>
      <c r="S71" s="67">
        <f>80716549</f>
        <v>80716549</v>
      </c>
      <c r="T71" s="67">
        <v>91101614</v>
      </c>
      <c r="U71" s="67">
        <v>100951271</v>
      </c>
      <c r="V71" s="67">
        <v>107971569</v>
      </c>
    </row>
    <row r="72" spans="1:22" ht="14.25" customHeight="1">
      <c r="A72" s="38" t="s">
        <v>95</v>
      </c>
      <c r="B72" s="40">
        <v>1000000</v>
      </c>
      <c r="C72" s="64">
        <v>4488178</v>
      </c>
      <c r="D72" s="64">
        <v>3956985</v>
      </c>
      <c r="E72" s="64">
        <v>3168627</v>
      </c>
      <c r="F72" s="64">
        <v>1427160</v>
      </c>
      <c r="G72" s="64">
        <v>3111258</v>
      </c>
      <c r="H72" s="65">
        <v>5013258</v>
      </c>
      <c r="I72" s="65">
        <v>4552464</v>
      </c>
      <c r="J72" s="65">
        <v>3571192</v>
      </c>
      <c r="K72" s="65">
        <v>1762412</v>
      </c>
      <c r="L72" s="65">
        <v>3385480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7">
        <v>18951563</v>
      </c>
      <c r="S72" s="67">
        <v>18908548</v>
      </c>
      <c r="T72" s="67">
        <v>18177175</v>
      </c>
      <c r="U72" s="67">
        <v>17104333</v>
      </c>
      <c r="V72" s="67">
        <v>17715591</v>
      </c>
    </row>
    <row r="73" spans="1:22" ht="14.25" customHeight="1">
      <c r="A73" s="38" t="s">
        <v>96</v>
      </c>
      <c r="B73" s="40">
        <v>2750000</v>
      </c>
      <c r="C73" s="64">
        <v>3228640</v>
      </c>
      <c r="D73" s="64">
        <v>8949492</v>
      </c>
      <c r="E73" s="64">
        <v>7486494</v>
      </c>
      <c r="F73" s="64">
        <v>8821558</v>
      </c>
      <c r="G73" s="64">
        <v>10003860</v>
      </c>
      <c r="H73" s="65">
        <v>20121646</v>
      </c>
      <c r="I73" s="65">
        <v>27620400</v>
      </c>
      <c r="J73" s="65">
        <v>29289523</v>
      </c>
      <c r="K73" s="65">
        <v>30548938</v>
      </c>
      <c r="L73" s="65">
        <v>32861075</v>
      </c>
      <c r="M73" s="66">
        <v>415665299</v>
      </c>
      <c r="N73" s="66">
        <v>371964961</v>
      </c>
      <c r="O73" s="66">
        <v>366550189</v>
      </c>
      <c r="P73" s="66">
        <v>374936592</v>
      </c>
      <c r="Q73" s="66">
        <v>400595522</v>
      </c>
      <c r="R73" s="67">
        <v>55147866</v>
      </c>
      <c r="S73" s="67">
        <v>62505568</v>
      </c>
      <c r="T73" s="67">
        <v>66451925</v>
      </c>
      <c r="U73" s="67">
        <v>70961372</v>
      </c>
      <c r="V73" s="67">
        <v>76542263</v>
      </c>
    </row>
    <row r="74" spans="1:22" ht="14.25" customHeight="1">
      <c r="A74" s="38" t="s">
        <v>97</v>
      </c>
      <c r="B74" s="40">
        <v>20001529</v>
      </c>
      <c r="C74" s="64">
        <v>42459000</v>
      </c>
      <c r="D74" s="64">
        <v>30510000</v>
      </c>
      <c r="E74" s="64">
        <v>59725000</v>
      </c>
      <c r="F74" s="64">
        <v>53358000</v>
      </c>
      <c r="G74" s="64">
        <v>54985000</v>
      </c>
      <c r="H74" s="65">
        <v>243516000</v>
      </c>
      <c r="I74" s="65">
        <v>264440000</v>
      </c>
      <c r="J74" s="65">
        <v>294936000</v>
      </c>
      <c r="K74" s="65">
        <v>302878000</v>
      </c>
      <c r="L74" s="65">
        <v>321657000</v>
      </c>
      <c r="M74" s="66">
        <f>2629166000+172172000+51451000</f>
        <v>2852789000</v>
      </c>
      <c r="N74" s="66">
        <v>3076418000</v>
      </c>
      <c r="O74" s="66">
        <v>3164097000</v>
      </c>
      <c r="P74" s="66">
        <v>4017611000</v>
      </c>
      <c r="Q74" s="66">
        <v>4618827000</v>
      </c>
      <c r="R74" s="67">
        <v>449129000</v>
      </c>
      <c r="S74" s="67">
        <v>457608000</v>
      </c>
      <c r="T74" s="67">
        <v>501442000</v>
      </c>
      <c r="U74" s="67">
        <v>529920000</v>
      </c>
      <c r="V74" s="67">
        <v>556941000</v>
      </c>
    </row>
    <row r="75" spans="1:22" ht="14.25" customHeight="1">
      <c r="C75" s="54"/>
      <c r="H75" s="54"/>
    </row>
    <row r="76" spans="1:22" ht="14.25" customHeight="1">
      <c r="C76" s="54"/>
      <c r="H76" s="54"/>
    </row>
    <row r="77" spans="1:22" ht="14.25" customHeight="1">
      <c r="C77" s="54"/>
      <c r="H77" s="54"/>
    </row>
    <row r="78" spans="1:22" ht="14.25" customHeight="1">
      <c r="C78" s="54"/>
      <c r="H78" s="54"/>
    </row>
    <row r="79" spans="1:22" ht="14.25" customHeight="1">
      <c r="C79" s="54"/>
      <c r="H79" s="54"/>
    </row>
    <row r="80" spans="1:22" ht="14.25" customHeight="1">
      <c r="C80" s="54"/>
      <c r="H80" s="54"/>
    </row>
    <row r="81" spans="3:8" ht="14.25" customHeight="1">
      <c r="C81" s="54"/>
      <c r="H81" s="54"/>
    </row>
    <row r="82" spans="3:8" ht="14.25" customHeight="1">
      <c r="C82" s="54"/>
      <c r="H82" s="54"/>
    </row>
    <row r="83" spans="3:8" ht="14.25" customHeight="1">
      <c r="C83" s="54"/>
      <c r="H83" s="54"/>
    </row>
    <row r="84" spans="3:8" ht="14.25" customHeight="1">
      <c r="C84" s="54"/>
      <c r="H84" s="54"/>
    </row>
    <row r="85" spans="3:8" ht="14.25" customHeight="1">
      <c r="C85" s="54"/>
      <c r="H85" s="54"/>
    </row>
    <row r="86" spans="3:8" ht="14.25" customHeight="1">
      <c r="C86" s="54"/>
      <c r="H86" s="54"/>
    </row>
    <row r="87" spans="3:8" ht="14.25" customHeight="1">
      <c r="C87" s="54"/>
      <c r="H87" s="54"/>
    </row>
    <row r="88" spans="3:8" ht="14.25" customHeight="1">
      <c r="C88" s="54"/>
      <c r="H88" s="54"/>
    </row>
    <row r="89" spans="3:8" ht="14.25" customHeight="1">
      <c r="C89" s="54"/>
      <c r="H89" s="54"/>
    </row>
    <row r="90" spans="3:8" ht="14.25" customHeight="1">
      <c r="C90" s="54"/>
      <c r="H90" s="54"/>
    </row>
    <row r="91" spans="3:8" ht="14.25" customHeight="1">
      <c r="C91" s="54"/>
      <c r="H91" s="54"/>
    </row>
    <row r="92" spans="3:8" ht="14.25" customHeight="1">
      <c r="C92" s="54"/>
      <c r="H92" s="54"/>
    </row>
    <row r="93" spans="3:8" ht="14.25" customHeight="1">
      <c r="C93" s="54"/>
      <c r="H93" s="54"/>
    </row>
    <row r="94" spans="3:8" ht="14.25" customHeight="1">
      <c r="C94" s="54"/>
      <c r="H94" s="54"/>
    </row>
    <row r="95" spans="3:8" ht="14.25" customHeight="1">
      <c r="C95" s="54"/>
      <c r="H95" s="54"/>
    </row>
    <row r="96" spans="3:8" ht="14.25" customHeight="1">
      <c r="C96" s="54"/>
      <c r="H96" s="54"/>
    </row>
    <row r="97" spans="3:8" ht="14.25" customHeight="1">
      <c r="C97" s="54"/>
      <c r="H97" s="54"/>
    </row>
    <row r="98" spans="3:8" ht="14.25" customHeight="1">
      <c r="C98" s="54"/>
      <c r="H98" s="54"/>
    </row>
    <row r="99" spans="3:8" ht="14.25" customHeight="1">
      <c r="C99" s="54"/>
      <c r="H99" s="54"/>
    </row>
    <row r="100" spans="3:8" ht="14.25" customHeight="1">
      <c r="C100" s="54"/>
      <c r="H100" s="54"/>
    </row>
    <row r="101" spans="3:8" ht="14.25" customHeight="1">
      <c r="C101" s="54"/>
      <c r="H101" s="54"/>
    </row>
    <row r="102" spans="3:8" ht="14.25" customHeight="1">
      <c r="C102" s="54"/>
      <c r="H102" s="54"/>
    </row>
    <row r="103" spans="3:8" ht="14.25" customHeight="1">
      <c r="C103" s="54"/>
      <c r="H103" s="54"/>
    </row>
    <row r="104" spans="3:8" ht="14.25" customHeight="1">
      <c r="C104" s="54"/>
      <c r="H104" s="54"/>
    </row>
    <row r="105" spans="3:8" ht="14.25" customHeight="1">
      <c r="C105" s="54"/>
      <c r="H105" s="54"/>
    </row>
    <row r="106" spans="3:8" ht="14.25" customHeight="1">
      <c r="C106" s="54"/>
      <c r="H106" s="54"/>
    </row>
    <row r="107" spans="3:8" ht="14.25" customHeight="1">
      <c r="C107" s="54"/>
      <c r="H107" s="54"/>
    </row>
    <row r="108" spans="3:8" ht="14.25" customHeight="1">
      <c r="C108" s="54"/>
      <c r="H108" s="54"/>
    </row>
    <row r="109" spans="3:8" ht="14.25" customHeight="1">
      <c r="C109" s="54"/>
      <c r="H109" s="54"/>
    </row>
    <row r="110" spans="3:8" ht="14.25" customHeight="1">
      <c r="C110" s="54"/>
      <c r="H110" s="54"/>
    </row>
    <row r="111" spans="3:8" ht="14.25" customHeight="1">
      <c r="C111" s="54"/>
      <c r="H111" s="54"/>
    </row>
    <row r="112" spans="3:8" ht="14.25" customHeight="1">
      <c r="C112" s="54"/>
      <c r="H112" s="54"/>
    </row>
    <row r="113" spans="3:8" ht="14.25" customHeight="1">
      <c r="C113" s="54"/>
      <c r="H113" s="54"/>
    </row>
    <row r="114" spans="3:8" ht="14.25" customHeight="1">
      <c r="C114" s="54"/>
      <c r="H114" s="54"/>
    </row>
    <row r="115" spans="3:8" ht="14.25" customHeight="1">
      <c r="C115" s="54"/>
      <c r="H115" s="54"/>
    </row>
    <row r="116" spans="3:8" ht="14.25" customHeight="1">
      <c r="C116" s="54"/>
      <c r="H116" s="54"/>
    </row>
    <row r="117" spans="3:8" ht="14.25" customHeight="1">
      <c r="C117" s="54"/>
      <c r="H117" s="54"/>
    </row>
    <row r="118" spans="3:8" ht="14.25" customHeight="1">
      <c r="C118" s="54"/>
      <c r="H118" s="54"/>
    </row>
    <row r="119" spans="3:8" ht="14.25" customHeight="1">
      <c r="C119" s="54"/>
      <c r="H119" s="54"/>
    </row>
    <row r="120" spans="3:8" ht="14.25" customHeight="1">
      <c r="C120" s="54"/>
      <c r="H120" s="54"/>
    </row>
    <row r="121" spans="3:8" ht="14.25" customHeight="1">
      <c r="C121" s="54"/>
      <c r="H121" s="54"/>
    </row>
    <row r="122" spans="3:8" ht="14.25" customHeight="1">
      <c r="C122" s="54"/>
      <c r="H122" s="54"/>
    </row>
    <row r="123" spans="3:8" ht="14.25" customHeight="1">
      <c r="C123" s="54"/>
      <c r="H123" s="54"/>
    </row>
    <row r="124" spans="3:8" ht="14.25" customHeight="1">
      <c r="C124" s="54"/>
      <c r="H124" s="54"/>
    </row>
    <row r="125" spans="3:8" ht="14.25" customHeight="1">
      <c r="C125" s="54"/>
      <c r="H125" s="54"/>
    </row>
    <row r="126" spans="3:8" ht="14.25" customHeight="1">
      <c r="C126" s="54"/>
      <c r="H126" s="54"/>
    </row>
    <row r="127" spans="3:8" ht="14.25" customHeight="1">
      <c r="C127" s="54"/>
      <c r="H127" s="54"/>
    </row>
    <row r="128" spans="3:8" ht="14.25" customHeight="1">
      <c r="C128" s="54"/>
      <c r="H128" s="54"/>
    </row>
    <row r="129" spans="3:8" ht="14.25" customHeight="1">
      <c r="C129" s="54"/>
      <c r="H129" s="54"/>
    </row>
    <row r="130" spans="3:8" ht="14.25" customHeight="1">
      <c r="C130" s="54"/>
      <c r="H130" s="54"/>
    </row>
    <row r="131" spans="3:8" ht="14.25" customHeight="1">
      <c r="C131" s="54"/>
      <c r="H131" s="54"/>
    </row>
    <row r="132" spans="3:8" ht="14.25" customHeight="1">
      <c r="C132" s="54"/>
      <c r="H132" s="54"/>
    </row>
    <row r="133" spans="3:8" ht="14.25" customHeight="1">
      <c r="C133" s="54"/>
      <c r="H133" s="54"/>
    </row>
    <row r="134" spans="3:8" ht="14.25" customHeight="1">
      <c r="C134" s="54"/>
      <c r="H134" s="54"/>
    </row>
    <row r="135" spans="3:8" ht="14.25" customHeight="1">
      <c r="C135" s="54"/>
      <c r="H135" s="54"/>
    </row>
    <row r="136" spans="3:8" ht="14.25" customHeight="1">
      <c r="C136" s="54"/>
      <c r="H136" s="54"/>
    </row>
    <row r="137" spans="3:8" ht="14.25" customHeight="1">
      <c r="C137" s="54"/>
      <c r="H137" s="54"/>
    </row>
    <row r="138" spans="3:8" ht="14.25" customHeight="1">
      <c r="C138" s="54"/>
      <c r="H138" s="54"/>
    </row>
    <row r="139" spans="3:8" ht="14.25" customHeight="1">
      <c r="C139" s="54"/>
      <c r="H139" s="54"/>
    </row>
    <row r="140" spans="3:8" ht="14.25" customHeight="1">
      <c r="C140" s="54"/>
      <c r="H140" s="54"/>
    </row>
    <row r="141" spans="3:8" ht="14.25" customHeight="1">
      <c r="C141" s="54"/>
      <c r="H141" s="54"/>
    </row>
    <row r="142" spans="3:8" ht="14.25" customHeight="1">
      <c r="C142" s="54"/>
      <c r="H142" s="54"/>
    </row>
    <row r="143" spans="3:8" ht="14.25" customHeight="1">
      <c r="C143" s="54"/>
      <c r="H143" s="54"/>
    </row>
    <row r="144" spans="3:8" ht="14.25" customHeight="1">
      <c r="C144" s="54"/>
      <c r="H144" s="54"/>
    </row>
    <row r="145" spans="3:8" ht="14.25" customHeight="1">
      <c r="C145" s="54"/>
      <c r="H145" s="54"/>
    </row>
    <row r="146" spans="3:8" ht="14.25" customHeight="1">
      <c r="C146" s="54"/>
      <c r="H146" s="54"/>
    </row>
    <row r="147" spans="3:8" ht="14.25" customHeight="1">
      <c r="C147" s="54"/>
      <c r="H147" s="54"/>
    </row>
    <row r="148" spans="3:8" ht="14.25" customHeight="1">
      <c r="C148" s="54"/>
      <c r="H148" s="54"/>
    </row>
    <row r="149" spans="3:8" ht="14.25" customHeight="1">
      <c r="C149" s="54"/>
      <c r="H149" s="54"/>
    </row>
    <row r="150" spans="3:8" ht="14.25" customHeight="1">
      <c r="C150" s="54"/>
      <c r="H150" s="54"/>
    </row>
    <row r="151" spans="3:8" ht="14.25" customHeight="1">
      <c r="C151" s="54"/>
      <c r="H151" s="54"/>
    </row>
    <row r="152" spans="3:8" ht="14.25" customHeight="1">
      <c r="C152" s="54"/>
      <c r="H152" s="54"/>
    </row>
    <row r="153" spans="3:8" ht="14.25" customHeight="1">
      <c r="C153" s="54"/>
      <c r="H153" s="54"/>
    </row>
    <row r="154" spans="3:8" ht="14.25" customHeight="1">
      <c r="C154" s="54"/>
      <c r="H154" s="54"/>
    </row>
    <row r="155" spans="3:8" ht="14.25" customHeight="1">
      <c r="C155" s="54"/>
      <c r="H155" s="54"/>
    </row>
    <row r="156" spans="3:8" ht="14.25" customHeight="1">
      <c r="C156" s="54"/>
      <c r="H156" s="54"/>
    </row>
    <row r="157" spans="3:8" ht="14.25" customHeight="1">
      <c r="C157" s="54"/>
      <c r="H157" s="54"/>
    </row>
    <row r="158" spans="3:8" ht="14.25" customHeight="1">
      <c r="C158" s="54"/>
      <c r="H158" s="54"/>
    </row>
    <row r="159" spans="3:8" ht="14.25" customHeight="1">
      <c r="C159" s="54"/>
      <c r="H159" s="54"/>
    </row>
    <row r="160" spans="3:8" ht="14.25" customHeight="1">
      <c r="C160" s="54"/>
      <c r="H160" s="54"/>
    </row>
    <row r="161" spans="3:8" ht="14.25" customHeight="1">
      <c r="C161" s="54"/>
      <c r="H161" s="54"/>
    </row>
    <row r="162" spans="3:8" ht="14.25" customHeight="1">
      <c r="C162" s="54"/>
      <c r="H162" s="54"/>
    </row>
    <row r="163" spans="3:8" ht="14.25" customHeight="1">
      <c r="C163" s="54"/>
      <c r="H163" s="54"/>
    </row>
    <row r="164" spans="3:8" ht="14.25" customHeight="1">
      <c r="C164" s="54"/>
      <c r="H164" s="54"/>
    </row>
    <row r="165" spans="3:8" ht="14.25" customHeight="1">
      <c r="C165" s="54"/>
      <c r="H165" s="54"/>
    </row>
    <row r="166" spans="3:8" ht="14.25" customHeight="1">
      <c r="C166" s="54"/>
      <c r="H166" s="54"/>
    </row>
    <row r="167" spans="3:8" ht="14.25" customHeight="1">
      <c r="C167" s="54"/>
      <c r="H167" s="54"/>
    </row>
    <row r="168" spans="3:8" ht="14.25" customHeight="1">
      <c r="C168" s="54"/>
      <c r="H168" s="54"/>
    </row>
    <row r="169" spans="3:8" ht="14.25" customHeight="1">
      <c r="C169" s="54"/>
      <c r="H169" s="54"/>
    </row>
    <row r="170" spans="3:8" ht="14.25" customHeight="1">
      <c r="C170" s="54"/>
      <c r="H170" s="54"/>
    </row>
    <row r="171" spans="3:8" ht="14.25" customHeight="1">
      <c r="C171" s="54"/>
      <c r="H171" s="54"/>
    </row>
    <row r="172" spans="3:8" ht="14.25" customHeight="1">
      <c r="C172" s="54"/>
      <c r="H172" s="54"/>
    </row>
    <row r="173" spans="3:8" ht="14.25" customHeight="1">
      <c r="C173" s="54"/>
      <c r="H173" s="54"/>
    </row>
    <row r="174" spans="3:8" ht="14.25" customHeight="1">
      <c r="C174" s="54"/>
      <c r="H174" s="54"/>
    </row>
    <row r="175" spans="3:8" ht="14.25" customHeight="1">
      <c r="C175" s="54"/>
      <c r="H175" s="54"/>
    </row>
    <row r="176" spans="3:8" ht="14.25" customHeight="1">
      <c r="C176" s="54"/>
      <c r="H176" s="54"/>
    </row>
    <row r="177" spans="3:8" ht="14.25" customHeight="1">
      <c r="C177" s="54"/>
      <c r="H177" s="54"/>
    </row>
    <row r="178" spans="3:8" ht="14.25" customHeight="1">
      <c r="C178" s="54"/>
      <c r="H178" s="54"/>
    </row>
    <row r="179" spans="3:8" ht="14.25" customHeight="1">
      <c r="C179" s="54"/>
      <c r="H179" s="54"/>
    </row>
    <row r="180" spans="3:8" ht="14.25" customHeight="1">
      <c r="C180" s="54"/>
      <c r="H180" s="54"/>
    </row>
    <row r="181" spans="3:8" ht="14.25" customHeight="1">
      <c r="C181" s="54"/>
      <c r="H181" s="54"/>
    </row>
    <row r="182" spans="3:8" ht="14.25" customHeight="1">
      <c r="C182" s="54"/>
      <c r="H182" s="54"/>
    </row>
    <row r="183" spans="3:8" ht="14.25" customHeight="1">
      <c r="C183" s="54"/>
      <c r="H183" s="54"/>
    </row>
    <row r="184" spans="3:8" ht="14.25" customHeight="1">
      <c r="C184" s="54"/>
      <c r="H184" s="54"/>
    </row>
    <row r="185" spans="3:8" ht="14.25" customHeight="1">
      <c r="C185" s="54"/>
      <c r="H185" s="54"/>
    </row>
    <row r="186" spans="3:8" ht="14.25" customHeight="1">
      <c r="C186" s="54"/>
      <c r="H186" s="54"/>
    </row>
    <row r="187" spans="3:8" ht="14.25" customHeight="1">
      <c r="C187" s="54"/>
      <c r="H187" s="54"/>
    </row>
    <row r="188" spans="3:8" ht="14.25" customHeight="1">
      <c r="C188" s="54"/>
      <c r="H188" s="54"/>
    </row>
    <row r="189" spans="3:8" ht="14.25" customHeight="1">
      <c r="C189" s="54"/>
      <c r="H189" s="54"/>
    </row>
    <row r="190" spans="3:8" ht="14.25" customHeight="1">
      <c r="C190" s="54"/>
      <c r="H190" s="54"/>
    </row>
    <row r="191" spans="3:8" ht="14.25" customHeight="1">
      <c r="C191" s="54"/>
      <c r="H191" s="54"/>
    </row>
    <row r="192" spans="3:8" ht="14.25" customHeight="1">
      <c r="C192" s="54"/>
      <c r="H192" s="54"/>
    </row>
    <row r="193" spans="3:8" ht="14.25" customHeight="1">
      <c r="C193" s="54"/>
      <c r="H193" s="54"/>
    </row>
    <row r="194" spans="3:8" ht="14.25" customHeight="1">
      <c r="C194" s="54"/>
      <c r="H194" s="54"/>
    </row>
    <row r="195" spans="3:8" ht="14.25" customHeight="1">
      <c r="C195" s="54"/>
      <c r="H195" s="54"/>
    </row>
    <row r="196" spans="3:8" ht="14.25" customHeight="1">
      <c r="C196" s="54"/>
      <c r="H196" s="54"/>
    </row>
    <row r="197" spans="3:8" ht="14.25" customHeight="1">
      <c r="C197" s="54"/>
      <c r="H197" s="54"/>
    </row>
    <row r="198" spans="3:8" ht="14.25" customHeight="1">
      <c r="C198" s="54"/>
      <c r="H198" s="54"/>
    </row>
    <row r="199" spans="3:8" ht="14.25" customHeight="1">
      <c r="C199" s="54"/>
      <c r="H199" s="54"/>
    </row>
    <row r="200" spans="3:8" ht="14.25" customHeight="1">
      <c r="C200" s="54"/>
      <c r="H200" s="54"/>
    </row>
    <row r="201" spans="3:8" ht="14.25" customHeight="1">
      <c r="C201" s="54"/>
      <c r="H201" s="54"/>
    </row>
    <row r="202" spans="3:8" ht="14.25" customHeight="1">
      <c r="C202" s="54"/>
      <c r="H202" s="54"/>
    </row>
    <row r="203" spans="3:8" ht="14.25" customHeight="1">
      <c r="C203" s="54"/>
      <c r="H203" s="54"/>
    </row>
    <row r="204" spans="3:8" ht="14.25" customHeight="1">
      <c r="C204" s="54"/>
      <c r="H204" s="54"/>
    </row>
    <row r="205" spans="3:8" ht="14.25" customHeight="1">
      <c r="C205" s="54"/>
      <c r="H205" s="54"/>
    </row>
    <row r="206" spans="3:8" ht="14.25" customHeight="1">
      <c r="C206" s="54"/>
      <c r="H206" s="54"/>
    </row>
    <row r="207" spans="3:8" ht="14.25" customHeight="1">
      <c r="C207" s="54"/>
      <c r="H207" s="54"/>
    </row>
    <row r="208" spans="3:8" ht="14.25" customHeight="1">
      <c r="C208" s="54"/>
      <c r="H208" s="54"/>
    </row>
    <row r="209" spans="3:8" ht="14.25" customHeight="1">
      <c r="C209" s="54"/>
      <c r="H209" s="54"/>
    </row>
    <row r="210" spans="3:8" ht="14.25" customHeight="1">
      <c r="C210" s="54"/>
      <c r="H210" s="54"/>
    </row>
    <row r="211" spans="3:8" ht="14.25" customHeight="1">
      <c r="C211" s="54"/>
      <c r="H211" s="54"/>
    </row>
    <row r="212" spans="3:8" ht="14.25" customHeight="1">
      <c r="C212" s="54"/>
      <c r="H212" s="54"/>
    </row>
    <row r="213" spans="3:8" ht="14.25" customHeight="1">
      <c r="C213" s="54"/>
      <c r="H213" s="54"/>
    </row>
    <row r="214" spans="3:8" ht="14.25" customHeight="1">
      <c r="C214" s="54"/>
      <c r="H214" s="54"/>
    </row>
    <row r="215" spans="3:8" ht="14.25" customHeight="1">
      <c r="C215" s="54"/>
      <c r="H215" s="54"/>
    </row>
    <row r="216" spans="3:8" ht="14.25" customHeight="1">
      <c r="C216" s="54"/>
      <c r="H216" s="54"/>
    </row>
    <row r="217" spans="3:8" ht="14.25" customHeight="1">
      <c r="C217" s="54"/>
      <c r="H217" s="54"/>
    </row>
    <row r="218" spans="3:8" ht="14.25" customHeight="1">
      <c r="C218" s="54"/>
      <c r="H218" s="54"/>
    </row>
    <row r="219" spans="3:8" ht="14.25" customHeight="1">
      <c r="C219" s="54"/>
      <c r="H219" s="54"/>
    </row>
    <row r="220" spans="3:8" ht="14.25" customHeight="1">
      <c r="C220" s="54"/>
      <c r="H220" s="54"/>
    </row>
    <row r="221" spans="3:8" ht="14.25" customHeight="1">
      <c r="C221" s="54"/>
      <c r="H221" s="54"/>
    </row>
    <row r="222" spans="3:8" ht="14.25" customHeight="1">
      <c r="C222" s="54"/>
      <c r="H222" s="54"/>
    </row>
    <row r="223" spans="3:8" ht="14.25" customHeight="1">
      <c r="C223" s="54"/>
      <c r="H223" s="54"/>
    </row>
    <row r="224" spans="3:8" ht="14.25" customHeight="1">
      <c r="C224" s="54"/>
      <c r="H224" s="54"/>
    </row>
    <row r="225" spans="3:8" ht="14.25" customHeight="1">
      <c r="C225" s="54"/>
      <c r="H225" s="54"/>
    </row>
    <row r="226" spans="3:8" ht="14.25" customHeight="1">
      <c r="C226" s="54"/>
      <c r="H226" s="54"/>
    </row>
    <row r="227" spans="3:8" ht="14.25" customHeight="1">
      <c r="C227" s="54"/>
      <c r="H227" s="54"/>
    </row>
    <row r="228" spans="3:8" ht="14.25" customHeight="1">
      <c r="C228" s="54"/>
      <c r="H228" s="54"/>
    </row>
    <row r="229" spans="3:8" ht="14.25" customHeight="1">
      <c r="C229" s="54"/>
      <c r="H229" s="54"/>
    </row>
    <row r="230" spans="3:8" ht="14.25" customHeight="1">
      <c r="C230" s="54"/>
      <c r="H230" s="54"/>
    </row>
    <row r="231" spans="3:8" ht="14.25" customHeight="1">
      <c r="C231" s="54"/>
      <c r="H231" s="54"/>
    </row>
    <row r="232" spans="3:8" ht="14.25" customHeight="1">
      <c r="C232" s="54"/>
      <c r="H232" s="54"/>
    </row>
    <row r="233" spans="3:8" ht="14.25" customHeight="1">
      <c r="C233" s="54"/>
      <c r="H233" s="54"/>
    </row>
    <row r="234" spans="3:8" ht="14.25" customHeight="1">
      <c r="C234" s="54"/>
      <c r="H234" s="54"/>
    </row>
    <row r="235" spans="3:8" ht="14.25" customHeight="1">
      <c r="C235" s="54"/>
      <c r="H235" s="54"/>
    </row>
    <row r="236" spans="3:8" ht="14.25" customHeight="1">
      <c r="C236" s="54"/>
      <c r="H236" s="54"/>
    </row>
    <row r="237" spans="3:8" ht="14.25" customHeight="1">
      <c r="C237" s="54"/>
      <c r="H237" s="54"/>
    </row>
    <row r="238" spans="3:8" ht="14.25" customHeight="1">
      <c r="C238" s="54"/>
      <c r="H238" s="54"/>
    </row>
    <row r="239" spans="3:8" ht="14.25" customHeight="1">
      <c r="C239" s="54"/>
      <c r="H239" s="54"/>
    </row>
    <row r="240" spans="3:8" ht="14.25" customHeight="1">
      <c r="C240" s="54"/>
      <c r="H240" s="54"/>
    </row>
    <row r="241" spans="3:8" ht="14.25" customHeight="1">
      <c r="C241" s="54"/>
      <c r="H241" s="54"/>
    </row>
    <row r="242" spans="3:8" ht="14.25" customHeight="1">
      <c r="C242" s="54"/>
      <c r="H242" s="54"/>
    </row>
    <row r="243" spans="3:8" ht="14.25" customHeight="1">
      <c r="C243" s="54"/>
      <c r="H243" s="54"/>
    </row>
    <row r="244" spans="3:8" ht="14.25" customHeight="1">
      <c r="C244" s="54"/>
      <c r="H244" s="54"/>
    </row>
    <row r="245" spans="3:8" ht="14.25" customHeight="1">
      <c r="C245" s="54"/>
      <c r="H245" s="54"/>
    </row>
    <row r="246" spans="3:8" ht="14.25" customHeight="1">
      <c r="C246" s="54"/>
      <c r="H246" s="54"/>
    </row>
    <row r="247" spans="3:8" ht="14.25" customHeight="1">
      <c r="C247" s="54"/>
      <c r="H247" s="54"/>
    </row>
    <row r="248" spans="3:8" ht="14.25" customHeight="1">
      <c r="C248" s="54"/>
      <c r="H248" s="54"/>
    </row>
    <row r="249" spans="3:8" ht="14.25" customHeight="1">
      <c r="C249" s="54"/>
      <c r="H249" s="54"/>
    </row>
    <row r="250" spans="3:8" ht="14.25" customHeight="1">
      <c r="C250" s="54"/>
      <c r="H250" s="54"/>
    </row>
    <row r="251" spans="3:8" ht="14.25" customHeight="1">
      <c r="C251" s="54"/>
      <c r="H251" s="54"/>
    </row>
    <row r="252" spans="3:8" ht="14.25" customHeight="1">
      <c r="C252" s="54"/>
      <c r="H252" s="54"/>
    </row>
    <row r="253" spans="3:8" ht="14.25" customHeight="1">
      <c r="C253" s="54"/>
      <c r="H253" s="54"/>
    </row>
    <row r="254" spans="3:8" ht="14.25" customHeight="1">
      <c r="C254" s="54"/>
      <c r="H254" s="54"/>
    </row>
    <row r="255" spans="3:8" ht="14.25" customHeight="1">
      <c r="C255" s="54"/>
      <c r="H255" s="54"/>
    </row>
    <row r="256" spans="3:8" ht="14.25" customHeight="1">
      <c r="C256" s="54"/>
      <c r="H256" s="54"/>
    </row>
    <row r="257" spans="3:8" ht="14.25" customHeight="1">
      <c r="C257" s="54"/>
      <c r="H257" s="54"/>
    </row>
    <row r="258" spans="3:8" ht="14.25" customHeight="1">
      <c r="C258" s="54"/>
      <c r="H258" s="54"/>
    </row>
    <row r="259" spans="3:8" ht="14.25" customHeight="1">
      <c r="C259" s="54"/>
      <c r="H259" s="54"/>
    </row>
    <row r="260" spans="3:8" ht="14.25" customHeight="1">
      <c r="C260" s="54"/>
      <c r="H260" s="54"/>
    </row>
    <row r="261" spans="3:8" ht="14.25" customHeight="1">
      <c r="C261" s="54"/>
      <c r="H261" s="54"/>
    </row>
    <row r="262" spans="3:8" ht="14.25" customHeight="1">
      <c r="C262" s="54"/>
      <c r="H262" s="54"/>
    </row>
    <row r="263" spans="3:8" ht="14.25" customHeight="1">
      <c r="C263" s="54"/>
      <c r="H263" s="54"/>
    </row>
    <row r="264" spans="3:8" ht="14.25" customHeight="1">
      <c r="C264" s="54"/>
      <c r="H264" s="54"/>
    </row>
    <row r="265" spans="3:8" ht="14.25" customHeight="1">
      <c r="C265" s="54"/>
      <c r="H265" s="54"/>
    </row>
    <row r="266" spans="3:8" ht="14.25" customHeight="1">
      <c r="C266" s="54"/>
      <c r="H266" s="54"/>
    </row>
    <row r="267" spans="3:8" ht="14.25" customHeight="1">
      <c r="C267" s="54"/>
      <c r="H267" s="54"/>
    </row>
    <row r="268" spans="3:8" ht="14.25" customHeight="1">
      <c r="C268" s="54"/>
      <c r="H268" s="54"/>
    </row>
    <row r="269" spans="3:8" ht="14.25" customHeight="1">
      <c r="C269" s="54"/>
      <c r="H269" s="54"/>
    </row>
    <row r="270" spans="3:8" ht="14.25" customHeight="1">
      <c r="C270" s="54"/>
      <c r="H270" s="54"/>
    </row>
    <row r="271" spans="3:8" ht="14.25" customHeight="1">
      <c r="C271" s="54"/>
      <c r="H271" s="54"/>
    </row>
    <row r="272" spans="3:8" ht="14.25" customHeight="1">
      <c r="C272" s="54"/>
      <c r="H272" s="54"/>
    </row>
    <row r="273" spans="3:8" ht="14.25" customHeight="1">
      <c r="C273" s="54"/>
      <c r="H273" s="54"/>
    </row>
    <row r="274" spans="3:8" ht="14.25" customHeight="1">
      <c r="C274" s="54"/>
      <c r="H274" s="54"/>
    </row>
    <row r="275" spans="3:8" ht="14.25" customHeight="1">
      <c r="C275" s="54"/>
      <c r="H275" s="54"/>
    </row>
    <row r="276" spans="3:8" ht="14.25" customHeight="1">
      <c r="C276" s="54"/>
      <c r="H276" s="54"/>
    </row>
    <row r="277" spans="3:8" ht="14.25" customHeight="1">
      <c r="C277" s="54"/>
      <c r="H277" s="54"/>
    </row>
    <row r="278" spans="3:8" ht="14.25" customHeight="1">
      <c r="C278" s="54"/>
      <c r="H278" s="54"/>
    </row>
    <row r="279" spans="3:8" ht="14.25" customHeight="1">
      <c r="C279" s="54"/>
      <c r="H279" s="54"/>
    </row>
    <row r="280" spans="3:8" ht="14.25" customHeight="1">
      <c r="C280" s="54"/>
      <c r="H280" s="54"/>
    </row>
    <row r="281" spans="3:8" ht="14.25" customHeight="1">
      <c r="C281" s="54"/>
      <c r="H281" s="54"/>
    </row>
    <row r="282" spans="3:8" ht="14.25" customHeight="1">
      <c r="C282" s="54"/>
      <c r="H282" s="54"/>
    </row>
    <row r="283" spans="3:8" ht="14.25" customHeight="1">
      <c r="C283" s="54"/>
      <c r="H283" s="54"/>
    </row>
    <row r="284" spans="3:8" ht="14.25" customHeight="1">
      <c r="C284" s="54"/>
      <c r="H284" s="54"/>
    </row>
    <row r="285" spans="3:8" ht="14.25" customHeight="1">
      <c r="C285" s="54"/>
      <c r="H285" s="54"/>
    </row>
    <row r="286" spans="3:8" ht="14.25" customHeight="1">
      <c r="C286" s="54"/>
      <c r="H286" s="54"/>
    </row>
    <row r="287" spans="3:8" ht="14.25" customHeight="1">
      <c r="C287" s="54"/>
      <c r="H287" s="54"/>
    </row>
    <row r="288" spans="3:8" ht="14.25" customHeight="1">
      <c r="C288" s="54"/>
      <c r="H288" s="54"/>
    </row>
    <row r="289" spans="3:8" ht="14.25" customHeight="1">
      <c r="C289" s="54"/>
      <c r="H289" s="54"/>
    </row>
    <row r="290" spans="3:8" ht="14.25" customHeight="1">
      <c r="C290" s="54"/>
      <c r="H290" s="54"/>
    </row>
    <row r="291" spans="3:8" ht="14.25" customHeight="1">
      <c r="C291" s="54"/>
      <c r="H291" s="54"/>
    </row>
    <row r="292" spans="3:8" ht="14.25" customHeight="1">
      <c r="C292" s="54"/>
      <c r="H292" s="54"/>
    </row>
    <row r="293" spans="3:8" ht="14.25" customHeight="1">
      <c r="C293" s="54"/>
      <c r="H293" s="54"/>
    </row>
    <row r="294" spans="3:8" ht="14.25" customHeight="1">
      <c r="C294" s="54"/>
      <c r="H294" s="54"/>
    </row>
    <row r="295" spans="3:8" ht="14.25" customHeight="1">
      <c r="C295" s="54"/>
      <c r="H295" s="54"/>
    </row>
    <row r="296" spans="3:8" ht="14.25" customHeight="1">
      <c r="C296" s="54"/>
      <c r="H296" s="54"/>
    </row>
    <row r="297" spans="3:8" ht="14.25" customHeight="1">
      <c r="C297" s="54"/>
      <c r="H297" s="54"/>
    </row>
    <row r="298" spans="3:8" ht="14.25" customHeight="1">
      <c r="C298" s="54"/>
      <c r="H298" s="54"/>
    </row>
    <row r="299" spans="3:8" ht="14.25" customHeight="1">
      <c r="C299" s="54"/>
      <c r="H299" s="54"/>
    </row>
    <row r="300" spans="3:8" ht="14.25" customHeight="1">
      <c r="C300" s="54"/>
      <c r="H300" s="54"/>
    </row>
    <row r="301" spans="3:8" ht="14.25" customHeight="1">
      <c r="C301" s="54"/>
      <c r="H301" s="54"/>
    </row>
    <row r="302" spans="3:8" ht="14.25" customHeight="1">
      <c r="C302" s="54"/>
      <c r="H302" s="54"/>
    </row>
    <row r="303" spans="3:8" ht="14.25" customHeight="1">
      <c r="C303" s="54"/>
      <c r="H303" s="54"/>
    </row>
    <row r="304" spans="3:8" ht="14.25" customHeight="1">
      <c r="C304" s="54"/>
      <c r="H304" s="54"/>
    </row>
    <row r="305" spans="3:8" ht="14.25" customHeight="1">
      <c r="C305" s="54"/>
      <c r="H305" s="54"/>
    </row>
    <row r="306" spans="3:8" ht="14.25" customHeight="1">
      <c r="C306" s="54"/>
      <c r="H306" s="54"/>
    </row>
    <row r="307" spans="3:8" ht="14.25" customHeight="1">
      <c r="C307" s="54"/>
      <c r="H307" s="54"/>
    </row>
    <row r="308" spans="3:8" ht="14.25" customHeight="1">
      <c r="C308" s="54"/>
      <c r="H308" s="54"/>
    </row>
    <row r="309" spans="3:8" ht="14.25" customHeight="1">
      <c r="C309" s="54"/>
      <c r="H309" s="54"/>
    </row>
    <row r="310" spans="3:8" ht="14.25" customHeight="1">
      <c r="C310" s="54"/>
      <c r="H310" s="54"/>
    </row>
    <row r="311" spans="3:8" ht="14.25" customHeight="1">
      <c r="C311" s="54"/>
      <c r="H311" s="54"/>
    </row>
    <row r="312" spans="3:8" ht="14.25" customHeight="1">
      <c r="C312" s="54"/>
      <c r="H312" s="54"/>
    </row>
    <row r="313" spans="3:8" ht="14.25" customHeight="1">
      <c r="C313" s="54"/>
      <c r="H313" s="54"/>
    </row>
    <row r="314" spans="3:8" ht="14.25" customHeight="1">
      <c r="C314" s="54"/>
      <c r="H314" s="54"/>
    </row>
    <row r="315" spans="3:8" ht="14.25" customHeight="1">
      <c r="C315" s="54"/>
      <c r="H315" s="54"/>
    </row>
    <row r="316" spans="3:8" ht="14.25" customHeight="1">
      <c r="C316" s="54"/>
      <c r="H316" s="54"/>
    </row>
    <row r="317" spans="3:8" ht="14.25" customHeight="1">
      <c r="C317" s="54"/>
      <c r="H317" s="54"/>
    </row>
    <row r="318" spans="3:8" ht="14.25" customHeight="1">
      <c r="C318" s="54"/>
      <c r="H318" s="54"/>
    </row>
    <row r="319" spans="3:8" ht="14.25" customHeight="1">
      <c r="C319" s="54"/>
      <c r="H319" s="54"/>
    </row>
    <row r="320" spans="3:8" ht="14.25" customHeight="1">
      <c r="C320" s="54"/>
      <c r="H320" s="54"/>
    </row>
    <row r="321" spans="3:8" ht="14.25" customHeight="1">
      <c r="C321" s="54"/>
      <c r="H321" s="54"/>
    </row>
    <row r="322" spans="3:8" ht="14.25" customHeight="1">
      <c r="C322" s="54"/>
      <c r="H322" s="54"/>
    </row>
    <row r="323" spans="3:8" ht="14.25" customHeight="1">
      <c r="C323" s="54"/>
      <c r="H323" s="54"/>
    </row>
    <row r="324" spans="3:8" ht="14.25" customHeight="1">
      <c r="C324" s="54"/>
      <c r="H324" s="54"/>
    </row>
    <row r="325" spans="3:8" ht="14.25" customHeight="1">
      <c r="C325" s="54"/>
      <c r="H325" s="54"/>
    </row>
    <row r="326" spans="3:8" ht="14.25" customHeight="1">
      <c r="C326" s="54"/>
      <c r="H326" s="54"/>
    </row>
    <row r="327" spans="3:8" ht="14.25" customHeight="1">
      <c r="C327" s="54"/>
      <c r="H327" s="54"/>
    </row>
    <row r="328" spans="3:8" ht="14.25" customHeight="1">
      <c r="C328" s="54"/>
      <c r="H328" s="54"/>
    </row>
    <row r="329" spans="3:8" ht="14.25" customHeight="1">
      <c r="C329" s="54"/>
      <c r="H329" s="54"/>
    </row>
    <row r="330" spans="3:8" ht="14.25" customHeight="1">
      <c r="C330" s="54"/>
      <c r="H330" s="54"/>
    </row>
    <row r="331" spans="3:8" ht="14.25" customHeight="1">
      <c r="C331" s="54"/>
      <c r="H331" s="54"/>
    </row>
    <row r="332" spans="3:8" ht="14.25" customHeight="1">
      <c r="C332" s="54"/>
      <c r="H332" s="54"/>
    </row>
    <row r="333" spans="3:8" ht="14.25" customHeight="1">
      <c r="C333" s="54"/>
      <c r="H333" s="54"/>
    </row>
    <row r="334" spans="3:8" ht="14.25" customHeight="1">
      <c r="C334" s="54"/>
      <c r="H334" s="54"/>
    </row>
    <row r="335" spans="3:8" ht="14.25" customHeight="1">
      <c r="C335" s="54"/>
      <c r="H335" s="54"/>
    </row>
    <row r="336" spans="3:8" ht="14.25" customHeight="1">
      <c r="C336" s="54"/>
      <c r="H336" s="54"/>
    </row>
    <row r="337" spans="3:8" ht="14.25" customHeight="1">
      <c r="C337" s="54"/>
      <c r="H337" s="54"/>
    </row>
    <row r="338" spans="3:8" ht="14.25" customHeight="1">
      <c r="C338" s="54"/>
      <c r="H338" s="54"/>
    </row>
    <row r="339" spans="3:8" ht="14.25" customHeight="1">
      <c r="C339" s="54"/>
      <c r="H339" s="54"/>
    </row>
    <row r="340" spans="3:8" ht="14.25" customHeight="1">
      <c r="C340" s="54"/>
      <c r="H340" s="54"/>
    </row>
    <row r="341" spans="3:8" ht="14.25" customHeight="1">
      <c r="C341" s="54"/>
      <c r="H341" s="54"/>
    </row>
    <row r="342" spans="3:8" ht="14.25" customHeight="1">
      <c r="C342" s="54"/>
      <c r="H342" s="54"/>
    </row>
    <row r="343" spans="3:8" ht="14.25" customHeight="1">
      <c r="C343" s="54"/>
      <c r="H343" s="54"/>
    </row>
    <row r="344" spans="3:8" ht="14.25" customHeight="1">
      <c r="C344" s="54"/>
      <c r="H344" s="54"/>
    </row>
    <row r="345" spans="3:8" ht="14.25" customHeight="1">
      <c r="C345" s="54"/>
      <c r="H345" s="54"/>
    </row>
    <row r="346" spans="3:8" ht="14.25" customHeight="1">
      <c r="C346" s="54"/>
      <c r="H346" s="54"/>
    </row>
    <row r="347" spans="3:8" ht="14.25" customHeight="1">
      <c r="C347" s="54"/>
      <c r="H347" s="54"/>
    </row>
    <row r="348" spans="3:8" ht="14.25" customHeight="1">
      <c r="C348" s="54"/>
      <c r="H348" s="54"/>
    </row>
    <row r="349" spans="3:8" ht="14.25" customHeight="1">
      <c r="C349" s="54"/>
      <c r="H349" s="54"/>
    </row>
    <row r="350" spans="3:8" ht="14.25" customHeight="1">
      <c r="C350" s="54"/>
      <c r="H350" s="54"/>
    </row>
    <row r="351" spans="3:8" ht="14.25" customHeight="1">
      <c r="C351" s="54"/>
      <c r="H351" s="54"/>
    </row>
    <row r="352" spans="3:8" ht="14.25" customHeight="1">
      <c r="C352" s="54"/>
      <c r="H352" s="54"/>
    </row>
    <row r="353" spans="3:8" ht="14.25" customHeight="1">
      <c r="C353" s="54"/>
      <c r="H353" s="54"/>
    </row>
    <row r="354" spans="3:8" ht="14.25" customHeight="1">
      <c r="C354" s="54"/>
      <c r="H354" s="54"/>
    </row>
    <row r="355" spans="3:8" ht="14.25" customHeight="1">
      <c r="C355" s="54"/>
      <c r="H355" s="54"/>
    </row>
    <row r="356" spans="3:8" ht="14.25" customHeight="1">
      <c r="C356" s="54"/>
      <c r="H356" s="54"/>
    </row>
    <row r="357" spans="3:8" ht="14.25" customHeight="1">
      <c r="C357" s="54"/>
      <c r="H357" s="54"/>
    </row>
    <row r="358" spans="3:8" ht="14.25" customHeight="1">
      <c r="C358" s="54"/>
      <c r="H358" s="54"/>
    </row>
    <row r="359" spans="3:8" ht="14.25" customHeight="1">
      <c r="C359" s="54"/>
      <c r="H359" s="54"/>
    </row>
    <row r="360" spans="3:8" ht="14.25" customHeight="1">
      <c r="C360" s="54"/>
      <c r="H360" s="54"/>
    </row>
    <row r="361" spans="3:8" ht="14.25" customHeight="1">
      <c r="C361" s="54"/>
      <c r="H361" s="54"/>
    </row>
    <row r="362" spans="3:8" ht="14.25" customHeight="1">
      <c r="C362" s="54"/>
      <c r="H362" s="54"/>
    </row>
    <row r="363" spans="3:8" ht="14.25" customHeight="1">
      <c r="C363" s="54"/>
      <c r="H363" s="54"/>
    </row>
    <row r="364" spans="3:8" ht="14.25" customHeight="1">
      <c r="C364" s="54"/>
      <c r="H364" s="54"/>
    </row>
    <row r="365" spans="3:8" ht="14.25" customHeight="1">
      <c r="C365" s="54"/>
      <c r="H365" s="54"/>
    </row>
    <row r="366" spans="3:8" ht="14.25" customHeight="1">
      <c r="C366" s="54"/>
      <c r="H366" s="54"/>
    </row>
    <row r="367" spans="3:8" ht="14.25" customHeight="1">
      <c r="C367" s="54"/>
      <c r="H367" s="54"/>
    </row>
    <row r="368" spans="3:8" ht="14.25" customHeight="1">
      <c r="C368" s="54"/>
      <c r="H368" s="54"/>
    </row>
    <row r="369" spans="3:8" ht="14.25" customHeight="1">
      <c r="C369" s="54"/>
      <c r="H369" s="54"/>
    </row>
    <row r="370" spans="3:8" ht="14.25" customHeight="1">
      <c r="C370" s="54"/>
      <c r="H370" s="54"/>
    </row>
    <row r="371" spans="3:8" ht="14.25" customHeight="1">
      <c r="C371" s="54"/>
      <c r="H371" s="54"/>
    </row>
    <row r="372" spans="3:8" ht="14.25" customHeight="1">
      <c r="C372" s="54"/>
      <c r="H372" s="54"/>
    </row>
    <row r="373" spans="3:8" ht="14.25" customHeight="1">
      <c r="C373" s="54"/>
      <c r="H373" s="54"/>
    </row>
    <row r="374" spans="3:8" ht="14.25" customHeight="1">
      <c r="C374" s="54"/>
      <c r="H374" s="54"/>
    </row>
    <row r="375" spans="3:8" ht="14.25" customHeight="1">
      <c r="C375" s="54"/>
      <c r="H375" s="54"/>
    </row>
    <row r="376" spans="3:8" ht="14.25" customHeight="1">
      <c r="C376" s="54"/>
      <c r="H376" s="54"/>
    </row>
    <row r="377" spans="3:8" ht="14.25" customHeight="1">
      <c r="C377" s="54"/>
      <c r="H377" s="54"/>
    </row>
    <row r="378" spans="3:8" ht="14.25" customHeight="1">
      <c r="C378" s="54"/>
      <c r="H378" s="54"/>
    </row>
    <row r="379" spans="3:8" ht="14.25" customHeight="1">
      <c r="C379" s="54"/>
      <c r="H379" s="54"/>
    </row>
    <row r="380" spans="3:8" ht="14.25" customHeight="1">
      <c r="C380" s="54"/>
      <c r="H380" s="54"/>
    </row>
    <row r="381" spans="3:8" ht="14.25" customHeight="1">
      <c r="C381" s="54"/>
      <c r="H381" s="54"/>
    </row>
    <row r="382" spans="3:8" ht="14.25" customHeight="1">
      <c r="C382" s="54"/>
      <c r="H382" s="54"/>
    </row>
    <row r="383" spans="3:8" ht="14.25" customHeight="1">
      <c r="C383" s="54"/>
      <c r="H383" s="54"/>
    </row>
    <row r="384" spans="3:8" ht="14.25" customHeight="1">
      <c r="C384" s="54"/>
      <c r="H384" s="54"/>
    </row>
    <row r="385" spans="3:8" ht="14.25" customHeight="1">
      <c r="C385" s="54"/>
      <c r="H385" s="54"/>
    </row>
    <row r="386" spans="3:8" ht="14.25" customHeight="1">
      <c r="C386" s="54"/>
      <c r="H386" s="54"/>
    </row>
    <row r="387" spans="3:8" ht="14.25" customHeight="1">
      <c r="C387" s="54"/>
      <c r="H387" s="54"/>
    </row>
    <row r="388" spans="3:8" ht="14.25" customHeight="1">
      <c r="C388" s="54"/>
      <c r="H388" s="54"/>
    </row>
    <row r="389" spans="3:8" ht="14.25" customHeight="1">
      <c r="C389" s="54"/>
      <c r="H389" s="54"/>
    </row>
    <row r="390" spans="3:8" ht="14.25" customHeight="1">
      <c r="C390" s="54"/>
      <c r="H390" s="54"/>
    </row>
    <row r="391" spans="3:8" ht="14.25" customHeight="1">
      <c r="C391" s="54"/>
      <c r="H391" s="54"/>
    </row>
    <row r="392" spans="3:8" ht="14.25" customHeight="1">
      <c r="C392" s="54"/>
      <c r="H392" s="54"/>
    </row>
    <row r="393" spans="3:8" ht="14.25" customHeight="1">
      <c r="C393" s="54"/>
      <c r="H393" s="54"/>
    </row>
    <row r="394" spans="3:8" ht="14.25" customHeight="1">
      <c r="C394" s="54"/>
      <c r="H394" s="54"/>
    </row>
    <row r="395" spans="3:8" ht="14.25" customHeight="1">
      <c r="C395" s="54"/>
      <c r="H395" s="54"/>
    </row>
    <row r="396" spans="3:8" ht="14.25" customHeight="1">
      <c r="C396" s="54"/>
      <c r="H396" s="54"/>
    </row>
    <row r="397" spans="3:8" ht="14.25" customHeight="1">
      <c r="C397" s="54"/>
      <c r="H397" s="54"/>
    </row>
    <row r="398" spans="3:8" ht="14.25" customHeight="1">
      <c r="C398" s="54"/>
      <c r="H398" s="54"/>
    </row>
    <row r="399" spans="3:8" ht="14.25" customHeight="1">
      <c r="C399" s="54"/>
      <c r="H399" s="54"/>
    </row>
    <row r="400" spans="3:8" ht="14.25" customHeight="1">
      <c r="C400" s="54"/>
      <c r="H400" s="54"/>
    </row>
    <row r="401" spans="3:8" ht="14.25" customHeight="1">
      <c r="C401" s="54"/>
      <c r="H401" s="54"/>
    </row>
    <row r="402" spans="3:8" ht="14.25" customHeight="1">
      <c r="C402" s="54"/>
      <c r="H402" s="54"/>
    </row>
    <row r="403" spans="3:8" ht="14.25" customHeight="1">
      <c r="C403" s="54"/>
      <c r="H403" s="54"/>
    </row>
    <row r="404" spans="3:8" ht="14.25" customHeight="1">
      <c r="C404" s="54"/>
      <c r="H404" s="54"/>
    </row>
    <row r="405" spans="3:8" ht="14.25" customHeight="1">
      <c r="C405" s="54"/>
      <c r="H405" s="54"/>
    </row>
    <row r="406" spans="3:8" ht="14.25" customHeight="1">
      <c r="C406" s="54"/>
      <c r="H406" s="54"/>
    </row>
    <row r="407" spans="3:8" ht="14.25" customHeight="1">
      <c r="C407" s="54"/>
      <c r="H407" s="54"/>
    </row>
    <row r="408" spans="3:8" ht="14.25" customHeight="1">
      <c r="C408" s="54"/>
      <c r="H408" s="54"/>
    </row>
    <row r="409" spans="3:8" ht="14.25" customHeight="1">
      <c r="C409" s="54"/>
      <c r="H409" s="54"/>
    </row>
    <row r="410" spans="3:8" ht="14.25" customHeight="1">
      <c r="C410" s="54"/>
      <c r="H410" s="54"/>
    </row>
    <row r="411" spans="3:8" ht="14.25" customHeight="1">
      <c r="C411" s="54"/>
      <c r="H411" s="54"/>
    </row>
    <row r="412" spans="3:8" ht="14.25" customHeight="1">
      <c r="C412" s="54"/>
      <c r="H412" s="54"/>
    </row>
    <row r="413" spans="3:8" ht="14.25" customHeight="1">
      <c r="C413" s="54"/>
      <c r="H413" s="54"/>
    </row>
    <row r="414" spans="3:8" ht="14.25" customHeight="1">
      <c r="C414" s="54"/>
      <c r="H414" s="54"/>
    </row>
    <row r="415" spans="3:8" ht="14.25" customHeight="1">
      <c r="C415" s="54"/>
      <c r="H415" s="54"/>
    </row>
    <row r="416" spans="3:8" ht="14.25" customHeight="1">
      <c r="C416" s="54"/>
      <c r="H416" s="54"/>
    </row>
    <row r="417" spans="3:8" ht="14.25" customHeight="1">
      <c r="C417" s="54"/>
      <c r="H417" s="54"/>
    </row>
    <row r="418" spans="3:8" ht="14.25" customHeight="1">
      <c r="C418" s="54"/>
      <c r="H418" s="54"/>
    </row>
    <row r="419" spans="3:8" ht="14.25" customHeight="1">
      <c r="C419" s="54"/>
      <c r="H419" s="54"/>
    </row>
    <row r="420" spans="3:8" ht="14.25" customHeight="1">
      <c r="C420" s="54"/>
      <c r="H420" s="54"/>
    </row>
    <row r="421" spans="3:8" ht="14.25" customHeight="1">
      <c r="C421" s="54"/>
      <c r="H421" s="54"/>
    </row>
    <row r="422" spans="3:8" ht="14.25" customHeight="1">
      <c r="C422" s="54"/>
      <c r="H422" s="54"/>
    </row>
    <row r="423" spans="3:8" ht="14.25" customHeight="1">
      <c r="C423" s="54"/>
      <c r="H423" s="54"/>
    </row>
    <row r="424" spans="3:8" ht="14.25" customHeight="1">
      <c r="C424" s="54"/>
      <c r="H424" s="54"/>
    </row>
    <row r="425" spans="3:8" ht="14.25" customHeight="1">
      <c r="C425" s="54"/>
      <c r="H425" s="54"/>
    </row>
    <row r="426" spans="3:8" ht="14.25" customHeight="1">
      <c r="C426" s="54"/>
      <c r="H426" s="54"/>
    </row>
    <row r="427" spans="3:8" ht="14.25" customHeight="1">
      <c r="C427" s="54"/>
      <c r="H427" s="54"/>
    </row>
    <row r="428" spans="3:8" ht="14.25" customHeight="1">
      <c r="C428" s="54"/>
      <c r="H428" s="54"/>
    </row>
    <row r="429" spans="3:8" ht="14.25" customHeight="1">
      <c r="C429" s="54"/>
      <c r="H429" s="54"/>
    </row>
    <row r="430" spans="3:8" ht="14.25" customHeight="1">
      <c r="C430" s="54"/>
      <c r="H430" s="54"/>
    </row>
    <row r="431" spans="3:8" ht="14.25" customHeight="1">
      <c r="C431" s="54"/>
      <c r="H431" s="54"/>
    </row>
    <row r="432" spans="3:8" ht="14.25" customHeight="1">
      <c r="C432" s="54"/>
      <c r="H432" s="54"/>
    </row>
    <row r="433" spans="3:8" ht="14.25" customHeight="1">
      <c r="C433" s="54"/>
      <c r="H433" s="54"/>
    </row>
    <row r="434" spans="3:8" ht="14.25" customHeight="1">
      <c r="C434" s="54"/>
      <c r="H434" s="54"/>
    </row>
    <row r="435" spans="3:8" ht="14.25" customHeight="1">
      <c r="C435" s="54"/>
      <c r="H435" s="54"/>
    </row>
    <row r="436" spans="3:8" ht="14.25" customHeight="1">
      <c r="C436" s="54"/>
      <c r="H436" s="54"/>
    </row>
    <row r="437" spans="3:8" ht="14.25" customHeight="1">
      <c r="C437" s="54"/>
      <c r="H437" s="54"/>
    </row>
    <row r="438" spans="3:8" ht="14.25" customHeight="1">
      <c r="C438" s="54"/>
      <c r="H438" s="54"/>
    </row>
    <row r="439" spans="3:8" ht="14.25" customHeight="1">
      <c r="C439" s="54"/>
      <c r="H439" s="54"/>
    </row>
    <row r="440" spans="3:8" ht="14.25" customHeight="1">
      <c r="C440" s="54"/>
      <c r="H440" s="54"/>
    </row>
    <row r="441" spans="3:8" ht="14.25" customHeight="1">
      <c r="C441" s="54"/>
      <c r="H441" s="54"/>
    </row>
    <row r="442" spans="3:8" ht="14.25" customHeight="1">
      <c r="C442" s="54"/>
      <c r="H442" s="54"/>
    </row>
    <row r="443" spans="3:8" ht="14.25" customHeight="1">
      <c r="C443" s="54"/>
      <c r="H443" s="54"/>
    </row>
    <row r="444" spans="3:8" ht="14.25" customHeight="1">
      <c r="C444" s="54"/>
      <c r="H444" s="54"/>
    </row>
    <row r="445" spans="3:8" ht="14.25" customHeight="1">
      <c r="C445" s="54"/>
      <c r="H445" s="54"/>
    </row>
    <row r="446" spans="3:8" ht="14.25" customHeight="1">
      <c r="C446" s="54"/>
      <c r="H446" s="54"/>
    </row>
    <row r="447" spans="3:8" ht="14.25" customHeight="1">
      <c r="C447" s="54"/>
      <c r="H447" s="54"/>
    </row>
    <row r="448" spans="3:8" ht="14.25" customHeight="1">
      <c r="C448" s="54"/>
      <c r="H448" s="54"/>
    </row>
    <row r="449" spans="3:8" ht="14.25" customHeight="1">
      <c r="C449" s="54"/>
      <c r="H449" s="54"/>
    </row>
    <row r="450" spans="3:8" ht="14.25" customHeight="1">
      <c r="C450" s="54"/>
      <c r="H450" s="54"/>
    </row>
    <row r="451" spans="3:8" ht="14.25" customHeight="1">
      <c r="C451" s="54"/>
      <c r="H451" s="54"/>
    </row>
    <row r="452" spans="3:8" ht="14.25" customHeight="1">
      <c r="C452" s="54"/>
      <c r="H452" s="54"/>
    </row>
    <row r="453" spans="3:8" ht="14.25" customHeight="1">
      <c r="C453" s="54"/>
      <c r="H453" s="54"/>
    </row>
    <row r="454" spans="3:8" ht="14.25" customHeight="1">
      <c r="C454" s="54"/>
      <c r="H454" s="54"/>
    </row>
    <row r="455" spans="3:8" ht="14.25" customHeight="1">
      <c r="C455" s="54"/>
      <c r="H455" s="54"/>
    </row>
    <row r="456" spans="3:8" ht="14.25" customHeight="1">
      <c r="C456" s="54"/>
      <c r="H456" s="54"/>
    </row>
    <row r="457" spans="3:8" ht="14.25" customHeight="1">
      <c r="C457" s="54"/>
      <c r="H457" s="54"/>
    </row>
    <row r="458" spans="3:8" ht="14.25" customHeight="1">
      <c r="C458" s="54"/>
      <c r="H458" s="54"/>
    </row>
    <row r="459" spans="3:8" ht="14.25" customHeight="1">
      <c r="C459" s="54"/>
      <c r="H459" s="54"/>
    </row>
    <row r="460" spans="3:8" ht="14.25" customHeight="1">
      <c r="C460" s="54"/>
      <c r="H460" s="54"/>
    </row>
    <row r="461" spans="3:8" ht="14.25" customHeight="1">
      <c r="C461" s="54"/>
      <c r="H461" s="54"/>
    </row>
    <row r="462" spans="3:8" ht="14.25" customHeight="1">
      <c r="C462" s="54"/>
      <c r="H462" s="54"/>
    </row>
    <row r="463" spans="3:8" ht="14.25" customHeight="1">
      <c r="C463" s="54"/>
      <c r="H463" s="54"/>
    </row>
    <row r="464" spans="3:8" ht="14.25" customHeight="1">
      <c r="C464" s="54"/>
      <c r="H464" s="54"/>
    </row>
    <row r="465" spans="3:8" ht="14.25" customHeight="1">
      <c r="C465" s="54"/>
      <c r="H465" s="54"/>
    </row>
    <row r="466" spans="3:8" ht="14.25" customHeight="1">
      <c r="C466" s="54"/>
      <c r="H466" s="54"/>
    </row>
    <row r="467" spans="3:8" ht="14.25" customHeight="1">
      <c r="C467" s="54"/>
      <c r="H467" s="54"/>
    </row>
    <row r="468" spans="3:8" ht="14.25" customHeight="1">
      <c r="C468" s="54"/>
      <c r="H468" s="54"/>
    </row>
    <row r="469" spans="3:8" ht="14.25" customHeight="1">
      <c r="C469" s="54"/>
      <c r="H469" s="54"/>
    </row>
    <row r="470" spans="3:8" ht="14.25" customHeight="1">
      <c r="C470" s="54"/>
      <c r="H470" s="54"/>
    </row>
    <row r="471" spans="3:8" ht="14.25" customHeight="1">
      <c r="C471" s="54"/>
      <c r="H471" s="54"/>
    </row>
    <row r="472" spans="3:8" ht="14.25" customHeight="1">
      <c r="C472" s="54"/>
      <c r="H472" s="54"/>
    </row>
    <row r="473" spans="3:8" ht="14.25" customHeight="1">
      <c r="C473" s="54"/>
      <c r="H473" s="54"/>
    </row>
    <row r="474" spans="3:8" ht="14.25" customHeight="1">
      <c r="C474" s="54"/>
      <c r="H474" s="54"/>
    </row>
    <row r="475" spans="3:8" ht="14.25" customHeight="1">
      <c r="C475" s="54"/>
      <c r="H475" s="54"/>
    </row>
    <row r="476" spans="3:8" ht="14.25" customHeight="1">
      <c r="C476" s="54"/>
      <c r="H476" s="54"/>
    </row>
    <row r="477" spans="3:8" ht="14.25" customHeight="1">
      <c r="C477" s="54"/>
      <c r="H477" s="54"/>
    </row>
    <row r="478" spans="3:8" ht="14.25" customHeight="1">
      <c r="C478" s="54"/>
      <c r="H478" s="54"/>
    </row>
    <row r="479" spans="3:8" ht="14.25" customHeight="1">
      <c r="C479" s="54"/>
      <c r="H479" s="54"/>
    </row>
    <row r="480" spans="3:8" ht="14.25" customHeight="1">
      <c r="C480" s="54"/>
      <c r="H480" s="54"/>
    </row>
    <row r="481" spans="3:8" ht="14.25" customHeight="1">
      <c r="C481" s="54"/>
      <c r="H481" s="54"/>
    </row>
    <row r="482" spans="3:8" ht="14.25" customHeight="1">
      <c r="C482" s="54"/>
      <c r="H482" s="54"/>
    </row>
    <row r="483" spans="3:8" ht="14.25" customHeight="1">
      <c r="C483" s="54"/>
      <c r="H483" s="54"/>
    </row>
    <row r="484" spans="3:8" ht="14.25" customHeight="1">
      <c r="C484" s="54"/>
      <c r="H484" s="54"/>
    </row>
    <row r="485" spans="3:8" ht="14.25" customHeight="1">
      <c r="C485" s="54"/>
      <c r="H485" s="54"/>
    </row>
    <row r="486" spans="3:8" ht="14.25" customHeight="1">
      <c r="C486" s="54"/>
      <c r="H486" s="54"/>
    </row>
    <row r="487" spans="3:8" ht="14.25" customHeight="1">
      <c r="C487" s="54"/>
      <c r="H487" s="54"/>
    </row>
    <row r="488" spans="3:8" ht="14.25" customHeight="1">
      <c r="C488" s="54"/>
      <c r="H488" s="54"/>
    </row>
    <row r="489" spans="3:8" ht="14.25" customHeight="1">
      <c r="C489" s="54"/>
      <c r="H489" s="54"/>
    </row>
    <row r="490" spans="3:8" ht="14.25" customHeight="1">
      <c r="C490" s="54"/>
      <c r="H490" s="54"/>
    </row>
    <row r="491" spans="3:8" ht="14.25" customHeight="1">
      <c r="C491" s="54"/>
      <c r="H491" s="54"/>
    </row>
    <row r="492" spans="3:8" ht="14.25" customHeight="1">
      <c r="C492" s="54"/>
      <c r="H492" s="54"/>
    </row>
    <row r="493" spans="3:8" ht="14.25" customHeight="1">
      <c r="C493" s="54"/>
      <c r="H493" s="54"/>
    </row>
    <row r="494" spans="3:8" ht="14.25" customHeight="1">
      <c r="C494" s="54"/>
      <c r="H494" s="54"/>
    </row>
    <row r="495" spans="3:8" ht="14.25" customHeight="1">
      <c r="C495" s="54"/>
      <c r="H495" s="54"/>
    </row>
    <row r="496" spans="3:8" ht="14.25" customHeight="1">
      <c r="C496" s="54"/>
      <c r="H496" s="54"/>
    </row>
    <row r="497" spans="3:8" ht="14.25" customHeight="1">
      <c r="C497" s="54"/>
      <c r="H497" s="54"/>
    </row>
    <row r="498" spans="3:8" ht="14.25" customHeight="1">
      <c r="C498" s="54"/>
      <c r="H498" s="54"/>
    </row>
    <row r="499" spans="3:8" ht="14.25" customHeight="1">
      <c r="C499" s="54"/>
      <c r="H499" s="54"/>
    </row>
    <row r="500" spans="3:8" ht="14.25" customHeight="1">
      <c r="C500" s="54"/>
      <c r="H500" s="54"/>
    </row>
    <row r="501" spans="3:8" ht="14.25" customHeight="1">
      <c r="C501" s="54"/>
      <c r="H501" s="54"/>
    </row>
    <row r="502" spans="3:8" ht="14.25" customHeight="1">
      <c r="C502" s="54"/>
      <c r="H502" s="54"/>
    </row>
    <row r="503" spans="3:8" ht="14.25" customHeight="1">
      <c r="C503" s="54"/>
      <c r="H503" s="54"/>
    </row>
    <row r="504" spans="3:8" ht="14.25" customHeight="1">
      <c r="C504" s="54"/>
      <c r="H504" s="54"/>
    </row>
    <row r="505" spans="3:8" ht="14.25" customHeight="1">
      <c r="C505" s="54"/>
      <c r="H505" s="54"/>
    </row>
    <row r="506" spans="3:8" ht="14.25" customHeight="1">
      <c r="C506" s="54"/>
      <c r="H506" s="54"/>
    </row>
    <row r="507" spans="3:8" ht="14.25" customHeight="1">
      <c r="C507" s="54"/>
      <c r="H507" s="54"/>
    </row>
    <row r="508" spans="3:8" ht="14.25" customHeight="1">
      <c r="C508" s="54"/>
      <c r="H508" s="54"/>
    </row>
    <row r="509" spans="3:8" ht="14.25" customHeight="1">
      <c r="C509" s="54"/>
      <c r="H509" s="54"/>
    </row>
    <row r="510" spans="3:8" ht="14.25" customHeight="1">
      <c r="C510" s="54"/>
      <c r="H510" s="54"/>
    </row>
    <row r="511" spans="3:8" ht="14.25" customHeight="1">
      <c r="C511" s="54"/>
      <c r="H511" s="54"/>
    </row>
    <row r="512" spans="3:8" ht="14.25" customHeight="1">
      <c r="C512" s="54"/>
      <c r="H512" s="54"/>
    </row>
    <row r="513" spans="3:8" ht="14.25" customHeight="1">
      <c r="C513" s="54"/>
      <c r="H513" s="54"/>
    </row>
    <row r="514" spans="3:8" ht="14.25" customHeight="1">
      <c r="C514" s="54"/>
      <c r="H514" s="54"/>
    </row>
    <row r="515" spans="3:8" ht="14.25" customHeight="1">
      <c r="C515" s="54"/>
      <c r="H515" s="54"/>
    </row>
    <row r="516" spans="3:8" ht="14.25" customHeight="1">
      <c r="C516" s="54"/>
      <c r="H516" s="54"/>
    </row>
    <row r="517" spans="3:8" ht="14.25" customHeight="1">
      <c r="C517" s="54"/>
      <c r="H517" s="54"/>
    </row>
    <row r="518" spans="3:8" ht="14.25" customHeight="1">
      <c r="C518" s="54"/>
      <c r="H518" s="54"/>
    </row>
    <row r="519" spans="3:8" ht="14.25" customHeight="1">
      <c r="C519" s="54"/>
      <c r="H519" s="54"/>
    </row>
    <row r="520" spans="3:8" ht="14.25" customHeight="1">
      <c r="C520" s="54"/>
      <c r="H520" s="54"/>
    </row>
    <row r="521" spans="3:8" ht="14.25" customHeight="1">
      <c r="C521" s="54"/>
      <c r="H521" s="54"/>
    </row>
    <row r="522" spans="3:8" ht="14.25" customHeight="1">
      <c r="C522" s="54"/>
      <c r="H522" s="54"/>
    </row>
    <row r="523" spans="3:8" ht="14.25" customHeight="1">
      <c r="C523" s="54"/>
      <c r="H523" s="54"/>
    </row>
    <row r="524" spans="3:8" ht="14.25" customHeight="1">
      <c r="C524" s="54"/>
      <c r="H524" s="54"/>
    </row>
    <row r="525" spans="3:8" ht="14.25" customHeight="1">
      <c r="C525" s="54"/>
      <c r="H525" s="54"/>
    </row>
    <row r="526" spans="3:8" ht="14.25" customHeight="1">
      <c r="C526" s="54"/>
      <c r="H526" s="54"/>
    </row>
    <row r="527" spans="3:8" ht="14.25" customHeight="1">
      <c r="C527" s="54"/>
      <c r="H527" s="54"/>
    </row>
    <row r="528" spans="3:8" ht="14.25" customHeight="1">
      <c r="C528" s="54"/>
      <c r="H528" s="54"/>
    </row>
    <row r="529" spans="3:8" ht="14.25" customHeight="1">
      <c r="C529" s="54"/>
      <c r="H529" s="54"/>
    </row>
    <row r="530" spans="3:8" ht="14.25" customHeight="1">
      <c r="C530" s="54"/>
      <c r="H530" s="54"/>
    </row>
    <row r="531" spans="3:8" ht="14.25" customHeight="1">
      <c r="C531" s="54"/>
      <c r="H531" s="54"/>
    </row>
    <row r="532" spans="3:8" ht="14.25" customHeight="1">
      <c r="C532" s="54"/>
      <c r="H532" s="54"/>
    </row>
    <row r="533" spans="3:8" ht="14.25" customHeight="1">
      <c r="C533" s="54"/>
      <c r="H533" s="54"/>
    </row>
    <row r="534" spans="3:8" ht="14.25" customHeight="1">
      <c r="C534" s="54"/>
      <c r="H534" s="54"/>
    </row>
    <row r="535" spans="3:8" ht="14.25" customHeight="1">
      <c r="C535" s="54"/>
      <c r="H535" s="54"/>
    </row>
    <row r="536" spans="3:8" ht="14.25" customHeight="1">
      <c r="C536" s="54"/>
      <c r="H536" s="54"/>
    </row>
    <row r="537" spans="3:8" ht="14.25" customHeight="1">
      <c r="C537" s="54"/>
      <c r="H537" s="54"/>
    </row>
    <row r="538" spans="3:8" ht="14.25" customHeight="1">
      <c r="C538" s="54"/>
      <c r="H538" s="54"/>
    </row>
    <row r="539" spans="3:8" ht="14.25" customHeight="1">
      <c r="C539" s="54"/>
      <c r="H539" s="54"/>
    </row>
    <row r="540" spans="3:8" ht="14.25" customHeight="1">
      <c r="C540" s="54"/>
      <c r="H540" s="54"/>
    </row>
    <row r="541" spans="3:8" ht="14.25" customHeight="1">
      <c r="C541" s="54"/>
      <c r="H541" s="54"/>
    </row>
    <row r="542" spans="3:8" ht="14.25" customHeight="1">
      <c r="C542" s="54"/>
      <c r="H542" s="54"/>
    </row>
    <row r="543" spans="3:8" ht="14.25" customHeight="1">
      <c r="C543" s="54"/>
      <c r="H543" s="54"/>
    </row>
    <row r="544" spans="3:8" ht="14.25" customHeight="1">
      <c r="C544" s="54"/>
      <c r="H544" s="54"/>
    </row>
    <row r="545" spans="3:8" ht="14.25" customHeight="1">
      <c r="C545" s="54"/>
      <c r="H545" s="54"/>
    </row>
    <row r="546" spans="3:8" ht="14.25" customHeight="1">
      <c r="C546" s="54"/>
      <c r="H546" s="54"/>
    </row>
    <row r="547" spans="3:8" ht="14.25" customHeight="1">
      <c r="C547" s="54"/>
      <c r="H547" s="54"/>
    </row>
    <row r="548" spans="3:8" ht="14.25" customHeight="1">
      <c r="C548" s="54"/>
      <c r="H548" s="54"/>
    </row>
    <row r="549" spans="3:8" ht="14.25" customHeight="1">
      <c r="C549" s="54"/>
      <c r="H549" s="54"/>
    </row>
    <row r="550" spans="3:8" ht="14.25" customHeight="1">
      <c r="C550" s="54"/>
      <c r="H550" s="54"/>
    </row>
    <row r="551" spans="3:8" ht="14.25" customHeight="1">
      <c r="C551" s="54"/>
      <c r="H551" s="54"/>
    </row>
    <row r="552" spans="3:8" ht="14.25" customHeight="1">
      <c r="C552" s="54"/>
      <c r="H552" s="54"/>
    </row>
    <row r="553" spans="3:8" ht="14.25" customHeight="1">
      <c r="C553" s="54"/>
      <c r="H553" s="54"/>
    </row>
    <row r="554" spans="3:8" ht="14.25" customHeight="1">
      <c r="C554" s="54"/>
      <c r="H554" s="54"/>
    </row>
    <row r="555" spans="3:8" ht="14.25" customHeight="1">
      <c r="C555" s="54"/>
      <c r="H555" s="54"/>
    </row>
    <row r="556" spans="3:8" ht="14.25" customHeight="1">
      <c r="C556" s="54"/>
      <c r="H556" s="54"/>
    </row>
    <row r="557" spans="3:8" ht="14.25" customHeight="1">
      <c r="C557" s="54"/>
      <c r="H557" s="54"/>
    </row>
    <row r="558" spans="3:8" ht="14.25" customHeight="1">
      <c r="C558" s="54"/>
      <c r="H558" s="54"/>
    </row>
    <row r="559" spans="3:8" ht="14.25" customHeight="1">
      <c r="C559" s="54"/>
      <c r="H559" s="54"/>
    </row>
    <row r="560" spans="3:8" ht="14.25" customHeight="1">
      <c r="C560" s="54"/>
      <c r="H560" s="54"/>
    </row>
    <row r="561" spans="3:8" ht="14.25" customHeight="1">
      <c r="C561" s="54"/>
      <c r="H561" s="54"/>
    </row>
    <row r="562" spans="3:8" ht="14.25" customHeight="1">
      <c r="C562" s="54"/>
      <c r="H562" s="54"/>
    </row>
    <row r="563" spans="3:8" ht="14.25" customHeight="1">
      <c r="C563" s="54"/>
      <c r="H563" s="54"/>
    </row>
    <row r="564" spans="3:8" ht="14.25" customHeight="1">
      <c r="C564" s="54"/>
      <c r="H564" s="54"/>
    </row>
    <row r="565" spans="3:8" ht="14.25" customHeight="1">
      <c r="C565" s="54"/>
      <c r="H565" s="54"/>
    </row>
    <row r="566" spans="3:8" ht="14.25" customHeight="1">
      <c r="C566" s="54"/>
      <c r="H566" s="54"/>
    </row>
    <row r="567" spans="3:8" ht="14.25" customHeight="1">
      <c r="C567" s="54"/>
      <c r="H567" s="54"/>
    </row>
    <row r="568" spans="3:8" ht="14.25" customHeight="1">
      <c r="C568" s="54"/>
      <c r="H568" s="54"/>
    </row>
    <row r="569" spans="3:8" ht="14.25" customHeight="1">
      <c r="C569" s="54"/>
      <c r="H569" s="54"/>
    </row>
    <row r="570" spans="3:8" ht="14.25" customHeight="1">
      <c r="C570" s="54"/>
      <c r="H570" s="54"/>
    </row>
    <row r="571" spans="3:8" ht="14.25" customHeight="1">
      <c r="C571" s="54"/>
      <c r="H571" s="54"/>
    </row>
    <row r="572" spans="3:8" ht="14.25" customHeight="1">
      <c r="C572" s="54"/>
      <c r="H572" s="54"/>
    </row>
    <row r="573" spans="3:8" ht="14.25" customHeight="1">
      <c r="C573" s="54"/>
      <c r="H573" s="54"/>
    </row>
    <row r="574" spans="3:8" ht="14.25" customHeight="1">
      <c r="C574" s="54"/>
      <c r="H574" s="54"/>
    </row>
    <row r="575" spans="3:8" ht="14.25" customHeight="1">
      <c r="C575" s="54"/>
      <c r="H575" s="54"/>
    </row>
    <row r="576" spans="3:8" ht="14.25" customHeight="1">
      <c r="C576" s="54"/>
      <c r="H576" s="54"/>
    </row>
    <row r="577" spans="3:8" ht="14.25" customHeight="1">
      <c r="C577" s="54"/>
      <c r="H577" s="54"/>
    </row>
    <row r="578" spans="3:8" ht="14.25" customHeight="1">
      <c r="C578" s="54"/>
      <c r="H578" s="54"/>
    </row>
    <row r="579" spans="3:8" ht="14.25" customHeight="1">
      <c r="C579" s="54"/>
      <c r="H579" s="54"/>
    </row>
    <row r="580" spans="3:8" ht="14.25" customHeight="1">
      <c r="C580" s="54"/>
      <c r="H580" s="54"/>
    </row>
    <row r="581" spans="3:8" ht="14.25" customHeight="1">
      <c r="C581" s="54"/>
      <c r="H581" s="54"/>
    </row>
    <row r="582" spans="3:8" ht="14.25" customHeight="1">
      <c r="C582" s="54"/>
      <c r="H582" s="54"/>
    </row>
    <row r="583" spans="3:8" ht="14.25" customHeight="1">
      <c r="C583" s="54"/>
      <c r="H583" s="54"/>
    </row>
    <row r="584" spans="3:8" ht="14.25" customHeight="1">
      <c r="C584" s="54"/>
      <c r="H584" s="54"/>
    </row>
    <row r="585" spans="3:8" ht="14.25" customHeight="1">
      <c r="C585" s="54"/>
      <c r="H585" s="54"/>
    </row>
    <row r="586" spans="3:8" ht="14.25" customHeight="1">
      <c r="C586" s="54"/>
      <c r="H586" s="54"/>
    </row>
    <row r="587" spans="3:8" ht="14.25" customHeight="1">
      <c r="C587" s="54"/>
      <c r="H587" s="54"/>
    </row>
    <row r="588" spans="3:8" ht="14.25" customHeight="1">
      <c r="C588" s="54"/>
      <c r="H588" s="54"/>
    </row>
    <row r="589" spans="3:8" ht="14.25" customHeight="1">
      <c r="C589" s="54"/>
      <c r="H589" s="54"/>
    </row>
    <row r="590" spans="3:8" ht="14.25" customHeight="1">
      <c r="C590" s="54"/>
      <c r="H590" s="54"/>
    </row>
    <row r="591" spans="3:8" ht="14.25" customHeight="1">
      <c r="C591" s="54"/>
      <c r="H591" s="54"/>
    </row>
    <row r="592" spans="3:8" ht="14.25" customHeight="1">
      <c r="C592" s="54"/>
      <c r="H592" s="54"/>
    </row>
    <row r="593" spans="3:8" ht="14.25" customHeight="1">
      <c r="C593" s="54"/>
      <c r="H593" s="54"/>
    </row>
    <row r="594" spans="3:8" ht="14.25" customHeight="1">
      <c r="C594" s="54"/>
      <c r="H594" s="54"/>
    </row>
    <row r="595" spans="3:8" ht="14.25" customHeight="1">
      <c r="C595" s="54"/>
      <c r="H595" s="54"/>
    </row>
    <row r="596" spans="3:8" ht="14.25" customHeight="1">
      <c r="C596" s="54"/>
      <c r="H596" s="54"/>
    </row>
    <row r="597" spans="3:8" ht="14.25" customHeight="1">
      <c r="C597" s="54"/>
      <c r="H597" s="54"/>
    </row>
    <row r="598" spans="3:8" ht="14.25" customHeight="1">
      <c r="C598" s="54"/>
      <c r="H598" s="54"/>
    </row>
    <row r="599" spans="3:8" ht="14.25" customHeight="1">
      <c r="C599" s="54"/>
      <c r="H599" s="54"/>
    </row>
    <row r="600" spans="3:8" ht="14.25" customHeight="1">
      <c r="C600" s="54"/>
      <c r="H600" s="54"/>
    </row>
    <row r="601" spans="3:8" ht="14.25" customHeight="1">
      <c r="C601" s="54"/>
      <c r="H601" s="54"/>
    </row>
    <row r="602" spans="3:8" ht="14.25" customHeight="1">
      <c r="C602" s="54"/>
      <c r="H602" s="54"/>
    </row>
    <row r="603" spans="3:8" ht="14.25" customHeight="1">
      <c r="C603" s="54"/>
      <c r="H603" s="54"/>
    </row>
    <row r="604" spans="3:8" ht="14.25" customHeight="1">
      <c r="C604" s="54"/>
      <c r="H604" s="54"/>
    </row>
    <row r="605" spans="3:8" ht="14.25" customHeight="1">
      <c r="C605" s="54"/>
      <c r="H605" s="54"/>
    </row>
    <row r="606" spans="3:8" ht="14.25" customHeight="1">
      <c r="C606" s="54"/>
      <c r="H606" s="54"/>
    </row>
    <row r="607" spans="3:8" ht="14.25" customHeight="1">
      <c r="C607" s="54"/>
      <c r="H607" s="54"/>
    </row>
    <row r="608" spans="3:8" ht="14.25" customHeight="1">
      <c r="C608" s="54"/>
      <c r="H608" s="54"/>
    </row>
    <row r="609" spans="3:8" ht="14.25" customHeight="1">
      <c r="C609" s="54"/>
      <c r="H609" s="54"/>
    </row>
    <row r="610" spans="3:8" ht="14.25" customHeight="1">
      <c r="C610" s="54"/>
      <c r="H610" s="54"/>
    </row>
    <row r="611" spans="3:8" ht="14.25" customHeight="1">
      <c r="C611" s="54"/>
      <c r="H611" s="54"/>
    </row>
    <row r="612" spans="3:8" ht="14.25" customHeight="1">
      <c r="C612" s="54"/>
      <c r="H612" s="54"/>
    </row>
    <row r="613" spans="3:8" ht="14.25" customHeight="1">
      <c r="C613" s="54"/>
      <c r="H613" s="54"/>
    </row>
    <row r="614" spans="3:8" ht="14.25" customHeight="1">
      <c r="C614" s="54"/>
      <c r="H614" s="54"/>
    </row>
    <row r="615" spans="3:8" ht="14.25" customHeight="1">
      <c r="C615" s="54"/>
      <c r="H615" s="54"/>
    </row>
    <row r="616" spans="3:8" ht="14.25" customHeight="1">
      <c r="C616" s="54"/>
      <c r="H616" s="54"/>
    </row>
    <row r="617" spans="3:8" ht="14.25" customHeight="1">
      <c r="C617" s="54"/>
      <c r="H617" s="54"/>
    </row>
    <row r="618" spans="3:8" ht="14.25" customHeight="1">
      <c r="C618" s="54"/>
      <c r="H618" s="54"/>
    </row>
    <row r="619" spans="3:8" ht="14.25" customHeight="1">
      <c r="C619" s="54"/>
      <c r="H619" s="54"/>
    </row>
    <row r="620" spans="3:8" ht="14.25" customHeight="1">
      <c r="C620" s="54"/>
      <c r="H620" s="54"/>
    </row>
    <row r="621" spans="3:8" ht="14.25" customHeight="1">
      <c r="C621" s="54"/>
      <c r="H621" s="54"/>
    </row>
    <row r="622" spans="3:8" ht="14.25" customHeight="1">
      <c r="C622" s="54"/>
      <c r="H622" s="54"/>
    </row>
    <row r="623" spans="3:8" ht="14.25" customHeight="1">
      <c r="C623" s="54"/>
      <c r="H623" s="54"/>
    </row>
    <row r="624" spans="3:8" ht="14.25" customHeight="1">
      <c r="C624" s="54"/>
      <c r="H624" s="54"/>
    </row>
    <row r="625" spans="3:8" ht="14.25" customHeight="1">
      <c r="C625" s="54"/>
      <c r="H625" s="54"/>
    </row>
    <row r="626" spans="3:8" ht="14.25" customHeight="1">
      <c r="C626" s="54"/>
      <c r="H626" s="54"/>
    </row>
    <row r="627" spans="3:8" ht="14.25" customHeight="1">
      <c r="C627" s="54"/>
      <c r="H627" s="54"/>
    </row>
    <row r="628" spans="3:8" ht="14.25" customHeight="1">
      <c r="C628" s="54"/>
      <c r="H628" s="54"/>
    </row>
    <row r="629" spans="3:8" ht="14.25" customHeight="1">
      <c r="C629" s="54"/>
      <c r="H629" s="54"/>
    </row>
    <row r="630" spans="3:8" ht="14.25" customHeight="1">
      <c r="C630" s="54"/>
      <c r="H630" s="54"/>
    </row>
    <row r="631" spans="3:8" ht="14.25" customHeight="1">
      <c r="C631" s="54"/>
      <c r="H631" s="54"/>
    </row>
    <row r="632" spans="3:8" ht="14.25" customHeight="1">
      <c r="C632" s="54"/>
      <c r="H632" s="54"/>
    </row>
    <row r="633" spans="3:8" ht="14.25" customHeight="1">
      <c r="C633" s="54"/>
      <c r="H633" s="54"/>
    </row>
    <row r="634" spans="3:8" ht="14.25" customHeight="1">
      <c r="C634" s="54"/>
      <c r="H634" s="54"/>
    </row>
    <row r="635" spans="3:8" ht="14.25" customHeight="1">
      <c r="C635" s="54"/>
      <c r="H635" s="54"/>
    </row>
    <row r="636" spans="3:8" ht="14.25" customHeight="1">
      <c r="C636" s="54"/>
      <c r="H636" s="54"/>
    </row>
    <row r="637" spans="3:8" ht="14.25" customHeight="1">
      <c r="C637" s="54"/>
      <c r="H637" s="54"/>
    </row>
    <row r="638" spans="3:8" ht="14.25" customHeight="1">
      <c r="C638" s="54"/>
      <c r="H638" s="54"/>
    </row>
    <row r="639" spans="3:8" ht="14.25" customHeight="1">
      <c r="C639" s="54"/>
      <c r="H639" s="54"/>
    </row>
    <row r="640" spans="3:8" ht="14.25" customHeight="1">
      <c r="C640" s="54"/>
      <c r="H640" s="54"/>
    </row>
    <row r="641" spans="3:8" ht="14.25" customHeight="1">
      <c r="C641" s="54"/>
      <c r="H641" s="54"/>
    </row>
    <row r="642" spans="3:8" ht="14.25" customHeight="1">
      <c r="C642" s="54"/>
      <c r="H642" s="54"/>
    </row>
    <row r="643" spans="3:8" ht="14.25" customHeight="1">
      <c r="C643" s="54"/>
      <c r="H643" s="54"/>
    </row>
    <row r="644" spans="3:8" ht="14.25" customHeight="1">
      <c r="C644" s="54"/>
      <c r="H644" s="54"/>
    </row>
    <row r="645" spans="3:8" ht="14.25" customHeight="1">
      <c r="C645" s="54"/>
      <c r="H645" s="54"/>
    </row>
    <row r="646" spans="3:8" ht="14.25" customHeight="1">
      <c r="C646" s="54"/>
      <c r="H646" s="54"/>
    </row>
    <row r="647" spans="3:8" ht="14.25" customHeight="1">
      <c r="C647" s="54"/>
      <c r="H647" s="54"/>
    </row>
    <row r="648" spans="3:8" ht="14.25" customHeight="1">
      <c r="C648" s="54"/>
      <c r="H648" s="54"/>
    </row>
    <row r="649" spans="3:8" ht="14.25" customHeight="1">
      <c r="C649" s="54"/>
      <c r="H649" s="54"/>
    </row>
    <row r="650" spans="3:8" ht="14.25" customHeight="1">
      <c r="C650" s="54"/>
      <c r="H650" s="54"/>
    </row>
    <row r="651" spans="3:8" ht="14.25" customHeight="1">
      <c r="C651" s="54"/>
      <c r="H651" s="54"/>
    </row>
    <row r="652" spans="3:8" ht="14.25" customHeight="1">
      <c r="C652" s="54"/>
      <c r="H652" s="54"/>
    </row>
    <row r="653" spans="3:8" ht="14.25" customHeight="1">
      <c r="C653" s="54"/>
      <c r="H653" s="54"/>
    </row>
    <row r="654" spans="3:8" ht="14.25" customHeight="1">
      <c r="C654" s="54"/>
      <c r="H654" s="54"/>
    </row>
    <row r="655" spans="3:8" ht="14.25" customHeight="1">
      <c r="C655" s="54"/>
      <c r="H655" s="54"/>
    </row>
    <row r="656" spans="3:8" ht="14.25" customHeight="1">
      <c r="C656" s="54"/>
      <c r="H656" s="54"/>
    </row>
    <row r="657" spans="3:8" ht="14.25" customHeight="1">
      <c r="C657" s="54"/>
      <c r="H657" s="54"/>
    </row>
    <row r="658" spans="3:8" ht="14.25" customHeight="1">
      <c r="C658" s="54"/>
      <c r="H658" s="54"/>
    </row>
    <row r="659" spans="3:8" ht="14.25" customHeight="1">
      <c r="C659" s="54"/>
      <c r="H659" s="54"/>
    </row>
    <row r="660" spans="3:8" ht="14.25" customHeight="1">
      <c r="C660" s="54"/>
      <c r="H660" s="54"/>
    </row>
    <row r="661" spans="3:8" ht="14.25" customHeight="1">
      <c r="C661" s="54"/>
      <c r="H661" s="54"/>
    </row>
    <row r="662" spans="3:8" ht="14.25" customHeight="1">
      <c r="C662" s="54"/>
      <c r="H662" s="54"/>
    </row>
    <row r="663" spans="3:8" ht="14.25" customHeight="1">
      <c r="C663" s="54"/>
      <c r="H663" s="54"/>
    </row>
    <row r="664" spans="3:8" ht="14.25" customHeight="1">
      <c r="C664" s="54"/>
      <c r="H664" s="54"/>
    </row>
    <row r="665" spans="3:8" ht="14.25" customHeight="1">
      <c r="C665" s="54"/>
      <c r="H665" s="54"/>
    </row>
    <row r="666" spans="3:8" ht="14.25" customHeight="1">
      <c r="C666" s="54"/>
      <c r="H666" s="54"/>
    </row>
    <row r="667" spans="3:8" ht="14.25" customHeight="1">
      <c r="C667" s="54"/>
      <c r="H667" s="54"/>
    </row>
    <row r="668" spans="3:8" ht="14.25" customHeight="1">
      <c r="C668" s="54"/>
      <c r="H668" s="54"/>
    </row>
    <row r="669" spans="3:8" ht="14.25" customHeight="1">
      <c r="C669" s="54"/>
      <c r="H669" s="54"/>
    </row>
    <row r="670" spans="3:8" ht="14.25" customHeight="1">
      <c r="C670" s="54"/>
      <c r="H670" s="54"/>
    </row>
    <row r="671" spans="3:8" ht="14.25" customHeight="1">
      <c r="C671" s="54"/>
      <c r="H671" s="54"/>
    </row>
    <row r="672" spans="3:8" ht="14.25" customHeight="1">
      <c r="C672" s="54"/>
      <c r="H672" s="54"/>
    </row>
    <row r="673" spans="3:8" ht="14.25" customHeight="1">
      <c r="C673" s="54"/>
      <c r="H673" s="54"/>
    </row>
    <row r="674" spans="3:8" ht="14.25" customHeight="1">
      <c r="C674" s="54"/>
      <c r="H674" s="54"/>
    </row>
    <row r="675" spans="3:8" ht="14.25" customHeight="1">
      <c r="C675" s="54"/>
      <c r="H675" s="54"/>
    </row>
    <row r="676" spans="3:8" ht="14.25" customHeight="1">
      <c r="C676" s="54"/>
      <c r="H676" s="54"/>
    </row>
    <row r="677" spans="3:8" ht="14.25" customHeight="1">
      <c r="C677" s="54"/>
      <c r="H677" s="54"/>
    </row>
    <row r="678" spans="3:8" ht="14.25" customHeight="1">
      <c r="C678" s="54"/>
      <c r="H678" s="54"/>
    </row>
    <row r="679" spans="3:8" ht="14.25" customHeight="1">
      <c r="C679" s="54"/>
      <c r="H679" s="54"/>
    </row>
    <row r="680" spans="3:8" ht="14.25" customHeight="1">
      <c r="C680" s="54"/>
      <c r="H680" s="54"/>
    </row>
    <row r="681" spans="3:8" ht="14.25" customHeight="1">
      <c r="C681" s="54"/>
      <c r="H681" s="54"/>
    </row>
    <row r="682" spans="3:8" ht="14.25" customHeight="1">
      <c r="C682" s="54"/>
      <c r="H682" s="54"/>
    </row>
    <row r="683" spans="3:8" ht="14.25" customHeight="1">
      <c r="C683" s="54"/>
      <c r="H683" s="54"/>
    </row>
    <row r="684" spans="3:8" ht="14.25" customHeight="1">
      <c r="C684" s="54"/>
      <c r="H684" s="54"/>
    </row>
    <row r="685" spans="3:8" ht="14.25" customHeight="1">
      <c r="C685" s="54"/>
      <c r="H685" s="54"/>
    </row>
    <row r="686" spans="3:8" ht="14.25" customHeight="1">
      <c r="C686" s="54"/>
      <c r="H686" s="54"/>
    </row>
    <row r="687" spans="3:8" ht="14.25" customHeight="1">
      <c r="C687" s="54"/>
      <c r="H687" s="54"/>
    </row>
    <row r="688" spans="3:8" ht="14.25" customHeight="1">
      <c r="C688" s="54"/>
      <c r="H688" s="54"/>
    </row>
    <row r="689" spans="3:8" ht="14.25" customHeight="1">
      <c r="C689" s="54"/>
      <c r="H689" s="54"/>
    </row>
    <row r="690" spans="3:8" ht="14.25" customHeight="1">
      <c r="C690" s="54"/>
      <c r="H690" s="54"/>
    </row>
    <row r="691" spans="3:8" ht="14.25" customHeight="1">
      <c r="C691" s="54"/>
      <c r="H691" s="54"/>
    </row>
    <row r="692" spans="3:8" ht="14.25" customHeight="1">
      <c r="C692" s="54"/>
      <c r="H692" s="54"/>
    </row>
    <row r="693" spans="3:8" ht="14.25" customHeight="1">
      <c r="C693" s="54"/>
      <c r="H693" s="54"/>
    </row>
    <row r="694" spans="3:8" ht="14.25" customHeight="1">
      <c r="C694" s="54"/>
      <c r="H694" s="54"/>
    </row>
    <row r="695" spans="3:8" ht="14.25" customHeight="1">
      <c r="C695" s="54"/>
      <c r="H695" s="54"/>
    </row>
    <row r="696" spans="3:8" ht="14.25" customHeight="1">
      <c r="C696" s="54"/>
      <c r="H696" s="54"/>
    </row>
    <row r="697" spans="3:8" ht="14.25" customHeight="1">
      <c r="C697" s="54"/>
      <c r="H697" s="54"/>
    </row>
    <row r="698" spans="3:8" ht="14.25" customHeight="1">
      <c r="C698" s="54"/>
      <c r="H698" s="54"/>
    </row>
    <row r="699" spans="3:8" ht="14.25" customHeight="1">
      <c r="C699" s="54"/>
      <c r="H699" s="54"/>
    </row>
    <row r="700" spans="3:8" ht="14.25" customHeight="1">
      <c r="C700" s="54"/>
      <c r="H700" s="54"/>
    </row>
    <row r="701" spans="3:8" ht="14.25" customHeight="1">
      <c r="C701" s="54"/>
      <c r="H701" s="54"/>
    </row>
    <row r="702" spans="3:8" ht="14.25" customHeight="1">
      <c r="C702" s="54"/>
      <c r="H702" s="54"/>
    </row>
    <row r="703" spans="3:8" ht="14.25" customHeight="1">
      <c r="C703" s="54"/>
      <c r="H703" s="54"/>
    </row>
    <row r="704" spans="3:8" ht="14.25" customHeight="1">
      <c r="C704" s="54"/>
      <c r="H704" s="54"/>
    </row>
    <row r="705" spans="3:8" ht="14.25" customHeight="1">
      <c r="C705" s="54"/>
      <c r="H705" s="54"/>
    </row>
    <row r="706" spans="3:8" ht="14.25" customHeight="1">
      <c r="C706" s="54"/>
      <c r="H706" s="54"/>
    </row>
    <row r="707" spans="3:8" ht="14.25" customHeight="1">
      <c r="C707" s="54"/>
      <c r="H707" s="54"/>
    </row>
    <row r="708" spans="3:8" ht="14.25" customHeight="1">
      <c r="C708" s="54"/>
      <c r="H708" s="54"/>
    </row>
    <row r="709" spans="3:8" ht="14.25" customHeight="1">
      <c r="C709" s="54"/>
      <c r="H709" s="54"/>
    </row>
    <row r="710" spans="3:8" ht="14.25" customHeight="1">
      <c r="C710" s="54"/>
      <c r="H710" s="54"/>
    </row>
    <row r="711" spans="3:8" ht="14.25" customHeight="1">
      <c r="C711" s="54"/>
      <c r="H711" s="54"/>
    </row>
    <row r="712" spans="3:8" ht="14.25" customHeight="1">
      <c r="C712" s="54"/>
      <c r="H712" s="54"/>
    </row>
    <row r="713" spans="3:8" ht="14.25" customHeight="1">
      <c r="C713" s="54"/>
      <c r="H713" s="54"/>
    </row>
    <row r="714" spans="3:8" ht="14.25" customHeight="1">
      <c r="C714" s="54"/>
      <c r="H714" s="54"/>
    </row>
    <row r="715" spans="3:8" ht="14.25" customHeight="1">
      <c r="C715" s="54"/>
      <c r="H715" s="54"/>
    </row>
    <row r="716" spans="3:8" ht="14.25" customHeight="1">
      <c r="C716" s="54"/>
      <c r="H716" s="54"/>
    </row>
    <row r="717" spans="3:8" ht="14.25" customHeight="1">
      <c r="C717" s="54"/>
      <c r="H717" s="54"/>
    </row>
    <row r="718" spans="3:8" ht="14.25" customHeight="1">
      <c r="C718" s="54"/>
      <c r="H718" s="54"/>
    </row>
    <row r="719" spans="3:8" ht="14.25" customHeight="1">
      <c r="C719" s="54"/>
      <c r="H719" s="54"/>
    </row>
    <row r="720" spans="3:8" ht="14.25" customHeight="1">
      <c r="C720" s="54"/>
      <c r="H720" s="54"/>
    </row>
    <row r="721" spans="3:8" ht="14.25" customHeight="1">
      <c r="C721" s="54"/>
      <c r="H721" s="54"/>
    </row>
    <row r="722" spans="3:8" ht="14.25" customHeight="1">
      <c r="C722" s="54"/>
      <c r="H722" s="54"/>
    </row>
    <row r="723" spans="3:8" ht="14.25" customHeight="1">
      <c r="C723" s="54"/>
      <c r="H723" s="54"/>
    </row>
    <row r="724" spans="3:8" ht="14.25" customHeight="1">
      <c r="C724" s="54"/>
      <c r="H724" s="54"/>
    </row>
    <row r="725" spans="3:8" ht="14.25" customHeight="1">
      <c r="C725" s="54"/>
      <c r="H725" s="54"/>
    </row>
    <row r="726" spans="3:8" ht="14.25" customHeight="1">
      <c r="C726" s="54"/>
      <c r="H726" s="54"/>
    </row>
    <row r="727" spans="3:8" ht="14.25" customHeight="1">
      <c r="C727" s="54"/>
      <c r="H727" s="54"/>
    </row>
    <row r="728" spans="3:8" ht="14.25" customHeight="1">
      <c r="C728" s="54"/>
      <c r="H728" s="54"/>
    </row>
    <row r="729" spans="3:8" ht="14.25" customHeight="1">
      <c r="C729" s="54"/>
      <c r="H729" s="54"/>
    </row>
    <row r="730" spans="3:8" ht="14.25" customHeight="1">
      <c r="C730" s="54"/>
      <c r="H730" s="54"/>
    </row>
    <row r="731" spans="3:8" ht="14.25" customHeight="1">
      <c r="C731" s="54"/>
      <c r="H731" s="54"/>
    </row>
    <row r="732" spans="3:8" ht="14.25" customHeight="1">
      <c r="C732" s="54"/>
      <c r="H732" s="54"/>
    </row>
    <row r="733" spans="3:8" ht="14.25" customHeight="1">
      <c r="C733" s="54"/>
      <c r="H733" s="54"/>
    </row>
    <row r="734" spans="3:8" ht="14.25" customHeight="1">
      <c r="C734" s="54"/>
      <c r="H734" s="54"/>
    </row>
    <row r="735" spans="3:8" ht="14.25" customHeight="1">
      <c r="C735" s="54"/>
      <c r="H735" s="54"/>
    </row>
    <row r="736" spans="3:8" ht="14.25" customHeight="1">
      <c r="C736" s="54"/>
      <c r="H736" s="54"/>
    </row>
    <row r="737" spans="3:8" ht="14.25" customHeight="1">
      <c r="C737" s="54"/>
      <c r="H737" s="54"/>
    </row>
    <row r="738" spans="3:8" ht="14.25" customHeight="1">
      <c r="C738" s="54"/>
      <c r="H738" s="54"/>
    </row>
    <row r="739" spans="3:8" ht="14.25" customHeight="1">
      <c r="C739" s="54"/>
      <c r="H739" s="54"/>
    </row>
    <row r="740" spans="3:8" ht="14.25" customHeight="1">
      <c r="C740" s="54"/>
      <c r="H740" s="54"/>
    </row>
    <row r="741" spans="3:8" ht="14.25" customHeight="1">
      <c r="C741" s="54"/>
      <c r="H741" s="54"/>
    </row>
    <row r="742" spans="3:8" ht="14.25" customHeight="1">
      <c r="C742" s="54"/>
      <c r="H742" s="54"/>
    </row>
    <row r="743" spans="3:8" ht="14.25" customHeight="1">
      <c r="C743" s="54"/>
      <c r="H743" s="54"/>
    </row>
    <row r="744" spans="3:8" ht="14.25" customHeight="1">
      <c r="C744" s="54"/>
      <c r="H744" s="54"/>
    </row>
    <row r="745" spans="3:8" ht="14.25" customHeight="1">
      <c r="C745" s="54"/>
      <c r="H745" s="54"/>
    </row>
    <row r="746" spans="3:8" ht="14.25" customHeight="1">
      <c r="C746" s="54"/>
      <c r="H746" s="54"/>
    </row>
    <row r="747" spans="3:8" ht="14.25" customHeight="1">
      <c r="C747" s="54"/>
      <c r="H747" s="54"/>
    </row>
    <row r="748" spans="3:8" ht="14.25" customHeight="1">
      <c r="C748" s="54"/>
      <c r="H748" s="54"/>
    </row>
    <row r="749" spans="3:8" ht="14.25" customHeight="1">
      <c r="C749" s="54"/>
      <c r="H749" s="54"/>
    </row>
    <row r="750" spans="3:8" ht="14.25" customHeight="1">
      <c r="C750" s="54"/>
      <c r="H750" s="54"/>
    </row>
    <row r="751" spans="3:8" ht="14.25" customHeight="1">
      <c r="C751" s="54"/>
      <c r="H751" s="54"/>
    </row>
    <row r="752" spans="3:8" ht="14.25" customHeight="1">
      <c r="C752" s="54"/>
      <c r="H752" s="54"/>
    </row>
    <row r="753" spans="3:8" ht="14.25" customHeight="1">
      <c r="C753" s="54"/>
      <c r="H753" s="54"/>
    </row>
    <row r="754" spans="3:8" ht="14.25" customHeight="1">
      <c r="C754" s="54"/>
      <c r="H754" s="54"/>
    </row>
    <row r="755" spans="3:8" ht="14.25" customHeight="1">
      <c r="C755" s="54"/>
      <c r="H755" s="54"/>
    </row>
    <row r="756" spans="3:8" ht="14.25" customHeight="1">
      <c r="C756" s="54"/>
      <c r="H756" s="54"/>
    </row>
    <row r="757" spans="3:8" ht="14.25" customHeight="1">
      <c r="C757" s="54"/>
      <c r="H757" s="54"/>
    </row>
    <row r="758" spans="3:8" ht="14.25" customHeight="1">
      <c r="C758" s="54"/>
      <c r="H758" s="54"/>
    </row>
    <row r="759" spans="3:8" ht="14.25" customHeight="1">
      <c r="C759" s="54"/>
      <c r="H759" s="54"/>
    </row>
    <row r="760" spans="3:8" ht="14.25" customHeight="1">
      <c r="C760" s="54"/>
      <c r="H760" s="54"/>
    </row>
    <row r="761" spans="3:8" ht="14.25" customHeight="1">
      <c r="C761" s="54"/>
      <c r="H761" s="54"/>
    </row>
    <row r="762" spans="3:8" ht="14.25" customHeight="1">
      <c r="C762" s="54"/>
      <c r="H762" s="54"/>
    </row>
    <row r="763" spans="3:8" ht="14.25" customHeight="1">
      <c r="C763" s="54"/>
      <c r="H763" s="54"/>
    </row>
    <row r="764" spans="3:8" ht="14.25" customHeight="1">
      <c r="C764" s="54"/>
      <c r="H764" s="54"/>
    </row>
    <row r="765" spans="3:8" ht="14.25" customHeight="1">
      <c r="C765" s="54"/>
      <c r="H765" s="54"/>
    </row>
    <row r="766" spans="3:8" ht="14.25" customHeight="1">
      <c r="C766" s="54"/>
      <c r="H766" s="54"/>
    </row>
    <row r="767" spans="3:8" ht="14.25" customHeight="1">
      <c r="C767" s="54"/>
      <c r="H767" s="54"/>
    </row>
    <row r="768" spans="3:8" ht="14.25" customHeight="1">
      <c r="C768" s="54"/>
      <c r="H768" s="54"/>
    </row>
    <row r="769" spans="3:8" ht="14.25" customHeight="1">
      <c r="C769" s="54"/>
      <c r="H769" s="54"/>
    </row>
    <row r="770" spans="3:8" ht="14.25" customHeight="1">
      <c r="C770" s="54"/>
      <c r="H770" s="54"/>
    </row>
    <row r="771" spans="3:8" ht="14.25" customHeight="1">
      <c r="C771" s="54"/>
      <c r="H771" s="54"/>
    </row>
    <row r="772" spans="3:8" ht="14.25" customHeight="1">
      <c r="C772" s="54"/>
      <c r="H772" s="54"/>
    </row>
    <row r="773" spans="3:8" ht="14.25" customHeight="1">
      <c r="C773" s="54"/>
      <c r="H773" s="54"/>
    </row>
    <row r="774" spans="3:8" ht="14.25" customHeight="1">
      <c r="C774" s="54"/>
      <c r="H774" s="54"/>
    </row>
    <row r="775" spans="3:8" ht="14.25" customHeight="1">
      <c r="C775" s="54"/>
      <c r="H775" s="54"/>
    </row>
    <row r="776" spans="3:8" ht="14.25" customHeight="1">
      <c r="C776" s="54"/>
      <c r="H776" s="54"/>
    </row>
    <row r="777" spans="3:8" ht="14.25" customHeight="1">
      <c r="C777" s="54"/>
      <c r="H777" s="54"/>
    </row>
    <row r="778" spans="3:8" ht="14.25" customHeight="1">
      <c r="C778" s="54"/>
      <c r="H778" s="54"/>
    </row>
    <row r="779" spans="3:8" ht="14.25" customHeight="1">
      <c r="C779" s="54"/>
      <c r="H779" s="54"/>
    </row>
    <row r="780" spans="3:8" ht="14.25" customHeight="1">
      <c r="C780" s="54"/>
      <c r="H780" s="54"/>
    </row>
    <row r="781" spans="3:8" ht="14.25" customHeight="1">
      <c r="C781" s="54"/>
      <c r="H781" s="54"/>
    </row>
    <row r="782" spans="3:8" ht="14.25" customHeight="1">
      <c r="C782" s="54"/>
      <c r="H782" s="54"/>
    </row>
    <row r="783" spans="3:8" ht="14.25" customHeight="1">
      <c r="C783" s="54"/>
      <c r="H783" s="54"/>
    </row>
    <row r="784" spans="3:8" ht="14.25" customHeight="1">
      <c r="C784" s="54"/>
      <c r="H784" s="54"/>
    </row>
    <row r="785" spans="3:8" ht="14.25" customHeight="1">
      <c r="C785" s="54"/>
      <c r="H785" s="54"/>
    </row>
    <row r="786" spans="3:8" ht="14.25" customHeight="1">
      <c r="C786" s="54"/>
      <c r="H786" s="54"/>
    </row>
    <row r="787" spans="3:8" ht="14.25" customHeight="1">
      <c r="C787" s="54"/>
      <c r="H787" s="54"/>
    </row>
    <row r="788" spans="3:8" ht="14.25" customHeight="1">
      <c r="C788" s="54"/>
      <c r="H788" s="54"/>
    </row>
    <row r="789" spans="3:8" ht="14.25" customHeight="1">
      <c r="C789" s="54"/>
      <c r="H789" s="54"/>
    </row>
    <row r="790" spans="3:8" ht="14.25" customHeight="1">
      <c r="C790" s="54"/>
      <c r="H790" s="54"/>
    </row>
    <row r="791" spans="3:8" ht="14.25" customHeight="1">
      <c r="C791" s="54"/>
      <c r="H791" s="54"/>
    </row>
    <row r="792" spans="3:8" ht="14.25" customHeight="1">
      <c r="C792" s="54"/>
      <c r="H792" s="54"/>
    </row>
    <row r="793" spans="3:8" ht="14.25" customHeight="1">
      <c r="C793" s="54"/>
      <c r="H793" s="54"/>
    </row>
    <row r="794" spans="3:8" ht="14.25" customHeight="1">
      <c r="C794" s="54"/>
      <c r="H794" s="54"/>
    </row>
    <row r="795" spans="3:8" ht="14.25" customHeight="1">
      <c r="C795" s="54"/>
      <c r="H795" s="54"/>
    </row>
    <row r="796" spans="3:8" ht="14.25" customHeight="1">
      <c r="C796" s="54"/>
      <c r="H796" s="54"/>
    </row>
    <row r="797" spans="3:8" ht="14.25" customHeight="1">
      <c r="C797" s="54"/>
      <c r="H797" s="54"/>
    </row>
    <row r="798" spans="3:8" ht="14.25" customHeight="1">
      <c r="C798" s="54"/>
      <c r="H798" s="54"/>
    </row>
    <row r="799" spans="3:8" ht="14.25" customHeight="1">
      <c r="C799" s="54"/>
      <c r="H799" s="54"/>
    </row>
    <row r="800" spans="3:8" ht="14.25" customHeight="1">
      <c r="C800" s="54"/>
      <c r="H800" s="54"/>
    </row>
    <row r="801" spans="3:8" ht="14.25" customHeight="1">
      <c r="C801" s="54"/>
      <c r="H801" s="54"/>
    </row>
    <row r="802" spans="3:8" ht="14.25" customHeight="1">
      <c r="C802" s="54"/>
      <c r="H802" s="54"/>
    </row>
    <row r="803" spans="3:8" ht="14.25" customHeight="1">
      <c r="C803" s="54"/>
      <c r="H803" s="54"/>
    </row>
    <row r="804" spans="3:8" ht="14.25" customHeight="1">
      <c r="C804" s="54"/>
      <c r="H804" s="54"/>
    </row>
    <row r="805" spans="3:8" ht="14.25" customHeight="1">
      <c r="C805" s="54"/>
      <c r="H805" s="54"/>
    </row>
    <row r="806" spans="3:8" ht="14.25" customHeight="1">
      <c r="C806" s="54"/>
      <c r="H806" s="54"/>
    </row>
    <row r="807" spans="3:8" ht="14.25" customHeight="1">
      <c r="C807" s="54"/>
      <c r="H807" s="54"/>
    </row>
    <row r="808" spans="3:8" ht="14.25" customHeight="1">
      <c r="C808" s="54"/>
      <c r="H808" s="54"/>
    </row>
    <row r="809" spans="3:8" ht="14.25" customHeight="1">
      <c r="C809" s="54"/>
      <c r="H809" s="54"/>
    </row>
    <row r="810" spans="3:8" ht="14.25" customHeight="1">
      <c r="C810" s="54"/>
      <c r="H810" s="54"/>
    </row>
    <row r="811" spans="3:8" ht="14.25" customHeight="1">
      <c r="C811" s="54"/>
      <c r="H811" s="54"/>
    </row>
    <row r="812" spans="3:8" ht="14.25" customHeight="1">
      <c r="C812" s="54"/>
      <c r="H812" s="54"/>
    </row>
    <row r="813" spans="3:8" ht="14.25" customHeight="1">
      <c r="C813" s="54"/>
      <c r="H813" s="54"/>
    </row>
    <row r="814" spans="3:8" ht="14.25" customHeight="1">
      <c r="C814" s="54"/>
      <c r="H814" s="54"/>
    </row>
    <row r="815" spans="3:8" ht="14.25" customHeight="1">
      <c r="C815" s="54"/>
      <c r="H815" s="54"/>
    </row>
    <row r="816" spans="3:8" ht="14.25" customHeight="1">
      <c r="C816" s="54"/>
      <c r="H816" s="54"/>
    </row>
    <row r="817" spans="3:8" ht="14.25" customHeight="1">
      <c r="C817" s="54"/>
      <c r="H817" s="54"/>
    </row>
    <row r="818" spans="3:8" ht="14.25" customHeight="1">
      <c r="C818" s="54"/>
      <c r="H818" s="54"/>
    </row>
    <row r="819" spans="3:8" ht="14.25" customHeight="1">
      <c r="C819" s="54"/>
      <c r="H819" s="54"/>
    </row>
    <row r="820" spans="3:8" ht="14.25" customHeight="1">
      <c r="C820" s="54"/>
      <c r="H820" s="54"/>
    </row>
    <row r="821" spans="3:8" ht="14.25" customHeight="1">
      <c r="C821" s="54"/>
      <c r="H821" s="54"/>
    </row>
    <row r="822" spans="3:8" ht="14.25" customHeight="1">
      <c r="C822" s="54"/>
      <c r="H822" s="54"/>
    </row>
    <row r="823" spans="3:8" ht="14.25" customHeight="1">
      <c r="C823" s="54"/>
      <c r="H823" s="54"/>
    </row>
    <row r="824" spans="3:8" ht="14.25" customHeight="1">
      <c r="C824" s="54"/>
      <c r="H824" s="54"/>
    </row>
    <row r="825" spans="3:8" ht="14.25" customHeight="1">
      <c r="C825" s="54"/>
      <c r="H825" s="54"/>
    </row>
    <row r="826" spans="3:8" ht="14.25" customHeight="1">
      <c r="C826" s="54"/>
      <c r="H826" s="54"/>
    </row>
    <row r="827" spans="3:8" ht="14.25" customHeight="1">
      <c r="C827" s="54"/>
      <c r="H827" s="54"/>
    </row>
    <row r="828" spans="3:8" ht="14.25" customHeight="1">
      <c r="C828" s="54"/>
      <c r="H828" s="54"/>
    </row>
    <row r="829" spans="3:8" ht="14.25" customHeight="1">
      <c r="C829" s="54"/>
      <c r="H829" s="54"/>
    </row>
    <row r="830" spans="3:8" ht="14.25" customHeight="1">
      <c r="C830" s="54"/>
      <c r="H830" s="54"/>
    </row>
    <row r="831" spans="3:8" ht="14.25" customHeight="1">
      <c r="C831" s="54"/>
      <c r="H831" s="54"/>
    </row>
    <row r="832" spans="3:8" ht="14.25" customHeight="1">
      <c r="C832" s="54"/>
      <c r="H832" s="54"/>
    </row>
    <row r="833" spans="3:8" ht="14.25" customHeight="1">
      <c r="C833" s="54"/>
      <c r="H833" s="54"/>
    </row>
    <row r="834" spans="3:8" ht="14.25" customHeight="1">
      <c r="C834" s="54"/>
      <c r="H834" s="54"/>
    </row>
    <row r="835" spans="3:8" ht="14.25" customHeight="1">
      <c r="C835" s="54"/>
      <c r="H835" s="54"/>
    </row>
    <row r="836" spans="3:8" ht="14.25" customHeight="1">
      <c r="C836" s="54"/>
      <c r="H836" s="54"/>
    </row>
    <row r="837" spans="3:8" ht="14.25" customHeight="1">
      <c r="C837" s="54"/>
      <c r="H837" s="54"/>
    </row>
    <row r="838" spans="3:8" ht="14.25" customHeight="1">
      <c r="C838" s="54"/>
      <c r="H838" s="54"/>
    </row>
    <row r="839" spans="3:8" ht="14.25" customHeight="1">
      <c r="C839" s="54"/>
      <c r="H839" s="54"/>
    </row>
    <row r="840" spans="3:8" ht="14.25" customHeight="1">
      <c r="C840" s="54"/>
      <c r="H840" s="54"/>
    </row>
    <row r="841" spans="3:8" ht="14.25" customHeight="1">
      <c r="C841" s="54"/>
      <c r="H841" s="54"/>
    </row>
    <row r="842" spans="3:8" ht="14.25" customHeight="1">
      <c r="C842" s="54"/>
      <c r="H842" s="54"/>
    </row>
    <row r="843" spans="3:8" ht="14.25" customHeight="1">
      <c r="C843" s="54"/>
      <c r="H843" s="54"/>
    </row>
    <row r="844" spans="3:8" ht="14.25" customHeight="1">
      <c r="C844" s="54"/>
      <c r="H844" s="54"/>
    </row>
    <row r="845" spans="3:8" ht="14.25" customHeight="1">
      <c r="C845" s="54"/>
      <c r="H845" s="54"/>
    </row>
    <row r="846" spans="3:8" ht="14.25" customHeight="1">
      <c r="C846" s="54"/>
      <c r="H846" s="54"/>
    </row>
    <row r="847" spans="3:8" ht="14.25" customHeight="1">
      <c r="C847" s="54"/>
      <c r="H847" s="54"/>
    </row>
    <row r="848" spans="3:8" ht="14.25" customHeight="1">
      <c r="C848" s="54"/>
      <c r="H848" s="54"/>
    </row>
    <row r="849" spans="3:8" ht="14.25" customHeight="1">
      <c r="C849" s="54"/>
      <c r="H849" s="54"/>
    </row>
    <row r="850" spans="3:8" ht="14.25" customHeight="1">
      <c r="C850" s="54"/>
      <c r="H850" s="54"/>
    </row>
    <row r="851" spans="3:8" ht="14.25" customHeight="1">
      <c r="C851" s="54"/>
      <c r="H851" s="54"/>
    </row>
    <row r="852" spans="3:8" ht="14.25" customHeight="1">
      <c r="C852" s="54"/>
      <c r="H852" s="54"/>
    </row>
    <row r="853" spans="3:8" ht="14.25" customHeight="1">
      <c r="C853" s="54"/>
      <c r="H853" s="54"/>
    </row>
    <row r="854" spans="3:8" ht="14.25" customHeight="1">
      <c r="C854" s="54"/>
      <c r="H854" s="54"/>
    </row>
    <row r="855" spans="3:8" ht="14.25" customHeight="1">
      <c r="C855" s="54"/>
      <c r="H855" s="54"/>
    </row>
    <row r="856" spans="3:8" ht="14.25" customHeight="1">
      <c r="C856" s="54"/>
      <c r="H856" s="54"/>
    </row>
    <row r="857" spans="3:8" ht="14.25" customHeight="1">
      <c r="C857" s="54"/>
      <c r="H857" s="54"/>
    </row>
    <row r="858" spans="3:8" ht="14.25" customHeight="1">
      <c r="C858" s="54"/>
      <c r="H858" s="54"/>
    </row>
    <row r="859" spans="3:8" ht="14.25" customHeight="1">
      <c r="C859" s="54"/>
      <c r="H859" s="54"/>
    </row>
    <row r="860" spans="3:8" ht="14.25" customHeight="1">
      <c r="C860" s="54"/>
      <c r="H860" s="54"/>
    </row>
    <row r="861" spans="3:8" ht="14.25" customHeight="1">
      <c r="C861" s="54"/>
      <c r="H861" s="54"/>
    </row>
    <row r="862" spans="3:8" ht="14.25" customHeight="1">
      <c r="C862" s="54"/>
      <c r="H862" s="54"/>
    </row>
    <row r="863" spans="3:8" ht="14.25" customHeight="1">
      <c r="C863" s="54"/>
      <c r="H863" s="54"/>
    </row>
    <row r="864" spans="3:8" ht="14.25" customHeight="1">
      <c r="C864" s="54"/>
      <c r="H864" s="54"/>
    </row>
    <row r="865" spans="3:8" ht="14.25" customHeight="1">
      <c r="C865" s="54"/>
      <c r="H865" s="54"/>
    </row>
    <row r="866" spans="3:8" ht="14.25" customHeight="1">
      <c r="C866" s="54"/>
      <c r="H866" s="54"/>
    </row>
    <row r="867" spans="3:8" ht="14.25" customHeight="1">
      <c r="C867" s="54"/>
      <c r="H867" s="54"/>
    </row>
    <row r="868" spans="3:8" ht="14.25" customHeight="1">
      <c r="C868" s="54"/>
      <c r="H868" s="54"/>
    </row>
    <row r="869" spans="3:8" ht="14.25" customHeight="1">
      <c r="C869" s="54"/>
      <c r="H869" s="54"/>
    </row>
    <row r="870" spans="3:8" ht="14.25" customHeight="1">
      <c r="C870" s="54"/>
      <c r="H870" s="54"/>
    </row>
    <row r="871" spans="3:8" ht="14.25" customHeight="1">
      <c r="C871" s="54"/>
      <c r="H871" s="54"/>
    </row>
    <row r="872" spans="3:8" ht="14.25" customHeight="1">
      <c r="C872" s="54"/>
      <c r="H872" s="54"/>
    </row>
    <row r="873" spans="3:8" ht="14.25" customHeight="1">
      <c r="C873" s="54"/>
      <c r="H873" s="54"/>
    </row>
    <row r="874" spans="3:8" ht="14.25" customHeight="1">
      <c r="C874" s="54"/>
      <c r="H874" s="54"/>
    </row>
    <row r="875" spans="3:8" ht="14.25" customHeight="1">
      <c r="C875" s="54"/>
      <c r="H875" s="54"/>
    </row>
    <row r="876" spans="3:8" ht="14.25" customHeight="1">
      <c r="C876" s="54"/>
      <c r="H876" s="54"/>
    </row>
    <row r="877" spans="3:8" ht="14.25" customHeight="1">
      <c r="C877" s="54"/>
      <c r="H877" s="54"/>
    </row>
    <row r="878" spans="3:8" ht="14.25" customHeight="1">
      <c r="C878" s="54"/>
      <c r="H878" s="54"/>
    </row>
    <row r="879" spans="3:8" ht="14.25" customHeight="1">
      <c r="C879" s="54"/>
      <c r="H879" s="54"/>
    </row>
    <row r="880" spans="3:8" ht="14.25" customHeight="1">
      <c r="C880" s="54"/>
      <c r="H880" s="54"/>
    </row>
    <row r="881" spans="3:8" ht="14.25" customHeight="1">
      <c r="C881" s="54"/>
      <c r="H881" s="54"/>
    </row>
    <row r="882" spans="3:8" ht="14.25" customHeight="1">
      <c r="C882" s="54"/>
      <c r="H882" s="54"/>
    </row>
    <row r="883" spans="3:8" ht="14.25" customHeight="1">
      <c r="C883" s="54"/>
      <c r="H883" s="54"/>
    </row>
    <row r="884" spans="3:8" ht="14.25" customHeight="1">
      <c r="C884" s="54"/>
      <c r="H884" s="54"/>
    </row>
    <row r="885" spans="3:8" ht="14.25" customHeight="1">
      <c r="C885" s="54"/>
      <c r="H885" s="54"/>
    </row>
    <row r="886" spans="3:8" ht="14.25" customHeight="1">
      <c r="C886" s="54"/>
      <c r="H886" s="54"/>
    </row>
    <row r="887" spans="3:8" ht="14.25" customHeight="1">
      <c r="C887" s="54"/>
      <c r="H887" s="54"/>
    </row>
    <row r="888" spans="3:8" ht="14.25" customHeight="1">
      <c r="C888" s="54"/>
      <c r="H888" s="54"/>
    </row>
    <row r="889" spans="3:8" ht="14.25" customHeight="1">
      <c r="C889" s="54"/>
      <c r="H889" s="54"/>
    </row>
    <row r="890" spans="3:8" ht="14.25" customHeight="1">
      <c r="C890" s="54"/>
      <c r="H890" s="54"/>
    </row>
    <row r="891" spans="3:8" ht="14.25" customHeight="1">
      <c r="C891" s="54"/>
      <c r="H891" s="54"/>
    </row>
    <row r="892" spans="3:8" ht="14.25" customHeight="1">
      <c r="C892" s="54"/>
      <c r="H892" s="54"/>
    </row>
    <row r="893" spans="3:8" ht="14.25" customHeight="1">
      <c r="C893" s="54"/>
      <c r="H893" s="54"/>
    </row>
    <row r="894" spans="3:8" ht="14.25" customHeight="1">
      <c r="C894" s="54"/>
      <c r="H894" s="54"/>
    </row>
    <row r="895" spans="3:8" ht="14.25" customHeight="1">
      <c r="C895" s="54"/>
      <c r="H895" s="54"/>
    </row>
    <row r="896" spans="3:8" ht="14.25" customHeight="1">
      <c r="C896" s="54"/>
      <c r="H896" s="54"/>
    </row>
    <row r="897" spans="3:8" ht="14.25" customHeight="1">
      <c r="C897" s="54"/>
      <c r="H897" s="54"/>
    </row>
    <row r="898" spans="3:8" ht="14.25" customHeight="1">
      <c r="C898" s="54"/>
      <c r="H898" s="54"/>
    </row>
    <row r="899" spans="3:8" ht="14.25" customHeight="1">
      <c r="C899" s="54"/>
      <c r="H899" s="54"/>
    </row>
    <row r="900" spans="3:8" ht="14.25" customHeight="1">
      <c r="C900" s="54"/>
      <c r="H900" s="54"/>
    </row>
    <row r="901" spans="3:8" ht="14.25" customHeight="1">
      <c r="C901" s="54"/>
      <c r="H901" s="54"/>
    </row>
    <row r="902" spans="3:8" ht="14.25" customHeight="1">
      <c r="C902" s="54"/>
      <c r="H902" s="54"/>
    </row>
    <row r="903" spans="3:8" ht="14.25" customHeight="1">
      <c r="C903" s="54"/>
      <c r="H903" s="54"/>
    </row>
    <row r="904" spans="3:8" ht="14.25" customHeight="1">
      <c r="C904" s="54"/>
      <c r="H904" s="54"/>
    </row>
    <row r="905" spans="3:8" ht="14.25" customHeight="1">
      <c r="C905" s="54"/>
      <c r="H905" s="54"/>
    </row>
    <row r="906" spans="3:8" ht="14.25" customHeight="1">
      <c r="C906" s="54"/>
      <c r="H906" s="54"/>
    </row>
    <row r="907" spans="3:8" ht="14.25" customHeight="1">
      <c r="C907" s="54"/>
      <c r="H907" s="54"/>
    </row>
    <row r="908" spans="3:8" ht="14.25" customHeight="1">
      <c r="C908" s="54"/>
      <c r="H908" s="54"/>
    </row>
    <row r="909" spans="3:8" ht="14.25" customHeight="1">
      <c r="C909" s="54"/>
      <c r="H909" s="54"/>
    </row>
    <row r="910" spans="3:8" ht="14.25" customHeight="1">
      <c r="C910" s="54"/>
      <c r="H910" s="54"/>
    </row>
    <row r="911" spans="3:8" ht="14.25" customHeight="1">
      <c r="C911" s="54"/>
      <c r="H911" s="54"/>
    </row>
    <row r="912" spans="3:8" ht="14.25" customHeight="1">
      <c r="C912" s="54"/>
      <c r="H912" s="54"/>
    </row>
    <row r="913" spans="3:8" ht="14.25" customHeight="1">
      <c r="C913" s="54"/>
      <c r="H913" s="54"/>
    </row>
    <row r="914" spans="3:8" ht="14.25" customHeight="1">
      <c r="C914" s="54"/>
      <c r="H914" s="54"/>
    </row>
    <row r="915" spans="3:8" ht="14.25" customHeight="1">
      <c r="C915" s="54"/>
      <c r="H915" s="54"/>
    </row>
    <row r="916" spans="3:8" ht="14.25" customHeight="1">
      <c r="C916" s="54"/>
      <c r="H916" s="54"/>
    </row>
    <row r="917" spans="3:8" ht="14.25" customHeight="1">
      <c r="C917" s="54"/>
      <c r="H917" s="54"/>
    </row>
    <row r="918" spans="3:8" ht="14.25" customHeight="1">
      <c r="C918" s="54"/>
      <c r="H918" s="54"/>
    </row>
    <row r="919" spans="3:8" ht="14.25" customHeight="1">
      <c r="C919" s="54"/>
      <c r="H919" s="54"/>
    </row>
    <row r="920" spans="3:8" ht="14.25" customHeight="1">
      <c r="C920" s="54"/>
      <c r="H920" s="54"/>
    </row>
    <row r="921" spans="3:8" ht="14.25" customHeight="1">
      <c r="C921" s="54"/>
      <c r="H921" s="54"/>
    </row>
    <row r="922" spans="3:8" ht="14.25" customHeight="1">
      <c r="C922" s="54"/>
      <c r="H922" s="54"/>
    </row>
    <row r="923" spans="3:8" ht="14.25" customHeight="1">
      <c r="C923" s="54"/>
      <c r="H923" s="54"/>
    </row>
    <row r="924" spans="3:8" ht="14.25" customHeight="1">
      <c r="C924" s="54"/>
      <c r="H924" s="54"/>
    </row>
    <row r="925" spans="3:8" ht="14.25" customHeight="1">
      <c r="C925" s="54"/>
      <c r="H925" s="54"/>
    </row>
    <row r="926" spans="3:8" ht="14.25" customHeight="1">
      <c r="C926" s="54"/>
      <c r="H926" s="54"/>
    </row>
    <row r="927" spans="3:8" ht="14.25" customHeight="1">
      <c r="C927" s="54"/>
      <c r="H927" s="54"/>
    </row>
    <row r="928" spans="3:8" ht="14.25" customHeight="1">
      <c r="C928" s="54"/>
      <c r="H928" s="54"/>
    </row>
    <row r="929" spans="3:8" ht="14.25" customHeight="1">
      <c r="C929" s="54"/>
      <c r="H929" s="54"/>
    </row>
    <row r="930" spans="3:8" ht="14.25" customHeight="1">
      <c r="C930" s="54"/>
      <c r="H930" s="54"/>
    </row>
    <row r="931" spans="3:8" ht="14.25" customHeight="1">
      <c r="C931" s="54"/>
      <c r="H931" s="54"/>
    </row>
    <row r="932" spans="3:8" ht="14.25" customHeight="1">
      <c r="C932" s="54"/>
      <c r="H932" s="54"/>
    </row>
    <row r="933" spans="3:8" ht="14.25" customHeight="1">
      <c r="C933" s="54"/>
      <c r="H933" s="54"/>
    </row>
    <row r="934" spans="3:8" ht="14.25" customHeight="1">
      <c r="C934" s="54"/>
      <c r="H934" s="54"/>
    </row>
    <row r="935" spans="3:8" ht="14.25" customHeight="1">
      <c r="C935" s="54"/>
      <c r="H935" s="54"/>
    </row>
    <row r="936" spans="3:8" ht="14.25" customHeight="1">
      <c r="C936" s="54"/>
      <c r="H936" s="54"/>
    </row>
    <row r="937" spans="3:8" ht="14.25" customHeight="1">
      <c r="C937" s="54"/>
      <c r="H937" s="54"/>
    </row>
    <row r="938" spans="3:8" ht="14.25" customHeight="1">
      <c r="C938" s="54"/>
      <c r="H938" s="54"/>
    </row>
    <row r="939" spans="3:8" ht="14.25" customHeight="1">
      <c r="C939" s="54"/>
      <c r="H939" s="54"/>
    </row>
    <row r="940" spans="3:8" ht="14.25" customHeight="1">
      <c r="C940" s="54"/>
      <c r="H940" s="54"/>
    </row>
    <row r="941" spans="3:8" ht="14.25" customHeight="1">
      <c r="C941" s="54"/>
      <c r="H941" s="54"/>
    </row>
    <row r="942" spans="3:8" ht="14.25" customHeight="1">
      <c r="C942" s="54"/>
      <c r="H942" s="54"/>
    </row>
    <row r="943" spans="3:8" ht="14.25" customHeight="1">
      <c r="C943" s="54"/>
      <c r="H943" s="54"/>
    </row>
    <row r="944" spans="3:8" ht="14.25" customHeight="1">
      <c r="C944" s="54"/>
      <c r="H944" s="54"/>
    </row>
    <row r="945" spans="3:8" ht="14.25" customHeight="1">
      <c r="C945" s="54"/>
      <c r="H945" s="54"/>
    </row>
    <row r="946" spans="3:8" ht="14.25" customHeight="1">
      <c r="C946" s="54"/>
      <c r="H946" s="54"/>
    </row>
    <row r="947" spans="3:8" ht="14.25" customHeight="1">
      <c r="C947" s="54"/>
      <c r="H947" s="54"/>
    </row>
    <row r="948" spans="3:8" ht="14.25" customHeight="1">
      <c r="C948" s="54"/>
      <c r="H948" s="54"/>
    </row>
    <row r="949" spans="3:8" ht="14.25" customHeight="1">
      <c r="C949" s="54"/>
      <c r="H949" s="54"/>
    </row>
    <row r="950" spans="3:8" ht="14.25" customHeight="1">
      <c r="C950" s="54"/>
      <c r="H950" s="54"/>
    </row>
    <row r="951" spans="3:8" ht="14.25" customHeight="1">
      <c r="C951" s="54"/>
      <c r="H951" s="54"/>
    </row>
    <row r="952" spans="3:8" ht="14.25" customHeight="1">
      <c r="C952" s="54"/>
      <c r="H952" s="54"/>
    </row>
    <row r="953" spans="3:8" ht="14.25" customHeight="1">
      <c r="C953" s="54"/>
      <c r="H953" s="54"/>
    </row>
    <row r="954" spans="3:8" ht="14.25" customHeight="1">
      <c r="C954" s="54"/>
      <c r="H954" s="54"/>
    </row>
    <row r="955" spans="3:8" ht="14.25" customHeight="1">
      <c r="C955" s="54"/>
      <c r="H955" s="54"/>
    </row>
    <row r="956" spans="3:8" ht="14.25" customHeight="1">
      <c r="C956" s="54"/>
      <c r="H956" s="54"/>
    </row>
    <row r="957" spans="3:8" ht="14.25" customHeight="1">
      <c r="C957" s="54"/>
      <c r="H957" s="54"/>
    </row>
    <row r="958" spans="3:8" ht="14.25" customHeight="1">
      <c r="C958" s="54"/>
      <c r="H958" s="54"/>
    </row>
    <row r="959" spans="3:8" ht="14.25" customHeight="1">
      <c r="C959" s="54"/>
      <c r="H959" s="54"/>
    </row>
    <row r="960" spans="3:8" ht="14.25" customHeight="1">
      <c r="C960" s="54"/>
      <c r="H960" s="54"/>
    </row>
    <row r="961" spans="3:8" ht="14.25" customHeight="1">
      <c r="C961" s="54"/>
      <c r="H961" s="54"/>
    </row>
    <row r="962" spans="3:8" ht="14.25" customHeight="1">
      <c r="C962" s="54"/>
      <c r="H962" s="54"/>
    </row>
    <row r="963" spans="3:8" ht="14.25" customHeight="1">
      <c r="C963" s="54"/>
      <c r="H963" s="54"/>
    </row>
    <row r="964" spans="3:8" ht="14.25" customHeight="1">
      <c r="C964" s="54"/>
      <c r="H964" s="54"/>
    </row>
    <row r="965" spans="3:8" ht="14.25" customHeight="1">
      <c r="C965" s="54"/>
      <c r="H965" s="54"/>
    </row>
    <row r="966" spans="3:8" ht="14.25" customHeight="1">
      <c r="C966" s="54"/>
      <c r="H966" s="54"/>
    </row>
    <row r="967" spans="3:8" ht="14.25" customHeight="1">
      <c r="C967" s="54"/>
      <c r="H967" s="54"/>
    </row>
    <row r="968" spans="3:8" ht="14.25" customHeight="1">
      <c r="C968" s="54"/>
      <c r="H968" s="54"/>
    </row>
    <row r="969" spans="3:8" ht="14.25" customHeight="1">
      <c r="C969" s="54"/>
      <c r="H969" s="54"/>
    </row>
    <row r="970" spans="3:8" ht="14.25" customHeight="1">
      <c r="C970" s="54"/>
      <c r="H970" s="54"/>
    </row>
    <row r="971" spans="3:8" ht="14.25" customHeight="1">
      <c r="C971" s="54"/>
      <c r="H971" s="54"/>
    </row>
    <row r="972" spans="3:8" ht="14.25" customHeight="1">
      <c r="C972" s="54"/>
      <c r="H972" s="54"/>
    </row>
    <row r="973" spans="3:8" ht="14.25" customHeight="1">
      <c r="C973" s="54"/>
      <c r="H973" s="54"/>
    </row>
    <row r="974" spans="3:8" ht="14.25" customHeight="1">
      <c r="C974" s="54"/>
      <c r="H974" s="54"/>
    </row>
    <row r="975" spans="3:8" ht="14.25" customHeight="1">
      <c r="C975" s="54"/>
      <c r="H975" s="54"/>
    </row>
    <row r="976" spans="3:8" ht="14.25" customHeight="1">
      <c r="C976" s="54"/>
      <c r="H976" s="54"/>
    </row>
    <row r="977" spans="3:8" ht="14.25" customHeight="1">
      <c r="C977" s="54"/>
      <c r="H977" s="54"/>
    </row>
    <row r="978" spans="3:8" ht="14.25" customHeight="1">
      <c r="C978" s="54"/>
      <c r="H978" s="54"/>
    </row>
    <row r="979" spans="3:8" ht="14.25" customHeight="1">
      <c r="C979" s="54"/>
      <c r="H979" s="54"/>
    </row>
    <row r="980" spans="3:8" ht="14.25" customHeight="1">
      <c r="C980" s="54"/>
      <c r="H980" s="54"/>
    </row>
    <row r="981" spans="3:8" ht="14.25" customHeight="1">
      <c r="C981" s="54"/>
      <c r="H981" s="54"/>
    </row>
    <row r="982" spans="3:8" ht="14.25" customHeight="1">
      <c r="C982" s="54"/>
      <c r="H982" s="54"/>
    </row>
    <row r="983" spans="3:8" ht="14.25" customHeight="1">
      <c r="C983" s="54"/>
      <c r="H983" s="54"/>
    </row>
    <row r="984" spans="3:8" ht="14.25" customHeight="1">
      <c r="C984" s="54"/>
      <c r="H984" s="54"/>
    </row>
    <row r="985" spans="3:8" ht="14.25" customHeight="1">
      <c r="C985" s="54"/>
      <c r="H985" s="54"/>
    </row>
    <row r="986" spans="3:8" ht="14.25" customHeight="1">
      <c r="C986" s="54"/>
      <c r="H986" s="54"/>
    </row>
    <row r="987" spans="3:8" ht="14.25" customHeight="1">
      <c r="C987" s="54"/>
      <c r="H987" s="54"/>
    </row>
    <row r="988" spans="3:8" ht="14.25" customHeight="1">
      <c r="C988" s="54"/>
      <c r="H988" s="54"/>
    </row>
    <row r="989" spans="3:8" ht="14.25" customHeight="1">
      <c r="C989" s="54"/>
      <c r="H989" s="54"/>
    </row>
    <row r="990" spans="3:8" ht="14.25" customHeight="1">
      <c r="C990" s="54"/>
      <c r="H990" s="54"/>
    </row>
    <row r="991" spans="3:8" ht="14.25" customHeight="1">
      <c r="C991" s="54"/>
      <c r="H991" s="54"/>
    </row>
    <row r="992" spans="3:8" ht="14.25" customHeight="1">
      <c r="C992" s="54"/>
      <c r="H992" s="54"/>
    </row>
    <row r="993" spans="3:8" ht="14.25" customHeight="1">
      <c r="C993" s="54"/>
      <c r="H993" s="54"/>
    </row>
    <row r="994" spans="3:8" ht="14.25" customHeight="1">
      <c r="C994" s="54"/>
      <c r="H994" s="54"/>
    </row>
    <row r="995" spans="3:8" ht="14.25" customHeight="1">
      <c r="C995" s="54"/>
      <c r="H995" s="54"/>
    </row>
    <row r="996" spans="3:8" ht="14.25" customHeight="1">
      <c r="C996" s="54"/>
      <c r="H996" s="54"/>
    </row>
    <row r="997" spans="3:8" ht="14.25" customHeight="1">
      <c r="C997" s="54"/>
      <c r="H997" s="54"/>
    </row>
    <row r="998" spans="3:8" ht="14.25" customHeight="1">
      <c r="C998" s="54"/>
      <c r="D998" s="54"/>
      <c r="E998" s="54"/>
      <c r="F998" s="54"/>
      <c r="G998" s="54"/>
      <c r="H998" s="54"/>
    </row>
  </sheetData>
  <mergeCells count="4">
    <mergeCell ref="C1:G1"/>
    <mergeCell ref="H1:L1"/>
    <mergeCell ref="M1:Q1"/>
    <mergeCell ref="R1:V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48"/>
  <sheetViews>
    <sheetView workbookViewId="0">
      <selection activeCell="AF83" sqref="AF83"/>
    </sheetView>
  </sheetViews>
  <sheetFormatPr defaultColWidth="14.453125" defaultRowHeight="15" customHeight="1"/>
  <cols>
    <col min="1" max="1" width="40.36328125" customWidth="1"/>
    <col min="8" max="8" width="20" bestFit="1" customWidth="1"/>
    <col min="30" max="30" width="11" customWidth="1"/>
    <col min="31" max="32" width="13.90625" customWidth="1"/>
    <col min="33" max="34" width="19.08984375" customWidth="1"/>
  </cols>
  <sheetData>
    <row r="1" spans="1:34" ht="14.5">
      <c r="A1" s="3" t="s">
        <v>5</v>
      </c>
      <c r="B1" s="60" t="s">
        <v>27</v>
      </c>
      <c r="C1" s="60"/>
      <c r="D1" s="60"/>
      <c r="E1" s="60"/>
      <c r="F1" s="60"/>
      <c r="G1" s="7"/>
      <c r="H1" s="61" t="s">
        <v>28</v>
      </c>
      <c r="I1" s="61"/>
      <c r="J1" s="61"/>
      <c r="K1" s="61"/>
      <c r="L1" s="7"/>
      <c r="M1" s="60" t="s">
        <v>29</v>
      </c>
      <c r="N1" s="60"/>
      <c r="O1" s="60"/>
      <c r="P1" s="60"/>
      <c r="Q1" s="60"/>
      <c r="R1" s="7"/>
      <c r="S1" s="60" t="s">
        <v>30</v>
      </c>
      <c r="T1" s="60"/>
      <c r="U1" s="60"/>
      <c r="V1" s="60"/>
      <c r="W1" s="60"/>
      <c r="X1" s="7"/>
      <c r="Y1" s="62" t="s">
        <v>31</v>
      </c>
      <c r="Z1" s="60"/>
      <c r="AA1" s="60"/>
      <c r="AB1" s="60"/>
      <c r="AC1" s="60"/>
      <c r="AD1" s="7"/>
      <c r="AE1" s="6" t="s">
        <v>32</v>
      </c>
      <c r="AF1" s="7"/>
      <c r="AG1" s="57"/>
      <c r="AH1" s="58"/>
    </row>
    <row r="2" spans="1:34" ht="15.5">
      <c r="B2" s="8">
        <v>2020</v>
      </c>
      <c r="C2" s="8">
        <v>2021</v>
      </c>
      <c r="D2" s="8">
        <v>2022</v>
      </c>
      <c r="E2" s="8">
        <v>2023</v>
      </c>
      <c r="F2" s="8">
        <v>2024</v>
      </c>
      <c r="G2" s="9"/>
      <c r="H2" s="8">
        <v>2021</v>
      </c>
      <c r="I2" s="8">
        <v>2022</v>
      </c>
      <c r="J2" s="8">
        <v>2023</v>
      </c>
      <c r="K2" s="8">
        <v>2024</v>
      </c>
      <c r="L2" s="9"/>
      <c r="M2" s="8">
        <v>2020</v>
      </c>
      <c r="N2" s="8">
        <v>2021</v>
      </c>
      <c r="O2" s="8">
        <v>2022</v>
      </c>
      <c r="P2" s="8">
        <v>2023</v>
      </c>
      <c r="Q2" s="8">
        <v>2024</v>
      </c>
      <c r="R2" s="9"/>
      <c r="S2" s="8">
        <v>2020</v>
      </c>
      <c r="T2" s="8">
        <v>2021</v>
      </c>
      <c r="U2" s="8">
        <v>2022</v>
      </c>
      <c r="V2" s="8">
        <v>2023</v>
      </c>
      <c r="W2" s="8">
        <v>2024</v>
      </c>
      <c r="X2" s="9"/>
      <c r="Y2" s="8">
        <v>2020</v>
      </c>
      <c r="Z2" s="8">
        <v>2021</v>
      </c>
      <c r="AA2" s="8">
        <v>2022</v>
      </c>
      <c r="AB2" s="8">
        <v>2023</v>
      </c>
      <c r="AC2" s="8">
        <v>2024</v>
      </c>
      <c r="AD2" s="9"/>
      <c r="AE2" s="10" t="s">
        <v>33</v>
      </c>
      <c r="AF2" s="11"/>
      <c r="AG2" s="37"/>
      <c r="AH2" s="7"/>
    </row>
    <row r="3" spans="1:34" ht="14.5">
      <c r="A3" s="35" t="s">
        <v>7</v>
      </c>
      <c r="B3" s="13">
        <f>'Data '!C3/'Data '!$B$3</f>
        <v>0.78540402424242428</v>
      </c>
      <c r="C3" s="13">
        <f>'Data '!D3/'Data '!$B$3</f>
        <v>0.9362262601398601</v>
      </c>
      <c r="D3" s="13">
        <f>'Data '!E3/'Data '!$B$3</f>
        <v>0.95860802237762233</v>
      </c>
      <c r="E3" s="13">
        <f>'Data '!F3/'Data '!$B$3</f>
        <v>1.0505586648018648</v>
      </c>
      <c r="F3" s="13">
        <f>'Data '!G3/'Data '!$B$3</f>
        <v>1.0552976298368297</v>
      </c>
      <c r="G3" s="14"/>
      <c r="H3" s="15">
        <f t="shared" ref="H3:H46" si="0">((C3-B3)/ABS(B3))</f>
        <v>0.19203140198181967</v>
      </c>
      <c r="I3" s="15">
        <f t="shared" ref="I3:I46" si="1">((D3-C3)/ABS(C3))</f>
        <v>2.3906360236486724E-2</v>
      </c>
      <c r="J3" s="15">
        <f t="shared" ref="J3:K46" si="2">((E3-D3)/ABS(D3))</f>
        <v>9.5921002409492181E-2</v>
      </c>
      <c r="K3" s="15">
        <f t="shared" si="2"/>
        <v>4.5108999561283211E-3</v>
      </c>
      <c r="L3" s="16"/>
      <c r="M3" s="15">
        <f>'Data '!C3/'Data '!H3</f>
        <v>0.17507163893890162</v>
      </c>
      <c r="N3" s="15">
        <f>'Data '!D3/'Data '!I3</f>
        <v>0.20969177045497697</v>
      </c>
      <c r="O3" s="15">
        <f>'Data '!E3/'Data '!J3</f>
        <v>0.19326579809417621</v>
      </c>
      <c r="P3" s="15">
        <f>'Data '!F3/'Data '!K3</f>
        <v>0.20570740368492091</v>
      </c>
      <c r="Q3" s="15">
        <f>'Data '!G3/'Data '!L3</f>
        <v>0.20265788331954751</v>
      </c>
      <c r="R3" s="16"/>
      <c r="S3" s="17">
        <f>'Data '!C3/'Data '!R3</f>
        <v>0.2015383323256614</v>
      </c>
      <c r="T3" s="18">
        <f>'Data '!D3/'Data '!S3</f>
        <v>0.22244931926302403</v>
      </c>
      <c r="U3" s="18">
        <f>'Data '!E3/'Data '!T3</f>
        <v>0.21170478768207865</v>
      </c>
      <c r="V3" s="18">
        <f>'Data '!F3/'Data '!U3</f>
        <v>0.21171986538162954</v>
      </c>
      <c r="W3" s="18">
        <f>'Data '!G3/'Data '!V3</f>
        <v>0.19933497470158631</v>
      </c>
      <c r="X3" s="18"/>
      <c r="Y3" s="19">
        <f>'Data '!M3/'Data '!R3</f>
        <v>0.5791956164135792</v>
      </c>
      <c r="Z3" s="19">
        <f>'Data '!N3/'Data '!S3</f>
        <v>0.51582546028919996</v>
      </c>
      <c r="AA3" s="19">
        <f>'Data '!O3/'Data '!T3</f>
        <v>0.54683391102759249</v>
      </c>
      <c r="AB3" s="19">
        <f>'Data '!P3/'Data '!U3</f>
        <v>0.50675250495456892</v>
      </c>
      <c r="AC3" s="19">
        <f>'Data '!Q3/'Data '!V3</f>
        <v>0.49510050287277019</v>
      </c>
      <c r="AD3" s="20"/>
      <c r="AE3" s="41">
        <v>11.26</v>
      </c>
      <c r="AF3" s="11"/>
      <c r="AG3" s="21"/>
      <c r="AH3" s="7"/>
    </row>
    <row r="4" spans="1:34" ht="14.5">
      <c r="A4" s="12" t="s">
        <v>8</v>
      </c>
      <c r="B4" s="22">
        <f>'Data '!C4/'Data '!$B$4</f>
        <v>6.5520952380952382</v>
      </c>
      <c r="C4" s="22">
        <f>'Data '!D4/'Data '!$B$4</f>
        <v>6.7389047619047622</v>
      </c>
      <c r="D4" s="22">
        <f>'Data '!J4/'Data '!$B$4</f>
        <v>15.819714285714285</v>
      </c>
      <c r="E4" s="22">
        <f>'Data '!F4/'Data '!$B$4</f>
        <v>8.7256666666666671</v>
      </c>
      <c r="F4" s="22">
        <f>'Data '!G4/'Data '!$B$4</f>
        <v>8.4986428571428565</v>
      </c>
      <c r="G4" s="23"/>
      <c r="H4" s="15">
        <f t="shared" si="0"/>
        <v>2.8511417649025421E-2</v>
      </c>
      <c r="I4" s="15">
        <f t="shared" si="1"/>
        <v>1.3475200859260725</v>
      </c>
      <c r="J4" s="15">
        <f t="shared" si="2"/>
        <v>-0.44843083072958995</v>
      </c>
      <c r="K4" s="15">
        <f t="shared" si="2"/>
        <v>-2.6017932863637232E-2</v>
      </c>
      <c r="L4" s="16"/>
      <c r="M4" s="15">
        <f>'Data '!C4/'Data '!H4</f>
        <v>0.50596074220617326</v>
      </c>
      <c r="N4" s="15">
        <f>'Data '!D4/'Data '!I4</f>
        <v>0.47089455890965237</v>
      </c>
      <c r="O4" s="15">
        <f>'Data '!E4/'Data '!J4</f>
        <v>0.50028445520056353</v>
      </c>
      <c r="P4" s="15">
        <f>'Data '!F4/'Data '!K4</f>
        <v>0.52949071926927338</v>
      </c>
      <c r="Q4" s="15">
        <f>'Data '!G4/'Data '!L4</f>
        <v>0.48251450478265806</v>
      </c>
      <c r="R4" s="16"/>
      <c r="S4" s="17">
        <f>'Data '!C4/'Data '!R4</f>
        <v>0.31069973715823795</v>
      </c>
      <c r="T4" s="18">
        <f>'Data '!D4/'Data '!S4</f>
        <v>0.29973175641830752</v>
      </c>
      <c r="U4" s="18">
        <f>'Data '!J4/'Data '!T4</f>
        <v>0.65624203683255078</v>
      </c>
      <c r="V4" s="18">
        <f>'Data '!F4/'Data '!U4</f>
        <v>0.32729461588130593</v>
      </c>
      <c r="W4" s="18">
        <f>'Data '!G4/'Data '!V4</f>
        <v>0.30172722039494537</v>
      </c>
      <c r="X4" s="18"/>
      <c r="Y4" s="20">
        <v>2.056</v>
      </c>
      <c r="Z4" s="20">
        <v>3.5449999999999999</v>
      </c>
      <c r="AA4" s="20">
        <v>3.59</v>
      </c>
      <c r="AB4" s="20">
        <v>6.91</v>
      </c>
      <c r="AC4" s="19">
        <f>'Data '!Q4/'Data '!V4</f>
        <v>9.4830435190562294</v>
      </c>
      <c r="AD4" s="20"/>
      <c r="AE4" s="41">
        <v>11.44</v>
      </c>
      <c r="AF4" s="11"/>
      <c r="AG4" s="21"/>
      <c r="AH4" s="7"/>
    </row>
    <row r="5" spans="1:34" ht="14.5">
      <c r="A5" s="12" t="s">
        <v>9</v>
      </c>
      <c r="B5" s="13">
        <f>'Data '!G5/'Data '!$B$5</f>
        <v>0.90048557362186088</v>
      </c>
      <c r="C5" s="13">
        <f>'Data '!D5/'Data '!$B$5</f>
        <v>0.51824167961085221</v>
      </c>
      <c r="D5" s="13">
        <f>'Data '!E5/'Data '!$B$5</f>
        <v>0.36537911463992945</v>
      </c>
      <c r="E5" s="13">
        <f>'Data '!F5/'Data '!$B$5</f>
        <v>0.7202859776137811</v>
      </c>
      <c r="F5" s="13">
        <f>'Data '!G5/'Data '!$B$5</f>
        <v>0.90048557362186088</v>
      </c>
      <c r="G5" s="14"/>
      <c r="H5" s="15">
        <f t="shared" si="0"/>
        <v>-0.42448641622716721</v>
      </c>
      <c r="I5" s="15">
        <f t="shared" si="1"/>
        <v>-0.29496385756874532</v>
      </c>
      <c r="J5" s="15">
        <f t="shared" si="2"/>
        <v>0.97133866921649892</v>
      </c>
      <c r="K5" s="15">
        <f t="shared" si="2"/>
        <v>0.25017784825557604</v>
      </c>
      <c r="L5" s="16"/>
      <c r="M5" s="15">
        <f>'Data '!G5/'Data '!H5</f>
        <v>7.0660126846345664E-2</v>
      </c>
      <c r="N5" s="15">
        <f>'Data '!D5/'Data '!I5</f>
        <v>3.2361539476733141E-2</v>
      </c>
      <c r="O5" s="15">
        <f>'Data '!E5/'Data '!J5</f>
        <v>2.0783813944094332E-2</v>
      </c>
      <c r="P5" s="15">
        <f>'Data '!F5/'Data '!K5</f>
        <v>3.7283675301622313E-2</v>
      </c>
      <c r="Q5" s="15">
        <f>'Data '!G5/'Data '!L5</f>
        <v>4.7017531291197762E-2</v>
      </c>
      <c r="R5" s="16"/>
      <c r="S5" s="17">
        <f>'Data '!G5/'Data '!R5</f>
        <v>0.17201461959901435</v>
      </c>
      <c r="T5" s="18">
        <f>'Data '!D5/'Data '!S5</f>
        <v>9.5217560539846091E-2</v>
      </c>
      <c r="U5" s="18">
        <f>'Data '!E5/'Data '!T5</f>
        <v>6.722882865231268E-2</v>
      </c>
      <c r="V5" s="18">
        <f>'Data '!F5/'Data '!U5</f>
        <v>0.12202007735997639</v>
      </c>
      <c r="W5" s="18">
        <f>'Data '!G5/'Data '!V5</f>
        <v>0.14070919112008307</v>
      </c>
      <c r="X5" s="18"/>
      <c r="Y5" s="19">
        <f>'Data '!M5/'Data '!R5</f>
        <v>2.9836180981102518</v>
      </c>
      <c r="Z5" s="19">
        <f>'Data '!N5/'Data '!S5</f>
        <v>4.0791450579362296</v>
      </c>
      <c r="AA5" s="19">
        <f>'Data '!O5/'Data '!T5</f>
        <v>4.3652799844324912</v>
      </c>
      <c r="AB5" s="19">
        <f>'Data '!P5/'Data '!U5</f>
        <v>3.1696890961818047</v>
      </c>
      <c r="AC5" s="19">
        <f>'Data '!Q5/'Data '!V5</f>
        <v>2.8211301480443352</v>
      </c>
      <c r="AD5" s="20"/>
      <c r="AE5" s="41">
        <v>20.14</v>
      </c>
      <c r="AF5" s="11"/>
      <c r="AG5" s="21"/>
      <c r="AH5" s="7"/>
    </row>
    <row r="6" spans="1:34" ht="14.5">
      <c r="A6" s="12" t="s">
        <v>10</v>
      </c>
      <c r="B6" s="13">
        <f>'Data '!C6/'Data '!$B$6</f>
        <v>1.0529757976276435</v>
      </c>
      <c r="C6" s="13">
        <f>'Data '!D6/'Data '!$B$6</f>
        <v>1.2812966889516364</v>
      </c>
      <c r="D6" s="13">
        <f>'Data '!E6/'Data '!$B$6</f>
        <v>1.4304780850299912</v>
      </c>
      <c r="E6" s="13">
        <f>'Data '!F6/'Data '!$B$6</f>
        <v>1.7808458014169419</v>
      </c>
      <c r="F6" s="13">
        <f>'Data '!G6/'Data '!$B$6</f>
        <v>1.8397087620213151</v>
      </c>
      <c r="G6" s="14"/>
      <c r="H6" s="15">
        <f t="shared" si="0"/>
        <v>0.21683394037963677</v>
      </c>
      <c r="I6" s="15">
        <f t="shared" si="1"/>
        <v>0.11643001762567246</v>
      </c>
      <c r="J6" s="15">
        <f t="shared" si="2"/>
        <v>0.24493050264353053</v>
      </c>
      <c r="K6" s="15">
        <f t="shared" si="2"/>
        <v>3.3053373041921102E-2</v>
      </c>
      <c r="L6" s="16"/>
      <c r="M6" s="15">
        <f>'Data '!C6/'Data '!H6</f>
        <v>5.5235024286416842E-2</v>
      </c>
      <c r="N6" s="15">
        <f>'Data '!D6/'Data '!I6</f>
        <v>6.0391854979645804E-2</v>
      </c>
      <c r="O6" s="15">
        <f>'Data '!E6/'Data '!J6</f>
        <v>6.1998033888159353E-2</v>
      </c>
      <c r="P6" s="15">
        <f>'Data '!F6/'Data '!K6</f>
        <v>7.0408730967275027E-2</v>
      </c>
      <c r="Q6" s="15">
        <f>'Data '!G6/'Data '!L6</f>
        <v>7.0018579154103838E-2</v>
      </c>
      <c r="R6" s="16"/>
      <c r="S6" s="17">
        <f>'Data '!C6/'Data '!R6</f>
        <v>0.23975345509995719</v>
      </c>
      <c r="T6" s="18">
        <f>'Data '!D6/'Data '!S6</f>
        <v>0.23131068344857666</v>
      </c>
      <c r="U6" s="18">
        <f>'Data '!E6/'Data '!T6</f>
        <v>0.21566707667051002</v>
      </c>
      <c r="V6" s="18">
        <f>'Data '!F6/'Data '!U6</f>
        <v>0.23119762754165821</v>
      </c>
      <c r="W6" s="18">
        <f>'Data '!G6/'Data '!V6</f>
        <v>0.20623495428046554</v>
      </c>
      <c r="X6" s="18"/>
      <c r="Y6" s="19">
        <f>'Data '!M6/'Data '!R6</f>
        <v>1.7468339613582788</v>
      </c>
      <c r="Z6" s="19">
        <f>'Data '!N6/'Data '!S6</f>
        <v>1.3291652241633116</v>
      </c>
      <c r="AA6" s="19">
        <f>'Data '!O6/'Data '!T6</f>
        <v>1.2381351878877025</v>
      </c>
      <c r="AB6" s="19">
        <f>'Data '!P6/'Data '!U6</f>
        <v>1.2346027795609817</v>
      </c>
      <c r="AC6" s="19">
        <f>'Data '!Q6/'Data '!V6</f>
        <v>1.1531935249922423</v>
      </c>
      <c r="AD6" s="20"/>
      <c r="AE6" s="41">
        <v>6.79</v>
      </c>
      <c r="AF6" s="11"/>
      <c r="AG6" s="21"/>
      <c r="AH6" s="7"/>
    </row>
    <row r="7" spans="1:34" ht="14.5">
      <c r="A7" s="12" t="s">
        <v>11</v>
      </c>
      <c r="B7" s="22">
        <f>'Data '!C7/'Data '!$B$7</f>
        <v>0.24588696517412936</v>
      </c>
      <c r="C7" s="22">
        <f>'Data '!D7/'Data '!$B$7</f>
        <v>0.38238920398009951</v>
      </c>
      <c r="D7" s="22">
        <f>'Data '!E7/'Data '!$B$7</f>
        <v>0.17154155472636817</v>
      </c>
      <c r="E7" s="22">
        <f>'Data '!F7/'Data '!$B$7</f>
        <v>0.47677161691542291</v>
      </c>
      <c r="F7" s="22">
        <f>'Data '!G7/'Data '!$B$7</f>
        <v>0.37559334577114428</v>
      </c>
      <c r="G7" s="14"/>
      <c r="H7" s="15">
        <f t="shared" si="0"/>
        <v>0.55514223256732453</v>
      </c>
      <c r="I7" s="15">
        <f t="shared" si="1"/>
        <v>-0.55139540305825263</v>
      </c>
      <c r="J7" s="15">
        <f t="shared" si="2"/>
        <v>1.7793359904889383</v>
      </c>
      <c r="K7" s="15">
        <f t="shared" si="2"/>
        <v>-0.21221538270015597</v>
      </c>
      <c r="L7" s="16"/>
      <c r="M7" s="15">
        <f>'Data '!C7/'Data '!H7</f>
        <v>2.7511594609801477E-2</v>
      </c>
      <c r="N7" s="15">
        <f>'Data '!D7/'Data '!I7</f>
        <v>3.3969268270418303E-2</v>
      </c>
      <c r="O7" s="15">
        <f>'Data '!E7/'Data '!J7</f>
        <v>1.3175675523986829E-2</v>
      </c>
      <c r="P7" s="15">
        <f>'Data '!F7/'Data '!K7</f>
        <v>3.469779441697577E-2</v>
      </c>
      <c r="Q7" s="15">
        <f>'Data '!G7/'Data '!L7</f>
        <v>2.8809125380658288E-2</v>
      </c>
      <c r="R7" s="16"/>
      <c r="S7" s="17">
        <f>'Data '!C7/'Data '!R7</f>
        <v>5.7048684744847616E-2</v>
      </c>
      <c r="T7" s="18">
        <f>'Data '!D7/'Data '!S7</f>
        <v>8.4777714196214354E-2</v>
      </c>
      <c r="U7" s="18">
        <f>'Data '!E7/'Data '!T7</f>
        <v>3.8942865089100789E-2</v>
      </c>
      <c r="V7" s="18">
        <f>'Data '!F7/'Data '!U7</f>
        <v>9.9166415323516527E-2</v>
      </c>
      <c r="W7" s="18">
        <f>'Data '!G7/'Data '!V7</f>
        <v>7.656622195662148E-2</v>
      </c>
      <c r="X7" s="18"/>
      <c r="Y7" s="19">
        <f>'Data '!M7/'Data '!R7</f>
        <v>0.89486581310130053</v>
      </c>
      <c r="Z7" s="19">
        <f>'Data '!N7/'Data '!S7</f>
        <v>0.92566561757132992</v>
      </c>
      <c r="AA7" s="19">
        <f>'Data '!O7/'Data '!T7</f>
        <v>1.0351130161396673</v>
      </c>
      <c r="AB7" s="19">
        <f>'Data '!P7/'Data '!U7</f>
        <v>0.90348667248435288</v>
      </c>
      <c r="AC7" s="19">
        <f>'Data '!Q7/'Data '!V7</f>
        <v>0.75714648062311163</v>
      </c>
      <c r="AD7" s="20"/>
      <c r="AE7" s="41">
        <v>24.26</v>
      </c>
      <c r="AF7" s="11"/>
      <c r="AG7" s="21"/>
      <c r="AH7" s="7"/>
    </row>
    <row r="8" spans="1:34" ht="14.5">
      <c r="A8" s="12" t="s">
        <v>12</v>
      </c>
      <c r="B8" s="24">
        <f>'Data '!C8/'Data '!$B$8</f>
        <v>5.6353843233846762E-2</v>
      </c>
      <c r="C8" s="24">
        <f>'Data '!D8/'Data '!$B$8</f>
        <v>9.1696452533392953E-2</v>
      </c>
      <c r="D8" s="24">
        <f>'Data '!E8/'Data '!$B$8</f>
        <v>0.10374791771516934</v>
      </c>
      <c r="E8" s="24">
        <f>'Data '!F8/'Data '!$B$8</f>
        <v>0.16062031760558473</v>
      </c>
      <c r="F8" s="24">
        <f>'Data '!G8/'Data '!$B$8</f>
        <v>0.20445557589620822</v>
      </c>
      <c r="G8" s="24"/>
      <c r="H8" s="15">
        <f t="shared" si="0"/>
        <v>0.62715526167200275</v>
      </c>
      <c r="I8" s="15">
        <f t="shared" si="1"/>
        <v>0.13142782352880686</v>
      </c>
      <c r="J8" s="15">
        <f t="shared" si="2"/>
        <v>0.54817871185187061</v>
      </c>
      <c r="K8" s="15">
        <f t="shared" si="2"/>
        <v>0.27291228746206481</v>
      </c>
      <c r="L8" s="16"/>
      <c r="M8" s="18">
        <f>'Data '!C8/'Data '!H8</f>
        <v>7.6547120645873393E-2</v>
      </c>
      <c r="N8" s="18">
        <f>'Data '!D8/'Data '!I8</f>
        <v>9.66631979708341E-2</v>
      </c>
      <c r="O8" s="18">
        <f>'Data '!E8/'Data '!J8</f>
        <v>9.7145287575417405E-2</v>
      </c>
      <c r="P8" s="18">
        <f>'Data '!F8/'Data '!K8</f>
        <v>0.12788383441838089</v>
      </c>
      <c r="Q8" s="15">
        <f>'Data '!G8/'Data '!L8</f>
        <v>0.16665202508285362</v>
      </c>
      <c r="R8" s="18"/>
      <c r="S8" s="18">
        <f>'Data '!C8/'Data '!R8</f>
        <v>0.14240863876845936</v>
      </c>
      <c r="T8" s="18">
        <f>'Data '!D8/'Data '!S8</f>
        <v>0.18812780840680118</v>
      </c>
      <c r="U8" s="18">
        <f>'Data '!E8/'Data '!T8</f>
        <v>0.17549779763146114</v>
      </c>
      <c r="V8" s="18">
        <f>'Data '!F8/'Data '!U8</f>
        <v>0.2136522267325601</v>
      </c>
      <c r="W8" s="18">
        <f>'Data '!G8/'Data '!V8</f>
        <v>0.21381209173120919</v>
      </c>
      <c r="X8" s="18"/>
      <c r="Y8" s="19">
        <f>'Data '!M8/'Data '!R8</f>
        <v>5.2110684184115117</v>
      </c>
      <c r="Z8" s="19">
        <f>'Data '!N8/'Data '!S8</f>
        <v>3.8226306748773942</v>
      </c>
      <c r="AA8" s="19">
        <f>'Data '!O8/'Data '!T8</f>
        <v>3.243859861336428</v>
      </c>
      <c r="AB8" s="19">
        <f>'Data '!P8/'Data '!U8</f>
        <v>2.3834435909900789</v>
      </c>
      <c r="AC8" s="19">
        <f>'Data '!Q8/'Data '!V8</f>
        <v>1.6584139407702942</v>
      </c>
      <c r="AD8" s="18"/>
      <c r="AE8" s="41">
        <v>8.8699999999999992</v>
      </c>
      <c r="AF8" s="11"/>
      <c r="AG8" s="21"/>
      <c r="AH8" s="7"/>
    </row>
    <row r="9" spans="1:34" ht="14.5">
      <c r="A9" s="12" t="s">
        <v>13</v>
      </c>
      <c r="B9" s="24">
        <f>'Data '!C9/'Data '!$B$9</f>
        <v>0.27133922947638456</v>
      </c>
      <c r="C9" s="24">
        <f>'Data '!D9/'Data '!$B$9</f>
        <v>0.5091281949382841</v>
      </c>
      <c r="D9" s="24">
        <f>'Data '!E9/'Data '!$B$9</f>
        <v>0.76183714086101006</v>
      </c>
      <c r="E9" s="24">
        <f>'Data '!F9/'Data '!$B$9</f>
        <v>1.1881898305861942</v>
      </c>
      <c r="F9" s="24">
        <f>'Data '!G9/'Data '!$B$9</f>
        <v>1.0646361465794665</v>
      </c>
      <c r="G9" s="24"/>
      <c r="H9" s="15">
        <f t="shared" si="0"/>
        <v>0.87635306520465739</v>
      </c>
      <c r="I9" s="15">
        <f t="shared" si="1"/>
        <v>0.4963562191902553</v>
      </c>
      <c r="J9" s="15">
        <f t="shared" si="2"/>
        <v>0.55963757456525498</v>
      </c>
      <c r="K9" s="15">
        <f t="shared" si="2"/>
        <v>-0.10398480177681073</v>
      </c>
      <c r="L9" s="16"/>
      <c r="M9" s="18">
        <f>'Data '!C9/'Data '!H9</f>
        <v>0.11693069135955106</v>
      </c>
      <c r="N9" s="18">
        <f>'Data '!D9/'Data '!I9</f>
        <v>0.19051508545022297</v>
      </c>
      <c r="O9" s="18">
        <f>'Data '!E9/'Data '!J9</f>
        <v>0.1914664546710925</v>
      </c>
      <c r="P9" s="18">
        <f>'Data '!F9/'Data '!K9</f>
        <v>0.17778052417439133</v>
      </c>
      <c r="Q9" s="15">
        <f>'Data '!G9/'Data '!L9</f>
        <v>0.17775563389154156</v>
      </c>
      <c r="R9" s="18"/>
      <c r="S9" s="18">
        <f>'Data '!C9/'Data '!R9</f>
        <v>0.14198220143562093</v>
      </c>
      <c r="T9" s="18">
        <f>'Data '!D9/'Data '!S9</f>
        <v>0.23379218643368571</v>
      </c>
      <c r="U9" s="18">
        <f>'Data '!E9/'Data '!T9</f>
        <v>0.29341788763632376</v>
      </c>
      <c r="V9" s="18">
        <f>'Data '!F9/'Data '!U9</f>
        <v>0.35803801805097235</v>
      </c>
      <c r="W9" s="18">
        <f>'Data '!G9/'Data '!V9</f>
        <v>0.27754013554381241</v>
      </c>
      <c r="X9" s="18"/>
      <c r="Y9" s="19">
        <f>'Data '!M9/'Data '!R9</f>
        <v>1.2257902693485505</v>
      </c>
      <c r="Z9" s="19">
        <f>'Data '!N9/'Data '!S9</f>
        <v>1.9917996164301246</v>
      </c>
      <c r="AA9" s="19">
        <f>'Data '!O9/'Data '!T9</f>
        <v>2.5959198183672143</v>
      </c>
      <c r="AB9" s="19">
        <f>'Data '!P9/'Data '!U9</f>
        <v>2.5710150700810592</v>
      </c>
      <c r="AC9" s="19">
        <f>'Data '!Q9/'Data '!V9</f>
        <v>2.6666628170831799</v>
      </c>
      <c r="AD9" s="18"/>
      <c r="AE9" s="41">
        <v>12.44</v>
      </c>
      <c r="AF9" s="11"/>
      <c r="AG9" s="21"/>
      <c r="AH9" s="7"/>
    </row>
    <row r="10" spans="1:34" ht="14.5">
      <c r="A10" s="35" t="s">
        <v>14</v>
      </c>
      <c r="B10" s="24">
        <f>'Data '!C10/'Data '!$B$10</f>
        <v>0.42441923999999998</v>
      </c>
      <c r="C10" s="24">
        <f>'Data '!D10/'Data '!$B$10</f>
        <v>0.38118442000000002</v>
      </c>
      <c r="D10" s="24">
        <f>'Data '!E10/'Data '!$B$10</f>
        <v>0.57930788</v>
      </c>
      <c r="E10" s="24">
        <f>'Data '!F10/'Data '!$B$10</f>
        <v>0.82690770000000002</v>
      </c>
      <c r="F10" s="24">
        <f>'Data '!G10/'Data '!$B$10</f>
        <v>0.96543524000000003</v>
      </c>
      <c r="G10" s="24"/>
      <c r="H10" s="15">
        <f t="shared" si="0"/>
        <v>-0.10186819051841277</v>
      </c>
      <c r="I10" s="15">
        <f t="shared" si="1"/>
        <v>0.51975749690923878</v>
      </c>
      <c r="J10" s="15">
        <f t="shared" si="2"/>
        <v>0.42740626970239043</v>
      </c>
      <c r="K10" s="15">
        <f t="shared" si="2"/>
        <v>0.16752479146100588</v>
      </c>
      <c r="L10" s="16"/>
      <c r="M10" s="18">
        <f>'Data '!C10/'Data '!H10</f>
        <v>0.1175891782609032</v>
      </c>
      <c r="N10" s="18">
        <f>'Data '!D10/'Data '!I10</f>
        <v>8.8694489447206967E-2</v>
      </c>
      <c r="O10" s="18">
        <f>'Data '!E10/'Data '!J10</f>
        <v>0.10171367530910257</v>
      </c>
      <c r="P10" s="18">
        <f>'Data '!F10/'Data '!K10</f>
        <v>0.1435697953242637</v>
      </c>
      <c r="Q10" s="15">
        <f>'Data '!G10/'Data '!L10</f>
        <v>0.14182477767294918</v>
      </c>
      <c r="R10" s="18"/>
      <c r="S10" s="18">
        <f>'Data '!C10/'Data '!R10</f>
        <v>0.15518560603941542</v>
      </c>
      <c r="T10" s="18">
        <f>'Data '!D10/'Data '!S10</f>
        <v>0.13890184233495115</v>
      </c>
      <c r="U10" s="18">
        <f>'Data '!E10/'Data '!T10</f>
        <v>0.19538541740115081</v>
      </c>
      <c r="V10" s="18">
        <f>'Data '!F10/'Data '!U10</f>
        <v>0.22889611708051652</v>
      </c>
      <c r="W10" s="18">
        <f>'Data '!G10/'Data '!V10</f>
        <v>0.22911769970770737</v>
      </c>
      <c r="X10" s="18"/>
      <c r="Y10" s="19">
        <f>'Data '!M10/'Data '!R10</f>
        <v>0.96114616706187106</v>
      </c>
      <c r="Z10" s="19">
        <f>'Data '!N10/'Data '!S10</f>
        <v>1.1321116331957606</v>
      </c>
      <c r="AA10" s="19">
        <f>'Data '!O10/'Data '!T10</f>
        <v>1.1270974598952854</v>
      </c>
      <c r="AB10" s="19">
        <f>'Data '!P10/'Data '!U10</f>
        <v>0.88582159568167484</v>
      </c>
      <c r="AC10" s="19">
        <f>'Data '!Q10/'Data '!V10</f>
        <v>0.99088954578606514</v>
      </c>
      <c r="AD10" s="18"/>
      <c r="AE10" s="41">
        <v>10.56</v>
      </c>
      <c r="AF10" s="11"/>
      <c r="AG10" s="21"/>
      <c r="AH10" s="7"/>
    </row>
    <row r="11" spans="1:34" ht="14.5">
      <c r="A11" s="12" t="s">
        <v>15</v>
      </c>
      <c r="B11" s="24">
        <f>'Data '!C11/'Data '!$B$11</f>
        <v>0.60412810714285714</v>
      </c>
      <c r="C11" s="24">
        <f>'Data '!D11/'Data '!$B$11</f>
        <v>0.62256903571428568</v>
      </c>
      <c r="D11" s="24">
        <f>'Data '!E11/'Data '!$B$11</f>
        <v>0.77739414285714281</v>
      </c>
      <c r="E11" s="24">
        <f>'Data '!F11/'Data '!$B$11</f>
        <v>0.95710525000000002</v>
      </c>
      <c r="F11" s="24">
        <f>'Data '!G11/'Data '!$B$11</f>
        <v>1.1420827499999999</v>
      </c>
      <c r="G11" s="24"/>
      <c r="H11" s="15">
        <f t="shared" si="0"/>
        <v>3.0524864434204921E-2</v>
      </c>
      <c r="I11" s="15">
        <f t="shared" si="1"/>
        <v>0.24868745193089029</v>
      </c>
      <c r="J11" s="15">
        <f t="shared" si="2"/>
        <v>0.23117116175119121</v>
      </c>
      <c r="K11" s="15">
        <f t="shared" si="2"/>
        <v>0.19326766831547512</v>
      </c>
      <c r="L11" s="16"/>
      <c r="M11" s="18">
        <f>'Data '!C11/'Data '!H11</f>
        <v>0.85941548057643613</v>
      </c>
      <c r="N11" s="18">
        <f>'Data '!D11/'Data '!I11</f>
        <v>0.85078217891463559</v>
      </c>
      <c r="O11" s="18">
        <f>'Data '!E11/'Data '!J11</f>
        <v>0.91953034960513957</v>
      </c>
      <c r="P11" s="18">
        <f>'Data '!F11/'Data '!K11</f>
        <v>0.86042591921740808</v>
      </c>
      <c r="Q11" s="15">
        <f>'Data '!G11/'Data '!L11</f>
        <v>0.9256024786611784</v>
      </c>
      <c r="R11" s="18"/>
      <c r="S11" s="18">
        <f>'Data '!C11/'Data '!R11</f>
        <v>0.23905225647959993</v>
      </c>
      <c r="T11" s="18">
        <f>'Data '!D11/'Data '!S11</f>
        <v>0.24416874007325315</v>
      </c>
      <c r="U11" s="18">
        <f>'Data '!E11/'Data '!T11</f>
        <v>0.28505804844556598</v>
      </c>
      <c r="V11" s="18">
        <f>'Data '!F11/'Data '!U11</f>
        <v>0.32071901470194236</v>
      </c>
      <c r="W11" s="18">
        <f>'Data '!G11/'Data '!V11</f>
        <v>0.34858585729098823</v>
      </c>
      <c r="X11" s="18"/>
      <c r="Y11" s="19">
        <f>'Data '!M11/'Data '!R11</f>
        <v>3.9327048924363651E-2</v>
      </c>
      <c r="Z11" s="19">
        <f>'Data '!N11/'Data '!S11</f>
        <v>2.6915603013943558E-2</v>
      </c>
      <c r="AA11" s="19">
        <f>'Data '!O11/'Data '!T11</f>
        <v>3.657580619552548E-2</v>
      </c>
      <c r="AB11" s="19">
        <f>'Data '!P11/'Data '!U11</f>
        <v>5.1210786386173143E-2</v>
      </c>
      <c r="AC11" s="19">
        <f>'Data '!Q11/'Data '!V11</f>
        <v>4.8916734785105241E-2</v>
      </c>
      <c r="AD11" s="7"/>
      <c r="AE11" s="41">
        <v>11.27</v>
      </c>
      <c r="AF11" s="11"/>
      <c r="AG11" s="21"/>
      <c r="AH11" s="7"/>
    </row>
    <row r="12" spans="1:34" ht="14.5">
      <c r="A12" s="35" t="s">
        <v>16</v>
      </c>
      <c r="B12" s="24">
        <f>'Data '!C12/'Data '!$B$12</f>
        <v>0.86897631372549022</v>
      </c>
      <c r="C12" s="24">
        <f>'Data '!H12/'Data '!$B$12</f>
        <v>5.5495494379084969</v>
      </c>
      <c r="D12" s="24">
        <f>'Data '!E12/'Data '!$B$12</f>
        <v>0.76291610457516335</v>
      </c>
      <c r="E12" s="24">
        <f>'Data '!F12/'Data '!$B$12</f>
        <v>1.1030586666666666</v>
      </c>
      <c r="F12" s="24">
        <f>'Data '!G12/'Data '!$B$12</f>
        <v>1.1030586666666666</v>
      </c>
      <c r="G12" s="24"/>
      <c r="H12" s="15">
        <f t="shared" si="0"/>
        <v>5.3863069110783623</v>
      </c>
      <c r="I12" s="15">
        <f t="shared" si="1"/>
        <v>-0.8625264783905251</v>
      </c>
      <c r="J12" s="15">
        <f t="shared" si="2"/>
        <v>0.44584530337174455</v>
      </c>
      <c r="K12" s="15">
        <f t="shared" si="2"/>
        <v>0</v>
      </c>
      <c r="L12" s="16"/>
      <c r="M12" s="18">
        <f>'Data '!C12/'Data '!H12</f>
        <v>0.15658502072070707</v>
      </c>
      <c r="N12" s="18">
        <f>'Data '!H12/'Data '!I12</f>
        <v>0.78575045719092362</v>
      </c>
      <c r="O12" s="18">
        <f>'Data '!E12/'Data '!J12</f>
        <v>0.16643888614689886</v>
      </c>
      <c r="P12" s="18">
        <f>'Data '!F12/'Data '!K12</f>
        <v>0.13722883259104576</v>
      </c>
      <c r="Q12" s="15">
        <f>'Data '!G12/'Data '!L12</f>
        <v>0.13722883259104576</v>
      </c>
      <c r="R12" s="18"/>
      <c r="S12" s="18">
        <f>'Data '!C12/'Data '!R12</f>
        <v>0.16416425127649373</v>
      </c>
      <c r="T12" s="18">
        <f>'Data '!H12/'Data '!S12</f>
        <v>0.99307208760057231</v>
      </c>
      <c r="U12" s="18">
        <f>'Data '!E12/'Data '!T12</f>
        <v>0.13743821517671445</v>
      </c>
      <c r="V12" s="18">
        <f>'Data '!F12/'Data '!U12</f>
        <v>0.29934915176342197</v>
      </c>
      <c r="W12" s="18">
        <f>'Data '!G12/'Data '!V12</f>
        <v>0.18901308513959714</v>
      </c>
      <c r="X12" s="18"/>
      <c r="Y12" s="19">
        <f>'Data '!M12/'Data '!R12</f>
        <v>0.41248139866850131</v>
      </c>
      <c r="Z12" s="19">
        <f>'Data '!N12/'Data '!S12</f>
        <v>0.2204578581964356</v>
      </c>
      <c r="AA12" s="19">
        <f>'Data '!O12/'Data '!T12</f>
        <v>0.32683398881023767</v>
      </c>
      <c r="AB12" s="19">
        <f>'Data '!P12/'Data '!U12</f>
        <v>1.0452983115966148</v>
      </c>
      <c r="AC12" s="19">
        <f>'Data '!Q12/'Data '!V12</f>
        <v>0.70558430306672026</v>
      </c>
      <c r="AD12" s="18"/>
      <c r="AE12" s="41">
        <v>10.79</v>
      </c>
      <c r="AF12" s="11"/>
      <c r="AG12" s="21"/>
      <c r="AH12" s="7"/>
    </row>
    <row r="13" spans="1:34" ht="14.5">
      <c r="A13" s="12" t="s">
        <v>17</v>
      </c>
      <c r="B13" s="25">
        <f>'Data '!C13/'Data '!$B$13</f>
        <v>1.1665264444444445</v>
      </c>
      <c r="C13" s="25">
        <f>'Data '!D13/'Data '!$B$13</f>
        <v>1.8530439444444444</v>
      </c>
      <c r="D13" s="25">
        <f>'Data '!E13/'Data '!$B$13</f>
        <v>1.6847646111111112</v>
      </c>
      <c r="E13" s="25">
        <f>'Data '!F13/'Data '!$B$13</f>
        <v>1.7621442222222221</v>
      </c>
      <c r="F13" s="25">
        <f>'Data '!G13/'Data '!$B$13</f>
        <v>1.6399328333333334</v>
      </c>
      <c r="G13" s="25"/>
      <c r="H13" s="15">
        <f t="shared" si="0"/>
        <v>0.58851430524316339</v>
      </c>
      <c r="I13" s="15">
        <f t="shared" si="1"/>
        <v>-9.0812381345756241E-2</v>
      </c>
      <c r="J13" s="15">
        <f t="shared" si="2"/>
        <v>4.5929034003200392E-2</v>
      </c>
      <c r="K13" s="15">
        <f t="shared" si="2"/>
        <v>-6.9353794852710288E-2</v>
      </c>
      <c r="L13" s="16"/>
      <c r="M13" s="18">
        <f>'Data '!C13/'Data '!H13</f>
        <v>8.8762524708803317E-2</v>
      </c>
      <c r="N13" s="18">
        <f>'Data '!D13/'Data '!I13</f>
        <v>9.703137181360709E-2</v>
      </c>
      <c r="O13" s="18">
        <f>'Data '!E13/'Data '!J13</f>
        <v>8.8386900777064958E-2</v>
      </c>
      <c r="P13" s="18">
        <f>'Data '!F13/'Data '!K13</f>
        <v>8.457451821487659E-2</v>
      </c>
      <c r="Q13" s="15">
        <f>'Data '!G13/'Data '!L13</f>
        <v>7.8007079242112434E-2</v>
      </c>
      <c r="R13" s="18"/>
      <c r="S13" s="18">
        <f>'Data '!C13/'Data '!R13</f>
        <v>0.36206375836698446</v>
      </c>
      <c r="T13" s="18">
        <f>'Data '!D13/'Data '!S13</f>
        <v>0.44016578683324248</v>
      </c>
      <c r="U13" s="18">
        <f>'Data '!E13/'Data '!T13</f>
        <v>0.35988741129962737</v>
      </c>
      <c r="V13" s="18">
        <f>'Data '!F13/'Data '!U13</f>
        <v>0.3392763119169373</v>
      </c>
      <c r="W13" s="18">
        <f>'Data '!G13/'Data '!V13</f>
        <v>0.29367344485508567</v>
      </c>
      <c r="X13" s="18"/>
      <c r="Y13" s="19">
        <f>'Data '!M12/'Data '!R13</f>
        <v>1.4400683913744459</v>
      </c>
      <c r="Z13" s="19">
        <f>'Data '!N13/'Data '!S13</f>
        <v>1.6514215226991771</v>
      </c>
      <c r="AA13" s="19">
        <f>'Data '!O13/'Data '!T13</f>
        <v>1.859398225949825</v>
      </c>
      <c r="AB13" s="19">
        <f>'Data '!P13/'Data '!U13</f>
        <v>1.9115588266291794</v>
      </c>
      <c r="AC13" s="19">
        <f>'Data '!Q13/'Data '!V13</f>
        <v>1.8765919118085606</v>
      </c>
      <c r="AD13" s="18"/>
      <c r="AE13" s="41">
        <v>11.88</v>
      </c>
      <c r="AF13" s="11"/>
      <c r="AG13" s="21"/>
      <c r="AH13" s="7"/>
    </row>
    <row r="14" spans="1:34" ht="14.5">
      <c r="A14" s="35" t="s">
        <v>34</v>
      </c>
      <c r="B14" s="25">
        <f>'Data '!C14/'Data '!$B$14</f>
        <v>11.888658444444445</v>
      </c>
      <c r="C14" s="25">
        <f>'Data '!D14/'Data '!$B$14</f>
        <v>17.14192511111111</v>
      </c>
      <c r="D14" s="25">
        <f>'Data '!E14/'Data '!$B$14</f>
        <v>18.047678222222221</v>
      </c>
      <c r="E14" s="25">
        <f>'Data '!F14/'Data '!$B$14</f>
        <v>18.231898666666666</v>
      </c>
      <c r="F14" s="25">
        <f>'Data '!G14/'Data '!$B$14</f>
        <v>22.368255111111111</v>
      </c>
      <c r="G14" s="25"/>
      <c r="H14" s="15">
        <f t="shared" si="0"/>
        <v>0.44187211628756229</v>
      </c>
      <c r="I14" s="15">
        <f t="shared" si="1"/>
        <v>5.2838470897531589E-2</v>
      </c>
      <c r="J14" s="15">
        <f t="shared" si="2"/>
        <v>1.0207431791287908E-2</v>
      </c>
      <c r="K14" s="15">
        <f t="shared" si="2"/>
        <v>0.22687469473527377</v>
      </c>
      <c r="L14" s="16"/>
      <c r="M14" s="18">
        <f>'Data '!C14/'Data '!H14</f>
        <v>1.3565335752117615</v>
      </c>
      <c r="N14" s="18">
        <f>'Data '!D14/'Data '!I14</f>
        <v>2.9870643235605123</v>
      </c>
      <c r="O14" s="18">
        <f>'Data '!E14/'Data '!J14</f>
        <v>2.8902782198620773</v>
      </c>
      <c r="P14" s="18">
        <f>'Data '!F14/'Data '!K14</f>
        <v>1.3935871466129295</v>
      </c>
      <c r="Q14" s="15">
        <f>'Data '!G14/'Data '!L14</f>
        <v>1.4490814332699606</v>
      </c>
      <c r="R14" s="18"/>
      <c r="S14" s="18">
        <f>'Data '!C14/'Data '!R14</f>
        <v>0.4867294863745309</v>
      </c>
      <c r="T14" s="18">
        <f>'Data '!D14/'Data '!S14</f>
        <v>0.5000967503656899</v>
      </c>
      <c r="U14" s="18">
        <f>'Data '!E14/'Data '!T14</f>
        <v>0.44993613381317921</v>
      </c>
      <c r="V14" s="18">
        <f>'Data '!F14/'Data '!U14</f>
        <v>0.40483037101653441</v>
      </c>
      <c r="W14" s="18">
        <f>'Data '!G14/'Data '!V14</f>
        <v>0.45304474090755165</v>
      </c>
      <c r="X14" s="7"/>
      <c r="Y14" s="18">
        <v>0.74919999999999998</v>
      </c>
      <c r="Z14" s="18">
        <v>0.77080000000000004</v>
      </c>
      <c r="AA14" s="18">
        <v>0.77249999999999996</v>
      </c>
      <c r="AB14" s="18">
        <v>0.80379999999999996</v>
      </c>
      <c r="AC14" s="19">
        <f>'Data '!Q14/'Data '!V14</f>
        <v>4.5039549234985774</v>
      </c>
      <c r="AD14" s="7"/>
      <c r="AE14" s="41">
        <v>8.66</v>
      </c>
      <c r="AF14" s="11"/>
      <c r="AG14" s="21"/>
      <c r="AH14" s="7"/>
    </row>
    <row r="15" spans="1:34" ht="14.5">
      <c r="A15" s="12" t="s">
        <v>35</v>
      </c>
      <c r="B15" s="26">
        <f>'Data '!C15/'Data '!$B$15</f>
        <v>0.83144259259259257</v>
      </c>
      <c r="C15" s="26">
        <f>'Data '!D15/'Data '!$B$15</f>
        <v>0.66844092592592597</v>
      </c>
      <c r="D15" s="26">
        <f>'Data '!E15/'Data '!$B$15</f>
        <v>1.9172491666666667</v>
      </c>
      <c r="E15" s="26">
        <f>'Data '!F15/'Data '!$B$15</f>
        <v>2.6127288888888889</v>
      </c>
      <c r="F15" s="26">
        <f>'Data '!G15/'Data '!$B$15</f>
        <v>3.4694938888888891</v>
      </c>
      <c r="G15" s="7"/>
      <c r="H15" s="15">
        <f t="shared" si="0"/>
        <v>-0.19604680842533831</v>
      </c>
      <c r="I15" s="15">
        <f t="shared" si="1"/>
        <v>1.8682402472752375</v>
      </c>
      <c r="J15" s="15">
        <f t="shared" si="2"/>
        <v>0.3627487414332195</v>
      </c>
      <c r="K15" s="15">
        <f t="shared" si="2"/>
        <v>0.32791959534858411</v>
      </c>
      <c r="L15" s="7"/>
      <c r="M15" s="18">
        <f>'Data '!C15/'Data '!H15</f>
        <v>6.2239638738141125E-2</v>
      </c>
      <c r="N15" s="18">
        <f>'Data '!D15/'Data '!I15</f>
        <v>5.3419860663351304E-2</v>
      </c>
      <c r="O15" s="18">
        <f>'Data '!E15/'Data '!J15</f>
        <v>0.13793160299350138</v>
      </c>
      <c r="P15" s="18">
        <f>'Data '!F15/'Data '!K15</f>
        <v>0.17737966967412699</v>
      </c>
      <c r="Q15" s="15">
        <f>'Data '!G15/'Data '!L15</f>
        <v>0.19172756616437062</v>
      </c>
      <c r="R15" s="7"/>
      <c r="S15" s="18">
        <f>'Data '!C15/'Data '!R15</f>
        <v>4.0190865231013444E-2</v>
      </c>
      <c r="T15" s="18">
        <f>'Data '!D15/'Data '!S15</f>
        <v>3.2815641051799377E-2</v>
      </c>
      <c r="U15" s="18">
        <f>'Data '!E15/'Data '!T15</f>
        <v>8.6369542708104194E-2</v>
      </c>
      <c r="V15" s="18">
        <f>'Data '!F15/'Data '!U15</f>
        <v>0.1076554330341128</v>
      </c>
      <c r="W15" s="18">
        <f>'Data '!G15/'Data '!V15</f>
        <v>0.12957075549431565</v>
      </c>
      <c r="X15" s="7"/>
      <c r="Y15" s="18">
        <f>'Data '!M15/'Data '!R15</f>
        <v>8.0407482150728651</v>
      </c>
      <c r="Z15" s="18">
        <f>'Data '!N15/'Data '!S15</f>
        <v>8.072804854816729</v>
      </c>
      <c r="AA15" s="18">
        <f>'Data '!O15/'Data '!T15</f>
        <v>7.4090636474352216</v>
      </c>
      <c r="AB15" s="18">
        <f>'Data '!P15/'Data '!U15</f>
        <v>7.56378936680386</v>
      </c>
      <c r="AC15" s="19">
        <f>'Data '!Q15/'Data '!V15</f>
        <v>9.3431457236276092</v>
      </c>
      <c r="AD15" s="7"/>
      <c r="AE15" s="41">
        <v>9.2200000000000006</v>
      </c>
      <c r="AF15" s="11"/>
      <c r="AG15" s="21"/>
      <c r="AH15" s="7"/>
    </row>
    <row r="16" spans="1:34" ht="14.5">
      <c r="A16" s="12" t="s">
        <v>20</v>
      </c>
      <c r="B16" s="26">
        <v>2.6160000000000001</v>
      </c>
      <c r="C16" s="26">
        <v>3.1850000000000001</v>
      </c>
      <c r="D16" s="26">
        <v>2.59</v>
      </c>
      <c r="E16" s="26">
        <v>2.8839999999999999</v>
      </c>
      <c r="F16" s="26">
        <v>3.8839999999999999</v>
      </c>
      <c r="G16" s="25"/>
      <c r="H16" s="15">
        <f t="shared" si="0"/>
        <v>0.21750764525993882</v>
      </c>
      <c r="I16" s="15">
        <f t="shared" si="1"/>
        <v>-0.18681318681318687</v>
      </c>
      <c r="J16" s="15">
        <f t="shared" si="2"/>
        <v>0.11351351351351353</v>
      </c>
      <c r="K16" s="15">
        <f t="shared" si="2"/>
        <v>0.34674063800277394</v>
      </c>
      <c r="L16" s="16"/>
      <c r="M16" s="18">
        <f>'Data '!C16/'Data '!H16</f>
        <v>0.409837012866064</v>
      </c>
      <c r="N16" s="18">
        <f>'Data '!D16/'Data '!I16</f>
        <v>0.41905540195519325</v>
      </c>
      <c r="O16" s="18">
        <f>'Data '!E16/'Data '!J16</f>
        <v>0.40373514538655064</v>
      </c>
      <c r="P16" s="18">
        <f>'Data '!F16/'Data '!K16</f>
        <v>0.44734787472821935</v>
      </c>
      <c r="Q16" s="15">
        <f>'Data '!G16/'Data '!L16</f>
        <v>0.43803410530142906</v>
      </c>
      <c r="R16" s="18"/>
      <c r="S16" s="18">
        <f>'Data '!C16/'Data '!R16</f>
        <v>0.12090173747050736</v>
      </c>
      <c r="T16" s="18">
        <f>'Data '!D16/'Data '!S16</f>
        <v>0.14183032943831222</v>
      </c>
      <c r="U16" s="18">
        <f>'Data '!E16/'Data '!O16</f>
        <v>3.2754747342497892E-2</v>
      </c>
      <c r="V16" s="18">
        <f>'Data '!F16/'Data '!U16</f>
        <v>0.15435813810727414</v>
      </c>
      <c r="W16" s="18">
        <f>'Data '!G16/'Data '!V16</f>
        <v>0.1504404298271374</v>
      </c>
      <c r="X16" s="18"/>
      <c r="Y16" s="18">
        <f>'Data '!M16/'Data '!R16</f>
        <v>5.0454306300240432</v>
      </c>
      <c r="Z16" s="18">
        <f>'Data '!N16/'Data '!S16</f>
        <v>4.9071031828700642</v>
      </c>
      <c r="AA16" s="18">
        <f>'Data '!T16/'Data '!O16</f>
        <v>0.22353325978798505</v>
      </c>
      <c r="AB16" s="18">
        <f>'Data '!P16/'Data '!U16</f>
        <v>4.5161848478652447</v>
      </c>
      <c r="AC16" s="19">
        <f>'Data '!Q16/'Data '!V16</f>
        <v>4.4076696454025921</v>
      </c>
      <c r="AD16" s="18"/>
      <c r="AE16" s="41">
        <v>9.3800000000000008</v>
      </c>
      <c r="AF16" s="11"/>
      <c r="AG16" s="21"/>
      <c r="AH16" s="7"/>
    </row>
    <row r="17" spans="1:34" ht="14.5">
      <c r="A17" s="12" t="s">
        <v>21</v>
      </c>
      <c r="B17" s="25">
        <f>'Data '!C17/'Data '!$B$17</f>
        <v>3.699185E-2</v>
      </c>
      <c r="C17" s="25">
        <f>'Data '!D17/'Data '!$B$17</f>
        <v>1.6714449999999999E-2</v>
      </c>
      <c r="D17" s="25">
        <f>'Data '!E17/'Data '!$B$17</f>
        <v>2.2021550000000001E-2</v>
      </c>
      <c r="E17" s="25">
        <f>'Data '!F17/'Data '!$B$17</f>
        <v>5.7294499999999996E-3</v>
      </c>
      <c r="F17" s="25">
        <f>'Data '!G17/'Data '!$B$17</f>
        <v>0.17798</v>
      </c>
      <c r="G17" s="7"/>
      <c r="H17" s="15">
        <f t="shared" si="0"/>
        <v>-0.54815858087659852</v>
      </c>
      <c r="I17" s="15">
        <f t="shared" si="1"/>
        <v>0.31751568253816326</v>
      </c>
      <c r="J17" s="15">
        <f t="shared" si="2"/>
        <v>-0.73982530748289743</v>
      </c>
      <c r="K17" s="15">
        <f t="shared" si="2"/>
        <v>30.064063740847729</v>
      </c>
      <c r="L17" s="7"/>
      <c r="M17" s="18">
        <f>'Data '!C17/'Data '!H17</f>
        <v>2.7636404685806078E-2</v>
      </c>
      <c r="N17" s="18">
        <f>'Data '!D17/'Data '!I17</f>
        <v>1.3935081891413419E-2</v>
      </c>
      <c r="O17" s="18">
        <f>'Data '!E17/'Data '!J17</f>
        <v>1.6502200194692774E-2</v>
      </c>
      <c r="P17" s="18">
        <f>'Data '!F17/'Data '!K17</f>
        <v>3.6423107142878712E-3</v>
      </c>
      <c r="Q17" s="15">
        <f>'Data '!G17/'Data '!L17</f>
        <v>0.10442626121567998</v>
      </c>
      <c r="R17" s="7"/>
      <c r="S17" s="18">
        <f>'Data '!C17/'Data '!R17</f>
        <v>3.4830991373108462E-3</v>
      </c>
      <c r="T17" s="18">
        <f>'Data '!D17/'Data '!S17</f>
        <v>1.492920939303523E-3</v>
      </c>
      <c r="U17" s="18">
        <f>'Data '!E17/'Data '!T17</f>
        <v>1.8632165427396889E-3</v>
      </c>
      <c r="V17" s="18">
        <f>'Data '!F17/'Data '!U17</f>
        <v>4.6493438827524482E-4</v>
      </c>
      <c r="W17" s="18">
        <f>'Data '!G17/'Data '!V17</f>
        <v>1.3776863180251777E-2</v>
      </c>
      <c r="X17" s="7"/>
      <c r="Y17" s="18">
        <f>'Data '!M17/'Data '!R17</f>
        <v>3.3316561230898629</v>
      </c>
      <c r="Z17" s="18">
        <f>'Data '!N17/'Data '!S17</f>
        <v>3.0745804598925695</v>
      </c>
      <c r="AA17" s="18">
        <f>'Data '!T17/'Data '!O17</f>
        <v>0.33423370144185227</v>
      </c>
      <c r="AB17" s="18">
        <f>'Data '!P17/'Data '!U17</f>
        <v>2.7588613853438035</v>
      </c>
      <c r="AC17" s="19">
        <f>'Data '!Q17/'Data '!V17</f>
        <v>2.9607144672885344</v>
      </c>
      <c r="AD17" s="7"/>
      <c r="AE17" s="41">
        <v>8.4</v>
      </c>
      <c r="AF17" s="11"/>
      <c r="AG17" s="21"/>
      <c r="AH17" s="7"/>
    </row>
    <row r="18" spans="1:34" ht="14.5">
      <c r="A18" s="12" t="s">
        <v>22</v>
      </c>
      <c r="B18" s="25">
        <f>'Data '!C18/'Data '!$B$18</f>
        <v>0.48247276</v>
      </c>
      <c r="C18" s="25">
        <f>'Data '!I18/'Data '!$B$18</f>
        <v>0.70585759999999997</v>
      </c>
      <c r="D18" s="25">
        <f>'Data '!J18/'Data '!$B$18</f>
        <v>0.79693331999999995</v>
      </c>
      <c r="E18" s="25">
        <f>'Data '!F18/'Data '!$B$18</f>
        <v>0.59996075999999998</v>
      </c>
      <c r="F18" s="25">
        <f>'Data '!G18/'Data '!$B$18</f>
        <v>1.0614148800000001</v>
      </c>
      <c r="G18" s="25"/>
      <c r="H18" s="15">
        <f t="shared" si="0"/>
        <v>0.4629999007612367</v>
      </c>
      <c r="I18" s="15">
        <f t="shared" si="1"/>
        <v>0.12902846126470832</v>
      </c>
      <c r="J18" s="15">
        <f t="shared" si="2"/>
        <v>-0.2471631629105431</v>
      </c>
      <c r="K18" s="15">
        <f t="shared" si="2"/>
        <v>0.7691405017888171</v>
      </c>
      <c r="L18" s="16"/>
      <c r="M18" s="18">
        <f>'Data '!C18/'Data '!H18</f>
        <v>0.78924432680413936</v>
      </c>
      <c r="N18" s="18">
        <f>'Data '!D18/'Data '!I18</f>
        <v>0.77150014393838073</v>
      </c>
      <c r="O18" s="18">
        <f>'Data '!E18/'Data '!J18</f>
        <v>0.68417493197548829</v>
      </c>
      <c r="P18" s="18">
        <f>'Data '!F18/'Data '!K18</f>
        <v>0.67375447329235527</v>
      </c>
      <c r="Q18" s="15">
        <f>'Data '!G18/'Data '!L18</f>
        <v>1.0656909863967365</v>
      </c>
      <c r="R18" s="18"/>
      <c r="S18" s="18">
        <f>'Data '!C18/'Data '!R18</f>
        <v>0.19187178700009527</v>
      </c>
      <c r="T18" s="18">
        <f>'Data '!I18/'Data '!S18</f>
        <v>0.24273853521634828</v>
      </c>
      <c r="U18" s="18">
        <f>'Data '!J18/'Data '!T18</f>
        <v>0.17253850244954594</v>
      </c>
      <c r="V18" s="18">
        <f>'Data '!F18/'Data '!U18</f>
        <v>0.11729868608198461</v>
      </c>
      <c r="W18" s="18">
        <f>'Data '!G18/'Data '!V18</f>
        <v>0.18576611447871111</v>
      </c>
      <c r="X18" s="18"/>
      <c r="Y18" s="18">
        <v>0.52836500788318042</v>
      </c>
      <c r="Z18" s="18">
        <v>0.61652506532081952</v>
      </c>
      <c r="AA18" s="18">
        <v>0.65330327050832304</v>
      </c>
      <c r="AB18" s="18">
        <v>0.6160361541574878</v>
      </c>
      <c r="AC18" s="19">
        <f>'Data '!Q18/'Data '!V18</f>
        <v>5.4355522011635324</v>
      </c>
      <c r="AD18" s="7"/>
      <c r="AE18" s="41">
        <v>0.7</v>
      </c>
      <c r="AF18" s="11"/>
      <c r="AG18" s="21"/>
      <c r="AH18" s="7"/>
    </row>
    <row r="19" spans="1:34" ht="14.5">
      <c r="A19" s="12" t="s">
        <v>23</v>
      </c>
      <c r="B19" s="25">
        <f>'Data '!C19/'Data '!$B$19</f>
        <v>0.39741499649727346</v>
      </c>
      <c r="C19" s="25">
        <f>'Data '!D19/'Data '!$B$19</f>
        <v>0.19307038009995695</v>
      </c>
      <c r="D19" s="25">
        <f>'Data '!E19/'Data '!$B$19</f>
        <v>0.42044075925128482</v>
      </c>
      <c r="E19" s="25">
        <f>'Data '!F19/'Data '!$B$19</f>
        <v>0.42432460377566988</v>
      </c>
      <c r="F19" s="25">
        <f>'Data '!G19/'Data '!$B$19</f>
        <v>0.73329861454093159</v>
      </c>
      <c r="G19" s="25"/>
      <c r="H19" s="15">
        <f t="shared" si="0"/>
        <v>-0.5141844625853681</v>
      </c>
      <c r="I19" s="15">
        <f t="shared" si="1"/>
        <v>1.1776554178513194</v>
      </c>
      <c r="J19" s="15">
        <f t="shared" si="2"/>
        <v>9.2375547301868591E-3</v>
      </c>
      <c r="K19" s="15">
        <f t="shared" si="2"/>
        <v>0.72815483244664447</v>
      </c>
      <c r="L19" s="16"/>
      <c r="M19" s="18">
        <f>'Data '!C19/'Data '!H19</f>
        <v>5.2858921263933288E-2</v>
      </c>
      <c r="N19" s="18">
        <f>'Data '!D19/'Data '!I19</f>
        <v>2.4070193058579728E-2</v>
      </c>
      <c r="O19" s="18">
        <f>'Data '!E19/'Data '!J19</f>
        <v>4.0112335755157331E-2</v>
      </c>
      <c r="P19" s="18">
        <f>'Data '!F19/'Data '!K19</f>
        <v>3.9523990493451781E-2</v>
      </c>
      <c r="Q19" s="15">
        <f>'Data '!G19/'Data '!L19</f>
        <v>6.273873483700855E-2</v>
      </c>
      <c r="R19" s="18"/>
      <c r="S19" s="18">
        <f>'Data '!C19/'Data '!R19</f>
        <v>0.10626201566519301</v>
      </c>
      <c r="T19" s="18">
        <f>'Data '!D19/'Data '!S19</f>
        <v>5.4817384842917628E-2</v>
      </c>
      <c r="U19" s="18">
        <f>'Data '!E19/'Data '!T19</f>
        <v>0.11316507601574471</v>
      </c>
      <c r="V19" s="18">
        <f>'Data '!F19/'Data '!U19</f>
        <v>0.11166214086355007</v>
      </c>
      <c r="W19" s="18">
        <f>'Data '!G19/'Data '!V19</f>
        <v>0.17428790709794539</v>
      </c>
      <c r="X19" s="18"/>
      <c r="Y19" s="18">
        <f>'Data '!M19/'Data '!R19</f>
        <v>1.8176940174380889</v>
      </c>
      <c r="Z19" s="18">
        <f>'Data '!N19/'Data '!S19</f>
        <v>2.261315218033392</v>
      </c>
      <c r="AA19" s="18">
        <f>'Data '!O19/'Data '!T19</f>
        <v>2.290673300342267</v>
      </c>
      <c r="AB19" s="18">
        <f>'Data '!P19/'Data '!U19</f>
        <v>2.3814492663089748</v>
      </c>
      <c r="AC19" s="19">
        <f>'Data '!Q19/'Data '!V19</f>
        <v>2.4960304484777649</v>
      </c>
      <c r="AD19" s="7"/>
      <c r="AE19" s="41">
        <v>18.829999999999998</v>
      </c>
      <c r="AF19" s="11"/>
      <c r="AG19" s="21"/>
      <c r="AH19" s="7"/>
    </row>
    <row r="20" spans="1:34" ht="14.5">
      <c r="A20" s="12" t="s">
        <v>24</v>
      </c>
      <c r="B20" s="25">
        <f>'Data '!C20/'Data '!$B$20</f>
        <v>0.1624521846153846</v>
      </c>
      <c r="C20" s="25">
        <f>'Data '!D20/'Data '!$B$20</f>
        <v>0.3425278769230769</v>
      </c>
      <c r="D20" s="25">
        <f>'Data '!E20/'Data '!$B$20</f>
        <v>0.50062852307692307</v>
      </c>
      <c r="E20" s="25">
        <f>'Data '!F20/'Data '!$B$20</f>
        <v>0.61463889230769231</v>
      </c>
      <c r="F20" s="25">
        <f>'Data '!G20/'Data '!$B$20</f>
        <v>0.68036006153846151</v>
      </c>
      <c r="G20" s="25"/>
      <c r="H20" s="15">
        <f t="shared" si="0"/>
        <v>1.1084842763674272</v>
      </c>
      <c r="I20" s="15">
        <f t="shared" si="1"/>
        <v>0.46157015765858839</v>
      </c>
      <c r="J20" s="15">
        <f t="shared" si="2"/>
        <v>0.22773446572729777</v>
      </c>
      <c r="K20" s="15">
        <f t="shared" si="2"/>
        <v>0.10692647350058797</v>
      </c>
      <c r="L20" s="16"/>
      <c r="M20" s="18">
        <f>'Data '!C20/'Data '!H20</f>
        <v>0.17468126525881561</v>
      </c>
      <c r="N20" s="18">
        <f>'Data '!D20/'Data '!I20</f>
        <v>0.27887801920618932</v>
      </c>
      <c r="O20" s="18">
        <f>'Data '!E20/'Data '!J20</f>
        <v>0.34911237664662137</v>
      </c>
      <c r="P20" s="18">
        <f>'Data '!F20/'Data '!K20</f>
        <v>0.39017686494966763</v>
      </c>
      <c r="Q20" s="15">
        <f>'Data '!G20/'Data '!L20</f>
        <v>0.37842040859446907</v>
      </c>
      <c r="R20" s="18"/>
      <c r="S20" s="18">
        <f>'Data '!C20/'Data '!R20</f>
        <v>9.9764300638127135E-3</v>
      </c>
      <c r="T20" s="18">
        <f>'Data '!D20/'Data '!S20</f>
        <v>0.10094118904352246</v>
      </c>
      <c r="U20" s="18">
        <f>'Data '!E20/'Data '!T20</f>
        <v>0.13552540943529792</v>
      </c>
      <c r="V20" s="18">
        <f>'Data '!F20/'Data '!U20</f>
        <v>0.15219424933299563</v>
      </c>
      <c r="W20" s="18">
        <f>'Data '!G20/'Data '!V20</f>
        <v>0.15396677034519651</v>
      </c>
      <c r="X20" s="18"/>
      <c r="Y20" s="18">
        <f>'Data '!M20/'Data '!R20</f>
        <v>0.19195621547737959</v>
      </c>
      <c r="Z20" s="18">
        <f>'Data '!N20/'Data '!S20</f>
        <v>4.9942014760256743</v>
      </c>
      <c r="AA20" s="18">
        <f>'Data '!O20/'Data '!T20</f>
        <v>4.2646690973250889</v>
      </c>
      <c r="AB20" s="18">
        <f>'Data '!P20/'Data '!U20</f>
        <v>4.2333306890514528</v>
      </c>
      <c r="AC20" s="19">
        <f>'Data '!Q20/'Data '!V20</f>
        <v>4.0246325642339302</v>
      </c>
      <c r="AD20" s="7"/>
      <c r="AE20" s="41">
        <v>8.69</v>
      </c>
      <c r="AF20" s="11"/>
      <c r="AG20" s="21"/>
      <c r="AH20" s="7"/>
    </row>
    <row r="21" spans="1:34" ht="14.5">
      <c r="A21" s="35" t="s">
        <v>25</v>
      </c>
      <c r="B21" s="25">
        <f>'Data '!C21/'Data '!$B$21</f>
        <v>0.35115795454545456</v>
      </c>
      <c r="C21" s="25">
        <f>'Data '!D21/'Data '!$B$21</f>
        <v>0.44287878787878787</v>
      </c>
      <c r="D21" s="25">
        <f>'Data '!E21/'Data '!$B$21</f>
        <v>0.47132765151515149</v>
      </c>
      <c r="E21" s="25">
        <f>'Data '!F21/'Data '!$B$21</f>
        <v>0.5796106060606061</v>
      </c>
      <c r="F21" s="25">
        <f>'Data '!G21/'Data '!$B$21</f>
        <v>0.53475810606060603</v>
      </c>
      <c r="G21" s="25"/>
      <c r="H21" s="15">
        <f t="shared" si="0"/>
        <v>0.26119537417871813</v>
      </c>
      <c r="I21" s="15">
        <f t="shared" si="1"/>
        <v>6.4236229900786826E-2</v>
      </c>
      <c r="J21" s="15">
        <f t="shared" si="2"/>
        <v>0.22974029679218536</v>
      </c>
      <c r="K21" s="15">
        <f t="shared" si="2"/>
        <v>-7.7383849658731296E-2</v>
      </c>
      <c r="L21" s="16"/>
      <c r="M21" s="18">
        <f>'Data '!C21/'Data '!H21</f>
        <v>0.30998901763398024</v>
      </c>
      <c r="N21" s="18">
        <f>'Data '!D21/'Data '!I21</f>
        <v>0.37889361638142599</v>
      </c>
      <c r="O21" s="18">
        <f>'Data '!E21/'Data '!J21</f>
        <v>0.37686256677297603</v>
      </c>
      <c r="P21" s="18">
        <f>'Data '!F21/'Data '!K21</f>
        <v>0.43207446070744271</v>
      </c>
      <c r="Q21" s="15">
        <f>'Data '!G21/'Data '!L21</f>
        <v>0.38065709714900048</v>
      </c>
      <c r="R21" s="18"/>
      <c r="S21" s="18">
        <f>'Data '!C21/'Data '!R21</f>
        <v>0.15953658830144524</v>
      </c>
      <c r="T21" s="18">
        <f>'Data '!D21/'Data '!S21</f>
        <v>0.18378032674042108</v>
      </c>
      <c r="U21" s="18">
        <f>'Data '!E21/'Data '!T21</f>
        <v>0.19070067957399942</v>
      </c>
      <c r="V21" s="18">
        <f>'Data '!F21/'Data '!U21</f>
        <v>0.22158193046949787</v>
      </c>
      <c r="W21" s="18">
        <f>'Data '!G21/'Data '!V21</f>
        <v>0.20462335026428413</v>
      </c>
      <c r="X21" s="18"/>
      <c r="Y21" s="18">
        <f>'Data '!M21/'Data '!R21</f>
        <v>0.16043675300122875</v>
      </c>
      <c r="Z21" s="18">
        <f>'Data '!N21/'Data '!S21</f>
        <v>0.14256131680018772</v>
      </c>
      <c r="AA21" s="18">
        <f>'Data '!O21/'Data '!T21</f>
        <v>0.18267586538189209</v>
      </c>
      <c r="AB21" s="18">
        <f>'Data '!P21/'Data '!U21</f>
        <v>0.18514283781298949</v>
      </c>
      <c r="AC21" s="19">
        <f>'Data '!Q21/'Data '!V21</f>
        <v>0.1844473827062191</v>
      </c>
      <c r="AD21" s="7"/>
      <c r="AE21" s="41">
        <v>17.010000000000002</v>
      </c>
      <c r="AF21" s="11"/>
      <c r="AG21" s="21"/>
      <c r="AH21" s="7"/>
    </row>
    <row r="22" spans="1:34" ht="14.5">
      <c r="A22" s="12" t="s">
        <v>26</v>
      </c>
      <c r="B22" s="25">
        <f>'Data '!C22/'Data '!$B$22</f>
        <v>-0.28896109090909089</v>
      </c>
      <c r="C22" s="25">
        <f>'Data '!D22/'Data '!$B$22</f>
        <v>0.53713309090909089</v>
      </c>
      <c r="D22" s="25">
        <f>'Data '!E22/'Data '!$B$22</f>
        <v>0.7252338181818182</v>
      </c>
      <c r="E22" s="25">
        <f>'Data '!K22/'Data '!$B$22</f>
        <v>4.2017832727272726</v>
      </c>
      <c r="F22" s="25">
        <f>'Data '!L22/'Data '!$B$22</f>
        <v>4.4398109999999997</v>
      </c>
      <c r="G22" s="25"/>
      <c r="H22" s="15">
        <f t="shared" si="0"/>
        <v>2.8588422725676814</v>
      </c>
      <c r="I22" s="15">
        <f t="shared" si="1"/>
        <v>0.35019389133961049</v>
      </c>
      <c r="J22" s="15">
        <f t="shared" si="2"/>
        <v>4.7936946228752308</v>
      </c>
      <c r="K22" s="15">
        <f t="shared" si="2"/>
        <v>5.6649215778858883E-2</v>
      </c>
      <c r="L22" s="16"/>
      <c r="M22" s="18">
        <f>'Data '!C22/'Data '!H22</f>
        <v>-0.17049948808399981</v>
      </c>
      <c r="N22" s="18">
        <f>'Data '!D22/'Data '!I22</f>
        <v>0.18201552438457599</v>
      </c>
      <c r="O22" s="18">
        <f>'Data '!E22/'Data '!J22</f>
        <v>0.18202570615582223</v>
      </c>
      <c r="P22" s="18">
        <f>'Data '!F22/'Data '!K22</f>
        <v>0.28267404904445764</v>
      </c>
      <c r="Q22" s="15">
        <f>'Data '!G22/'Data '!L22</f>
        <v>0.25878341545292233</v>
      </c>
      <c r="R22" s="18"/>
      <c r="S22" s="18">
        <f>'Data '!C22/'Data '!R22</f>
        <v>-4.5148332455670202E-2</v>
      </c>
      <c r="T22" s="18">
        <f>'Data '!D22/'Data '!S22</f>
        <v>7.7564765792560192E-2</v>
      </c>
      <c r="U22" s="18">
        <f>'Data '!E22/'Data '!T22</f>
        <v>9.7554141937837111E-2</v>
      </c>
      <c r="V22" s="18">
        <f>'Data '!K22/'Data '!U22</f>
        <v>0.50557626705963532</v>
      </c>
      <c r="W22" s="18">
        <f>'Data '!G22/'Data '!V22</f>
        <v>0.12650736594241258</v>
      </c>
      <c r="X22" s="18"/>
      <c r="Y22" s="18">
        <f>'Data '!M22/'Data '!R22</f>
        <v>8.6597312529862069</v>
      </c>
      <c r="Z22" s="18">
        <f>'Data '!N22/'Data '!S22</f>
        <v>7.1685910157937585</v>
      </c>
      <c r="AA22" s="18">
        <f>'Data '!O22/'Data '!T22</f>
        <v>6.5717035426147437</v>
      </c>
      <c r="AB22" s="18">
        <f>'Data '!P22/'Data '!U22</f>
        <v>6.2027797934210458</v>
      </c>
      <c r="AC22" s="19">
        <f>'Data '!Q22/'Data '!V22</f>
        <v>6.3755260549122976</v>
      </c>
      <c r="AD22" s="7"/>
      <c r="AE22" s="41">
        <v>6.61</v>
      </c>
      <c r="AF22" s="11"/>
      <c r="AG22" s="21"/>
      <c r="AH22" s="7"/>
    </row>
    <row r="23" spans="1:34" ht="14.5">
      <c r="A23" t="s">
        <v>45</v>
      </c>
      <c r="B23" s="25">
        <f>'Data '!C23/'Data '!$B$22</f>
        <v>1.1325454545454545</v>
      </c>
      <c r="C23" s="25">
        <f>'Data '!D23/'Data '!$B$22</f>
        <v>-5.585</v>
      </c>
      <c r="D23" s="25">
        <f>'Data '!E23/'Data '!$B$22</f>
        <v>2.6909090909090909</v>
      </c>
      <c r="E23" s="25">
        <f>'Data '!K23/'Data '!$B$22</f>
        <v>36.911181818181817</v>
      </c>
      <c r="F23" s="25">
        <f>'Data '!L23/'Data '!$B$22</f>
        <v>39.707727272727276</v>
      </c>
      <c r="G23" s="25"/>
      <c r="H23" s="15">
        <f t="shared" si="0"/>
        <v>-5.9313694011879923</v>
      </c>
      <c r="I23" s="15">
        <f t="shared" si="1"/>
        <v>1.4818100431350207</v>
      </c>
      <c r="J23" s="15">
        <f t="shared" si="2"/>
        <v>12.716993243243243</v>
      </c>
      <c r="K23" s="15">
        <f t="shared" si="2"/>
        <v>7.5764180846897969E-2</v>
      </c>
      <c r="L23" s="16"/>
      <c r="M23" s="18">
        <f>'Data '!C23/'Data '!H23</f>
        <v>4.186901565130887E-2</v>
      </c>
      <c r="N23" s="18">
        <f>'Data '!D23/'Data '!I23</f>
        <v>-0.18443078179318295</v>
      </c>
      <c r="O23" s="18">
        <f>'Data '!E23/'Data '!J23</f>
        <v>8.0889787664307378E-2</v>
      </c>
      <c r="P23" s="18">
        <f>'Data '!F23/'Data '!K23</f>
        <v>-3.891405166702379E-4</v>
      </c>
      <c r="Q23" s="15">
        <f>'Data '!G23/'Data '!L23</f>
        <v>7.1625628169465522E-2</v>
      </c>
      <c r="R23" s="18"/>
      <c r="S23" s="18">
        <f>'Data '!C23/'Data '!R23</f>
        <v>2.127190922983668E-2</v>
      </c>
      <c r="T23" s="18">
        <f>'Data '!D23/'Data '!S23</f>
        <v>-0.10340364365927882</v>
      </c>
      <c r="U23" s="18">
        <f>'Data '!E23/'Data '!T23</f>
        <v>4.7891867928466378E-2</v>
      </c>
      <c r="V23" s="18">
        <f>'Data '!K23/'Data '!U23</f>
        <v>0.6572205999469074</v>
      </c>
      <c r="W23" s="18">
        <f>'Data '!G23/'Data '!V23</f>
        <v>4.8180728940470582E-2</v>
      </c>
      <c r="X23" s="18"/>
      <c r="Y23" s="18">
        <f>'Data '!M23/'Data '!R23</f>
        <v>12.586691823684593</v>
      </c>
      <c r="Z23" s="18">
        <f>'Data '!N23/'Data '!S23</f>
        <v>12.842421161769854</v>
      </c>
      <c r="AA23" s="18">
        <f>'Data '!O23/'Data '!T23</f>
        <v>12.530052956109369</v>
      </c>
      <c r="AB23" s="18">
        <f>'Data '!P23/'Data '!U23</f>
        <v>12.302116583682428</v>
      </c>
      <c r="AC23" s="19">
        <f>'Data '!Q23/'Data '!V23</f>
        <v>12.875441611763582</v>
      </c>
      <c r="AD23" s="7"/>
      <c r="AE23" s="41">
        <v>14.96</v>
      </c>
      <c r="AF23" s="11"/>
      <c r="AG23" s="21"/>
      <c r="AH23" s="7"/>
    </row>
    <row r="24" spans="1:34" ht="14.5">
      <c r="A24" s="5" t="s">
        <v>46</v>
      </c>
      <c r="B24" s="25">
        <f>'Data '!C24/'Data '!$B$22</f>
        <v>25.225454545454546</v>
      </c>
      <c r="C24" s="25">
        <f>'Data '!D24/'Data '!$B$22</f>
        <v>25.766454545454547</v>
      </c>
      <c r="D24" s="25">
        <f>'Data '!E24/'Data '!$B$22</f>
        <v>28.400181818181817</v>
      </c>
      <c r="E24" s="25">
        <f>'Data '!K24/'Data '!$B$22</f>
        <v>145.80990909090909</v>
      </c>
      <c r="F24" s="25">
        <f>'Data '!L24/'Data '!$B$22</f>
        <v>159.1169090909091</v>
      </c>
      <c r="G24" s="25"/>
      <c r="H24" s="15">
        <f t="shared" si="0"/>
        <v>2.1446590745278951E-2</v>
      </c>
      <c r="I24" s="15">
        <f t="shared" si="1"/>
        <v>0.10221535400150292</v>
      </c>
      <c r="J24" s="15">
        <f t="shared" si="2"/>
        <v>4.1341188596743939</v>
      </c>
      <c r="K24" s="15">
        <f t="shared" si="2"/>
        <v>9.1262658916434897E-2</v>
      </c>
      <c r="L24" s="16"/>
      <c r="M24" s="18">
        <f>'Data '!C24/'Data '!H24</f>
        <v>0.26834655659957679</v>
      </c>
      <c r="N24" s="18">
        <f>'Data '!D24/'Data '!I24</f>
        <v>0.249806980433633</v>
      </c>
      <c r="O24" s="18">
        <f>'Data '!E24/'Data '!J24</f>
        <v>0.22075586493841276</v>
      </c>
      <c r="P24" s="18">
        <f>'Data '!F24/'Data '!K24</f>
        <v>0.22357315782877957</v>
      </c>
      <c r="Q24" s="15">
        <f>'Data '!G24/'Data '!L24</f>
        <v>0.21676800248645078</v>
      </c>
      <c r="R24" s="18"/>
      <c r="S24" s="18">
        <f>'Data '!C24/'Data '!R24</f>
        <v>0.15667002237578559</v>
      </c>
      <c r="T24" s="18">
        <f>'Data '!D24/'Data '!S24</f>
        <v>0.15096931514087508</v>
      </c>
      <c r="U24" s="18">
        <f>'Data '!E24/'Data '!T24</f>
        <v>0.15614783166331864</v>
      </c>
      <c r="V24" s="18">
        <f>'Data '!K24/'Data '!U24</f>
        <v>0.74297870763472462</v>
      </c>
      <c r="W24" s="18">
        <f>'Data '!G24/'Data '!V24</f>
        <v>0.16394155234725677</v>
      </c>
      <c r="X24" s="18"/>
      <c r="Y24" s="18">
        <f>'Data '!M24/'Data '!R24</f>
        <v>9.0938377097765191</v>
      </c>
      <c r="Z24" s="18">
        <f>'Data '!N24/'Data '!S24</f>
        <v>9.2447518067463221</v>
      </c>
      <c r="AA24" s="18">
        <f>'Data '!O24/'Data '!T24</f>
        <v>9.4711185841221059</v>
      </c>
      <c r="AB24" s="18">
        <f>'Data '!P24/'Data '!U24</f>
        <v>9.5579396457680463</v>
      </c>
      <c r="AC24" s="19">
        <f>'Data '!Q24/'Data '!V24</f>
        <v>9.8418550769225455</v>
      </c>
      <c r="AD24" s="7"/>
      <c r="AE24" s="41">
        <v>5.18</v>
      </c>
      <c r="AF24" s="11"/>
      <c r="AG24" s="21"/>
      <c r="AH24" s="7"/>
    </row>
    <row r="25" spans="1:34" ht="14.5">
      <c r="A25" s="33" t="s">
        <v>47</v>
      </c>
      <c r="B25" s="25">
        <f>'Data '!C25/'Data '!$B$22</f>
        <v>9.7853636363636358</v>
      </c>
      <c r="C25" s="25">
        <f>'Data '!D25/'Data '!$B$22</f>
        <v>15.760545454545454</v>
      </c>
      <c r="D25" s="25">
        <f>'Data '!E25/'Data '!$B$22</f>
        <v>15.446363636363637</v>
      </c>
      <c r="E25" s="25">
        <f>'Data '!K25/'Data '!$B$22</f>
        <v>95.184181818181813</v>
      </c>
      <c r="F25" s="25">
        <f>'Data '!L25/'Data '!$B$22</f>
        <v>94.934636363636358</v>
      </c>
      <c r="G25" s="25"/>
      <c r="H25" s="15">
        <f t="shared" si="0"/>
        <v>0.61062440193610124</v>
      </c>
      <c r="I25" s="15">
        <f t="shared" si="1"/>
        <v>-1.9934704613361255E-2</v>
      </c>
      <c r="J25" s="15">
        <f t="shared" si="2"/>
        <v>5.1622388323229931</v>
      </c>
      <c r="K25" s="15">
        <f t="shared" si="2"/>
        <v>-2.6217113997169168E-3</v>
      </c>
      <c r="L25" s="16"/>
      <c r="M25" s="18">
        <f>'Data '!C25/'Data '!H25</f>
        <v>0.15571780731550652</v>
      </c>
      <c r="N25" s="18">
        <f>'Data '!D25/'Data '!I25</f>
        <v>0.19005470351571493</v>
      </c>
      <c r="O25" s="18">
        <f>'Data '!E25/'Data '!J25</f>
        <v>0.17953676113189204</v>
      </c>
      <c r="P25" s="18">
        <f>'Data '!F25/'Data '!K25</f>
        <v>0.20251932616764054</v>
      </c>
      <c r="Q25" s="15">
        <f>'Data '!G25/'Data '!L25</f>
        <v>0.20196288163817977</v>
      </c>
      <c r="R25" s="18"/>
      <c r="S25" s="18">
        <f>'Data '!C25/'Data '!R25</f>
        <v>6.5212202137894429E-2</v>
      </c>
      <c r="T25" s="18">
        <f>'Data '!D25/'Data '!S25</f>
        <v>9.8442050608228845E-2</v>
      </c>
      <c r="U25" s="18">
        <f>'Data '!E25/'Data '!T25</f>
        <v>9.1081359975341405E-2</v>
      </c>
      <c r="V25" s="18">
        <f>'Data '!K25/'Data '!U25</f>
        <v>0.51437234622147132</v>
      </c>
      <c r="W25" s="18">
        <f>'Data '!G25/'Data '!V25</f>
        <v>9.6377999388572333E-2</v>
      </c>
      <c r="X25" s="18"/>
      <c r="Y25" s="18">
        <f>'Data '!M25/'Data '!R25</f>
        <v>7.6847641700331275</v>
      </c>
      <c r="Z25" s="18">
        <f>'Data '!N25/'Data '!S25</f>
        <v>9.9882999062516156</v>
      </c>
      <c r="AA25" s="18">
        <f>'Data '!O25/'Data '!T25</f>
        <v>10.7595475683137</v>
      </c>
      <c r="AB25" s="18">
        <f>'Data '!P25/'Data '!U25</f>
        <v>10.475429873434139</v>
      </c>
      <c r="AC25" s="19">
        <f>'Data '!Q25/'Data '!V25</f>
        <v>9.4028691403135092</v>
      </c>
      <c r="AD25" s="7"/>
      <c r="AE25" s="41">
        <v>3.11</v>
      </c>
      <c r="AF25" s="11"/>
      <c r="AG25" s="21"/>
      <c r="AH25" s="7"/>
    </row>
    <row r="26" spans="1:34" ht="14.5">
      <c r="A26" s="33" t="s">
        <v>48</v>
      </c>
      <c r="B26" s="25">
        <f>'Data '!C26/'Data '!$B$22</f>
        <v>8.5828181818181815</v>
      </c>
      <c r="C26" s="25">
        <f>'Data '!D26/'Data '!$B$22</f>
        <v>13.829454545454546</v>
      </c>
      <c r="D26" s="25">
        <f>'Data '!E26/'Data '!$B$22</f>
        <v>15.323818181818181</v>
      </c>
      <c r="E26" s="25">
        <f>'Data '!K26/'Data '!$B$22</f>
        <v>44.875999999999998</v>
      </c>
      <c r="F26" s="25">
        <f>'Data '!L26/'Data '!$B$22</f>
        <v>47.121454545454547</v>
      </c>
      <c r="G26" s="25"/>
      <c r="H26" s="15">
        <f t="shared" si="0"/>
        <v>0.61129529398057436</v>
      </c>
      <c r="I26" s="15">
        <f t="shared" si="1"/>
        <v>0.10805658541715962</v>
      </c>
      <c r="J26" s="15">
        <f t="shared" si="2"/>
        <v>1.9285129507243624</v>
      </c>
      <c r="K26" s="15">
        <f t="shared" si="2"/>
        <v>5.0036869272095323E-2</v>
      </c>
      <c r="L26" s="16"/>
      <c r="M26" s="18">
        <f>'Data '!C26/'Data '!H26</f>
        <v>0.24817309107732424</v>
      </c>
      <c r="N26" s="18">
        <f>'Data '!D26/'Data '!I26</f>
        <v>0.39412098460294881</v>
      </c>
      <c r="O26" s="18">
        <f>'Data '!E26/'Data '!J26</f>
        <v>0.39308792836071499</v>
      </c>
      <c r="P26" s="18">
        <f>'Data '!F26/'Data '!K26</f>
        <v>0.36934502345858083</v>
      </c>
      <c r="Q26" s="15">
        <f>'Data '!G26/'Data '!L26</f>
        <v>0.38476393690579086</v>
      </c>
      <c r="R26" s="18"/>
      <c r="S26" s="18">
        <f>'Data '!C26/'Data '!R26</f>
        <v>8.6691312045015456E-2</v>
      </c>
      <c r="T26" s="18">
        <f>'Data '!D26/'Data '!S26</f>
        <v>0.13073632211922714</v>
      </c>
      <c r="U26" s="18">
        <f>'Data '!E26/'Data '!T26</f>
        <v>0.13157383260441441</v>
      </c>
      <c r="V26" s="18">
        <f>'Data '!K26/'Data '!U26</f>
        <v>0.35634152873515923</v>
      </c>
      <c r="W26" s="18">
        <f>'Data '!G26/'Data '!V26</f>
        <v>0.13688091579267417</v>
      </c>
      <c r="X26" s="18"/>
      <c r="Y26" s="18">
        <f>'Data '!M26/'Data '!R26</f>
        <v>5.1109087937354456</v>
      </c>
      <c r="Z26" s="18">
        <f>'Data '!N26/'Data '!S26</f>
        <v>5.0287024511986136</v>
      </c>
      <c r="AA26" s="18">
        <f>'Data '!O26/'Data '!T26</f>
        <v>4.9860957708132174</v>
      </c>
      <c r="AB26" s="18">
        <f>'Data '!P26/'Data '!U26</f>
        <v>4.9943188749784344</v>
      </c>
      <c r="AC26" s="19">
        <f>'Data '!Q26/'Data '!V26</f>
        <v>5.3418793681036041</v>
      </c>
      <c r="AD26" s="7"/>
      <c r="AE26" s="41">
        <v>9.01</v>
      </c>
      <c r="AF26" s="11"/>
      <c r="AG26" s="21"/>
      <c r="AH26" s="7"/>
    </row>
    <row r="27" spans="1:34" ht="13.75" customHeight="1">
      <c r="A27" s="33" t="s">
        <v>49</v>
      </c>
      <c r="B27" s="25">
        <f>'Data '!C27/'Data '!$B$22</f>
        <v>8.9490909090909092</v>
      </c>
      <c r="C27" s="25">
        <f>'Data '!D27/'Data '!$B$22</f>
        <v>12.377000000000001</v>
      </c>
      <c r="D27" s="25">
        <f>'Data '!E27/'Data '!$B$22</f>
        <v>13.870727272727272</v>
      </c>
      <c r="E27" s="25">
        <f>'Data '!K27/'Data '!$B$22</f>
        <v>48.93718181818182</v>
      </c>
      <c r="F27" s="25">
        <f>'Data '!L27/'Data '!$B$22</f>
        <v>51.150909090909089</v>
      </c>
      <c r="G27" s="25"/>
      <c r="H27" s="15">
        <f t="shared" si="0"/>
        <v>0.38304550995530279</v>
      </c>
      <c r="I27" s="15">
        <f t="shared" si="1"/>
        <v>0.12068572939543279</v>
      </c>
      <c r="J27" s="15">
        <f t="shared" si="2"/>
        <v>2.528090550407005</v>
      </c>
      <c r="K27" s="15">
        <f t="shared" si="2"/>
        <v>4.5236100455314614E-2</v>
      </c>
      <c r="L27" s="16"/>
      <c r="M27" s="18">
        <f>'Data '!C27/'Data '!H27</f>
        <v>0.24919752523871724</v>
      </c>
      <c r="N27" s="18">
        <f>'Data '!D27/'Data '!I27</f>
        <v>0.30044046447375972</v>
      </c>
      <c r="O27" s="18">
        <f>'Data '!E27/'Data '!J27</f>
        <v>0.31240632601413609</v>
      </c>
      <c r="P27" s="18">
        <f>'Data '!F27/'Data '!K27</f>
        <v>0.40227081471794079</v>
      </c>
      <c r="Q27" s="15">
        <f>'Data '!G27/'Data '!L27</f>
        <v>0.43284576831479044</v>
      </c>
      <c r="R27" s="18"/>
      <c r="S27" s="18">
        <f>'Data '!C27/'Data '!R27</f>
        <v>8.4171931687688273E-2</v>
      </c>
      <c r="T27" s="18">
        <f>'Data '!D27/'Data '!S27</f>
        <v>0.10963116734199559</v>
      </c>
      <c r="U27" s="18">
        <f>'Data '!E27/'Data '!T27</f>
        <v>0.11164306531475664</v>
      </c>
      <c r="V27" s="18">
        <f>'Data '!K27/'Data '!U27</f>
        <v>0.34405468991175397</v>
      </c>
      <c r="W27" s="18">
        <f>'Data '!G27/'Data '!V27</f>
        <v>0.142947196786366</v>
      </c>
      <c r="X27" s="18"/>
      <c r="Y27" s="18">
        <f>'Data '!M27/'Data '!R27</f>
        <v>6.7507864398026181</v>
      </c>
      <c r="Z27" s="18">
        <f>'Data '!N27/'Data '!S27</f>
        <v>6.5736811760386002</v>
      </c>
      <c r="AA27" s="18">
        <f>'Data '!O27/'Data '!T27</f>
        <v>6.4916390994388502</v>
      </c>
      <c r="AB27" s="18">
        <f>'Data '!P27/'Data '!U27</f>
        <v>5.997715075325817</v>
      </c>
      <c r="AC27" s="19">
        <f>'Data '!Q27/'Data '!V27</f>
        <v>5.9118639511522</v>
      </c>
      <c r="AD27" s="7"/>
      <c r="AE27" s="41">
        <v>6.81</v>
      </c>
      <c r="AF27" s="11"/>
      <c r="AG27" s="21"/>
      <c r="AH27" s="7"/>
    </row>
    <row r="28" spans="1:34" ht="14.5">
      <c r="A28" s="33" t="s">
        <v>50</v>
      </c>
      <c r="B28" s="25">
        <f>'Data '!C28/'Data '!$B$22</f>
        <v>1.5100840003636364</v>
      </c>
      <c r="C28" s="25">
        <f>'Data '!D28/'Data '!$B$22</f>
        <v>2.4199507591818183</v>
      </c>
      <c r="D28" s="25">
        <f>'Data '!E28/'Data '!$B$22</f>
        <v>1.5117041255454544</v>
      </c>
      <c r="E28" s="25">
        <f>'Data '!K28/'Data '!$B$22</f>
        <v>10.292309730181818</v>
      </c>
      <c r="F28" s="25">
        <f>'Data '!L28/'Data '!$B$22</f>
        <v>11.113638751090908</v>
      </c>
      <c r="G28" s="25"/>
      <c r="H28" s="15">
        <f t="shared" si="0"/>
        <v>0.60252724921201806</v>
      </c>
      <c r="I28" s="15">
        <f t="shared" si="1"/>
        <v>-0.37531616302120163</v>
      </c>
      <c r="J28" s="15">
        <f t="shared" si="2"/>
        <v>5.8084154539620227</v>
      </c>
      <c r="K28" s="15">
        <f t="shared" si="2"/>
        <v>7.9800262763233112E-2</v>
      </c>
      <c r="L28" s="16"/>
      <c r="M28" s="18">
        <f>'Data '!C28/'Data '!H28</f>
        <v>0.13861651415576437</v>
      </c>
      <c r="N28" s="18">
        <f>'Data '!D28/'Data '!I28</f>
        <v>0.17849510180375702</v>
      </c>
      <c r="O28" s="18">
        <f>'Data '!E28/'Data '!J28</f>
        <v>0.102196437424042</v>
      </c>
      <c r="P28" s="18">
        <f>'Data '!F28/'Data '!K28</f>
        <v>4.3801739595374541E-2</v>
      </c>
      <c r="Q28" s="15">
        <f>'Data '!G28/'Data '!L28</f>
        <v>8.9786000654724335E-2</v>
      </c>
      <c r="R28" s="18"/>
      <c r="S28" s="18">
        <f>'Data '!C28/'Data '!R28</f>
        <v>0.35551117703537805</v>
      </c>
      <c r="T28" s="18">
        <f>'Data '!D28/'Data '!S28</f>
        <v>0.44630024244788125</v>
      </c>
      <c r="U28" s="18">
        <f>'Data '!E28/'Data '!T28</f>
        <v>0.27104764388766794</v>
      </c>
      <c r="V28" s="18">
        <f>'Data '!K28/'Data '!U28</f>
        <v>2.0123801169393163</v>
      </c>
      <c r="W28" s="18">
        <f>'Data '!G28/'Data '!V28</f>
        <v>0.17125435001027348</v>
      </c>
      <c r="X28" s="18"/>
      <c r="Y28" s="18">
        <f>'Data '!M28/'Data '!R28</f>
        <v>1.4363110260021703</v>
      </c>
      <c r="Z28" s="18">
        <f>'Data '!N28/'Data '!S28</f>
        <v>2.6524849631306493</v>
      </c>
      <c r="AA28" s="18">
        <f>'Data '!O28/'Data '!T28</f>
        <v>2.6335400239113009</v>
      </c>
      <c r="AB28" s="18">
        <f>'Data '!P28/'Data '!U28</f>
        <v>1.9805358333550511</v>
      </c>
      <c r="AC28" s="19">
        <f>'Data '!Q28/'Data '!V28</f>
        <v>1.5538339734309641</v>
      </c>
      <c r="AD28" s="7"/>
      <c r="AE28" s="41">
        <v>10.97</v>
      </c>
      <c r="AF28" s="11"/>
      <c r="AG28" s="21"/>
      <c r="AH28" s="7"/>
    </row>
    <row r="29" spans="1:34" ht="14.5">
      <c r="A29" s="33" t="s">
        <v>51</v>
      </c>
      <c r="B29" s="25">
        <f>'Data '!C29/'Data '!$B$22</f>
        <v>-1.0333421818181818</v>
      </c>
      <c r="C29" s="25">
        <f>'Data '!D29/'Data '!$B$22</f>
        <v>0.81955354545454551</v>
      </c>
      <c r="D29" s="25">
        <f>'Data '!E29/'Data '!$B$22</f>
        <v>2.8263672727272726</v>
      </c>
      <c r="E29" s="25">
        <f>'Data '!K29/'Data '!$B$22</f>
        <v>13.325429545454545</v>
      </c>
      <c r="F29" s="25">
        <f>'Data '!L29/'Data '!$B$22</f>
        <v>15.442000818181818</v>
      </c>
      <c r="G29" s="25"/>
      <c r="H29" s="15">
        <f t="shared" si="0"/>
        <v>1.7931095428742956</v>
      </c>
      <c r="I29" s="15">
        <f t="shared" si="1"/>
        <v>2.4486670070589427</v>
      </c>
      <c r="J29" s="15">
        <f t="shared" si="2"/>
        <v>3.7146843490712782</v>
      </c>
      <c r="K29" s="15">
        <f t="shared" si="2"/>
        <v>0.15883700150208357</v>
      </c>
      <c r="L29" s="16"/>
      <c r="M29" s="18">
        <f>'Data '!C29/'Data '!H29</f>
        <v>-9.6722526539129258E-2</v>
      </c>
      <c r="N29" s="18">
        <f>'Data '!D29/'Data '!I29</f>
        <v>6.089315838515505E-2</v>
      </c>
      <c r="O29" s="18">
        <f>'Data '!E29/'Data '!J29</f>
        <v>0.13468694302266171</v>
      </c>
      <c r="P29" s="18">
        <f>'Data '!F29/'Data '!K29</f>
        <v>4.9942514218797994E-2</v>
      </c>
      <c r="Q29" s="15">
        <f>'Data '!G29/'Data '!L29</f>
        <v>0.12629940106265905</v>
      </c>
      <c r="R29" s="18"/>
      <c r="S29" s="18">
        <f>'Data '!C29/'Data '!R29</f>
        <v>-0.12995560198246373</v>
      </c>
      <c r="T29" s="18">
        <f>'Data '!D29/'Data '!S29</f>
        <v>9.688151841490461E-2</v>
      </c>
      <c r="U29" s="18">
        <f>'Data '!E29/'Data '!T29</f>
        <v>0.26780086143389681</v>
      </c>
      <c r="V29" s="18">
        <f>'Data '!K29/'Data '!U29</f>
        <v>1.3647635327200296</v>
      </c>
      <c r="W29" s="18">
        <f>'Data '!G29/'Data '!V29</f>
        <v>0.17638881152286282</v>
      </c>
      <c r="X29" s="18"/>
      <c r="Y29" s="18">
        <f>'Data '!M29/'Data '!R29</f>
        <v>0.28918105554401974</v>
      </c>
      <c r="Z29" s="18">
        <f>'Data '!N29/'Data '!S29</f>
        <v>0.5102662982819568</v>
      </c>
      <c r="AA29" s="18">
        <f>'Data '!O29/'Data '!T29</f>
        <v>0.44161222595410632</v>
      </c>
      <c r="AB29" s="18">
        <f>'Data '!P29/'Data '!U29</f>
        <v>0.23397572991895385</v>
      </c>
      <c r="AC29" s="19">
        <f>'Data '!Q29/'Data '!V29</f>
        <v>0.45713182684380255</v>
      </c>
      <c r="AD29" s="7"/>
      <c r="AE29" s="41">
        <v>8.1300000000000008</v>
      </c>
      <c r="AF29" s="11"/>
      <c r="AG29" s="21"/>
      <c r="AH29" s="7"/>
    </row>
    <row r="30" spans="1:34" ht="14.5">
      <c r="A30" s="33" t="s">
        <v>52</v>
      </c>
      <c r="B30" s="25">
        <f>'Data '!C30/'Data '!$B$22</f>
        <v>6.5599090909090911</v>
      </c>
      <c r="C30" s="25">
        <f>'Data '!D30/'Data '!$B$22</f>
        <v>10.638090909090909</v>
      </c>
      <c r="D30" s="25">
        <f>'Data '!E30/'Data '!$B$22</f>
        <v>7.9889090909090905</v>
      </c>
      <c r="E30" s="25">
        <f>'Data '!K30/'Data '!$B$22</f>
        <v>64.970727272727274</v>
      </c>
      <c r="F30" s="25">
        <f>'Data '!L30/'Data '!$B$22</f>
        <v>62.666909090909094</v>
      </c>
      <c r="G30" s="25"/>
      <c r="H30" s="15">
        <f t="shared" si="0"/>
        <v>0.62168267298604463</v>
      </c>
      <c r="I30" s="15">
        <f t="shared" si="1"/>
        <v>-0.24902793563438422</v>
      </c>
      <c r="J30" s="15">
        <f t="shared" si="2"/>
        <v>7.1326156717267128</v>
      </c>
      <c r="K30" s="15">
        <f t="shared" si="2"/>
        <v>-3.5459325738304494E-2</v>
      </c>
      <c r="L30" s="16"/>
      <c r="M30" s="18">
        <f>'Data '!C30/'Data '!H30</f>
        <v>0.11533316178033651</v>
      </c>
      <c r="N30" s="18">
        <f>'Data '!D30/'Data '!I30</f>
        <v>0.17990551113311307</v>
      </c>
      <c r="O30" s="18">
        <f>'Data '!E30/'Data '!J30</f>
        <v>0.12599140922046417</v>
      </c>
      <c r="P30" s="18">
        <f>'Data '!F30/'Data '!K30</f>
        <v>0.12038288571916303</v>
      </c>
      <c r="Q30" s="15">
        <f>'Data '!G30/'Data '!L30</f>
        <v>0.14844865203616234</v>
      </c>
      <c r="R30" s="18"/>
      <c r="S30" s="18">
        <f>'Data '!C30/'Data '!R30</f>
        <v>6.5591696935981755E-2</v>
      </c>
      <c r="T30" s="18">
        <f>'Data '!D30/'Data '!S30</f>
        <v>9.233470234784015E-2</v>
      </c>
      <c r="U30" s="18">
        <f>'Data '!E30/'Data '!T30</f>
        <v>6.4795650894794624E-2</v>
      </c>
      <c r="V30" s="18">
        <f>'Data '!K30/'Data '!U30</f>
        <v>0.54015744936860022</v>
      </c>
      <c r="W30" s="18">
        <f>'Data '!G30/'Data '!V30</f>
        <v>7.2087081301288367E-2</v>
      </c>
      <c r="X30" s="18"/>
      <c r="Y30" s="18">
        <f>'Data '!M30/'Data '!R30</f>
        <v>10.134595736480614</v>
      </c>
      <c r="Z30" s="18">
        <f>'Data '!N30/'Data '!S30</f>
        <v>9.7090674525677905</v>
      </c>
      <c r="AA30" s="18">
        <f>'Data '!O30/'Data '!T30</f>
        <v>9.8780578263469483</v>
      </c>
      <c r="AB30" s="18">
        <f>'Data '!P30/'Data '!U30</f>
        <v>10.001134463816575</v>
      </c>
      <c r="AC30" s="19">
        <f>'Data '!Q30/'Data '!V30</f>
        <v>9.4964583772147027</v>
      </c>
      <c r="AD30" s="7"/>
      <c r="AE30" s="41">
        <v>6.29</v>
      </c>
      <c r="AF30" s="11"/>
      <c r="AG30" s="21"/>
      <c r="AH30" s="7"/>
    </row>
    <row r="31" spans="1:34" ht="14.5">
      <c r="A31" s="33" t="s">
        <v>53</v>
      </c>
      <c r="B31" s="25">
        <f>'Data '!C31/'Data '!$B$22</f>
        <v>5.9246363636363633</v>
      </c>
      <c r="C31" s="25">
        <f>'Data '!D31/'Data '!$B$22</f>
        <v>7.5256363636363632</v>
      </c>
      <c r="D31" s="25">
        <f>'Data '!E31/'Data '!$B$22</f>
        <v>12.048999999999999</v>
      </c>
      <c r="E31" s="25">
        <f>'Data '!K31/'Data '!$B$22</f>
        <v>47.543727272727274</v>
      </c>
      <c r="F31" s="25">
        <f>'Data '!L31/'Data '!$B$22</f>
        <v>49.075000000000003</v>
      </c>
      <c r="G31" s="25"/>
      <c r="H31" s="15">
        <f t="shared" si="0"/>
        <v>0.27022755520093295</v>
      </c>
      <c r="I31" s="15">
        <f t="shared" si="1"/>
        <v>0.60106061704235225</v>
      </c>
      <c r="J31" s="15">
        <f t="shared" si="2"/>
        <v>2.9458649906819883</v>
      </c>
      <c r="K31" s="15">
        <f t="shared" si="2"/>
        <v>3.220767102437759E-2</v>
      </c>
      <c r="L31" s="16"/>
      <c r="M31" s="18">
        <f>'Data '!C31/'Data '!H31</f>
        <v>0.16170822002104135</v>
      </c>
      <c r="N31" s="18">
        <f>'Data '!D31/'Data '!I31</f>
        <v>0.18627184050943374</v>
      </c>
      <c r="O31" s="18">
        <f>'Data '!E31/'Data '!J31</f>
        <v>0.26870770366105351</v>
      </c>
      <c r="P31" s="18">
        <f>'Data '!F31/'Data '!K31</f>
        <v>0.23898191330086563</v>
      </c>
      <c r="Q31" s="15">
        <f>'Data '!G31/'Data '!L31</f>
        <v>0.13311906636409948</v>
      </c>
      <c r="R31" s="18"/>
      <c r="S31" s="18">
        <f>'Data '!C31/'Data '!R31</f>
        <v>9.0350764094821789E-2</v>
      </c>
      <c r="T31" s="18">
        <f>'Data '!D31/'Data '!S31</f>
        <v>0.10612736771257332</v>
      </c>
      <c r="U31" s="18">
        <f>'Data '!E31/'Data '!T31</f>
        <v>0.14892122868244057</v>
      </c>
      <c r="V31" s="18">
        <f>'Data '!K31/'Data '!U31</f>
        <v>0.52966805924800608</v>
      </c>
      <c r="W31" s="18">
        <f>'Data '!G31/'Data '!V31</f>
        <v>6.9756989677351722E-2</v>
      </c>
      <c r="X31" s="18"/>
      <c r="Y31" s="18">
        <f>'Data '!M31/'Data '!R31</f>
        <v>7.9871026505903835</v>
      </c>
      <c r="Z31" s="18">
        <f>'Data '!N31/'Data '!S31</f>
        <v>7.7492144482548637</v>
      </c>
      <c r="AA31" s="18">
        <f>'Data '!O31/'Data '!T31</f>
        <v>7.1537774411962332</v>
      </c>
      <c r="AB31" s="18">
        <f>'Data '!P31/'Data '!U31</f>
        <v>6.8190535510824155</v>
      </c>
      <c r="AC31" s="19">
        <f>'Data '!Q31/'Data '!V31</f>
        <v>7.0554378825854576</v>
      </c>
      <c r="AD31" s="7"/>
      <c r="AE31" s="41">
        <v>11.78</v>
      </c>
      <c r="AF31" s="11"/>
      <c r="AG31" s="21"/>
      <c r="AH31" s="7"/>
    </row>
    <row r="32" spans="1:34" ht="14.5">
      <c r="A32" s="33" t="s">
        <v>54</v>
      </c>
      <c r="B32" s="25">
        <f>'Data '!C32/'Data '!$B$22</f>
        <v>1.2803355454545455</v>
      </c>
      <c r="C32" s="25">
        <f>'Data '!D32/'Data '!$B$22</f>
        <v>3.2778295454545456</v>
      </c>
      <c r="D32" s="25">
        <f>'Data '!E32/'Data '!$B$22</f>
        <v>3.9282819090909089</v>
      </c>
      <c r="E32" s="25">
        <f>'Data '!K32/'Data '!$B$22</f>
        <v>31.655435909090908</v>
      </c>
      <c r="F32" s="25">
        <f>'Data '!L32/'Data '!$B$22</f>
        <v>32.010803636363633</v>
      </c>
      <c r="G32" s="25"/>
      <c r="H32" s="15">
        <f t="shared" si="0"/>
        <v>1.5601332065578548</v>
      </c>
      <c r="I32" s="15">
        <f t="shared" si="1"/>
        <v>0.19843995992359123</v>
      </c>
      <c r="J32" s="15">
        <f t="shared" si="2"/>
        <v>7.058341188760731</v>
      </c>
      <c r="K32" s="15">
        <f t="shared" si="2"/>
        <v>1.1226120161266498E-2</v>
      </c>
      <c r="L32" s="16"/>
      <c r="M32" s="18">
        <f>'Data '!C32/'Data '!H32</f>
        <v>3.1388894979541879E-2</v>
      </c>
      <c r="N32" s="18">
        <f>'Data '!D32/'Data '!I32</f>
        <v>6.7004510627815886E-2</v>
      </c>
      <c r="O32" s="18">
        <f>'Data '!E32/'Data '!J32</f>
        <v>7.6003250633016106E-2</v>
      </c>
      <c r="P32" s="18">
        <f>'Data '!F32/'Data '!K32</f>
        <v>0.15162817863868533</v>
      </c>
      <c r="Q32" s="15">
        <f>'Data '!G32/'Data '!L32</f>
        <v>0.15769203942623461</v>
      </c>
      <c r="R32" s="18"/>
      <c r="S32" s="18">
        <f>'Data '!C32/'Data '!R32</f>
        <v>8.6274090726082178E-2</v>
      </c>
      <c r="T32" s="18">
        <f>'Data '!D32/'Data '!S32</f>
        <v>0.20066147824754973</v>
      </c>
      <c r="U32" s="18">
        <f>'Data '!E32/'Data '!T32</f>
        <v>0.21246246723165854</v>
      </c>
      <c r="V32" s="18">
        <f>'Data '!K32/'Data '!U32</f>
        <v>1.1517317375636011</v>
      </c>
      <c r="W32" s="18">
        <f>'Data '!G32/'Data '!V32</f>
        <v>0.16751937277527604</v>
      </c>
      <c r="X32" s="18"/>
      <c r="Y32" s="18">
        <f>'Data '!M32/'Data '!R32</f>
        <v>1.2432687350788538</v>
      </c>
      <c r="Z32" s="18">
        <f>'Data '!N32/'Data '!S32</f>
        <v>0.92197992555159958</v>
      </c>
      <c r="AA32" s="18">
        <f>'Data '!O32/'Data '!T32</f>
        <v>1.4353445688582112</v>
      </c>
      <c r="AB32" s="18">
        <f>'Data '!P32/'Data '!U32</f>
        <v>0.74165329469974106</v>
      </c>
      <c r="AC32" s="19">
        <f>'Data '!Q32/'Data '!V32</f>
        <v>0.86503866961428899</v>
      </c>
      <c r="AD32" s="7"/>
      <c r="AE32" s="41">
        <v>9.16</v>
      </c>
      <c r="AF32" s="11"/>
      <c r="AG32" s="21"/>
      <c r="AH32" s="7"/>
    </row>
    <row r="33" spans="1:34" ht="14.5">
      <c r="A33" s="33" t="s">
        <v>55</v>
      </c>
      <c r="B33" s="25">
        <f>'Data '!C33/'Data '!$B$22</f>
        <v>2.3204538181818184</v>
      </c>
      <c r="C33" s="25">
        <f>'Data '!D33/'Data '!$B$22</f>
        <v>1.9142044545454546</v>
      </c>
      <c r="D33" s="25">
        <f>'Data '!E33/'Data '!$B$22</f>
        <v>1.5548972727272727</v>
      </c>
      <c r="E33" s="25">
        <f>'Data '!K33/'Data '!$B$22</f>
        <v>5.528097909090909</v>
      </c>
      <c r="F33" s="25">
        <f>'Data '!L33/'Data '!$B$22</f>
        <v>6.1995043636363638</v>
      </c>
      <c r="G33" s="25"/>
      <c r="H33" s="15">
        <f t="shared" si="0"/>
        <v>-0.17507323802491304</v>
      </c>
      <c r="I33" s="15">
        <f t="shared" si="1"/>
        <v>-0.18770574949032948</v>
      </c>
      <c r="J33" s="15">
        <f t="shared" si="2"/>
        <v>2.555281757871172</v>
      </c>
      <c r="K33" s="15">
        <f t="shared" si="2"/>
        <v>0.12145343038178334</v>
      </c>
      <c r="L33" s="16"/>
      <c r="M33" s="18">
        <f>'Data '!C33/'Data '!H33</f>
        <v>0.4130733775848206</v>
      </c>
      <c r="N33" s="18">
        <f>'Data '!D33/'Data '!I33</f>
        <v>0.56661966150741916</v>
      </c>
      <c r="O33" s="18">
        <f>'Data '!E33/'Data '!J33</f>
        <v>0.44878827425716566</v>
      </c>
      <c r="P33" s="18">
        <f>'Data '!F33/'Data '!K33</f>
        <v>0.37294246383644336</v>
      </c>
      <c r="Q33" s="15">
        <f>'Data '!G33/'Data '!L33</f>
        <v>0.42504499040011234</v>
      </c>
      <c r="R33" s="18"/>
      <c r="S33" s="18">
        <f>'Data '!C33/'Data '!R33</f>
        <v>0.16646294161376851</v>
      </c>
      <c r="T33" s="18">
        <f>'Data '!D33/'Data '!S33</f>
        <v>0.13361103871499683</v>
      </c>
      <c r="U33" s="18">
        <f>'Data '!E33/'Data '!T33</f>
        <v>0.10832261229615518</v>
      </c>
      <c r="V33" s="18">
        <f>'Data '!K33/'Data '!U33</f>
        <v>0.36072248192176637</v>
      </c>
      <c r="W33" s="18">
        <f>'Data '!G33/'Data '!V33</f>
        <v>0.15722232979165648</v>
      </c>
      <c r="X33" s="18"/>
      <c r="Y33" s="18">
        <f>'Data '!M33/'Data '!R33</f>
        <v>3.1138720287545794</v>
      </c>
      <c r="Z33" s="18">
        <f>'Data '!N33/'Data '!S33</f>
        <v>3.3578186753268136</v>
      </c>
      <c r="AA33" s="18">
        <f>'Data '!O33/'Data '!T33</f>
        <v>3.8413074144687394</v>
      </c>
      <c r="AB33" s="18">
        <f>'Data '!P33/'Data '!U33</f>
        <v>4.1256631935443586</v>
      </c>
      <c r="AC33" s="19">
        <f>'Data '!Q33/'Data '!V33</f>
        <v>2.638123029140877</v>
      </c>
      <c r="AD33" s="7"/>
      <c r="AE33" s="41">
        <v>8.06</v>
      </c>
      <c r="AF33" s="11"/>
      <c r="AG33" s="21"/>
      <c r="AH33" s="7"/>
    </row>
    <row r="34" spans="1:34" ht="14.5">
      <c r="A34" s="33" t="s">
        <v>56</v>
      </c>
      <c r="B34" s="25">
        <f>'Data '!C34/'Data '!$B$22</f>
        <v>-4.6648636363636364E-2</v>
      </c>
      <c r="C34" s="25">
        <f>'Data '!D34/'Data '!$B$22</f>
        <v>0.10366745454545455</v>
      </c>
      <c r="D34" s="25">
        <f>'Data '!E34/'Data '!$B$22</f>
        <v>0.17832027272727272</v>
      </c>
      <c r="E34" s="25">
        <f>'Data '!K34/'Data '!$B$22</f>
        <v>1.3600137272727273</v>
      </c>
      <c r="F34" s="25">
        <f>'Data '!L34/'Data '!$B$22</f>
        <v>1.6850367272727274</v>
      </c>
      <c r="G34" s="25"/>
      <c r="H34" s="15">
        <f t="shared" si="0"/>
        <v>3.2223040720278293</v>
      </c>
      <c r="I34" s="15">
        <f t="shared" si="1"/>
        <v>0.7201181750737935</v>
      </c>
      <c r="J34" s="15">
        <f t="shared" si="2"/>
        <v>6.6268037642179065</v>
      </c>
      <c r="K34" s="15">
        <f t="shared" si="2"/>
        <v>0.23898508778420757</v>
      </c>
      <c r="L34" s="16"/>
      <c r="M34" s="18">
        <f>'Data '!C34/'Data '!H34</f>
        <v>-6.0365947269571271E-2</v>
      </c>
      <c r="N34" s="18">
        <f>'Data '!D34/'Data '!I34</f>
        <v>8.3207780775602508E-2</v>
      </c>
      <c r="O34" s="18">
        <f>'Data '!E34/'Data '!J34</f>
        <v>0.12466978624546421</v>
      </c>
      <c r="P34" s="18">
        <f>'Data '!F34/'Data '!K34</f>
        <v>0.21053082953507621</v>
      </c>
      <c r="Q34" s="15">
        <f>'Data '!G34/'Data '!L34</f>
        <v>0.21033774068264172</v>
      </c>
      <c r="R34" s="18"/>
      <c r="S34" s="18">
        <f>'Data '!C34/'Data '!R34</f>
        <v>-1.7579738340479691E-2</v>
      </c>
      <c r="T34" s="18">
        <f>'Data '!D34/'Data '!S34</f>
        <v>3.7616032924345379E-2</v>
      </c>
      <c r="U34" s="18">
        <f>'Data '!E34/'Data '!T34</f>
        <v>6.0793765419089298E-2</v>
      </c>
      <c r="V34" s="18">
        <f>'Data '!K34/'Data '!U34</f>
        <v>0.42257841356230263</v>
      </c>
      <c r="W34" s="18">
        <f>'Data '!G34/'Data '!V34</f>
        <v>9.9240618781464562E-2</v>
      </c>
      <c r="X34" s="18"/>
      <c r="Y34" s="18">
        <f>'Data '!M34/'Data '!R34</f>
        <v>9.6905688207691654</v>
      </c>
      <c r="Z34" s="18">
        <f>'Data '!N34/'Data '!S34</f>
        <v>8.3846291831739972</v>
      </c>
      <c r="AA34" s="18">
        <f>'Data '!O34/'Data '!T34</f>
        <v>8.1805569158102234</v>
      </c>
      <c r="AB34" s="18">
        <f>'Data '!P34/'Data '!U34</f>
        <v>7.1134653111113186</v>
      </c>
      <c r="AC34" s="19">
        <f>'Data '!Q34/'Data '!V34</f>
        <v>6.8792451370138048</v>
      </c>
      <c r="AD34" s="7"/>
      <c r="AE34" s="41">
        <v>7.13</v>
      </c>
      <c r="AF34" s="11"/>
      <c r="AG34" s="21"/>
      <c r="AH34" s="7"/>
    </row>
    <row r="35" spans="1:34" ht="14.5">
      <c r="A35" s="33" t="s">
        <v>57</v>
      </c>
      <c r="B35" s="25">
        <f>'Data '!C35/'Data '!$B$22</f>
        <v>-3.8301636363636364E-2</v>
      </c>
      <c r="C35" s="25">
        <f>'Data '!D35/'Data '!$B$22</f>
        <v>-0.55938745454545458</v>
      </c>
      <c r="D35" s="25">
        <f>'Data '!E35/'Data '!$B$22</f>
        <v>-2.6318607272727275</v>
      </c>
      <c r="E35" s="25">
        <f>'Data '!K35/'Data '!$B$22</f>
        <v>8.3021522727272732</v>
      </c>
      <c r="F35" s="25">
        <f>'Data '!L35/'Data '!$B$22</f>
        <v>2.5307823636363636</v>
      </c>
      <c r="G35" s="25"/>
      <c r="H35" s="15">
        <f t="shared" si="0"/>
        <v>-13.604792579476785</v>
      </c>
      <c r="I35" s="15">
        <f t="shared" si="1"/>
        <v>-3.704897662410604</v>
      </c>
      <c r="J35" s="15">
        <f t="shared" si="2"/>
        <v>4.1544800933788011</v>
      </c>
      <c r="K35" s="15">
        <f t="shared" si="2"/>
        <v>-0.695165508834374</v>
      </c>
      <c r="L35" s="16"/>
      <c r="M35" s="18">
        <f>'Data '!C35/'Data '!H35</f>
        <v>-3.7937017480753257E-3</v>
      </c>
      <c r="N35" s="18">
        <f>'Data '!D35/'Data '!I35</f>
        <v>-4.9144500795595063E-2</v>
      </c>
      <c r="O35" s="18">
        <f>'Data '!E35/'Data '!J35</f>
        <v>-0.24109147265667999</v>
      </c>
      <c r="P35" s="18">
        <f>'Data '!F35/'Data '!K35</f>
        <v>-0.37619975324032895</v>
      </c>
      <c r="Q35" s="15">
        <f>'Data '!G35/'Data '!L35</f>
        <v>-1.6089295203933702</v>
      </c>
      <c r="R35" s="18"/>
      <c r="S35" s="18">
        <f>'Data '!C35/'Data '!R35</f>
        <v>-1.3782162744064788E-2</v>
      </c>
      <c r="T35" s="18">
        <f>'Data '!D35/'Data '!S35</f>
        <v>-7.1616750473784629E-2</v>
      </c>
      <c r="U35" s="18">
        <f>'Data '!E35/'Data '!T35</f>
        <v>-0.51010256331644821</v>
      </c>
      <c r="V35" s="18">
        <f>'Data '!K35/'Data '!U35</f>
        <v>4.200297320514081</v>
      </c>
      <c r="W35" s="18">
        <f>'Data '!G35/'Data '!V35</f>
        <v>-0.3125585519270781</v>
      </c>
      <c r="X35" s="18"/>
      <c r="Y35" s="18">
        <f>'Data '!M35/'Data '!R35</f>
        <v>7.0270850616865275</v>
      </c>
      <c r="Z35" s="18">
        <f>'Data '!N35/'Data '!S35</f>
        <v>2.3480178432059855</v>
      </c>
      <c r="AA35" s="18">
        <f>'Data '!O35/'Data '!T35</f>
        <v>3.9785226858060398</v>
      </c>
      <c r="AB35" s="18">
        <f>'Data '!P35/'Data '!U35</f>
        <v>10.115003118590659</v>
      </c>
      <c r="AC35" s="19">
        <f>'Data '!Q35/'Data '!V35</f>
        <v>1.7122277449223664</v>
      </c>
      <c r="AD35" s="7"/>
      <c r="AE35" s="41"/>
      <c r="AF35" s="11"/>
      <c r="AG35" s="21"/>
      <c r="AH35" s="7"/>
    </row>
    <row r="36" spans="1:34" ht="14.5">
      <c r="A36" s="33" t="s">
        <v>58</v>
      </c>
      <c r="B36" s="25">
        <f>'Data '!C36/'Data '!$B$22</f>
        <v>-1.5643454545454544E-2</v>
      </c>
      <c r="C36" s="25">
        <f>'Data '!D36/'Data '!$B$22</f>
        <v>-8.6584727272727272E-2</v>
      </c>
      <c r="D36" s="25">
        <f>'Data '!E36/'Data '!$B$22</f>
        <v>6.1159454545454545E-2</v>
      </c>
      <c r="E36" s="25">
        <f>'Data '!K36/'Data '!$B$22</f>
        <v>0.60481700000000005</v>
      </c>
      <c r="F36" s="25">
        <f>'Data '!L36/'Data '!$B$22</f>
        <v>3.5426909090909092E-2</v>
      </c>
      <c r="G36" s="25"/>
      <c r="H36" s="15">
        <f t="shared" si="0"/>
        <v>-4.5348853426934301</v>
      </c>
      <c r="I36" s="15">
        <f t="shared" si="1"/>
        <v>1.7063538394342064</v>
      </c>
      <c r="J36" s="15">
        <f t="shared" si="2"/>
        <v>8.8891823757272359</v>
      </c>
      <c r="K36" s="15">
        <f t="shared" si="2"/>
        <v>-0.94142540786566997</v>
      </c>
      <c r="L36" s="16"/>
      <c r="M36" s="18">
        <f>'Data '!C36/'Data '!H36</f>
        <v>-9.9732484554122865E-3</v>
      </c>
      <c r="N36" s="18">
        <f>'Data '!D36/'Data '!I36</f>
        <v>-7.9266207996729593E-2</v>
      </c>
      <c r="O36" s="18">
        <f>'Data '!E36/'Data '!J36</f>
        <v>3.8486011912372435E-2</v>
      </c>
      <c r="P36" s="18">
        <f>'Data '!F36/'Data '!K36</f>
        <v>-0.42778544434251864</v>
      </c>
      <c r="Q36" s="15">
        <f>'Data '!G36/'Data '!L36</f>
        <v>-6.4188187715552631</v>
      </c>
      <c r="R36" s="18"/>
      <c r="S36" s="18">
        <f>'Data '!C36/'Data '!R36</f>
        <v>-5.0456186936363714E-3</v>
      </c>
      <c r="T36" s="18">
        <f>'Data '!D36/'Data '!S36</f>
        <v>-2.8340483580002906E-2</v>
      </c>
      <c r="U36" s="18">
        <f>'Data '!E36/'Data '!T36</f>
        <v>1.9650926263649279E-2</v>
      </c>
      <c r="V36" s="18">
        <f>'Data '!K36/'Data '!U36</f>
        <v>0.21930852312776561</v>
      </c>
      <c r="W36" s="18">
        <f>'Data '!G36/'Data '!V36</f>
        <v>-8.8260755150703474E-2</v>
      </c>
      <c r="X36" s="18"/>
      <c r="Y36" s="18">
        <f>'Data '!M36/'Data '!R36</f>
        <v>1.0201069714090012</v>
      </c>
      <c r="Z36" s="18">
        <f>'Data '!N36/'Data '!S36</f>
        <v>0.92382379191142638</v>
      </c>
      <c r="AA36" s="18">
        <f>'Data '!O36/'Data '!T36</f>
        <v>0.68531998513461179</v>
      </c>
      <c r="AB36" s="18">
        <f>'Data '!P36/'Data '!U36</f>
        <v>0.89427258174301927</v>
      </c>
      <c r="AC36" s="19">
        <f>'Data '!Q36/'Data '!V36</f>
        <v>1.6981224228487424</v>
      </c>
      <c r="AD36" s="7"/>
      <c r="AE36" s="41"/>
      <c r="AF36" s="11"/>
      <c r="AG36" s="21"/>
      <c r="AH36" s="7"/>
    </row>
    <row r="37" spans="1:34" ht="14.5">
      <c r="A37" s="33" t="s">
        <v>59</v>
      </c>
      <c r="B37" s="25">
        <f>'Data '!C37/'Data '!$B$22</f>
        <v>0.63457890909090908</v>
      </c>
      <c r="C37" s="25">
        <f>'Data '!D37/'Data '!$B$22</f>
        <v>0.87558818181818177</v>
      </c>
      <c r="D37" s="25">
        <f>'Data '!E37/'Data '!$B$22</f>
        <v>-0.90296809090909091</v>
      </c>
      <c r="E37" s="25">
        <f>'Data '!K37/'Data '!$B$22</f>
        <v>23.372267818181818</v>
      </c>
      <c r="F37" s="25">
        <f>'Data '!L37/'Data '!$B$22</f>
        <v>23.777857000000001</v>
      </c>
      <c r="G37" s="25"/>
      <c r="H37" s="15">
        <f t="shared" si="0"/>
        <v>0.37979401659052925</v>
      </c>
      <c r="I37" s="15">
        <f t="shared" si="1"/>
        <v>-2.0312703045329532</v>
      </c>
      <c r="J37" s="15">
        <f t="shared" si="2"/>
        <v>26.883824748060665</v>
      </c>
      <c r="K37" s="15">
        <f t="shared" si="2"/>
        <v>1.7353437200589739E-2</v>
      </c>
      <c r="L37" s="16"/>
      <c r="M37" s="18">
        <f>'Data '!C37/'Data '!H37</f>
        <v>5.2187313690645366E-2</v>
      </c>
      <c r="N37" s="18">
        <f>'Data '!D37/'Data '!I37</f>
        <v>5.9876122714212651E-2</v>
      </c>
      <c r="O37" s="18">
        <f>'Data '!E37/'Data '!J37</f>
        <v>-5.1609807731370444E-2</v>
      </c>
      <c r="P37" s="18">
        <f>'Data '!F37/'Data '!K37</f>
        <v>2.6608201002908862E-2</v>
      </c>
      <c r="Q37" s="15">
        <f>'Data '!G37/'Data '!L37</f>
        <v>4.829266535285711E-2</v>
      </c>
      <c r="R37" s="18"/>
      <c r="S37" s="18">
        <f>'Data '!C37/'Data '!R37</f>
        <v>0.1020056154784221</v>
      </c>
      <c r="T37" s="18">
        <f>'Data '!D37/'Data '!S37</f>
        <v>0.12399887478218216</v>
      </c>
      <c r="U37" s="18">
        <f>'Data '!E37/'Data '!T37</f>
        <v>-0.11208918167898127</v>
      </c>
      <c r="V37" s="18">
        <f>'Data '!K37/'Data '!U37</f>
        <v>2.6358226972396395</v>
      </c>
      <c r="W37" s="18">
        <f>'Data '!G37/'Data '!V37</f>
        <v>0.11393047290593021</v>
      </c>
      <c r="X37" s="18"/>
      <c r="Y37" s="18">
        <f>'Data '!M37/'Data '!R37</f>
        <v>0.86779091582082579</v>
      </c>
      <c r="Z37" s="18">
        <f>'Data '!N37/'Data '!S37</f>
        <v>1.3351353512153705</v>
      </c>
      <c r="AA37" s="18">
        <f>'Data '!O37/'Data '!T37</f>
        <v>1.4497061101291597</v>
      </c>
      <c r="AB37" s="18">
        <f>'Data '!P37/'Data '!U37</f>
        <v>1.3835848131224435</v>
      </c>
      <c r="AC37" s="19">
        <f>'Data '!Q37/'Data '!V37</f>
        <v>1.1655946316829753</v>
      </c>
      <c r="AD37" s="7"/>
      <c r="AE37" s="41">
        <v>15.67</v>
      </c>
      <c r="AF37" s="11"/>
      <c r="AG37" s="21"/>
      <c r="AH37" s="7"/>
    </row>
    <row r="38" spans="1:34" ht="14.5">
      <c r="A38" s="33" t="s">
        <v>60</v>
      </c>
      <c r="B38" s="25">
        <f>'Data '!C38/'Data '!$B$22</f>
        <v>-0.87151063636363635</v>
      </c>
      <c r="C38" s="25">
        <f>'Data '!D38/'Data '!$B$22</f>
        <v>-0.28340445454545454</v>
      </c>
      <c r="D38" s="25">
        <f>'Data '!E38/'Data '!$B$22</f>
        <v>-0.76296963636363635</v>
      </c>
      <c r="E38" s="25">
        <f>'Data '!K38/'Data '!$B$22</f>
        <v>65.889425181818183</v>
      </c>
      <c r="F38" s="25">
        <f>'Data '!L38/'Data '!$B$22</f>
        <v>70.479812272727273</v>
      </c>
      <c r="G38" s="25"/>
      <c r="H38" s="15">
        <f t="shared" si="0"/>
        <v>0.67481239732431164</v>
      </c>
      <c r="I38" s="15">
        <f t="shared" si="1"/>
        <v>-1.6921582357883</v>
      </c>
      <c r="J38" s="15">
        <f t="shared" si="2"/>
        <v>87.359170852265535</v>
      </c>
      <c r="K38" s="15">
        <f t="shared" si="2"/>
        <v>6.9668039723251085E-2</v>
      </c>
      <c r="L38" s="16"/>
      <c r="M38" s="18">
        <f>'Data '!C38/'Data '!H38</f>
        <v>-1.4757155781654688E-2</v>
      </c>
      <c r="N38" s="18">
        <f>'Data '!D38/'Data '!I38</f>
        <v>-4.7410168833498401E-3</v>
      </c>
      <c r="O38" s="18">
        <f>'Data '!E38/'Data '!J38</f>
        <v>-1.2610626779794926E-2</v>
      </c>
      <c r="P38" s="18">
        <f>'Data '!F38/'Data '!K38</f>
        <v>1.3986021376692786E-3</v>
      </c>
      <c r="Q38" s="15">
        <f>'Data '!G38/'Data '!L38</f>
        <v>8.8650955866556424E-3</v>
      </c>
      <c r="R38" s="18"/>
      <c r="S38" s="18">
        <f>'Data '!C38/'Data '!R38</f>
        <v>-0.19158745390385976</v>
      </c>
      <c r="T38" s="18">
        <f>'Data '!D38/'Data '!S38</f>
        <v>-6.6594950155294277E-2</v>
      </c>
      <c r="U38" s="18">
        <f>'Data '!E38/'Data '!T38</f>
        <v>-0.22523581528854639</v>
      </c>
      <c r="V38" s="18">
        <f>'Data '!K38/'Data '!U38</f>
        <v>16.2153514511601</v>
      </c>
      <c r="W38" s="18">
        <f>'Data '!G38/'Data '!V38</f>
        <v>0.13906193334023426</v>
      </c>
      <c r="X38" s="18"/>
      <c r="Y38" s="18">
        <f>'Data '!M38/'Data '!R38</f>
        <v>6.2797246210525755</v>
      </c>
      <c r="Z38" s="18">
        <f>'Data '!N38/'Data '!S38</f>
        <v>6.9138438650884506</v>
      </c>
      <c r="AA38" s="18">
        <f>'Data '!O38/'Data '!T38</f>
        <v>9.0790472840935674</v>
      </c>
      <c r="AB38" s="18">
        <f>'Data '!P38/'Data '!U38</f>
        <v>6.6687808324859867</v>
      </c>
      <c r="AC38" s="19">
        <f>'Data '!Q38/'Data '!V38</f>
        <v>6.0557485972837641</v>
      </c>
      <c r="AD38" s="7"/>
      <c r="AE38" s="41">
        <v>23.21</v>
      </c>
      <c r="AF38" s="11"/>
      <c r="AG38" s="21"/>
      <c r="AH38" s="7"/>
    </row>
    <row r="39" spans="1:34" ht="15.65" customHeight="1">
      <c r="A39" s="33" t="s">
        <v>61</v>
      </c>
      <c r="B39" s="25">
        <f>'Data '!C39/'Data '!$B$22</f>
        <v>0.11056090909090908</v>
      </c>
      <c r="C39" s="25">
        <f>'Data '!D39/'Data '!$B$22</f>
        <v>0.1970770909090909</v>
      </c>
      <c r="D39" s="25">
        <f>'Data '!E39/'Data '!$B$22</f>
        <v>0.10321236363636363</v>
      </c>
      <c r="E39" s="25">
        <f>'Data '!K39/'Data '!$B$22</f>
        <v>1.1870269090909091</v>
      </c>
      <c r="F39" s="25">
        <f>'Data '!L39/'Data '!$B$22</f>
        <v>0.81207690909090913</v>
      </c>
      <c r="G39" s="25"/>
      <c r="H39" s="15">
        <f t="shared" si="0"/>
        <v>0.78252053578035963</v>
      </c>
      <c r="I39" s="15">
        <f t="shared" si="1"/>
        <v>-0.47628431513648556</v>
      </c>
      <c r="J39" s="15">
        <f t="shared" si="2"/>
        <v>10.500820902358424</v>
      </c>
      <c r="K39" s="15">
        <f t="shared" si="2"/>
        <v>-0.31587320988970458</v>
      </c>
      <c r="L39" s="16"/>
      <c r="M39" s="18">
        <f>'Data '!C39/'Data '!H39</f>
        <v>0.24581987762064259</v>
      </c>
      <c r="N39" s="18">
        <f>'Data '!D39/'Data '!I39</f>
        <v>0.31675688344311986</v>
      </c>
      <c r="O39" s="18">
        <f>'Data '!E39/'Data '!J39</f>
        <v>0.20769073446612935</v>
      </c>
      <c r="P39" s="18">
        <f>'Data '!F39/'Data '!K39</f>
        <v>8.706948207347065E-2</v>
      </c>
      <c r="Q39" s="15">
        <f>'Data '!G39/'Data '!L39</f>
        <v>-0.68519797609854682</v>
      </c>
      <c r="R39" s="18"/>
      <c r="S39" s="18">
        <f>'Data '!C39/'Data '!R39</f>
        <v>0.10077311841829532</v>
      </c>
      <c r="T39" s="18">
        <f>'Data '!D39/'Data '!S39</f>
        <v>0.17085931869640963</v>
      </c>
      <c r="U39" s="18">
        <f>'Data '!E39/'Data '!T39</f>
        <v>9.3057139517678827E-2</v>
      </c>
      <c r="V39" s="18">
        <f>'Data '!K39/'Data '!U39</f>
        <v>0.99516293337231476</v>
      </c>
      <c r="W39" s="18">
        <f>'Data '!G39/'Data '!V39</f>
        <v>-1.2064744066349342</v>
      </c>
      <c r="X39" s="18"/>
      <c r="Y39" s="18">
        <f>'Data '!M39/'Data '!R39</f>
        <v>4.601041878221275E-2</v>
      </c>
      <c r="Z39" s="18">
        <f>'Data '!N39/'Data '!S39</f>
        <v>0.10514023111131288</v>
      </c>
      <c r="AA39" s="18">
        <f>'Data '!O39/'Data '!T39</f>
        <v>0.11074759897570723</v>
      </c>
      <c r="AB39" s="18">
        <f>'Data '!P39/'Data '!U39</f>
        <v>0.13107904861013409</v>
      </c>
      <c r="AC39" s="19">
        <f>'Data '!Q39/'Data '!V39</f>
        <v>0.39749959986344108</v>
      </c>
      <c r="AD39" s="7"/>
      <c r="AE39" s="41"/>
      <c r="AF39" s="11"/>
      <c r="AG39" s="21"/>
      <c r="AH39" s="7"/>
    </row>
    <row r="40" spans="1:34" ht="14.5">
      <c r="A40" s="33" t="s">
        <v>62</v>
      </c>
      <c r="B40" s="25">
        <f>'Data '!C40/'Data '!$B$22</f>
        <v>-0.8522993636363636</v>
      </c>
      <c r="C40" s="25">
        <f>'Data '!D40/'Data '!$B$22</f>
        <v>-0.81471545454545458</v>
      </c>
      <c r="D40" s="25">
        <f>'Data '!E40/'Data '!$B$22</f>
        <v>-0.30373372727272729</v>
      </c>
      <c r="E40" s="25">
        <f>'Data '!K40/'Data '!$B$22</f>
        <v>4.0407473636363633</v>
      </c>
      <c r="F40" s="25">
        <f>'Data '!L40/'Data '!$B$22</f>
        <v>1.6349372727272726</v>
      </c>
      <c r="G40" s="25"/>
      <c r="H40" s="15">
        <f t="shared" si="0"/>
        <v>4.409707515274449E-2</v>
      </c>
      <c r="I40" s="15">
        <f t="shared" si="1"/>
        <v>0.62719041896389927</v>
      </c>
      <c r="J40" s="15">
        <f t="shared" si="2"/>
        <v>14.303584688861744</v>
      </c>
      <c r="K40" s="15">
        <f t="shared" si="2"/>
        <v>-0.59538740594364847</v>
      </c>
      <c r="L40" s="16"/>
      <c r="M40" s="18">
        <f>'Data '!C40/'Data '!H40</f>
        <v>-0.20852156867463809</v>
      </c>
      <c r="N40" s="18">
        <f>'Data '!D40/'Data '!I40</f>
        <v>-0.22652022055938162</v>
      </c>
      <c r="O40" s="18">
        <f>'Data '!E40/'Data '!J40</f>
        <v>-4.9970683790527701E-2</v>
      </c>
      <c r="P40" s="18">
        <f>'Data '!F40/'Data '!K40</f>
        <v>-0.12401513212418558</v>
      </c>
      <c r="Q40" s="15">
        <f>'Data '!G40/'Data '!L40</f>
        <v>-0.42816065781784235</v>
      </c>
      <c r="R40" s="18"/>
      <c r="S40" s="18">
        <f>'Data '!C40/'Data '!R40</f>
        <v>-0.15171806560349529</v>
      </c>
      <c r="T40" s="18">
        <f>'Data '!D40/'Data '!S40</f>
        <v>-0.17030429592832097</v>
      </c>
      <c r="U40" s="18">
        <f>'Data '!E40/'Data '!T40</f>
        <v>-6.806716899074812E-2</v>
      </c>
      <c r="V40" s="18">
        <f>'Data '!K40/'Data '!U40</f>
        <v>0.91683198665022703</v>
      </c>
      <c r="W40" s="18">
        <f>'Data '!G40/'Data '!V40</f>
        <v>-0.20365767801057499</v>
      </c>
      <c r="X40" s="18"/>
      <c r="Y40" s="18">
        <f>'Data '!M40/'Data '!R40</f>
        <v>2.6817074366084688</v>
      </c>
      <c r="Z40" s="18">
        <f>'Data '!N40/'Data '!S40</f>
        <v>3.1584677286255745</v>
      </c>
      <c r="AA40" s="18">
        <f>'Data '!O40/'Data '!T40</f>
        <v>3.1319818807050117</v>
      </c>
      <c r="AB40" s="18">
        <f>'Data '!P40/'Data '!U40</f>
        <v>3.4998133156353957</v>
      </c>
      <c r="AC40" s="19">
        <f>'Data '!Q40/'Data '!V40</f>
        <v>6.1047751700456896</v>
      </c>
      <c r="AD40" s="7"/>
      <c r="AE40" s="41"/>
      <c r="AF40" s="11"/>
      <c r="AG40" s="21"/>
      <c r="AH40" s="7"/>
    </row>
    <row r="41" spans="1:34" ht="14.5">
      <c r="A41" s="33" t="s">
        <v>63</v>
      </c>
      <c r="B41" s="25">
        <f>'Data '!C41/'Data '!$B$22</f>
        <v>0.14740545454545453</v>
      </c>
      <c r="C41" s="25">
        <f>'Data '!D41/'Data '!$B$22</f>
        <v>1.6944517272727273</v>
      </c>
      <c r="D41" s="25">
        <f>'Data '!E41/'Data '!$B$22</f>
        <v>2.3618347272727274</v>
      </c>
      <c r="E41" s="25">
        <f>'Data '!K41/'Data '!$B$22</f>
        <v>9.004885909090909</v>
      </c>
      <c r="F41" s="25">
        <f>'Data '!L41/'Data '!$B$22</f>
        <v>10.111758999999999</v>
      </c>
      <c r="G41" s="25"/>
      <c r="H41" s="15">
        <f t="shared" si="0"/>
        <v>10.495176569264737</v>
      </c>
      <c r="I41" s="15">
        <f t="shared" si="1"/>
        <v>0.3938636841984125</v>
      </c>
      <c r="J41" s="15">
        <f t="shared" si="2"/>
        <v>2.8126655540750254</v>
      </c>
      <c r="K41" s="15">
        <f t="shared" si="2"/>
        <v>0.12291916878054426</v>
      </c>
      <c r="L41" s="16"/>
      <c r="M41" s="18">
        <f>'Data '!C41/'Data '!H41</f>
        <v>1.9586677923133747E-2</v>
      </c>
      <c r="N41" s="18">
        <f>'Data '!D41/'Data '!I41</f>
        <v>0.14573009562362077</v>
      </c>
      <c r="O41" s="18">
        <f>'Data '!E41/'Data '!J41</f>
        <v>0.16294360387646264</v>
      </c>
      <c r="P41" s="18">
        <f>'Data '!F41/'Data '!K41</f>
        <v>2.4636241668601223E-2</v>
      </c>
      <c r="Q41" s="15">
        <f>'Data '!G41/'Data '!L41</f>
        <v>2.7964435897219895E-2</v>
      </c>
      <c r="R41" s="18"/>
      <c r="S41" s="18">
        <f>'Data '!C41/'Data '!R41</f>
        <v>2.4966096697840851E-2</v>
      </c>
      <c r="T41" s="18">
        <f>'Data '!D41/'Data '!S41</f>
        <v>0.2611376390007884</v>
      </c>
      <c r="U41" s="18">
        <f>'Data '!E41/'Data '!T41</f>
        <v>0.30626911029823967</v>
      </c>
      <c r="V41" s="18">
        <f>'Data '!K41/'Data '!U41</f>
        <v>1.3316666999626772</v>
      </c>
      <c r="W41" s="18">
        <f>'Data '!G41/'Data '!V41</f>
        <v>4.533134705876498E-2</v>
      </c>
      <c r="X41" s="18"/>
      <c r="Y41" s="18">
        <f>'Data '!M41/'Data '!R41</f>
        <v>0.54766069216750113</v>
      </c>
      <c r="Z41" s="18">
        <f>'Data '!N41/'Data '!S41</f>
        <v>0.56482832879170619</v>
      </c>
      <c r="AA41" s="18">
        <f>'Data '!O41/'Data '!T41</f>
        <v>0.52554617785547442</v>
      </c>
      <c r="AB41" s="18">
        <f>'Data '!P41/'Data '!U41</f>
        <v>0.66156964348146707</v>
      </c>
      <c r="AC41" s="19">
        <f>'Data '!Q41/'Data '!V41</f>
        <v>1.0354055171235224</v>
      </c>
      <c r="AD41" s="7"/>
      <c r="AE41" s="41">
        <v>25.45</v>
      </c>
      <c r="AF41" s="11"/>
      <c r="AG41" s="21"/>
      <c r="AH41" s="7"/>
    </row>
    <row r="42" spans="1:34" ht="14.5">
      <c r="A42" s="33" t="s">
        <v>64</v>
      </c>
      <c r="B42" s="25">
        <f>'Data '!C42/'Data '!$B$22</f>
        <v>1.4907344545454546</v>
      </c>
      <c r="C42" s="25">
        <f>'Data '!D42/'Data '!$B$22</f>
        <v>1.9141461818181817</v>
      </c>
      <c r="D42" s="25">
        <f>'Data '!E42/'Data '!$B$22</f>
        <v>2.6674445454545452</v>
      </c>
      <c r="E42" s="25">
        <f>'Data '!K42/'Data '!$B$22</f>
        <v>3.2118879090909092</v>
      </c>
      <c r="F42" s="25">
        <f>'Data '!L42/'Data '!$B$22</f>
        <v>3.6848667272727273</v>
      </c>
      <c r="G42" s="25"/>
      <c r="H42" s="15">
        <f t="shared" si="0"/>
        <v>0.28402894021915603</v>
      </c>
      <c r="I42" s="15">
        <f t="shared" si="1"/>
        <v>0.39354275592516724</v>
      </c>
      <c r="J42" s="15">
        <f t="shared" si="2"/>
        <v>0.20410672250492398</v>
      </c>
      <c r="K42" s="15">
        <f t="shared" si="2"/>
        <v>0.14725881835511809</v>
      </c>
      <c r="L42" s="16"/>
      <c r="M42" s="18">
        <f>'Data '!C42/'Data '!H42</f>
        <v>0.93392360042842504</v>
      </c>
      <c r="N42" s="18">
        <f>'Data '!D42/'Data '!I42</f>
        <v>0.69807642481141619</v>
      </c>
      <c r="O42" s="18">
        <f>'Data '!E42/'Data '!J42</f>
        <v>1.4920633596895569</v>
      </c>
      <c r="P42" s="18">
        <f>'Data '!F42/'Data '!K42</f>
        <v>0.65867352950475144</v>
      </c>
      <c r="Q42" s="15">
        <f>'Data '!G42/'Data '!L42</f>
        <v>0.67827012073509307</v>
      </c>
      <c r="R42" s="18"/>
      <c r="S42" s="18">
        <f>'Data '!C42/'Data '!R42</f>
        <v>4.4875483884855703E-2</v>
      </c>
      <c r="T42" s="18">
        <f>'Data '!D42/'Data '!S42</f>
        <v>5.5461654671640111E-2</v>
      </c>
      <c r="U42" s="18">
        <f>'Data '!E42/'Data '!T42</f>
        <v>7.3299304678470442E-2</v>
      </c>
      <c r="V42" s="18">
        <f>'Data '!K42/'Data '!U42</f>
        <v>8.6397462371121128E-2</v>
      </c>
      <c r="W42" s="18">
        <f>'Data '!G42/'Data '!V42</f>
        <v>6.5253920622847725E-2</v>
      </c>
      <c r="X42" s="18"/>
      <c r="Y42" s="18">
        <f>'Data '!M42/'Data '!R42</f>
        <v>2.6254435756560754</v>
      </c>
      <c r="Z42" s="18">
        <f>'Data '!N42/'Data '!S42</f>
        <v>2.5842008171569315</v>
      </c>
      <c r="AA42" s="18">
        <f>'Data '!O42/'Data '!T42</f>
        <v>2.6006363368768235</v>
      </c>
      <c r="AB42" s="18">
        <f>'Data '!P42/'Data '!U42</f>
        <v>2.7234689356451307</v>
      </c>
      <c r="AC42" s="19">
        <f>'Data '!Q42/'Data '!V42</f>
        <v>2.747227475281433</v>
      </c>
      <c r="AD42" s="7"/>
      <c r="AE42" s="41">
        <v>18.22</v>
      </c>
      <c r="AF42" s="11"/>
      <c r="AG42" s="21"/>
      <c r="AH42" s="7"/>
    </row>
    <row r="43" spans="1:34" ht="14.5">
      <c r="A43" s="33" t="s">
        <v>65</v>
      </c>
      <c r="B43" s="25">
        <f>'Data '!C43/'Data '!$B$22</f>
        <v>0.64960222072727281</v>
      </c>
      <c r="C43" s="25">
        <f>'Data '!D43/'Data '!$B$22</f>
        <v>0.8239553008181818</v>
      </c>
      <c r="D43" s="25">
        <f>'Data '!E43/'Data '!$B$22</f>
        <v>0.73197973063636357</v>
      </c>
      <c r="E43" s="25">
        <f>'Data '!K43/'Data '!$B$22</f>
        <v>5.619838877454546</v>
      </c>
      <c r="F43" s="25">
        <f>'Data '!L43/'Data '!$B$22</f>
        <v>6.3028971268181815</v>
      </c>
      <c r="G43" s="25"/>
      <c r="H43" s="15">
        <f t="shared" si="0"/>
        <v>0.26839975992648107</v>
      </c>
      <c r="I43" s="15">
        <f t="shared" si="1"/>
        <v>-0.11162689297646018</v>
      </c>
      <c r="J43" s="15">
        <f t="shared" si="2"/>
        <v>6.6775881110380046</v>
      </c>
      <c r="K43" s="15">
        <f t="shared" si="2"/>
        <v>0.12154409837333635</v>
      </c>
      <c r="L43" s="16"/>
      <c r="M43" s="18">
        <f>'Data '!C43/'Data '!H43</f>
        <v>0.17585050710363356</v>
      </c>
      <c r="N43" s="18">
        <f>'Data '!D43/'Data '!I43</f>
        <v>0.18352091587590758</v>
      </c>
      <c r="O43" s="18">
        <f>'Data '!E43/'Data '!J43</f>
        <v>0.14159863970029724</v>
      </c>
      <c r="P43" s="18">
        <f>'Data '!F43/'Data '!K43</f>
        <v>-6.3921926899050394E-2</v>
      </c>
      <c r="Q43" s="15">
        <f>'Data '!G43/'Data '!L43</f>
        <v>0.13759910019514196</v>
      </c>
      <c r="R43" s="18"/>
      <c r="S43" s="18">
        <f>'Data '!C43/'Data '!R43</f>
        <v>0.22110274959991252</v>
      </c>
      <c r="T43" s="18">
        <f>'Data '!D43/'Data '!S43</f>
        <v>0.24358332943928016</v>
      </c>
      <c r="U43" s="18">
        <f>'Data '!E43/'Data '!T43</f>
        <v>0.21457522229152542</v>
      </c>
      <c r="V43" s="18">
        <f>'Data '!K43/'Data '!U43</f>
        <v>2.4633164794947975</v>
      </c>
      <c r="W43" s="18">
        <f>'Data '!G43/'Data '!V43</f>
        <v>0.32131034844444845</v>
      </c>
      <c r="X43" s="18"/>
      <c r="Y43" s="18">
        <f>'Data '!M43/'Data '!R43</f>
        <v>0.70226705868574946</v>
      </c>
      <c r="Z43" s="18">
        <f>'Data '!N43/'Data '!S43</f>
        <v>0.81523277132603278</v>
      </c>
      <c r="AA43" s="18">
        <f>'Data '!O43/'Data '!T43</f>
        <v>0.81341261290987121</v>
      </c>
      <c r="AB43" s="18">
        <f>'Data '!P43/'Data '!U43</f>
        <v>1.6548232799291056</v>
      </c>
      <c r="AC43" s="19">
        <f>'Data '!Q43/'Data '!V43</f>
        <v>1.4930392015422107</v>
      </c>
      <c r="AD43" s="7"/>
      <c r="AE43" s="41">
        <v>8.02</v>
      </c>
      <c r="AF43" s="11"/>
      <c r="AG43" s="21"/>
      <c r="AH43" s="7"/>
    </row>
    <row r="44" spans="1:34" ht="14.5">
      <c r="A44" s="34" t="s">
        <v>66</v>
      </c>
      <c r="B44" s="25">
        <f>'Data '!C44/'Data '!$B$22</f>
        <v>0.2536788181818182</v>
      </c>
      <c r="C44" s="25">
        <f>'Data '!D44/'Data '!$B$22</f>
        <v>4.4539909090909088E-2</v>
      </c>
      <c r="D44" s="25">
        <f>'Data '!E44/'Data '!$B$22</f>
        <v>1.2930636363636363E-2</v>
      </c>
      <c r="E44" s="25">
        <f>'Data '!K44/'Data '!$B$22</f>
        <v>9.5686909090909086E-2</v>
      </c>
      <c r="F44" s="25">
        <f>'Data '!L44/'Data '!$B$22</f>
        <v>0.10843827272727273</v>
      </c>
      <c r="G44" s="25"/>
      <c r="H44" s="15">
        <f t="shared" si="0"/>
        <v>-0.82442401218147354</v>
      </c>
      <c r="I44" s="15">
        <f t="shared" si="1"/>
        <v>-0.70968426681688934</v>
      </c>
      <c r="J44" s="15">
        <f t="shared" si="2"/>
        <v>6.4000154671428673</v>
      </c>
      <c r="K44" s="15">
        <f t="shared" si="2"/>
        <v>0.13326131816264417</v>
      </c>
      <c r="L44" s="16"/>
      <c r="M44" s="18">
        <f>'Data '!C44/'Data '!H44</f>
        <v>0.47121509581289911</v>
      </c>
      <c r="N44" s="18">
        <f>'Data '!D44/'Data '!I44</f>
        <v>0.65825738918738086</v>
      </c>
      <c r="O44" s="18">
        <f>'Data '!E44/'Data '!J44</f>
        <v>0.18740151463248819</v>
      </c>
      <c r="P44" s="18">
        <f>'Data '!F44/'Data '!K44</f>
        <v>0.39575091491569092</v>
      </c>
      <c r="Q44" s="15">
        <f>'Data '!G44/'Data '!L44</f>
        <v>0.66016611042226792</v>
      </c>
      <c r="R44" s="18"/>
      <c r="S44" s="18">
        <f>'Data '!C44/'Data '!R44</f>
        <v>0.38197931551727704</v>
      </c>
      <c r="T44" s="18">
        <f>'Data '!D44/'Data '!S44</f>
        <v>7.7201679991654878E-2</v>
      </c>
      <c r="U44" s="18">
        <f>'Data '!E44/'Data '!T44</f>
        <v>2.368461366822858E-2</v>
      </c>
      <c r="V44" s="18">
        <f>'Data '!K44/'Data '!U44</f>
        <v>0.1772275177175994</v>
      </c>
      <c r="W44" s="18">
        <f>'Data '!G44/'Data '!V44</f>
        <v>0.12612537579262814</v>
      </c>
      <c r="X44" s="18"/>
      <c r="Y44" s="18">
        <f>'Data '!M44/'Data '!R44</f>
        <v>0.61670670390182014</v>
      </c>
      <c r="Z44" s="18">
        <f>'Data '!N44/'Data '!S44</f>
        <v>0.64601978941171612</v>
      </c>
      <c r="AA44" s="18">
        <f>'Data '!O44/'Data '!T44</f>
        <v>0.70606614647337584</v>
      </c>
      <c r="AB44" s="18">
        <f>'Data '!P44/'Data '!U44</f>
        <v>0.78763430268681145</v>
      </c>
      <c r="AC44" s="19">
        <f>'Data '!Q44/'Data '!V44</f>
        <v>0.72797290609228527</v>
      </c>
      <c r="AD44" s="7"/>
      <c r="AE44" s="41">
        <v>49.08</v>
      </c>
      <c r="AF44" s="11"/>
      <c r="AG44" s="21"/>
      <c r="AH44" s="7"/>
    </row>
    <row r="45" spans="1:34" ht="14.5">
      <c r="A45" s="34" t="s">
        <v>68</v>
      </c>
      <c r="B45" s="25">
        <f>'Data '!C45/'Data '!$B$22</f>
        <v>0.63454163636363636</v>
      </c>
      <c r="C45" s="25">
        <f>'Data '!D45/'Data '!$B$22</f>
        <v>0.79119990909090909</v>
      </c>
      <c r="D45" s="25">
        <f>'Data '!E45/'Data '!$B$22</f>
        <v>0.71182690909090907</v>
      </c>
      <c r="E45" s="25">
        <f>'Data '!K45/'Data '!$B$22</f>
        <v>12.376946545454546</v>
      </c>
      <c r="F45" s="25">
        <f>'Data '!L45/'Data '!$B$22</f>
        <v>13.442864636363636</v>
      </c>
      <c r="G45" s="25"/>
      <c r="H45" s="15">
        <f t="shared" si="0"/>
        <v>0.24688415030577548</v>
      </c>
      <c r="I45" s="15">
        <f t="shared" si="1"/>
        <v>-0.10031977896862984</v>
      </c>
      <c r="J45" s="15">
        <f t="shared" si="2"/>
        <v>16.387578900692915</v>
      </c>
      <c r="K45" s="15">
        <f t="shared" si="2"/>
        <v>8.6121248645171705E-2</v>
      </c>
      <c r="L45" s="16"/>
      <c r="M45" s="18">
        <f>'Data '!C45/'Data '!H45</f>
        <v>7.6640087146232633E-2</v>
      </c>
      <c r="N45" s="18">
        <f>'Data '!D45/'Data '!I45</f>
        <v>0.1029359565998908</v>
      </c>
      <c r="O45" s="18">
        <f>'Data '!E45/'Data '!J45</f>
        <v>8.1043238708111268E-2</v>
      </c>
      <c r="P45" s="18">
        <f>'Data '!F45/'Data '!K45</f>
        <v>4.0734646756610815E-2</v>
      </c>
      <c r="Q45" s="15">
        <f>'Data '!G45/'Data '!L45</f>
        <v>0.13100555927909602</v>
      </c>
      <c r="R45" s="18"/>
      <c r="S45" s="18">
        <f>'Data '!C45/'Data '!R45</f>
        <v>6.0617934781952633E-2</v>
      </c>
      <c r="T45" s="18">
        <f>'Data '!D45/'Data '!S45</f>
        <v>7.9967693533243275E-2</v>
      </c>
      <c r="U45" s="18">
        <f>'Data '!E45/'Data '!T45</f>
        <v>7.5508294050456226E-2</v>
      </c>
      <c r="V45" s="18">
        <f>'Data '!K45/'Data '!U45</f>
        <v>1.4444827009327859</v>
      </c>
      <c r="W45" s="18">
        <f>'Data '!G45/'Data '!V45</f>
        <v>0.16670373156065985</v>
      </c>
      <c r="X45" s="18"/>
      <c r="Y45" s="18">
        <f>'Data '!M45/'Data '!R45</f>
        <v>0.37577832745895984</v>
      </c>
      <c r="Z45" s="18">
        <f>'Data '!N45/'Data '!S45</f>
        <v>0.41937533308773595</v>
      </c>
      <c r="AA45" s="18">
        <f>'Data '!O45/'Data '!T45</f>
        <v>0.77306978889538114</v>
      </c>
      <c r="AB45" s="18">
        <f>'Data '!P45/'Data '!U45</f>
        <v>1.1026328451960088</v>
      </c>
      <c r="AC45" s="19">
        <f>'Data '!Q45/'Data '!V45</f>
        <v>0.86115453133237918</v>
      </c>
      <c r="AD45" s="7"/>
      <c r="AE45" s="41">
        <v>14.55</v>
      </c>
      <c r="AF45" s="11"/>
      <c r="AG45" s="21"/>
      <c r="AH45" s="7"/>
    </row>
    <row r="46" spans="1:34" ht="14.5">
      <c r="A46" t="s">
        <v>69</v>
      </c>
      <c r="B46" s="25">
        <f>'Data '!C46/'Data '!$B$22</f>
        <v>-0.52416627272727268</v>
      </c>
      <c r="C46" s="25">
        <f>'Data '!D46/'Data '!$B$22</f>
        <v>0.16439490909090909</v>
      </c>
      <c r="D46" s="25">
        <f>'Data '!E46/'Data '!$B$22</f>
        <v>0.57636900000000002</v>
      </c>
      <c r="E46" s="25">
        <f>'Data '!K46/'Data '!$B$22</f>
        <v>7.7016943636363635</v>
      </c>
      <c r="F46" s="25">
        <f>'Data '!L46/'Data '!$B$22</f>
        <v>9.4122380000000003</v>
      </c>
      <c r="G46" s="25"/>
      <c r="H46" s="15">
        <f t="shared" si="0"/>
        <v>1.3136312228475733</v>
      </c>
      <c r="I46" s="15">
        <f t="shared" si="1"/>
        <v>2.5060027295691527</v>
      </c>
      <c r="J46" s="15">
        <f t="shared" si="2"/>
        <v>12.362436847985169</v>
      </c>
      <c r="K46" s="15">
        <f t="shared" si="2"/>
        <v>0.22209965179090821</v>
      </c>
      <c r="L46" s="16"/>
      <c r="M46" s="18">
        <f>'Data '!C46/'Data '!H46</f>
        <v>-0.18007921846674393</v>
      </c>
      <c r="N46" s="18">
        <f>'Data '!D46/'Data '!I46</f>
        <v>3.621401978956007E-2</v>
      </c>
      <c r="O46" s="18">
        <f>'Data '!E46/'Data '!J46</f>
        <v>9.2164974350319298E-2</v>
      </c>
      <c r="P46" s="18">
        <f>'Data '!F46/'Data '!K46</f>
        <v>0.10621815001322377</v>
      </c>
      <c r="Q46" s="15">
        <f>'Data '!G46/'Data '!L46</f>
        <v>9.7808145677419703E-2</v>
      </c>
      <c r="R46" s="18"/>
      <c r="S46" s="18">
        <f>'Data '!C46/'Data '!R46</f>
        <v>-3.7089255431570892E-2</v>
      </c>
      <c r="T46" s="18">
        <f>'Data '!D46/'Data '!S46</f>
        <v>1.1498357615019009E-2</v>
      </c>
      <c r="U46" s="18">
        <f>'Data '!E46/'Data '!T46</f>
        <v>3.8750564345682061E-2</v>
      </c>
      <c r="V46" s="18">
        <f>'Data '!K46/'Data '!U46</f>
        <v>0.4981051503824615</v>
      </c>
      <c r="W46" s="18">
        <f>'Data '!G46/'Data '!V46</f>
        <v>5.6533815066046343E-2</v>
      </c>
      <c r="X46" s="18"/>
      <c r="Y46" s="18">
        <f>'Data '!M46/'Data '!R46</f>
        <v>4.2760693367850138</v>
      </c>
      <c r="Z46" s="18">
        <f>'Data '!N46/'Data '!S46</f>
        <v>5.2982562032823033</v>
      </c>
      <c r="AA46" s="18">
        <f>'Data '!O46/'Data '!T46</f>
        <v>6.5200094103097292</v>
      </c>
      <c r="AB46" s="18">
        <f>'Data '!P46/'Data '!U46</f>
        <v>7.4337014767038463</v>
      </c>
      <c r="AC46" s="19">
        <f>'Data '!Q46/'Data '!V46</f>
        <v>8.4498968719312533</v>
      </c>
      <c r="AD46" s="7"/>
      <c r="AE46" s="41">
        <v>23.02</v>
      </c>
      <c r="AF46" s="11"/>
      <c r="AG46" s="21"/>
      <c r="AH46" s="7"/>
    </row>
    <row r="47" spans="1:34" ht="14.5">
      <c r="A47" s="36" t="s">
        <v>70</v>
      </c>
      <c r="B47" s="25">
        <f>'Data '!C47/'Data '!$B$22</f>
        <v>2.6412454545454545E-2</v>
      </c>
      <c r="C47" s="25">
        <f>'Data '!D47/'Data '!$B$22</f>
        <v>-3.4958999999999997E-2</v>
      </c>
      <c r="D47" s="25">
        <f>'Data '!E47/'Data '!$B$22</f>
        <v>-3.5552636363636363E-2</v>
      </c>
      <c r="E47" s="25">
        <f>'Data '!K47/'Data '!$B$22</f>
        <v>0.57016172727272729</v>
      </c>
      <c r="F47" s="25">
        <f>'Data '!L47/'Data '!$B$22</f>
        <v>0.4171627272727273</v>
      </c>
      <c r="G47" s="25"/>
      <c r="H47" s="15">
        <f t="shared" ref="H47:H74" si="3">((C47-B47)/ABS(B47))</f>
        <v>-2.3235801292090161</v>
      </c>
      <c r="I47" s="15">
        <f t="shared" ref="I47:I74" si="4">((D47-C47)/ABS(C47))</f>
        <v>-1.6980930908674894E-2</v>
      </c>
      <c r="J47" s="15">
        <f t="shared" ref="J47:J74" si="5">((E47-D47)/ABS(D47))</f>
        <v>17.037115263156551</v>
      </c>
      <c r="K47" s="15">
        <f t="shared" ref="K47:K74" si="6">((F47-E47)/ABS(E47))</f>
        <v>-0.26834316068853825</v>
      </c>
      <c r="L47" s="16"/>
      <c r="M47" s="18">
        <f>'Data '!C47/'Data '!H47</f>
        <v>4.6965357397225245E-2</v>
      </c>
      <c r="N47" s="18">
        <f>'Data '!D47/'Data '!I47</f>
        <v>-4.852301268693017E-2</v>
      </c>
      <c r="O47" s="18">
        <f>'Data '!E47/'Data '!J47</f>
        <v>-4.9158027725811938E-2</v>
      </c>
      <c r="P47" s="18">
        <f>'Data '!F47/'Data '!K47</f>
        <v>-0.22542264324045858</v>
      </c>
      <c r="Q47" s="15">
        <f>'Data '!G47/'Data '!L47</f>
        <v>-0.1556264287535494</v>
      </c>
      <c r="R47" s="18"/>
      <c r="S47" s="18">
        <f>'Data '!C47/'Data '!R47</f>
        <v>-6.05882463344087E-2</v>
      </c>
      <c r="T47" s="18">
        <f>'Data '!D47/'Data '!S47</f>
        <v>7.4239867115022187E-2</v>
      </c>
      <c r="U47" s="18">
        <f>'Data '!E47/'Data '!T47</f>
        <v>6.6155248367005925E-2</v>
      </c>
      <c r="V47" s="18">
        <f>'Data '!K47/'Data '!U47</f>
        <v>-0.84991367082545488</v>
      </c>
      <c r="W47" s="18">
        <f>'Data '!G47/'Data '!V47</f>
        <v>8.7514258166062842E-2</v>
      </c>
      <c r="X47" s="18"/>
      <c r="Y47" s="18">
        <f>'Data '!M47/'Data '!R47</f>
        <v>-1.9617898470784751</v>
      </c>
      <c r="Z47" s="18">
        <f>'Data '!N47/'Data '!S47</f>
        <v>-2.017813946358733</v>
      </c>
      <c r="AA47" s="18">
        <f>'Data '!O47/'Data '!T47</f>
        <v>-2.1169471409620582</v>
      </c>
      <c r="AB47" s="18">
        <f>'Data '!P47/'Data '!U47</f>
        <v>-1.6748919580996227</v>
      </c>
      <c r="AC47" s="19">
        <f>'Data '!Q47/'Data '!V47</f>
        <v>-1.5494513884157273</v>
      </c>
      <c r="AD47" s="7"/>
      <c r="AE47" s="41"/>
      <c r="AF47" s="11"/>
      <c r="AG47" s="21"/>
      <c r="AH47" s="7"/>
    </row>
    <row r="48" spans="1:34" ht="14.5">
      <c r="A48" s="36" t="s">
        <v>71</v>
      </c>
      <c r="B48" s="25">
        <f>'Data '!C48/'Data '!$B$22</f>
        <v>1.4118915454545455</v>
      </c>
      <c r="C48" s="25">
        <f>'Data '!D48/'Data '!$B$22</f>
        <v>1.9385393636363637</v>
      </c>
      <c r="D48" s="25">
        <f>'Data '!E48/'Data '!$B$22</f>
        <v>1.7377703636363637</v>
      </c>
      <c r="E48" s="25">
        <f>'Data '!K48/'Data '!$B$22</f>
        <v>11.940658909090908</v>
      </c>
      <c r="F48" s="25">
        <f>'Data '!L48/'Data '!$B$22</f>
        <v>12.733799909090909</v>
      </c>
      <c r="G48" s="25"/>
      <c r="H48" s="15">
        <f t="shared" si="3"/>
        <v>0.37300869169258233</v>
      </c>
      <c r="I48" s="15">
        <f t="shared" si="4"/>
        <v>-0.10356715151937496</v>
      </c>
      <c r="J48" s="15">
        <f t="shared" si="5"/>
        <v>5.8712524732580524</v>
      </c>
      <c r="K48" s="15">
        <f t="shared" si="6"/>
        <v>6.6423553845604777E-2</v>
      </c>
      <c r="L48" s="16"/>
      <c r="M48" s="18">
        <f>'Data '!C48/'Data '!H48</f>
        <v>0.15566633919297942</v>
      </c>
      <c r="N48" s="18">
        <f>'Data '!D48/'Data '!I48</f>
        <v>0.1653600949941052</v>
      </c>
      <c r="O48" s="18">
        <f>'Data '!E48/'Data '!J48</f>
        <v>0.16032349064607129</v>
      </c>
      <c r="P48" s="18">
        <f>'Data '!F48/'Data '!K48</f>
        <v>0.17922614564410211</v>
      </c>
      <c r="Q48" s="15">
        <f>'Data '!G48/'Data '!L48</f>
        <v>0.19663052946153708</v>
      </c>
      <c r="R48" s="18"/>
      <c r="S48" s="18">
        <f>'Data '!C48/'Data '!R48</f>
        <v>0.2063739666058296</v>
      </c>
      <c r="T48" s="18">
        <f>'Data '!D48/'Data '!S48</f>
        <v>0.24202885330321106</v>
      </c>
      <c r="U48" s="18">
        <f>'Data '!E48/'Data '!T48</f>
        <v>0.19607774632975461</v>
      </c>
      <c r="V48" s="18">
        <f>'Data '!K48/'Data '!U48</f>
        <v>1.1805267621676954</v>
      </c>
      <c r="W48" s="18">
        <f>'Data '!G48/'Data '!V48</f>
        <v>0.21563291654525973</v>
      </c>
      <c r="X48" s="18"/>
      <c r="Y48" s="18">
        <f>'Data '!M48/'Data '!R48</f>
        <v>0.73695665375290764</v>
      </c>
      <c r="Z48" s="18">
        <f>'Data '!N48/'Data '!S48</f>
        <v>0.70730561122686897</v>
      </c>
      <c r="AA48" s="18">
        <f>'Data '!O48/'Data '!T48</f>
        <v>0.61601246365009776</v>
      </c>
      <c r="AB48" s="18">
        <f>'Data '!P48/'Data '!U48</f>
        <v>0.59560870435043967</v>
      </c>
      <c r="AC48" s="19">
        <f>'Data '!Q48/'Data '!V48</f>
        <v>0.57480013625501469</v>
      </c>
      <c r="AD48" s="7"/>
      <c r="AE48" s="41">
        <v>9.1</v>
      </c>
      <c r="AF48" s="11"/>
      <c r="AG48" s="21"/>
      <c r="AH48" s="7"/>
    </row>
    <row r="49" spans="1:34" ht="14.5">
      <c r="A49" s="36" t="s">
        <v>72</v>
      </c>
      <c r="B49" s="25">
        <f>'Data '!C49/'Data '!$B$22</f>
        <v>-3.6522666363636365</v>
      </c>
      <c r="C49" s="25">
        <f>'Data '!D49/'Data '!$B$22</f>
        <v>-4.1678691818181814</v>
      </c>
      <c r="D49" s="25">
        <f>'Data '!E49/'Data '!$B$22</f>
        <v>-2.2472535454545453</v>
      </c>
      <c r="E49" s="25">
        <f>'Data '!K49/'Data '!$B$22</f>
        <v>17.596723636363638</v>
      </c>
      <c r="F49" s="25">
        <f>'Data '!L49/'Data '!$B$22</f>
        <v>15.319087363636363</v>
      </c>
      <c r="G49" s="25"/>
      <c r="H49" s="15">
        <f t="shared" si="3"/>
        <v>-0.141173303263505</v>
      </c>
      <c r="I49" s="15">
        <f t="shared" si="4"/>
        <v>0.46081475991187215</v>
      </c>
      <c r="J49" s="15">
        <f t="shared" si="5"/>
        <v>8.8303241180578045</v>
      </c>
      <c r="K49" s="15">
        <f t="shared" si="6"/>
        <v>-0.12943524714001522</v>
      </c>
      <c r="L49" s="16"/>
      <c r="M49" s="18">
        <f>'Data '!C49/'Data '!H49</f>
        <v>-0.22368369470424754</v>
      </c>
      <c r="N49" s="18">
        <f>'Data '!D49/'Data '!I49</f>
        <v>-0.24896111620969111</v>
      </c>
      <c r="O49" s="18">
        <f>'Data '!E49/'Data '!J49</f>
        <v>-9.7385305535826305E-2</v>
      </c>
      <c r="P49" s="18">
        <f>'Data '!F49/'Data '!K49</f>
        <v>-0.20308422084359093</v>
      </c>
      <c r="Q49" s="15">
        <f>'Data '!G49/'Data '!L49</f>
        <v>-0.26348983013532357</v>
      </c>
      <c r="R49" s="18"/>
      <c r="S49" s="18">
        <f>'Data '!C49/'Data '!R49</f>
        <v>0.72242595337412863</v>
      </c>
      <c r="T49" s="18">
        <f>'Data '!D49/'Data '!S49</f>
        <v>0.45163890281204577</v>
      </c>
      <c r="U49" s="18">
        <f>'Data '!E49/'Data '!T49</f>
        <v>0.19574714166150722</v>
      </c>
      <c r="V49" s="18">
        <f>'Data '!K49/'Data '!U49</f>
        <v>-1.1684862870471877</v>
      </c>
      <c r="W49" s="18">
        <f>'Data '!G49/'Data '!V49</f>
        <v>0.23361944554491246</v>
      </c>
      <c r="X49" s="18"/>
      <c r="Y49" s="18">
        <f>'Data '!M49/'Data '!R49</f>
        <v>-4.7908047133647296</v>
      </c>
      <c r="Z49" s="18">
        <f>'Data '!N49/'Data '!S49</f>
        <v>-3.3721378833171296</v>
      </c>
      <c r="AA49" s="18">
        <f>'Data '!O49/'Data '!T49</f>
        <v>-3.0810497166270663</v>
      </c>
      <c r="AB49" s="18">
        <f>'Data '!P49/'Data '!U49</f>
        <v>-2.2511244307398091</v>
      </c>
      <c r="AC49" s="19">
        <f>'Data '!Q49/'Data '!V49</f>
        <v>-2.0226841946412053</v>
      </c>
      <c r="AD49" s="7"/>
      <c r="AE49" s="41"/>
      <c r="AF49" s="11"/>
      <c r="AG49" s="21"/>
      <c r="AH49" s="7"/>
    </row>
    <row r="50" spans="1:34" ht="14.5">
      <c r="A50" s="36" t="s">
        <v>73</v>
      </c>
      <c r="B50" s="25">
        <f>'Data '!C50/'Data '!$B$22</f>
        <v>-0.43245090909090911</v>
      </c>
      <c r="C50" s="25">
        <f>'Data '!D50/'Data '!$B$22</f>
        <v>-1.1971771818181818</v>
      </c>
      <c r="D50" s="25">
        <f>'Data '!E50/'Data '!$B$22</f>
        <v>-0.77897718181818176</v>
      </c>
      <c r="E50" s="25">
        <f>'Data '!K50/'Data '!$B$22</f>
        <v>10.69278390909091</v>
      </c>
      <c r="F50" s="25">
        <f>'Data '!L50/'Data '!$B$22</f>
        <v>13.945774363636364</v>
      </c>
      <c r="G50" s="25"/>
      <c r="H50" s="15">
        <f t="shared" si="3"/>
        <v>-1.7683539487403719</v>
      </c>
      <c r="I50" s="15">
        <f t="shared" si="4"/>
        <v>0.34932172643390147</v>
      </c>
      <c r="J50" s="15">
        <f t="shared" si="5"/>
        <v>14.726697210993111</v>
      </c>
      <c r="K50" s="15">
        <f t="shared" si="6"/>
        <v>0.30422296776986119</v>
      </c>
      <c r="L50" s="16"/>
      <c r="M50" s="18">
        <f>'Data '!C50/'Data '!H50</f>
        <v>-3.8753258810279613E-2</v>
      </c>
      <c r="N50" s="18">
        <f>'Data '!D50/'Data '!I50</f>
        <v>-0.10554138665345336</v>
      </c>
      <c r="O50" s="18">
        <f>'Data '!E50/'Data '!J50</f>
        <v>-6.61912181648978E-2</v>
      </c>
      <c r="P50" s="18">
        <f>'Data '!F50/'Data '!K50</f>
        <v>-8.204329099668177E-2</v>
      </c>
      <c r="Q50" s="15">
        <f>'Data '!G50/'Data '!L50</f>
        <v>2.4074037206891174E-2</v>
      </c>
      <c r="R50" s="18"/>
      <c r="S50" s="18">
        <f>'Data '!C50/'Data '!R50</f>
        <v>-0.1010360111981211</v>
      </c>
      <c r="T50" s="18">
        <f>'Data '!D50/'Data '!S50</f>
        <v>-0.38900794407574851</v>
      </c>
      <c r="U50" s="18">
        <f>'Data '!E50/'Data '!T50</f>
        <v>-0.33829962838854866</v>
      </c>
      <c r="V50" s="18">
        <f>'Data '!K50/'Data '!U50</f>
        <v>7.5044644372447111</v>
      </c>
      <c r="W50" s="18">
        <f>'Data '!G50/'Data '!V50</f>
        <v>0.18759757896724363</v>
      </c>
      <c r="X50" s="18"/>
      <c r="Y50" s="18">
        <f>'Data '!M50/'Data '!R50</f>
        <v>2.3614526895908265</v>
      </c>
      <c r="Z50" s="18">
        <f>'Data '!N50/'Data '!S50</f>
        <v>3.8474975428805451</v>
      </c>
      <c r="AA50" s="18">
        <f>'Data '!O50/'Data '!T50</f>
        <v>5.195750581105556</v>
      </c>
      <c r="AB50" s="18">
        <f>'Data '!P50/'Data '!U50</f>
        <v>9.282508795144901</v>
      </c>
      <c r="AC50" s="19">
        <f>'Data '!Q50/'Data '!V50</f>
        <v>6.9484129796135612</v>
      </c>
      <c r="AD50" s="7"/>
      <c r="AE50" s="41">
        <v>21.17</v>
      </c>
      <c r="AF50" s="11"/>
      <c r="AG50" s="21"/>
      <c r="AH50" s="7"/>
    </row>
    <row r="51" spans="1:34" ht="14.5">
      <c r="A51" s="36" t="s">
        <v>74</v>
      </c>
      <c r="B51" s="25">
        <f>'Data '!C51/'Data '!$B$22</f>
        <v>1.217827</v>
      </c>
      <c r="C51" s="25">
        <f>'Data '!D51/'Data '!$B$22</f>
        <v>2.6199667272727272</v>
      </c>
      <c r="D51" s="25">
        <f>'Data '!E51/'Data '!$B$22</f>
        <v>1.7178673636363637</v>
      </c>
      <c r="E51" s="25">
        <f>'Data '!K51/'Data '!$B$22</f>
        <v>2.6319548181818182</v>
      </c>
      <c r="F51" s="25">
        <f>'Data '!L51/'Data '!$B$22</f>
        <v>2.4953919090909089</v>
      </c>
      <c r="G51" s="25"/>
      <c r="H51" s="15">
        <f t="shared" si="3"/>
        <v>1.1513455747595736</v>
      </c>
      <c r="I51" s="15">
        <f t="shared" si="4"/>
        <v>-0.34431710687234951</v>
      </c>
      <c r="J51" s="15">
        <f t="shared" si="5"/>
        <v>0.5321059552645111</v>
      </c>
      <c r="K51" s="15">
        <f t="shared" si="6"/>
        <v>-5.1886494459372358E-2</v>
      </c>
      <c r="L51" s="16"/>
      <c r="M51" s="18">
        <f>'Data '!C51/'Data '!H51</f>
        <v>0.75100779291082032</v>
      </c>
      <c r="N51" s="18">
        <f>'Data '!D51/'Data '!I51</f>
        <v>1.1548632361289728</v>
      </c>
      <c r="O51" s="18">
        <f>'Data '!E51/'Data '!J51</f>
        <v>0.62538273644903308</v>
      </c>
      <c r="P51" s="18">
        <f>'Data '!F51/'Data '!K51</f>
        <v>1.3061668335491943</v>
      </c>
      <c r="Q51" s="15">
        <f>'Data '!G51/'Data '!L51</f>
        <v>2.2303975498692847</v>
      </c>
      <c r="R51" s="18"/>
      <c r="S51" s="18">
        <f>'Data '!C51/'Data '!R51</f>
        <v>0.15221921763024848</v>
      </c>
      <c r="T51" s="18">
        <f>'Data '!D51/'Data '!S51</f>
        <v>0.30358184354427642</v>
      </c>
      <c r="U51" s="18">
        <f>'Data '!E51/'Data '!T51</f>
        <v>0.18212335956087783</v>
      </c>
      <c r="V51" s="18">
        <f>'Data '!K51/'Data '!U51</f>
        <v>0.25742099075173075</v>
      </c>
      <c r="W51" s="18">
        <f>'Data '!G51/'Data '!V51</f>
        <v>0.55051342991845442</v>
      </c>
      <c r="X51" s="18"/>
      <c r="Y51" s="18">
        <f>'Data '!M51/'Data '!R51</f>
        <v>3.1995522110294865</v>
      </c>
      <c r="Z51" s="18">
        <f>'Data '!N51/'Data '!S51</f>
        <v>3.4202670610317227</v>
      </c>
      <c r="AA51" s="18">
        <f>'Data '!O51/'Data '!T51</f>
        <v>2.96020894895952</v>
      </c>
      <c r="AB51" s="18">
        <f>'Data '!P51/'Data '!U51</f>
        <v>3.0567484944321262</v>
      </c>
      <c r="AC51" s="19">
        <f>'Data '!Q51/'Data '!V51</f>
        <v>3.228573921398648</v>
      </c>
      <c r="AD51" s="7"/>
      <c r="AE51" s="41">
        <v>6.52</v>
      </c>
      <c r="AF51" s="11"/>
      <c r="AG51" s="21"/>
      <c r="AH51" s="7"/>
    </row>
    <row r="52" spans="1:34" ht="14.5">
      <c r="A52" s="36" t="s">
        <v>75</v>
      </c>
      <c r="B52" s="25">
        <f>'Data '!C52/'Data '!$B$22</f>
        <v>5.6785545454545457E-2</v>
      </c>
      <c r="C52" s="25">
        <f>'Data '!D52/'Data '!$B$22</f>
        <v>0.16059281818181817</v>
      </c>
      <c r="D52" s="25">
        <f>'Data '!E52/'Data '!$B$22</f>
        <v>0.50636318181818185</v>
      </c>
      <c r="E52" s="25">
        <f>'Data '!K52/'Data '!$B$22</f>
        <v>2.7597170909090911</v>
      </c>
      <c r="F52" s="25">
        <f>'Data '!L52/'Data '!$B$22</f>
        <v>2.7943107272727272</v>
      </c>
      <c r="G52" s="25"/>
      <c r="H52" s="15">
        <f t="shared" si="3"/>
        <v>1.8280580365361863</v>
      </c>
      <c r="I52" s="15">
        <f t="shared" si="4"/>
        <v>2.1530873394655377</v>
      </c>
      <c r="J52" s="15">
        <f t="shared" si="5"/>
        <v>4.4500745512338886</v>
      </c>
      <c r="K52" s="15">
        <f t="shared" si="6"/>
        <v>1.2535211119137019E-2</v>
      </c>
      <c r="L52" s="16"/>
      <c r="M52" s="18">
        <f>'Data '!C52/'Data '!H52</f>
        <v>3.4750886545635892E-2</v>
      </c>
      <c r="N52" s="18">
        <f>'Data '!D52/'Data '!I52</f>
        <v>9.3780576869243931E-2</v>
      </c>
      <c r="O52" s="18">
        <f>'Data '!E52/'Data '!J52</f>
        <v>0.19979266739448176</v>
      </c>
      <c r="P52" s="18">
        <f>'Data '!F52/'Data '!K52</f>
        <v>0.28256608516656911</v>
      </c>
      <c r="Q52" s="15">
        <f>'Data '!G52/'Data '!L52</f>
        <v>0.53078765431761377</v>
      </c>
      <c r="R52" s="18"/>
      <c r="S52" s="18">
        <f>'Data '!C52/'Data '!R52</f>
        <v>-9.7410423575443068E-3</v>
      </c>
      <c r="T52" s="18">
        <f>'Data '!D52/'Data '!S52</f>
        <v>2.5071981918525842E-2</v>
      </c>
      <c r="U52" s="18">
        <f>'Data '!E52/'Data '!T52</f>
        <v>7.326244827775022E-2</v>
      </c>
      <c r="V52" s="18">
        <f>'Data '!K52/'Data '!U52</f>
        <v>0.35880388995581081</v>
      </c>
      <c r="W52" s="18">
        <f>'Data '!G52/'Data '!V52</f>
        <v>0.16166178013031918</v>
      </c>
      <c r="X52" s="18"/>
      <c r="Y52" s="18">
        <f>'Data '!M52/'Data '!R52</f>
        <v>-7.3903978464945244</v>
      </c>
      <c r="Z52" s="18">
        <f>'Data '!N52/'Data '!S52</f>
        <v>6.4885185171097461</v>
      </c>
      <c r="AA52" s="18">
        <f>'Data '!O52/'Data '!T52</f>
        <v>6.7002788460725249</v>
      </c>
      <c r="AB52" s="18">
        <f>'Data '!P52/'Data '!U52</f>
        <v>6.2947528274482005</v>
      </c>
      <c r="AC52" s="19">
        <f>'Data '!Q52/'Data '!V52</f>
        <v>5.5116191368054066</v>
      </c>
      <c r="AD52" s="7"/>
      <c r="AE52" s="41">
        <v>17.43</v>
      </c>
      <c r="AF52" s="11"/>
      <c r="AG52" s="21"/>
      <c r="AH52" s="7"/>
    </row>
    <row r="53" spans="1:34" ht="14.5">
      <c r="A53" s="36" t="s">
        <v>76</v>
      </c>
      <c r="B53" s="25">
        <f>'Data '!C53/'Data '!$B$22</f>
        <v>-1.6658181818181819</v>
      </c>
      <c r="C53" s="25">
        <f>'Data '!D53/'Data '!$B$22</f>
        <v>-2.947909090909091</v>
      </c>
      <c r="D53" s="25">
        <f>'Data '!E53/'Data '!$B$22</f>
        <v>-2.7548181818181816</v>
      </c>
      <c r="E53" s="25">
        <f>'Data '!K53/'Data '!$B$22</f>
        <v>7.1557272727272725</v>
      </c>
      <c r="F53" s="25">
        <f>'Data '!L53/'Data '!$B$22</f>
        <v>7.5847272727272728</v>
      </c>
      <c r="G53" s="25"/>
      <c r="H53" s="15">
        <f t="shared" si="3"/>
        <v>-0.76964636542239684</v>
      </c>
      <c r="I53" s="15">
        <f t="shared" si="4"/>
        <v>6.5500971412711745E-2</v>
      </c>
      <c r="J53" s="15">
        <f t="shared" si="5"/>
        <v>3.597531597531598</v>
      </c>
      <c r="K53" s="15">
        <f t="shared" si="6"/>
        <v>5.9951977437018064E-2</v>
      </c>
      <c r="L53" s="16"/>
      <c r="M53" s="18">
        <f>'Data '!C53/'Data '!H53</f>
        <v>-0.37496163211852096</v>
      </c>
      <c r="N53" s="18">
        <f>'Data '!D53/'Data '!I53</f>
        <v>-0.43074613780369547</v>
      </c>
      <c r="O53" s="18">
        <f>'Data '!E53/'Data '!J53</f>
        <v>-0.40767098961416348</v>
      </c>
      <c r="P53" s="18">
        <f>'Data '!F53/'Data '!K53</f>
        <v>-0.48116575406857826</v>
      </c>
      <c r="Q53" s="15">
        <f>'Data '!G53/'Data '!L53</f>
        <v>-0.36201936906702464</v>
      </c>
      <c r="R53" s="18"/>
      <c r="S53" s="18">
        <f>'Data '!C53/'Data '!R53</f>
        <v>-5.598704512817379E-2</v>
      </c>
      <c r="T53" s="18">
        <f>'Data '!D53/'Data '!S53</f>
        <v>-9.2863484063117507E-2</v>
      </c>
      <c r="U53" s="18">
        <f>'Data '!E53/'Data '!T53</f>
        <v>-9.2487860262541854E-2</v>
      </c>
      <c r="V53" s="18">
        <f>'Data '!K53/'Data '!U53</f>
        <v>0.46110541577575348</v>
      </c>
      <c r="W53" s="18">
        <f>'Data '!G53/'Data '!V53</f>
        <v>-0.19030577205395904</v>
      </c>
      <c r="X53" s="18"/>
      <c r="Y53" s="18">
        <f>'Data '!M53/'Data '!R53</f>
        <v>3.2325216169146627</v>
      </c>
      <c r="Z53" s="18">
        <f>'Data '!N53/'Data '!S53</f>
        <v>3.361101406111286</v>
      </c>
      <c r="AA53" s="18">
        <f>'Data '!O53/'Data '!T53</f>
        <v>3.7510064307798427</v>
      </c>
      <c r="AB53" s="18">
        <f>'Data '!P53/'Data '!U53</f>
        <v>8.1604346679944939</v>
      </c>
      <c r="AC53" s="19">
        <f>'Data '!Q53/'Data '!V53</f>
        <v>9.2748168076969115</v>
      </c>
      <c r="AD53" s="7"/>
      <c r="AE53" s="41"/>
      <c r="AF53" s="11"/>
      <c r="AG53" s="21"/>
      <c r="AH53" s="7"/>
    </row>
    <row r="54" spans="1:34" ht="14.5">
      <c r="A54" s="36" t="s">
        <v>77</v>
      </c>
      <c r="B54" s="25">
        <f>'Data '!C54/'Data '!$B$22</f>
        <v>7.3098363636363642E-2</v>
      </c>
      <c r="C54" s="25">
        <f>'Data '!D54/'Data '!$B$22</f>
        <v>9.2254545454545454E-4</v>
      </c>
      <c r="D54" s="25">
        <f>'Data '!E54/'Data '!$B$22</f>
        <v>-0.3030768181818182</v>
      </c>
      <c r="E54" s="25">
        <f>'Data '!K54/'Data '!$B$22</f>
        <v>5.6826414545454549</v>
      </c>
      <c r="F54" s="25">
        <f>'Data '!L54/'Data '!$B$22</f>
        <v>6.5887266363636368</v>
      </c>
      <c r="G54" s="25"/>
      <c r="H54" s="15">
        <f t="shared" si="3"/>
        <v>-0.98737939662870211</v>
      </c>
      <c r="I54" s="15">
        <f t="shared" si="4"/>
        <v>-329.52236893969257</v>
      </c>
      <c r="J54" s="15">
        <f t="shared" si="5"/>
        <v>19.749838699759586</v>
      </c>
      <c r="K54" s="15">
        <f t="shared" si="6"/>
        <v>0.1594478886387278</v>
      </c>
      <c r="L54" s="16"/>
      <c r="M54" s="18">
        <f>'Data '!C54/'Data '!H54</f>
        <v>1.4300550737368091E-2</v>
      </c>
      <c r="N54" s="18">
        <f>'Data '!D54/'Data '!I54</f>
        <v>1.5268849487225903E-4</v>
      </c>
      <c r="O54" s="18">
        <f>'Data '!E54/'Data '!J54</f>
        <v>-5.3433008424488476E-2</v>
      </c>
      <c r="P54" s="18">
        <f>'Data '!F54/'Data '!K54</f>
        <v>3.4940377279093771E-3</v>
      </c>
      <c r="Q54" s="15">
        <f>'Data '!G54/'Data '!L54</f>
        <v>1.3018200385333113E-2</v>
      </c>
      <c r="R54" s="18"/>
      <c r="S54" s="18">
        <f>'Data '!C54/'Data '!R54</f>
        <v>8.8073279134358626E-2</v>
      </c>
      <c r="T54" s="18">
        <f>'Data '!D54/'Data '!S54</f>
        <v>1.1472954104791893E-3</v>
      </c>
      <c r="U54" s="18">
        <f>'Data '!E54/'Data '!T54</f>
        <v>-0.60821814993475121</v>
      </c>
      <c r="V54" s="18">
        <f>'Data '!K54/'Data '!U54</f>
        <v>11.015405588389436</v>
      </c>
      <c r="W54" s="18">
        <f>'Data '!G54/'Data '!V54</f>
        <v>0.14256245768298667</v>
      </c>
      <c r="X54" s="18"/>
      <c r="Y54" s="18">
        <f>'Data '!M54/'Data '!R54</f>
        <v>2.1540531538136056</v>
      </c>
      <c r="Z54" s="18">
        <f>'Data '!N54/'Data '!S54</f>
        <v>2.5002002227209261</v>
      </c>
      <c r="AA54" s="18">
        <f>'Data '!O54/'Data '!T54</f>
        <v>4.004972514887351</v>
      </c>
      <c r="AB54" s="18">
        <f>'Data '!P54/'Data '!U54</f>
        <v>3.8362828022092468</v>
      </c>
      <c r="AC54" s="19">
        <f>'Data '!Q54/'Data '!V54</f>
        <v>4.016577767885865</v>
      </c>
      <c r="AD54" s="7"/>
      <c r="AE54" s="41">
        <v>13.18</v>
      </c>
      <c r="AF54" s="11"/>
      <c r="AG54" s="21"/>
      <c r="AH54" s="7"/>
    </row>
    <row r="55" spans="1:34" ht="14.5">
      <c r="A55" s="36" t="s">
        <v>78</v>
      </c>
      <c r="B55" s="25">
        <f>'Data '!C55/'Data '!$B$22</f>
        <v>-3.3666271818181817</v>
      </c>
      <c r="C55" s="25">
        <f>'Data '!D55/'Data '!$B$22</f>
        <v>-2.4452765454545453</v>
      </c>
      <c r="D55" s="25">
        <f>'Data '!E55/'Data '!$B$22</f>
        <v>-3.5625454545454547</v>
      </c>
      <c r="E55" s="25">
        <f>'Data '!K55/'Data '!$B$22</f>
        <v>100.82392481818182</v>
      </c>
      <c r="F55" s="25">
        <f>'Data '!L55/'Data '!$B$22</f>
        <v>103.55026809090909</v>
      </c>
      <c r="G55" s="25"/>
      <c r="H55" s="15">
        <f t="shared" si="3"/>
        <v>0.27367171551975988</v>
      </c>
      <c r="I55" s="15">
        <f t="shared" si="4"/>
        <v>-0.45690901962306413</v>
      </c>
      <c r="J55" s="15">
        <f t="shared" si="5"/>
        <v>29.301091482086353</v>
      </c>
      <c r="K55" s="15">
        <f t="shared" si="6"/>
        <v>2.704063819816321E-2</v>
      </c>
      <c r="L55" s="16"/>
      <c r="M55" s="18">
        <f>'Data '!C55/'Data '!H55</f>
        <v>-3.6369815471635598E-2</v>
      </c>
      <c r="N55" s="18">
        <f>'Data '!D55/'Data '!I55</f>
        <v>-2.6414595677576834E-2</v>
      </c>
      <c r="O55" s="18">
        <f>'Data '!E55/'Data '!J55</f>
        <v>-3.8030547253917177E-2</v>
      </c>
      <c r="P55" s="18">
        <f>'Data '!F55/'Data '!K55</f>
        <v>-3.820591561559316E-2</v>
      </c>
      <c r="Q55" s="15">
        <f>'Data '!G55/'Data '!L55</f>
        <v>-8.8386259908625198E-3</v>
      </c>
      <c r="R55" s="18"/>
      <c r="S55" s="18">
        <f>'Data '!C55/'Data '!R55</f>
        <v>0.65504647175863429</v>
      </c>
      <c r="T55" s="18">
        <f>'Data '!D55/'Data '!S55</f>
        <v>0.63403943517352912</v>
      </c>
      <c r="U55" s="18">
        <f>'Data '!E55/'Data '!T55</f>
        <v>0.47397397509386985</v>
      </c>
      <c r="V55" s="18">
        <f>'Data '!K55/'Data '!U55</f>
        <v>-162.63177673234034</v>
      </c>
      <c r="W55" s="18">
        <f>'Data '!G55/'Data '!V55</f>
        <v>0.1301768981983227</v>
      </c>
      <c r="X55" s="18"/>
      <c r="Y55" s="18">
        <f>'Data '!M55/'Data '!R55</f>
        <v>-12.797568030970536</v>
      </c>
      <c r="Z55" s="18">
        <f>'Data '!N55/'Data '!S55</f>
        <v>-16.989495323265203</v>
      </c>
      <c r="AA55" s="18">
        <f>'Data '!O55/'Data '!T55</f>
        <v>-8.9164526166023084</v>
      </c>
      <c r="AB55" s="18">
        <f>'Data '!P55/'Data '!U55</f>
        <v>-101.4774428350339</v>
      </c>
      <c r="AC55" s="19">
        <f>'Data '!Q55/'Data '!V55</f>
        <v>-8.7725935950279137</v>
      </c>
      <c r="AD55" s="7"/>
      <c r="AE55" s="41"/>
      <c r="AF55" s="11"/>
      <c r="AG55" s="21"/>
      <c r="AH55" s="7"/>
    </row>
    <row r="56" spans="1:34" ht="14.5">
      <c r="A56" s="36" t="s">
        <v>79</v>
      </c>
      <c r="B56" s="25">
        <f>'Data '!C56/'Data '!$B$22</f>
        <v>6.9022545454545461E-2</v>
      </c>
      <c r="C56" s="25">
        <f>'Data '!D56/'Data '!$B$22</f>
        <v>0.71849081818181815</v>
      </c>
      <c r="D56" s="25">
        <f>'Data '!E56/'Data '!$B$22</f>
        <v>0.51956318181818184</v>
      </c>
      <c r="E56" s="25">
        <f>'Data '!K56/'Data '!$B$22</f>
        <v>11.337197363636363</v>
      </c>
      <c r="F56" s="25">
        <f>'Data '!L56/'Data '!$B$22</f>
        <v>14.781105454545454</v>
      </c>
      <c r="G56" s="25"/>
      <c r="H56" s="15">
        <f t="shared" si="3"/>
        <v>9.4095091458917235</v>
      </c>
      <c r="I56" s="15">
        <f t="shared" si="4"/>
        <v>-0.27686872445640154</v>
      </c>
      <c r="J56" s="15">
        <f t="shared" si="5"/>
        <v>20.820632716818935</v>
      </c>
      <c r="K56" s="15">
        <f t="shared" si="6"/>
        <v>0.30377067457212104</v>
      </c>
      <c r="L56" s="16"/>
      <c r="M56" s="18">
        <f>'Data '!C56/'Data '!H56</f>
        <v>8.4738352112223806E-3</v>
      </c>
      <c r="N56" s="18">
        <f>'Data '!D56/'Data '!I56</f>
        <v>6.8730809957834135E-2</v>
      </c>
      <c r="O56" s="18">
        <f>'Data '!E56/'Data '!J56</f>
        <v>4.9190252781762353E-2</v>
      </c>
      <c r="P56" s="18">
        <f>'Data '!F56/'Data '!K56</f>
        <v>2.3856136450462011E-2</v>
      </c>
      <c r="Q56" s="15">
        <f>'Data '!G56/'Data '!L56</f>
        <v>5.1453169697727126E-2</v>
      </c>
      <c r="R56" s="18"/>
      <c r="S56" s="18">
        <f>'Data '!C56/'Data '!R56</f>
        <v>1.6308456061456138E-2</v>
      </c>
      <c r="T56" s="18">
        <f>'Data '!D56/'Data '!S56</f>
        <v>0.14834620909542906</v>
      </c>
      <c r="U56" s="18">
        <f>'Data '!E56/'Data '!T56</f>
        <v>0.10060853323132581</v>
      </c>
      <c r="V56" s="18">
        <f>'Data '!K56/'Data '!U56</f>
        <v>2.1688966774824681</v>
      </c>
      <c r="W56" s="18">
        <f>'Data '!G56/'Data '!V56</f>
        <v>0.13234537054078321</v>
      </c>
      <c r="X56" s="18"/>
      <c r="Y56" s="18">
        <f>'Data '!M56/'Data '!R56</f>
        <v>0.93638738124921062</v>
      </c>
      <c r="Z56" s="18">
        <f>'Data '!N56/'Data '!S56</f>
        <v>0.90444384927096766</v>
      </c>
      <c r="AA56" s="18">
        <f>'Data '!O56/'Data '!T56</f>
        <v>0.84591463635217001</v>
      </c>
      <c r="AB56" s="18">
        <f>'Data '!P56/'Data '!U56</f>
        <v>0.84419962545717619</v>
      </c>
      <c r="AC56" s="19">
        <f>'Data '!Q56/'Data '!V56</f>
        <v>1.0019769032398054</v>
      </c>
      <c r="AD56" s="7"/>
      <c r="AE56" s="41">
        <v>10.02</v>
      </c>
      <c r="AF56" s="11"/>
      <c r="AG56" s="21"/>
      <c r="AH56" s="7"/>
    </row>
    <row r="57" spans="1:34" ht="14.5">
      <c r="A57" s="36" t="s">
        <v>80</v>
      </c>
      <c r="B57" s="25">
        <f>'Data '!C57/'Data '!$B$22</f>
        <v>9.6036545454545458E-2</v>
      </c>
      <c r="C57" s="25">
        <f>'Data '!D57/'Data '!$B$22</f>
        <v>0.16679327272727273</v>
      </c>
      <c r="D57" s="25">
        <f>'Data '!E57/'Data '!$B$22</f>
        <v>0.30133154545454544</v>
      </c>
      <c r="E57" s="25">
        <f>'Data '!K57/'Data '!$B$22</f>
        <v>2.6153168181818183</v>
      </c>
      <c r="F57" s="25">
        <f>'Data '!L57/'Data '!$B$22</f>
        <v>2.669099090909091</v>
      </c>
      <c r="G57" s="25"/>
      <c r="H57" s="15">
        <f t="shared" si="3"/>
        <v>0.73676876795007962</v>
      </c>
      <c r="I57" s="15">
        <f t="shared" si="4"/>
        <v>0.80661690083423887</v>
      </c>
      <c r="J57" s="15">
        <f t="shared" si="5"/>
        <v>7.6792002285612933</v>
      </c>
      <c r="K57" s="15">
        <f t="shared" si="6"/>
        <v>2.0564343238790653E-2</v>
      </c>
      <c r="L57" s="16"/>
      <c r="M57" s="18">
        <f>'Data '!C57/'Data '!H57</f>
        <v>5.6391199594522205E-2</v>
      </c>
      <c r="N57" s="18">
        <f>'Data '!D57/'Data '!I57</f>
        <v>7.8584846895784058E-2</v>
      </c>
      <c r="O57" s="18">
        <f>'Data '!E57/'Data '!J57</f>
        <v>0.11595712299015547</v>
      </c>
      <c r="P57" s="18">
        <f>'Data '!F57/'Data '!K57</f>
        <v>0.13084356023614035</v>
      </c>
      <c r="Q57" s="15">
        <f>'Data '!G57/'Data '!L57</f>
        <v>9.5930530185704466E-2</v>
      </c>
      <c r="R57" s="18"/>
      <c r="S57" s="18">
        <f>'Data '!C57/'Data '!R57</f>
        <v>9.0500723173427042E-2</v>
      </c>
      <c r="T57" s="18">
        <f>'Data '!D57/'Data '!S57</f>
        <v>0.14995077447451771</v>
      </c>
      <c r="U57" s="18">
        <f>'Data '!E57/'Data '!T57</f>
        <v>0.2308297741255512</v>
      </c>
      <c r="V57" s="18">
        <f>'Data '!K57/'Data '!U57</f>
        <v>1.7970814534925559</v>
      </c>
      <c r="W57" s="18">
        <f>'Data '!G57/'Data '!V57</f>
        <v>0.18073877730593738</v>
      </c>
      <c r="X57" s="18"/>
      <c r="Y57" s="18">
        <f>'Data '!M57/'Data '!R57</f>
        <v>0.74340275050058435</v>
      </c>
      <c r="Z57" s="18">
        <f>'Data '!N57/'Data '!S57</f>
        <v>0.74009004274603074</v>
      </c>
      <c r="AA57" s="18">
        <f>'Data '!O57/'Data '!T57</f>
        <v>0.54534031797175753</v>
      </c>
      <c r="AB57" s="18">
        <f>'Data '!P57/'Data '!U57</f>
        <v>0.60101934928357825</v>
      </c>
      <c r="AC57" s="19">
        <f>'Data '!Q57/'Data '!V57</f>
        <v>0.58645847023093256</v>
      </c>
      <c r="AD57" s="7"/>
      <c r="AE57" s="41"/>
      <c r="AF57" s="11"/>
      <c r="AG57" s="21"/>
      <c r="AH57" s="7"/>
    </row>
    <row r="58" spans="1:34" ht="14.5">
      <c r="A58" s="36" t="s">
        <v>81</v>
      </c>
      <c r="B58" s="25">
        <f>'Data '!C58/'Data '!$B$22</f>
        <v>-1.178973090909091</v>
      </c>
      <c r="C58" s="25">
        <f>'Data '!D58/'Data '!$B$22</f>
        <v>-1.7717454545454547E-2</v>
      </c>
      <c r="D58" s="25">
        <f>'Data '!E58/'Data '!$B$22</f>
        <v>-0.90372972727272727</v>
      </c>
      <c r="E58" s="25">
        <f>'Data '!K58/'Data '!$B$22</f>
        <v>3.7058227272727273</v>
      </c>
      <c r="F58" s="25">
        <f>'Data '!L58/'Data '!$B$22</f>
        <v>3.0027465454545457</v>
      </c>
      <c r="G58" s="25"/>
      <c r="H58" s="15">
        <f t="shared" si="3"/>
        <v>0.98497212982885562</v>
      </c>
      <c r="I58" s="15">
        <f t="shared" si="4"/>
        <v>-50.007876157051079</v>
      </c>
      <c r="J58" s="15">
        <f t="shared" si="5"/>
        <v>5.1005873940388655</v>
      </c>
      <c r="K58" s="15">
        <f t="shared" si="6"/>
        <v>-0.18972202222301263</v>
      </c>
      <c r="L58" s="16"/>
      <c r="M58" s="18">
        <f>'Data '!C58/'Data '!H58</f>
        <v>-0.33536675023313811</v>
      </c>
      <c r="N58" s="18">
        <f>'Data '!D58/'Data '!I58</f>
        <v>-3.0537657666138687E-3</v>
      </c>
      <c r="O58" s="18">
        <f>'Data '!E58/'Data '!J58</f>
        <v>-0.17023710963003763</v>
      </c>
      <c r="P58" s="18">
        <f>'Data '!F58/'Data '!K58</f>
        <v>-0.21310787323634428</v>
      </c>
      <c r="Q58" s="15">
        <f>'Data '!G58/'Data '!L58</f>
        <v>-0.35956423773483498</v>
      </c>
      <c r="R58" s="18"/>
      <c r="S58" s="18">
        <f>'Data '!C58/'Data '!R58</f>
        <v>-0.59213605824717241</v>
      </c>
      <c r="T58" s="18">
        <f>'Data '!D58/'Data '!S58</f>
        <v>-9.0085455270319456E-3</v>
      </c>
      <c r="U58" s="18">
        <f>'Data '!E58/'Data '!T58</f>
        <v>-0.85546935675092228</v>
      </c>
      <c r="V58" s="18">
        <f>'Data '!K58/'Data '!U58</f>
        <v>2.0513427864874023</v>
      </c>
      <c r="W58" s="18">
        <f>'Data '!G58/'Data '!V58</f>
        <v>-0.64634220076664295</v>
      </c>
      <c r="X58" s="18"/>
      <c r="Y58" s="18">
        <f>'Data '!M58/'Data '!R58</f>
        <v>5.5605696324567919</v>
      </c>
      <c r="Z58" s="18">
        <f>'Data '!N58/'Data '!S58</f>
        <v>6.6220349563478997</v>
      </c>
      <c r="AA58" s="18">
        <f>'Data '!O58/'Data '!T58</f>
        <v>13.135249759628479</v>
      </c>
      <c r="AB58" s="18">
        <f>'Data '!P58/'Data '!U58</f>
        <v>7.8878155802624876</v>
      </c>
      <c r="AC58" s="19">
        <f>'Data '!Q58/'Data '!V58</f>
        <v>8.6850092095664113</v>
      </c>
      <c r="AD58" s="7"/>
      <c r="AE58" s="41"/>
      <c r="AF58" s="11"/>
      <c r="AG58" s="21"/>
      <c r="AH58" s="7"/>
    </row>
    <row r="59" spans="1:34" ht="14.5">
      <c r="A59" s="36" t="s">
        <v>82</v>
      </c>
      <c r="B59" s="25">
        <f>'Data '!C59/'Data '!$B$22</f>
        <v>0.15241099999999999</v>
      </c>
      <c r="C59" s="25">
        <f>'Data '!D59/'Data '!$B$22</f>
        <v>0.37369854545454545</v>
      </c>
      <c r="D59" s="25">
        <f>'Data '!E59/'Data '!$B$22</f>
        <v>-2.2878636363636365E-2</v>
      </c>
      <c r="E59" s="25">
        <f>'Data '!K59/'Data '!$B$22</f>
        <v>5.7898723636363636</v>
      </c>
      <c r="F59" s="25">
        <f>'Data '!L59/'Data '!$B$22</f>
        <v>5.8336522727272726</v>
      </c>
      <c r="G59" s="25"/>
      <c r="H59" s="15">
        <f t="shared" si="3"/>
        <v>1.4519132179077985</v>
      </c>
      <c r="I59" s="15">
        <f t="shared" si="4"/>
        <v>-1.0612221712980126</v>
      </c>
      <c r="J59" s="15">
        <f t="shared" si="5"/>
        <v>254.06894482744914</v>
      </c>
      <c r="K59" s="15">
        <f t="shared" si="6"/>
        <v>7.5614635938904837E-3</v>
      </c>
      <c r="L59" s="16"/>
      <c r="M59" s="18">
        <f>'Data '!C59/'Data '!H59</f>
        <v>3.1073741206741827E-2</v>
      </c>
      <c r="N59" s="18">
        <f>'Data '!D59/'Data '!I59</f>
        <v>6.363078515403657E-2</v>
      </c>
      <c r="O59" s="18">
        <f>'Data '!E59/'Data '!J59</f>
        <v>-5.1049128404060404E-3</v>
      </c>
      <c r="P59" s="18">
        <f>'Data '!F59/'Data '!K59</f>
        <v>2.2498910165958126E-2</v>
      </c>
      <c r="Q59" s="15">
        <f>'Data '!G59/'Data '!L59</f>
        <v>3.7136177359653452E-2</v>
      </c>
      <c r="R59" s="18"/>
      <c r="S59" s="18">
        <f>'Data '!C59/'Data '!R59</f>
        <v>5.9426820694991951E-2</v>
      </c>
      <c r="T59" s="18">
        <f>'Data '!D59/'Data '!S59</f>
        <v>0.13618483654277411</v>
      </c>
      <c r="U59" s="18">
        <f>'Data '!E59/'Data '!T59</f>
        <v>-8.5492151853411354E-3</v>
      </c>
      <c r="V59" s="18">
        <f>'Data '!K59/'Data '!U59</f>
        <v>2.1477847416983202</v>
      </c>
      <c r="W59" s="18">
        <f>'Data '!G59/'Data '!V59</f>
        <v>7.9702129122643281E-2</v>
      </c>
      <c r="X59" s="18"/>
      <c r="Y59" s="18">
        <f>'Data '!M59/'Data '!R59</f>
        <v>1.3087345060197215</v>
      </c>
      <c r="Z59" s="18">
        <f>'Data '!N59/'Data '!S59</f>
        <v>1.0874566012052373</v>
      </c>
      <c r="AA59" s="18">
        <f>'Data '!O59/'Data '!T59</f>
        <v>1.1542416815726901</v>
      </c>
      <c r="AB59" s="18">
        <f>'Data '!P59/'Data '!U59</f>
        <v>1.3299155408618226</v>
      </c>
      <c r="AC59" s="19">
        <f>'Data '!Q59/'Data '!V59</f>
        <v>1.256754179634656</v>
      </c>
      <c r="AD59" s="7"/>
      <c r="AE59" s="41">
        <v>18.510000000000002</v>
      </c>
      <c r="AF59" s="11"/>
      <c r="AG59" s="21"/>
      <c r="AH59" s="7"/>
    </row>
    <row r="60" spans="1:34" ht="14.5">
      <c r="A60" s="36" t="s">
        <v>83</v>
      </c>
      <c r="B60" s="25">
        <f>'Data '!C60/'Data '!$B$22</f>
        <v>0.93637999999999999</v>
      </c>
      <c r="C60" s="25">
        <f>'Data '!D60/'Data '!$B$22</f>
        <v>0.42408299999999999</v>
      </c>
      <c r="D60" s="25">
        <f>'Data '!E60/'Data '!$B$22</f>
        <v>0.12847772727272727</v>
      </c>
      <c r="E60" s="25">
        <f>'Data '!K60/'Data '!$B$22</f>
        <v>0.78992381818181823</v>
      </c>
      <c r="F60" s="25">
        <f>'Data '!L60/'Data '!$B$22</f>
        <v>0.45585545454545456</v>
      </c>
      <c r="G60" s="25"/>
      <c r="H60" s="15">
        <f t="shared" si="3"/>
        <v>-0.5471037399346419</v>
      </c>
      <c r="I60" s="15">
        <f t="shared" si="4"/>
        <v>-0.69704579699557101</v>
      </c>
      <c r="J60" s="15">
        <f t="shared" si="5"/>
        <v>5.1483327495745641</v>
      </c>
      <c r="K60" s="15">
        <f t="shared" si="6"/>
        <v>-0.42291212892566626</v>
      </c>
      <c r="L60" s="16"/>
      <c r="M60" s="18">
        <f>'Data '!C60/'Data '!H60</f>
        <v>0.2235087566488082</v>
      </c>
      <c r="N60" s="18">
        <f>'Data '!D60/'Data '!I60</f>
        <v>0.64480094146839873</v>
      </c>
      <c r="O60" s="18">
        <f>'Data '!E60/'Data '!J60</f>
        <v>0.18420619759608015</v>
      </c>
      <c r="P60" s="18">
        <f>'Data '!F60/'Data '!K60</f>
        <v>0.21557533396200923</v>
      </c>
      <c r="Q60" s="15">
        <f>'Data '!G60/'Data '!L60</f>
        <v>0.14365099782427046</v>
      </c>
      <c r="R60" s="18"/>
      <c r="S60" s="18">
        <f>'Data '!C60/'Data '!R60</f>
        <v>0.28015491262365766</v>
      </c>
      <c r="T60" s="18">
        <f>'Data '!D60/'Data '!S60</f>
        <v>0.12344642489310637</v>
      </c>
      <c r="U60" s="18">
        <f>'Data '!E60/'Data '!T60</f>
        <v>3.6285557249061004E-2</v>
      </c>
      <c r="V60" s="18">
        <f>'Data '!K60/'Data '!U60</f>
        <v>0.21268130688305042</v>
      </c>
      <c r="W60" s="18">
        <f>'Data '!G60/'Data '!V60</f>
        <v>1.7286215061513441E-2</v>
      </c>
      <c r="X60" s="18"/>
      <c r="Y60" s="18">
        <f>'Data '!M60/'Data '!R60</f>
        <v>0.68648207627391555</v>
      </c>
      <c r="Z60" s="18">
        <f>'Data '!N60/'Data '!S60</f>
        <v>0.50623375054857278</v>
      </c>
      <c r="AA60" s="18">
        <f>'Data '!O60/'Data '!T60</f>
        <v>0.43332609892728896</v>
      </c>
      <c r="AB60" s="18">
        <f>'Data '!P60/'Data '!U60</f>
        <v>0.50497967020986934</v>
      </c>
      <c r="AC60" s="19">
        <f>'Data '!Q60/'Data '!V60</f>
        <v>0.65357921062933577</v>
      </c>
      <c r="AD60" s="7"/>
      <c r="AE60" s="41">
        <v>62.08</v>
      </c>
      <c r="AF60" s="11"/>
      <c r="AG60" s="21"/>
      <c r="AH60" s="7"/>
    </row>
    <row r="61" spans="1:34" ht="14.5">
      <c r="A61" s="38" t="s">
        <v>84</v>
      </c>
      <c r="B61" s="25"/>
      <c r="C61" s="25">
        <f>'Data '!D61/'Data '!$B$22</f>
        <v>1.8330134545454546</v>
      </c>
      <c r="D61" s="25">
        <f>'Data '!E61/'Data '!$B$22</f>
        <v>1.6410237272727273</v>
      </c>
      <c r="E61" s="25">
        <f>'Data '!K61/'Data '!$B$22</f>
        <v>34.048484272727272</v>
      </c>
      <c r="F61" s="25">
        <f>'Data '!L61/'Data '!$B$22</f>
        <v>39.66397818181818</v>
      </c>
      <c r="G61" s="25"/>
      <c r="H61" s="15"/>
      <c r="I61" s="15">
        <f t="shared" si="4"/>
        <v>-0.10473994437773311</v>
      </c>
      <c r="J61" s="15">
        <f t="shared" si="5"/>
        <v>19.748319300241686</v>
      </c>
      <c r="K61" s="15">
        <f t="shared" si="6"/>
        <v>0.16492639919330862</v>
      </c>
      <c r="L61" s="16"/>
      <c r="M61" s="18"/>
      <c r="N61" s="18">
        <f>'Data '!D61/'Data '!I61</f>
        <v>6.3415799487475902E-2</v>
      </c>
      <c r="O61" s="18">
        <f>'Data '!E61/'Data '!J61</f>
        <v>4.964264577071234E-2</v>
      </c>
      <c r="P61" s="18">
        <f>'Data '!F61/'Data '!K61</f>
        <v>4.0249641122056944E-2</v>
      </c>
      <c r="Q61" s="15">
        <f>'Data '!G61/'Data '!L61</f>
        <v>3.4475134938099089E-2</v>
      </c>
      <c r="R61" s="18"/>
      <c r="S61" s="18"/>
      <c r="T61" s="18">
        <f>'Data '!D61/'Data '!S61</f>
        <v>0.20950773473022141</v>
      </c>
      <c r="U61" s="18">
        <f>'Data '!E61/'Data '!T61</f>
        <v>0.18505378358574837</v>
      </c>
      <c r="V61" s="18">
        <f>'Data '!K61/'Data '!U61</f>
        <v>3.7598733393818575</v>
      </c>
      <c r="W61" s="18">
        <f>'Data '!G61/'Data '!V61</f>
        <v>0.14336038973633375</v>
      </c>
      <c r="X61" s="18"/>
      <c r="Y61" s="18"/>
      <c r="Z61" s="18">
        <f>'Data '!N61/'Data '!S61</f>
        <v>0.88070850355343833</v>
      </c>
      <c r="AA61" s="18">
        <f>'Data '!O61/'Data '!T61</f>
        <v>1.136701715933581</v>
      </c>
      <c r="AB61" s="18">
        <f>'Data '!P61/'Data '!U61</f>
        <v>1.249192800923949</v>
      </c>
      <c r="AC61" s="19">
        <f>'Data '!Q61/'Data '!V61</f>
        <v>1.3368246349095441</v>
      </c>
      <c r="AD61" s="7"/>
      <c r="AE61" s="41">
        <v>12.56</v>
      </c>
      <c r="AF61" s="11"/>
      <c r="AG61" s="21"/>
      <c r="AH61" s="7"/>
    </row>
    <row r="62" spans="1:34" ht="14.5">
      <c r="A62" s="38" t="s">
        <v>85</v>
      </c>
      <c r="B62" s="25">
        <f>'Data '!C62/'Data '!$B$22</f>
        <v>-1.3912352727272728</v>
      </c>
      <c r="C62" s="25">
        <f>'Data '!D62/'Data '!$B$22</f>
        <v>0.20485318181818182</v>
      </c>
      <c r="D62" s="25">
        <f>'Data '!E62/'Data '!$B$22</f>
        <v>-1.2567001818181818</v>
      </c>
      <c r="E62" s="25">
        <f>'Data '!K62/'Data '!$B$22</f>
        <v>11.928089363636364</v>
      </c>
      <c r="F62" s="25">
        <f>'Data '!L62/'Data '!$B$22</f>
        <v>8.2336469090909095</v>
      </c>
      <c r="G62" s="25"/>
      <c r="H62" s="15">
        <f t="shared" si="3"/>
        <v>1.147245534837974</v>
      </c>
      <c r="I62" s="15">
        <f t="shared" si="4"/>
        <v>-7.1346383329968024</v>
      </c>
      <c r="J62" s="15">
        <f t="shared" si="5"/>
        <v>10.491595160254468</v>
      </c>
      <c r="K62" s="15">
        <f t="shared" si="6"/>
        <v>-0.30972625555675554</v>
      </c>
      <c r="L62" s="16"/>
      <c r="M62" s="18">
        <f>'Data '!C62/'Data '!H62</f>
        <v>-0.1202578279686989</v>
      </c>
      <c r="N62" s="18">
        <f>'Data '!D62/'Data '!I62</f>
        <v>1.4795132535763535E-2</v>
      </c>
      <c r="O62" s="18">
        <f>'Data '!E62/'Data '!J62</f>
        <v>-8.9641915367388553E-2</v>
      </c>
      <c r="P62" s="18">
        <f>'Data '!F62/'Data '!K62</f>
        <v>-0.16087144734594885</v>
      </c>
      <c r="Q62" s="15">
        <f>'Data '!G62/'Data '!L62</f>
        <v>-0.48047306243927079</v>
      </c>
      <c r="R62" s="18"/>
      <c r="S62" s="18">
        <f>'Data '!C62/'Data '!R62</f>
        <v>-0.21494909211410693</v>
      </c>
      <c r="T62" s="18">
        <f>'Data '!D62/'Data '!S62</f>
        <v>3.1153342461790724E-2</v>
      </c>
      <c r="U62" s="18">
        <f>'Data '!E62/'Data '!T62</f>
        <v>-0.22853033246788387</v>
      </c>
      <c r="V62" s="18">
        <f>'Data '!K62/'Data '!U62</f>
        <v>3.5245498038381169</v>
      </c>
      <c r="W62" s="18">
        <f>'Data '!G62/'Data '!V62</f>
        <v>4.2454874410491259</v>
      </c>
      <c r="X62" s="18"/>
      <c r="Y62" s="18">
        <f>'Data '!M62/'Data '!R62</f>
        <v>4.2903189527854506</v>
      </c>
      <c r="Z62" s="18">
        <f>'Data '!N62/'Data '!S62</f>
        <v>4.3762035018337517</v>
      </c>
      <c r="AA62" s="18">
        <f>'Data '!O62/'Data '!T62</f>
        <v>5.3908298607237626</v>
      </c>
      <c r="AB62" s="18">
        <f>'Data '!P62/'Data '!U62</f>
        <v>9.6495462278200588</v>
      </c>
      <c r="AC62" s="19">
        <f>'Data '!Q62/'Data '!V62</f>
        <v>-34.206366109076434</v>
      </c>
      <c r="AD62" s="7"/>
      <c r="AE62" s="41"/>
      <c r="AF62" s="11"/>
      <c r="AG62" s="21"/>
      <c r="AH62" s="7"/>
    </row>
    <row r="63" spans="1:34" ht="14.5">
      <c r="A63" s="38" t="s">
        <v>86</v>
      </c>
      <c r="B63" s="25">
        <f>'Data '!C63/'Data '!$B$22</f>
        <v>-0.54202499999999998</v>
      </c>
      <c r="C63" s="25">
        <f>'Data '!D63/'Data '!$B$22</f>
        <v>9.3246818181818181E-2</v>
      </c>
      <c r="D63" s="25">
        <f>'Data '!E63/'Data '!$B$22</f>
        <v>-0.43346918181818184</v>
      </c>
      <c r="E63" s="25">
        <f>'Data '!K63/'Data '!$B$22</f>
        <v>5.1568414545454546</v>
      </c>
      <c r="F63" s="25">
        <f>'Data '!L63/'Data '!$B$22</f>
        <v>3.4197003636363634</v>
      </c>
      <c r="G63" s="25"/>
      <c r="H63" s="15">
        <f t="shared" si="3"/>
        <v>1.1720341648112509</v>
      </c>
      <c r="I63" s="15">
        <f t="shared" si="4"/>
        <v>-5.6486216931603801</v>
      </c>
      <c r="J63" s="15">
        <f t="shared" si="5"/>
        <v>12.896673791006636</v>
      </c>
      <c r="K63" s="15">
        <f t="shared" si="6"/>
        <v>-0.3368614502154032</v>
      </c>
      <c r="L63" s="16"/>
      <c r="M63" s="18">
        <f>'Data '!C63/'Data '!H63</f>
        <v>-0.12477156524819744</v>
      </c>
      <c r="N63" s="18">
        <f>'Data '!D63/'Data '!I63</f>
        <v>1.6503272127689084E-2</v>
      </c>
      <c r="O63" s="18">
        <f>'Data '!E63/'Data '!J63</f>
        <v>-7.3809059901692065E-2</v>
      </c>
      <c r="P63" s="18">
        <f>'Data '!F63/'Data '!K63</f>
        <v>-0.17219192452829124</v>
      </c>
      <c r="Q63" s="15">
        <f>'Data '!G63/'Data '!L63</f>
        <v>-0.38610597036890842</v>
      </c>
      <c r="R63" s="18"/>
      <c r="S63" s="18">
        <f>'Data '!C63/'Data '!R63</f>
        <v>-0.14177773999537496</v>
      </c>
      <c r="T63" s="18">
        <f>'Data '!D63/'Data '!S63</f>
        <v>2.3909221530907653E-2</v>
      </c>
      <c r="U63" s="18">
        <f>'Data '!E63/'Data '!T63</f>
        <v>-0.12563253834001439</v>
      </c>
      <c r="V63" s="18">
        <f>'Data '!K63/'Data '!U63</f>
        <v>2.0254242892140724</v>
      </c>
      <c r="W63" s="18">
        <f>'Data '!G63/'Data '!V63</f>
        <v>-0.39971974548446959</v>
      </c>
      <c r="X63" s="18"/>
      <c r="Y63" s="18">
        <f>'Data '!M63/'Data '!R63</f>
        <v>2.219230947116988</v>
      </c>
      <c r="Z63" s="18">
        <f>'Data '!N63/'Data '!S63</f>
        <v>2.4761563373090776</v>
      </c>
      <c r="AA63" s="18">
        <f>'Data '!O63/'Data '!T63</f>
        <v>2.7618227411614709</v>
      </c>
      <c r="AB63" s="18">
        <f>'Data '!P63/'Data '!U63</f>
        <v>4.0972843405076889</v>
      </c>
      <c r="AC63" s="19">
        <f>'Data '!Q63/'Data '!V63</f>
        <v>2.9102227259958657</v>
      </c>
      <c r="AD63" s="7"/>
      <c r="AE63" s="41"/>
      <c r="AF63" s="11"/>
      <c r="AG63" s="21"/>
      <c r="AH63" s="7"/>
    </row>
    <row r="64" spans="1:34" ht="14.5">
      <c r="A64" s="38" t="s">
        <v>87</v>
      </c>
      <c r="B64" s="25">
        <f>'Data '!C64/'Data '!$B$22</f>
        <v>0.35291018181818185</v>
      </c>
      <c r="C64" s="25">
        <f>'Data '!D64/'Data '!$B$22</f>
        <v>-2.3163545454545454E-2</v>
      </c>
      <c r="D64" s="25">
        <f>'Data '!E64/'Data '!$B$22</f>
        <v>0.10875781818181818</v>
      </c>
      <c r="E64" s="25">
        <f>'Data '!K64/'Data '!$B$22</f>
        <v>6.044166818181818</v>
      </c>
      <c r="F64" s="25">
        <f>'Data '!L64/'Data '!$B$22</f>
        <v>6.5332875454545452</v>
      </c>
      <c r="G64" s="25"/>
      <c r="H64" s="15">
        <f t="shared" si="3"/>
        <v>-1.0656358094719955</v>
      </c>
      <c r="I64" s="15">
        <f t="shared" si="4"/>
        <v>5.6952146593981929</v>
      </c>
      <c r="J64" s="15">
        <f t="shared" si="5"/>
        <v>54.574550126385901</v>
      </c>
      <c r="K64" s="15">
        <f t="shared" si="6"/>
        <v>8.0924425481006576E-2</v>
      </c>
      <c r="L64" s="16"/>
      <c r="M64" s="18">
        <f>'Data '!C64/'Data '!H64</f>
        <v>0.11867814598528542</v>
      </c>
      <c r="N64" s="18">
        <f>'Data '!D64/'Data '!I64</f>
        <v>-6.3457361914694439E-3</v>
      </c>
      <c r="O64" s="18">
        <f>'Data '!E64/'Data '!J64</f>
        <v>2.3576520029841543E-2</v>
      </c>
      <c r="P64" s="18">
        <f>'Data '!F64/'Data '!K64</f>
        <v>5.8337148055672312E-2</v>
      </c>
      <c r="Q64" s="15">
        <f>'Data '!G64/'Data '!L64</f>
        <v>5.7104885368653949E-2</v>
      </c>
      <c r="R64" s="18"/>
      <c r="S64" s="18">
        <f>'Data '!C64/'Data '!R64</f>
        <v>0.14443532269865517</v>
      </c>
      <c r="T64" s="18">
        <f>'Data '!D64/'Data '!S64</f>
        <v>-9.7405121954520189E-3</v>
      </c>
      <c r="U64" s="18">
        <f>'Data '!E64/'Data '!T64</f>
        <v>4.3733688095736134E-2</v>
      </c>
      <c r="V64" s="18">
        <f>'Data '!K64/'Data '!U64</f>
        <v>2.1286627523370973</v>
      </c>
      <c r="W64" s="18">
        <f>'Data '!G64/'Data '!V64</f>
        <v>0.12413799841611647</v>
      </c>
      <c r="X64" s="18"/>
      <c r="Y64" s="18">
        <f>'Data '!M64/'Data '!R64</f>
        <v>1.6532395064732459</v>
      </c>
      <c r="Z64" s="18">
        <f>'Data '!N64/'Data '!S64</f>
        <v>1.5828701028790209</v>
      </c>
      <c r="AA64" s="18">
        <f>'Data '!O64/'Data '!T64</f>
        <v>1.6102345302445744</v>
      </c>
      <c r="AB64" s="18">
        <f>'Data '!P64/'Data '!U64</f>
        <v>2.02723485490761</v>
      </c>
      <c r="AC64" s="19">
        <f>'Data '!Q64/'Data '!V64</f>
        <v>1.7101697621745733</v>
      </c>
      <c r="AD64" s="7"/>
      <c r="AE64" s="41">
        <v>5.65</v>
      </c>
      <c r="AF64" s="11"/>
      <c r="AG64" s="21"/>
      <c r="AH64" s="7"/>
    </row>
    <row r="65" spans="1:34" ht="14.5">
      <c r="A65" s="38" t="s">
        <v>88</v>
      </c>
      <c r="B65" s="25">
        <f>'Data '!C65/'Data '!$B$22</f>
        <v>0.65110390909090909</v>
      </c>
      <c r="C65" s="25">
        <f>'Data '!D65/'Data '!$B$22</f>
        <v>0.69459936363636365</v>
      </c>
      <c r="D65" s="25">
        <f>'Data '!E65/'Data '!$B$22</f>
        <v>0.85250581818181814</v>
      </c>
      <c r="E65" s="25">
        <f>'Data '!K65/'Data '!$B$22</f>
        <v>1.6664828181818181</v>
      </c>
      <c r="F65" s="25">
        <f>'Data '!L65/'Data '!$B$22</f>
        <v>1.7068562727272727</v>
      </c>
      <c r="G65" s="25"/>
      <c r="H65" s="15">
        <f t="shared" si="3"/>
        <v>6.6802631558738793E-2</v>
      </c>
      <c r="I65" s="15">
        <f t="shared" si="4"/>
        <v>0.22733457992069456</v>
      </c>
      <c r="J65" s="15">
        <f t="shared" si="5"/>
        <v>0.95480521380605876</v>
      </c>
      <c r="K65" s="15">
        <f t="shared" si="6"/>
        <v>2.4226745157506772E-2</v>
      </c>
      <c r="L65" s="16"/>
      <c r="M65" s="18">
        <f>'Data '!C65/'Data '!H65</f>
        <v>0.77291203525841634</v>
      </c>
      <c r="N65" s="18">
        <f>'Data '!D65/'Data '!I65</f>
        <v>0.423061683475419</v>
      </c>
      <c r="O65" s="18">
        <f>'Data '!E65/'Data '!J65</f>
        <v>0.46321912147579841</v>
      </c>
      <c r="P65" s="18">
        <f>'Data '!F65/'Data '!K65</f>
        <v>0.47442586075813126</v>
      </c>
      <c r="Q65" s="15">
        <f>'Data '!G65/'Data '!L65</f>
        <v>0.47583065922523488</v>
      </c>
      <c r="R65" s="18"/>
      <c r="S65" s="18">
        <f>'Data '!C65/'Data '!R65</f>
        <v>0.15039555845971986</v>
      </c>
      <c r="T65" s="18">
        <f>'Data '!D65/'Data '!S65</f>
        <v>0.15131999915473346</v>
      </c>
      <c r="U65" s="18">
        <f>'Data '!E65/'Data '!T65</f>
        <v>0.171400530266029</v>
      </c>
      <c r="V65" s="18">
        <f>'Data '!K65/'Data '!U65</f>
        <v>0.32090667771641074</v>
      </c>
      <c r="W65" s="18">
        <f>'Data '!G65/'Data '!V65</f>
        <v>0.14972441427926514</v>
      </c>
      <c r="X65" s="18"/>
      <c r="Y65" s="18">
        <f>'Data '!M65/'Data '!R65</f>
        <v>0.20390813597687693</v>
      </c>
      <c r="Z65" s="18">
        <f>'Data '!N65/'Data '!S65</f>
        <v>0.22974437480369783</v>
      </c>
      <c r="AA65" s="18">
        <f>'Data '!O65/'Data '!T65</f>
        <v>0.22155504466472678</v>
      </c>
      <c r="AB65" s="18">
        <f>'Data '!P65/'Data '!U65</f>
        <v>0.2763461339331566</v>
      </c>
      <c r="AC65" s="19">
        <f>'Data '!Q65/'Data '!V65</f>
        <v>0.16687475038375396</v>
      </c>
      <c r="AD65" s="7"/>
      <c r="AE65" s="41">
        <v>10.69</v>
      </c>
      <c r="AF65" s="11"/>
      <c r="AG65" s="21"/>
      <c r="AH65" s="7"/>
    </row>
    <row r="66" spans="1:34" ht="14.5">
      <c r="A66" s="38" t="s">
        <v>89</v>
      </c>
      <c r="B66" s="25"/>
      <c r="C66" s="25">
        <f>'Data '!D66/'Data '!$B$22</f>
        <v>0.41543318181818184</v>
      </c>
      <c r="D66" s="25">
        <f>'Data '!E66/'Data '!$B$22</f>
        <v>0.57905263636363635</v>
      </c>
      <c r="E66" s="25">
        <f>'Data '!K66/'Data '!$B$22</f>
        <v>7.2705297272727272</v>
      </c>
      <c r="F66" s="25">
        <f>'Data '!L66/'Data '!$B$22</f>
        <v>9.9264469090909095</v>
      </c>
      <c r="G66" s="25"/>
      <c r="H66" s="15"/>
      <c r="I66" s="15">
        <f t="shared" si="4"/>
        <v>0.39385263793652397</v>
      </c>
      <c r="J66" s="15">
        <f t="shared" si="5"/>
        <v>11.555904715209593</v>
      </c>
      <c r="K66" s="15">
        <f t="shared" si="6"/>
        <v>0.36529899215671763</v>
      </c>
      <c r="L66" s="16"/>
      <c r="M66" s="18"/>
      <c r="N66" s="18">
        <f>'Data '!D66/'Data '!I66</f>
        <v>6.3793417858700532E-2</v>
      </c>
      <c r="O66" s="18">
        <f>'Data '!E66/'Data '!J66</f>
        <v>5.6343138843305232E-2</v>
      </c>
      <c r="P66" s="18">
        <f>'Data '!F66/'Data '!K66</f>
        <v>1.6827009491255401E-2</v>
      </c>
      <c r="Q66" s="15">
        <f>'Data '!G66/'Data '!L66</f>
        <v>5.3328895967866045E-2</v>
      </c>
      <c r="R66" s="18"/>
      <c r="S66" s="18"/>
      <c r="T66" s="18">
        <f>'Data '!D66/'Data '!S66</f>
        <v>0.16231555147839599</v>
      </c>
      <c r="U66" s="18">
        <f>'Data '!E66/'Data '!T66</f>
        <v>0.20887025335570436</v>
      </c>
      <c r="V66" s="18">
        <f>'Data '!K66/'Data '!U66</f>
        <v>2.9358472883293429</v>
      </c>
      <c r="W66" s="18">
        <f>'Data '!G66/'Data '!V66</f>
        <v>0.18745167865577356</v>
      </c>
      <c r="X66" s="18"/>
      <c r="Y66" s="18"/>
      <c r="Z66" s="18">
        <f>'Data '!N66/'Data '!S66</f>
        <v>1.0818115645441555</v>
      </c>
      <c r="AA66" s="18">
        <f>'Data '!O66/'Data '!T66</f>
        <v>1.5845585624002267</v>
      </c>
      <c r="AB66" s="18">
        <f>'Data '!P66/'Data '!U66</f>
        <v>1.5379195951417599</v>
      </c>
      <c r="AC66" s="19">
        <f>'Data '!Q66/'Data '!V66</f>
        <v>2.4453596395667536</v>
      </c>
      <c r="AD66" s="7"/>
      <c r="AE66" s="41">
        <v>13.25</v>
      </c>
      <c r="AF66" s="11"/>
      <c r="AG66" s="21"/>
      <c r="AH66" s="7"/>
    </row>
    <row r="67" spans="1:34" ht="14.5">
      <c r="A67" s="38" t="s">
        <v>90</v>
      </c>
      <c r="B67" s="25">
        <f>'Data '!C67/'Data '!$B$22</f>
        <v>12.977474727272726</v>
      </c>
      <c r="C67" s="25">
        <f>'Data '!D67/'Data '!$B$22</f>
        <v>2.1986255454545454</v>
      </c>
      <c r="D67" s="25">
        <f>'Data '!E67/'Data '!$B$22</f>
        <v>1.0838850909090909</v>
      </c>
      <c r="E67" s="25">
        <f>'Data '!K67/'Data '!$B$22</f>
        <v>12.650447909090909</v>
      </c>
      <c r="F67" s="25">
        <f>'Data '!L67/'Data '!$B$22</f>
        <v>13.018747272727273</v>
      </c>
      <c r="G67" s="25"/>
      <c r="H67" s="15">
        <f t="shared" si="3"/>
        <v>-0.83058140418998172</v>
      </c>
      <c r="I67" s="15">
        <f t="shared" si="4"/>
        <v>-0.50701696650895245</v>
      </c>
      <c r="J67" s="15">
        <f t="shared" si="5"/>
        <v>10.671392120063718</v>
      </c>
      <c r="K67" s="15">
        <f t="shared" si="6"/>
        <v>2.9113543353014044E-2</v>
      </c>
      <c r="L67" s="16"/>
      <c r="M67" s="18">
        <f>'Data '!C67/'Data '!H67</f>
        <v>1.8787220177594703</v>
      </c>
      <c r="N67" s="18">
        <f>'Data '!D67/'Data '!I67</f>
        <v>0.19630371874448541</v>
      </c>
      <c r="O67" s="18">
        <f>'Data '!E67/'Data '!J67</f>
        <v>7.8219747616424612E-2</v>
      </c>
      <c r="P67" s="18">
        <f>'Data '!F67/'Data '!K67</f>
        <v>-1.1287045553191228E-2</v>
      </c>
      <c r="Q67" s="15">
        <f>'Data '!G67/'Data '!L67</f>
        <v>-6.9334655994690728E-2</v>
      </c>
      <c r="R67" s="18"/>
      <c r="S67" s="18">
        <f>'Data '!C67/'Data '!R67</f>
        <v>-1.5311719828398569</v>
      </c>
      <c r="T67" s="18">
        <f>'Data '!D67/'Data '!S67</f>
        <v>4.8007059067334472</v>
      </c>
      <c r="U67" s="18">
        <f>'Data '!E67/'Data '!T67</f>
        <v>0.70544876717982996</v>
      </c>
      <c r="V67" s="18">
        <f>'Data '!K67/'Data '!U67</f>
        <v>9.1915899434421835</v>
      </c>
      <c r="W67" s="18">
        <f>'Data '!G67/'Data '!V67</f>
        <v>-1.9057068788444866</v>
      </c>
      <c r="X67" s="18"/>
      <c r="Y67" s="18">
        <f>'Data '!M67/'Data '!R67</f>
        <v>-1.954594501503802</v>
      </c>
      <c r="Z67" s="18">
        <f>'Data '!N67/'Data '!S67</f>
        <v>36.694771859646004</v>
      </c>
      <c r="AA67" s="18">
        <f>'Data '!O67/'Data '!T67</f>
        <v>12.541066748776576</v>
      </c>
      <c r="AB67" s="18">
        <f>'Data '!P67/'Data '!U67</f>
        <v>14.042671114230277</v>
      </c>
      <c r="AC67" s="19">
        <f>'Data '!Q67/'Data '!V67</f>
        <v>38.28093280496163</v>
      </c>
      <c r="AD67" s="7"/>
      <c r="AE67" s="41"/>
      <c r="AF67" s="11"/>
      <c r="AG67" s="21"/>
      <c r="AH67" s="7"/>
    </row>
    <row r="68" spans="1:34" ht="14.5">
      <c r="A68" s="38" t="s">
        <v>91</v>
      </c>
      <c r="B68" s="25">
        <f>'Data '!C68/'Data '!$B$22</f>
        <v>-0.65951927272727273</v>
      </c>
      <c r="C68" s="25">
        <f>'Data '!D68/'Data '!$B$22</f>
        <v>-0.65951927272727273</v>
      </c>
      <c r="D68" s="25">
        <f>'Data '!E68/'Data '!$B$22</f>
        <v>-0.17303427272727273</v>
      </c>
      <c r="E68" s="25">
        <f>'Data '!K68/'Data '!$B$22</f>
        <v>8.8409774545454543</v>
      </c>
      <c r="F68" s="25">
        <f>'Data '!L68/'Data '!$B$22</f>
        <v>6.7251070000000004</v>
      </c>
      <c r="G68" s="25"/>
      <c r="H68" s="15">
        <f t="shared" si="3"/>
        <v>0</v>
      </c>
      <c r="I68" s="15">
        <f t="shared" si="4"/>
        <v>0.73763576004119802</v>
      </c>
      <c r="J68" s="15">
        <f t="shared" si="5"/>
        <v>52.093793820141777</v>
      </c>
      <c r="K68" s="15">
        <f t="shared" si="6"/>
        <v>-0.2393253987383048</v>
      </c>
      <c r="L68" s="16"/>
      <c r="M68" s="18">
        <f>'Data '!C68/'Data '!H68</f>
        <v>-0.10564074206925068</v>
      </c>
      <c r="N68" s="18">
        <f>'Data '!D68/'Data '!I68</f>
        <v>-0.10564074206925068</v>
      </c>
      <c r="O68" s="18">
        <f>'Data '!E68/'Data '!J68</f>
        <v>-2.3615204732924364E-2</v>
      </c>
      <c r="P68" s="18">
        <f>'Data '!F68/'Data '!K68</f>
        <v>1.1912699657067947E-2</v>
      </c>
      <c r="Q68" s="15">
        <f>'Data '!G68/'Data '!L68</f>
        <v>-1.170699859226302E-2</v>
      </c>
      <c r="R68" s="18"/>
      <c r="S68" s="18">
        <f>'Data '!C68/'Data '!R68</f>
        <v>-0.2750827508684599</v>
      </c>
      <c r="T68" s="18">
        <f>'Data '!D68/'Data '!S68</f>
        <v>-0.2750827508684599</v>
      </c>
      <c r="U68" s="18">
        <f>'Data '!E68/'Data '!T68</f>
        <v>-7.5717356430654845E-2</v>
      </c>
      <c r="V68" s="18">
        <f>'Data '!K68/'Data '!U68</f>
        <v>3.6084178896294983</v>
      </c>
      <c r="W68" s="18">
        <f>'Data '!G68/'Data '!V68</f>
        <v>-4.3427056836687974E-2</v>
      </c>
      <c r="X68" s="18"/>
      <c r="Y68" s="18">
        <f>'Data '!M68/'Data '!R68</f>
        <v>5.7637399240544296</v>
      </c>
      <c r="Z68" s="18">
        <f>'Data '!N68/'Data '!S68</f>
        <v>5.7637399240544296</v>
      </c>
      <c r="AA68" s="18">
        <f>'Data '!O68/'Data '!T68</f>
        <v>5.8621059847349359</v>
      </c>
      <c r="AB68" s="18">
        <f>'Data '!P68/'Data '!U68</f>
        <v>6.0122832192463695</v>
      </c>
      <c r="AC68" s="19">
        <f>'Data '!Q68/'Data '!V68</f>
        <v>8.4068147723368867</v>
      </c>
      <c r="AD68" s="7"/>
      <c r="AE68" s="41"/>
      <c r="AF68" s="11"/>
      <c r="AG68" s="21"/>
      <c r="AH68" s="7"/>
    </row>
    <row r="69" spans="1:34" ht="14.5">
      <c r="A69" s="38" t="s">
        <v>92</v>
      </c>
      <c r="B69" s="25"/>
      <c r="C69" s="25">
        <f>'Data '!D69/'Data '!$B$22</f>
        <v>-2.1762E-2</v>
      </c>
      <c r="D69" s="25">
        <f>'Data '!E69/'Data '!$B$22</f>
        <v>-1.9003454545454546E-2</v>
      </c>
      <c r="E69" s="25">
        <f>'Data '!K69/'Data '!$B$22</f>
        <v>5.879009090909091E-2</v>
      </c>
      <c r="F69" s="25">
        <f>'Data '!L69/'Data '!$B$22</f>
        <v>7.355436363636364E-2</v>
      </c>
      <c r="G69" s="25"/>
      <c r="H69" s="15"/>
      <c r="I69" s="15">
        <f t="shared" si="4"/>
        <v>0.12675973966296547</v>
      </c>
      <c r="J69" s="15">
        <f t="shared" si="5"/>
        <v>4.0936528286722984</v>
      </c>
      <c r="K69" s="15">
        <f t="shared" si="6"/>
        <v>0.2511353954206878</v>
      </c>
      <c r="L69" s="16"/>
      <c r="M69" s="18"/>
      <c r="N69" s="18">
        <f>'Data '!D69/'Data '!I69</f>
        <v>-0.12743829239012677</v>
      </c>
      <c r="O69" s="18">
        <f>'Data '!E69/'Data '!J69</f>
        <v>-0.10799659846724372</v>
      </c>
      <c r="P69" s="18">
        <f>'Data '!F69/'Data '!K69</f>
        <v>-0.49088049779570148</v>
      </c>
      <c r="Q69" s="15">
        <f>'Data '!G69/'Data '!L69</f>
        <v>-0.41407962941448379</v>
      </c>
      <c r="R69" s="18"/>
      <c r="S69" s="18"/>
      <c r="T69" s="18">
        <f>'Data '!D69/'Data '!S69</f>
        <v>0.35752349318055548</v>
      </c>
      <c r="U69" s="18">
        <f>'Data '!E69/'Data '!T69</f>
        <v>0.23916077835542213</v>
      </c>
      <c r="V69" s="18">
        <f>'Data '!K69/'Data '!U69</f>
        <v>-0.54457685023549252</v>
      </c>
      <c r="W69" s="18">
        <f>'Data '!G69/'Data '!V69</f>
        <v>0.22035844726784096</v>
      </c>
      <c r="X69" s="18"/>
      <c r="Y69" s="18"/>
      <c r="Z69" s="18">
        <f>'Data '!N69/'Data '!S69</f>
        <v>-2.7289756196643746</v>
      </c>
      <c r="AA69" s="18">
        <f>'Data '!O69/'Data '!T69</f>
        <v>-2.4578284030167681</v>
      </c>
      <c r="AB69" s="18">
        <f>'Data '!P69/'Data '!U69</f>
        <v>-2.0988790840674318</v>
      </c>
      <c r="AC69" s="19">
        <f>'Data '!Q69/'Data '!V69</f>
        <v>-1.725247650111057</v>
      </c>
      <c r="AD69" s="7"/>
      <c r="AE69" s="41"/>
      <c r="AF69" s="11"/>
      <c r="AG69" s="21"/>
      <c r="AH69" s="7"/>
    </row>
    <row r="70" spans="1:34" ht="14.5">
      <c r="A70" s="38" t="s">
        <v>93</v>
      </c>
      <c r="B70" s="25">
        <f>'Data '!C70/'Data '!$B$22</f>
        <v>6.6422727272727276</v>
      </c>
      <c r="C70" s="25">
        <f>'Data '!D70/'Data '!$B$22</f>
        <v>12.528181818181817</v>
      </c>
      <c r="D70" s="25">
        <f>'Data '!E70/'Data '!$B$22</f>
        <v>11.377090909090908</v>
      </c>
      <c r="E70" s="25">
        <f>'Data '!K70/'Data '!$B$22</f>
        <v>67.695181818181823</v>
      </c>
      <c r="F70" s="25">
        <f>'Data '!L70/'Data '!$B$22</f>
        <v>76.425181818181812</v>
      </c>
      <c r="G70" s="25"/>
      <c r="H70" s="15">
        <f t="shared" si="3"/>
        <v>0.88612878943406537</v>
      </c>
      <c r="I70" s="15">
        <f t="shared" si="4"/>
        <v>-9.1880124809520361E-2</v>
      </c>
      <c r="J70" s="15">
        <f t="shared" si="5"/>
        <v>4.950131044842907</v>
      </c>
      <c r="K70" s="15">
        <f t="shared" si="6"/>
        <v>0.1289604336014244</v>
      </c>
      <c r="L70" s="16"/>
      <c r="M70" s="18">
        <f>'Data '!C70/'Data '!H70</f>
        <v>0.13050747249724481</v>
      </c>
      <c r="N70" s="18">
        <f>'Data '!D70/'Data '!I70</f>
        <v>0.22197274024631067</v>
      </c>
      <c r="O70" s="18">
        <f>'Data '!E70/'Data '!J70</f>
        <v>0.1759097483529721</v>
      </c>
      <c r="P70" s="18">
        <f>'Data '!F70/'Data '!K70</f>
        <v>0.19200775669545436</v>
      </c>
      <c r="Q70" s="15">
        <f>'Data '!G70/'Data '!L70</f>
        <v>8.4489048707172915E-2</v>
      </c>
      <c r="R70" s="18"/>
      <c r="S70" s="18">
        <f>'Data '!C70/'Data '!R70</f>
        <v>6.8065773158805229E-2</v>
      </c>
      <c r="T70" s="18">
        <f>'Data '!D70/'Data '!S70</f>
        <v>0.11637638018029429</v>
      </c>
      <c r="U70" s="18">
        <f>'Data '!E70/'Data '!T70</f>
        <v>9.9232610029829735E-2</v>
      </c>
      <c r="V70" s="18">
        <f>'Data '!K70/'Data '!U70</f>
        <v>0.54478499689800886</v>
      </c>
      <c r="W70" s="18">
        <f>'Data '!G70/'Data '!V70</f>
        <v>4.4086949882967359E-2</v>
      </c>
      <c r="X70" s="18"/>
      <c r="Y70" s="18">
        <f>'Data '!M70/'Data '!R70</f>
        <v>11.071466034187063</v>
      </c>
      <c r="Z70" s="18">
        <f>'Data '!N70/'Data '!S70</f>
        <v>9.7774281672894627</v>
      </c>
      <c r="AA70" s="18">
        <f>'Data '!O70/'Data '!T70</f>
        <v>10.152785773075221</v>
      </c>
      <c r="AB70" s="18">
        <f>'Data '!P70/'Data '!U70</f>
        <v>9.2871514649592051</v>
      </c>
      <c r="AC70" s="19">
        <f>'Data '!Q70/'Data '!V70</f>
        <v>8.4753914898556193</v>
      </c>
      <c r="AD70" s="7"/>
      <c r="AE70" s="41">
        <v>4.57</v>
      </c>
      <c r="AF70" s="11"/>
      <c r="AG70" s="21"/>
      <c r="AH70" s="7"/>
    </row>
    <row r="71" spans="1:34" ht="14.5">
      <c r="A71" s="38" t="s">
        <v>94</v>
      </c>
      <c r="B71" s="25">
        <f>'Data '!C71/'Data '!$B$22</f>
        <v>0.87838809090909087</v>
      </c>
      <c r="C71" s="25">
        <f>'Data '!D71/'Data '!$B$22</f>
        <v>1.1952685454545455</v>
      </c>
      <c r="D71" s="25">
        <f>'Data '!E71/'Data '!$B$22</f>
        <v>1.2096719090909092</v>
      </c>
      <c r="E71" s="25">
        <f>'Data '!K71/'Data '!$B$22</f>
        <v>1.2660181818181817</v>
      </c>
      <c r="F71" s="25">
        <f>'Data '!L71/'Data '!$B$22</f>
        <v>1.2659348181818182</v>
      </c>
      <c r="G71" s="25"/>
      <c r="H71" s="15">
        <f t="shared" si="3"/>
        <v>0.36075222082928982</v>
      </c>
      <c r="I71" s="15">
        <f t="shared" si="4"/>
        <v>1.2050315965510674E-2</v>
      </c>
      <c r="J71" s="15">
        <f t="shared" si="5"/>
        <v>4.657979763258107E-2</v>
      </c>
      <c r="K71" s="15">
        <f t="shared" si="6"/>
        <v>-6.5847108328095566E-5</v>
      </c>
      <c r="L71" s="16"/>
      <c r="M71" s="18">
        <f>'Data '!C71/'Data '!H71</f>
        <v>1.169112453943733</v>
      </c>
      <c r="N71" s="18">
        <f>'Data '!D71/'Data '!I71</f>
        <v>1.387592088713332</v>
      </c>
      <c r="O71" s="18">
        <f>'Data '!E71/'Data '!J71</f>
        <v>1.1741543795571487</v>
      </c>
      <c r="P71" s="18">
        <f>'Data '!F71/'Data '!K71</f>
        <v>0.94609096523100344</v>
      </c>
      <c r="Q71" s="15">
        <f>'Data '!G71/'Data '!L71</f>
        <v>0.7909318611334506</v>
      </c>
      <c r="R71" s="18"/>
      <c r="S71" s="18">
        <f>'Data '!C71/'Data '!R71</f>
        <v>0.13758305623122971</v>
      </c>
      <c r="T71" s="18">
        <f>'Data '!D71/'Data '!S71</f>
        <v>0.16289043774653944</v>
      </c>
      <c r="U71" s="18">
        <f>'Data '!E71/'Data '!T71</f>
        <v>0.14606097977583579</v>
      </c>
      <c r="V71" s="18">
        <f>'Data '!K71/'Data '!U71</f>
        <v>0.13794972427836</v>
      </c>
      <c r="W71" s="18">
        <f>'Data '!G71/'Data '!V71</f>
        <v>0.10200787209084643</v>
      </c>
      <c r="X71" s="18"/>
      <c r="Y71" s="18">
        <f>'Data '!M71/'Data '!R71</f>
        <v>3.965593118680693</v>
      </c>
      <c r="Z71" s="18">
        <f>'Data '!N71/'Data '!S71</f>
        <v>3.7388578270361883</v>
      </c>
      <c r="AA71" s="18">
        <f>'Data '!O71/'Data '!T71</f>
        <v>3.8680602189989739</v>
      </c>
      <c r="AB71" s="18">
        <f>'Data '!P71/'Data '!U71</f>
        <v>-8.5623531277778557</v>
      </c>
      <c r="AC71" s="19">
        <f>'Data '!Q71/'Data '!V71</f>
        <v>4.2282310355238053</v>
      </c>
      <c r="AD71" s="7"/>
      <c r="AE71" s="41">
        <v>15.21</v>
      </c>
      <c r="AF71" s="11"/>
      <c r="AG71" s="21"/>
      <c r="AH71" s="7"/>
    </row>
    <row r="72" spans="1:34" ht="14.5">
      <c r="A72" s="38" t="s">
        <v>95</v>
      </c>
      <c r="B72" s="25">
        <f>'Data '!C72/'Data '!$B$22</f>
        <v>0.40801618181818183</v>
      </c>
      <c r="C72" s="25">
        <f>'Data '!D72/'Data '!$B$22</f>
        <v>0.35972590909090907</v>
      </c>
      <c r="D72" s="25">
        <f>'Data '!E72/'Data '!$B$22</f>
        <v>0.28805700000000001</v>
      </c>
      <c r="E72" s="25">
        <f>'Data '!K72/'Data '!$B$22</f>
        <v>0.16021927272727274</v>
      </c>
      <c r="F72" s="25">
        <f>'Data '!L72/'Data '!$B$22</f>
        <v>0.30777090909090909</v>
      </c>
      <c r="G72" s="25"/>
      <c r="H72" s="15">
        <f t="shared" si="3"/>
        <v>-0.11835381751793275</v>
      </c>
      <c r="I72" s="15">
        <f t="shared" si="4"/>
        <v>-0.19923199102346856</v>
      </c>
      <c r="J72" s="15">
        <f t="shared" si="5"/>
        <v>-0.44379316341115566</v>
      </c>
      <c r="K72" s="15">
        <f t="shared" si="6"/>
        <v>0.92093562685683017</v>
      </c>
      <c r="L72" s="16"/>
      <c r="M72" s="18">
        <f>'Data '!C72/'Data '!H72</f>
        <v>0.89526172401260817</v>
      </c>
      <c r="N72" s="18">
        <f>'Data '!D72/'Data '!I72</f>
        <v>0.86919632972385941</v>
      </c>
      <c r="O72" s="18">
        <f>'Data '!E72/'Data '!J72</f>
        <v>0.88727433305182135</v>
      </c>
      <c r="P72" s="18">
        <f>'Data '!F72/'Data '!K72</f>
        <v>0.80977660161188192</v>
      </c>
      <c r="Q72" s="15">
        <f>'Data '!G72/'Data '!L72</f>
        <v>0.91900055531268832</v>
      </c>
      <c r="R72" s="18"/>
      <c r="S72" s="18">
        <f>'Data '!C72/'Data '!R72</f>
        <v>0.23682363296367692</v>
      </c>
      <c r="T72" s="18">
        <f>'Data '!D72/'Data '!S72</f>
        <v>0.20926963826096007</v>
      </c>
      <c r="U72" s="18">
        <f>'Data '!E72/'Data '!T72</f>
        <v>0.17431900171506298</v>
      </c>
      <c r="V72" s="18">
        <f>'Data '!K72/'Data '!U72</f>
        <v>0.10303892002102626</v>
      </c>
      <c r="W72" s="18">
        <f>'Data '!G72/'Data '!V72</f>
        <v>0.17562259142243689</v>
      </c>
      <c r="X72" s="18"/>
      <c r="Y72" s="18">
        <f>'Data '!M72/'Data '!R72</f>
        <v>0</v>
      </c>
      <c r="Z72" s="18">
        <f>'Data '!N72/'Data '!S72</f>
        <v>0</v>
      </c>
      <c r="AA72" s="18">
        <f>'Data '!O72/'Data '!T72</f>
        <v>0</v>
      </c>
      <c r="AB72" s="18">
        <f>'Data '!P72/'Data '!U72</f>
        <v>0</v>
      </c>
      <c r="AC72" s="19">
        <f>'Data '!Q72/'Data '!V72</f>
        <v>0</v>
      </c>
      <c r="AD72" s="7"/>
      <c r="AE72" s="41">
        <v>13.44</v>
      </c>
      <c r="AF72" s="11"/>
      <c r="AG72" s="21"/>
      <c r="AH72" s="7"/>
    </row>
    <row r="73" spans="1:34" ht="14.5">
      <c r="A73" s="38" t="s">
        <v>96</v>
      </c>
      <c r="B73" s="25">
        <f>'Data '!C73/'Data '!$B$22</f>
        <v>0.29351272727272726</v>
      </c>
      <c r="C73" s="25">
        <f>'Data '!D73/'Data '!$B$22</f>
        <v>0.81359018181818177</v>
      </c>
      <c r="D73" s="25">
        <f>'Data '!E73/'Data '!$B$22</f>
        <v>0.6805903636363636</v>
      </c>
      <c r="E73" s="25">
        <f>'Data '!K73/'Data '!$B$22</f>
        <v>2.7771761818181817</v>
      </c>
      <c r="F73" s="25">
        <f>'Data '!L73/'Data '!$B$22</f>
        <v>2.9873704545454545</v>
      </c>
      <c r="G73" s="25"/>
      <c r="H73" s="15">
        <f t="shared" si="3"/>
        <v>1.7719076762971406</v>
      </c>
      <c r="I73" s="15">
        <f t="shared" si="4"/>
        <v>-0.16347274236347714</v>
      </c>
      <c r="J73" s="15">
        <f t="shared" si="5"/>
        <v>3.0805399697107885</v>
      </c>
      <c r="K73" s="15">
        <f t="shared" si="6"/>
        <v>7.5686329914316508E-2</v>
      </c>
      <c r="L73" s="16"/>
      <c r="M73" s="18">
        <f>'Data '!C73/'Data '!H73</f>
        <v>0.16045605811771066</v>
      </c>
      <c r="N73" s="18">
        <f>'Data '!D73/'Data '!I73</f>
        <v>0.32401746535169657</v>
      </c>
      <c r="O73" s="18">
        <f>'Data '!E73/'Data '!J73</f>
        <v>0.25560313836452714</v>
      </c>
      <c r="P73" s="18">
        <f>'Data '!F73/'Data '!K73</f>
        <v>0.28876807435990082</v>
      </c>
      <c r="Q73" s="15">
        <f>'Data '!G73/'Data '!L73</f>
        <v>0.30442887215345205</v>
      </c>
      <c r="R73" s="18"/>
      <c r="S73" s="18">
        <f>'Data '!C73/'Data '!R73</f>
        <v>5.8545148419704943E-2</v>
      </c>
      <c r="T73" s="18">
        <f>'Data '!D73/'Data '!S73</f>
        <v>0.14317911645887291</v>
      </c>
      <c r="U73" s="18">
        <f>'Data '!E73/'Data '!T73</f>
        <v>0.1126603029182375</v>
      </c>
      <c r="V73" s="18">
        <f>'Data '!K73/'Data '!U73</f>
        <v>0.43050094916428616</v>
      </c>
      <c r="W73" s="18">
        <f>'Data '!G73/'Data '!V73</f>
        <v>0.13069720711027319</v>
      </c>
      <c r="X73" s="18"/>
      <c r="Y73" s="18">
        <f>'Data '!M73/'Data '!R73</f>
        <v>7.5372871001028399</v>
      </c>
      <c r="Z73" s="18">
        <f>'Data '!N73/'Data '!S73</f>
        <v>5.950909221399284</v>
      </c>
      <c r="AA73" s="18">
        <f>'Data '!O73/'Data '!T73</f>
        <v>5.516020626941958</v>
      </c>
      <c r="AB73" s="18">
        <f>'Data '!P73/'Data '!U73</f>
        <v>5.283671685491087</v>
      </c>
      <c r="AC73" s="19">
        <f>'Data '!Q73/'Data '!V73</f>
        <v>5.2336514011873412</v>
      </c>
      <c r="AD73" s="7"/>
      <c r="AE73" s="41">
        <v>7.83</v>
      </c>
      <c r="AF73" s="11"/>
      <c r="AG73" s="21"/>
      <c r="AH73" s="7"/>
    </row>
    <row r="74" spans="1:34" ht="14.5">
      <c r="A74" s="38" t="s">
        <v>97</v>
      </c>
      <c r="B74" s="25">
        <f>'Data '!C74/'Data '!$B$22</f>
        <v>3.859909090909091</v>
      </c>
      <c r="C74" s="25">
        <f>'Data '!D74/'Data '!$B$22</f>
        <v>2.7736363636363635</v>
      </c>
      <c r="D74" s="25">
        <f>'Data '!E74/'Data '!$B$22</f>
        <v>5.4295454545454547</v>
      </c>
      <c r="E74" s="25">
        <f>'Data '!K74/'Data '!$B$22</f>
        <v>27.534363636363636</v>
      </c>
      <c r="F74" s="25">
        <f>'Data '!L74/'Data '!$B$22</f>
        <v>29.241545454545456</v>
      </c>
      <c r="G74" s="25"/>
      <c r="H74" s="15">
        <f t="shared" si="3"/>
        <v>-0.2814244329824066</v>
      </c>
      <c r="I74" s="15">
        <f t="shared" si="4"/>
        <v>0.95755490003277632</v>
      </c>
      <c r="J74" s="15">
        <f t="shared" si="5"/>
        <v>4.0712097111762242</v>
      </c>
      <c r="K74" s="15">
        <f t="shared" si="6"/>
        <v>6.2001862135909552E-2</v>
      </c>
      <c r="L74" s="16"/>
      <c r="M74" s="18">
        <f>'Data '!C74/'Data '!H74</f>
        <v>0.17435815305770463</v>
      </c>
      <c r="N74" s="18">
        <f>'Data '!D74/'Data '!I74</f>
        <v>0.11537588867039782</v>
      </c>
      <c r="O74" s="18">
        <f>'Data '!E74/'Data '!J74</f>
        <v>0.2025015596604009</v>
      </c>
      <c r="P74" s="18">
        <f>'Data '!F74/'Data '!K74</f>
        <v>0.1761699430133585</v>
      </c>
      <c r="Q74" s="15">
        <f>'Data '!G74/'Data '!L74</f>
        <v>0.17094296098017453</v>
      </c>
      <c r="R74" s="18"/>
      <c r="S74" s="18">
        <f>'Data '!C74/'Data '!R74</f>
        <v>9.4536313620362966E-2</v>
      </c>
      <c r="T74" s="18">
        <f>'Data '!D74/'Data '!S74</f>
        <v>6.6672785440813967E-2</v>
      </c>
      <c r="U74" s="18">
        <f>'Data '!E74/'Data '!T74</f>
        <v>0.11910649686304697</v>
      </c>
      <c r="V74" s="18">
        <f>'Data '!K74/'Data '!U74</f>
        <v>0.57155419685990339</v>
      </c>
      <c r="W74" s="18">
        <f>'Data '!G74/'Data '!V74</f>
        <v>9.8726795118333904E-2</v>
      </c>
      <c r="X74" s="18"/>
      <c r="Y74" s="18">
        <f>'Data '!M74/'Data '!R74</f>
        <v>6.3518254220947661</v>
      </c>
      <c r="Z74" s="18">
        <f>'Data '!N74/'Data '!S74</f>
        <v>6.7228239016800408</v>
      </c>
      <c r="AA74" s="18">
        <f>'Data '!O74/'Data '!T74</f>
        <v>6.3099959716178544</v>
      </c>
      <c r="AB74" s="18">
        <f>'Data '!P74/'Data '!U74</f>
        <v>7.5815424969806759</v>
      </c>
      <c r="AC74" s="19">
        <f>'Data '!Q74/'Data '!V74</f>
        <v>8.2932070003824467</v>
      </c>
      <c r="AD74" s="7"/>
      <c r="AE74" s="41">
        <v>12.43</v>
      </c>
      <c r="AF74" s="11"/>
      <c r="AG74" s="21"/>
      <c r="AH74" s="7"/>
    </row>
    <row r="75" spans="1:34" ht="57.65" customHeight="1">
      <c r="A75" s="59" t="s">
        <v>36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</row>
    <row r="76" spans="1:34" ht="14.5">
      <c r="B76" s="60">
        <f>0.1</f>
        <v>0.1</v>
      </c>
      <c r="C76" s="60"/>
      <c r="D76" s="60"/>
      <c r="E76" s="60"/>
      <c r="F76" s="60"/>
      <c r="G76" s="27" t="s">
        <v>37</v>
      </c>
      <c r="H76" s="63">
        <f>0.15</f>
        <v>0.15</v>
      </c>
      <c r="I76" s="63"/>
      <c r="J76" s="63"/>
      <c r="K76" s="63"/>
      <c r="L76" s="27" t="s">
        <v>38</v>
      </c>
      <c r="M76" s="60">
        <v>0.2</v>
      </c>
      <c r="N76" s="60"/>
      <c r="O76" s="60"/>
      <c r="P76" s="60"/>
      <c r="Q76" s="60"/>
      <c r="R76" s="27" t="s">
        <v>39</v>
      </c>
      <c r="S76" s="60">
        <v>0.3</v>
      </c>
      <c r="T76" s="60"/>
      <c r="U76" s="60"/>
      <c r="V76" s="60"/>
      <c r="W76" s="60"/>
      <c r="X76" s="27" t="s">
        <v>40</v>
      </c>
      <c r="Y76" s="60">
        <v>0.2</v>
      </c>
      <c r="Z76" s="60"/>
      <c r="AA76" s="60"/>
      <c r="AB76" s="60"/>
      <c r="AC76" s="60"/>
      <c r="AD76" s="27" t="s">
        <v>41</v>
      </c>
      <c r="AE76" s="6">
        <v>0.05</v>
      </c>
      <c r="AF76" s="7"/>
      <c r="AG76" s="11"/>
      <c r="AH76" s="11"/>
    </row>
    <row r="77" spans="1:34" ht="14.5">
      <c r="A77" s="12" t="s">
        <v>7</v>
      </c>
      <c r="B77" s="24" cm="1">
        <f t="array" ref="B77">(B3-MIN($B$3:$B$74))/(MAX($B$3:$B$74-MIN($B$3:$B$74)))</f>
        <v>0.15367108203122623</v>
      </c>
      <c r="C77" s="24" cm="1">
        <f t="array" ref="C77">(C3-MIN($B$3:$B$74))/(MAX($B$3:$B$74-MIN($B$3:$B$74)))</f>
        <v>0.15889387073217109</v>
      </c>
      <c r="D77" s="24" cm="1">
        <f t="array" ref="D77">(D3-MIN($B$3:$B$74))/(MAX($B$3:$B$74-MIN($B$3:$B$74)))</f>
        <v>0.15966892365607888</v>
      </c>
      <c r="E77" s="24" cm="1">
        <f t="array" ref="E77">(E3-MIN($B$3:$B$74))/(MAX($B$3:$B$74-MIN($B$3:$B$74)))</f>
        <v>0.16285306141561012</v>
      </c>
      <c r="F77" s="24" cm="1">
        <f t="array" ref="F77">(F3-MIN($B$3:$B$74))/(MAX($B$3:$B$74-MIN($B$3:$B$74)))</f>
        <v>0.16301716595159921</v>
      </c>
      <c r="G77" s="28">
        <f t="shared" ref="G77:G96" si="7">AVERAGEA(B77:E77)</f>
        <v>0.15877173445877157</v>
      </c>
      <c r="H77" s="25" cm="1">
        <f t="array" ref="H77">(H3-MIN($H$3:$H$74))/(MAX($H$3:$H$74-MIN($H$3:$H$74)))</f>
        <v>0.57248305573781455</v>
      </c>
      <c r="I77" s="25" cm="1">
        <f t="array" ref="I77">(I3-MIN($H$3:$H$74))/(MAX($H$3:$H$74-MIN($H$3:$H$74)))</f>
        <v>0.56550690399638748</v>
      </c>
      <c r="J77" s="25" cm="1">
        <f t="array" ref="J77">(J3-MIN($H$3:$H$74))/(MAX($H$3:$H$74-MIN($H$3:$H$74)))</f>
        <v>0.56849506724790622</v>
      </c>
      <c r="K77" s="25" cm="1">
        <f t="array" ref="K77">(K3-MIN($H$3:$H$74))/(MAX($H$3:$H$74-MIN($H$3:$H$74)))</f>
        <v>0.56470211208314258</v>
      </c>
      <c r="L77" s="28">
        <f t="shared" ref="L77:L96" si="8">AVERAGE(H77:J77)</f>
        <v>0.56882834232736945</v>
      </c>
      <c r="M77" s="24" cm="1">
        <f t="array" ref="M77">(M3-MIN($N$3:$N$74))/(MAX($N$3:$N$74-MIN($N$3:$N$74)))</f>
        <v>0.17725318112016863</v>
      </c>
      <c r="N77" s="24" cm="1">
        <f t="array" ref="N77">(N3-MIN($N$3:$N$74))/(MAX($N$3:$N$74-MIN($N$3:$N$74)))</f>
        <v>0.18738251155186753</v>
      </c>
      <c r="O77" s="24" cm="1">
        <f t="array" ref="O77">(O3-MIN($N$3:$N$74))/(MAX($N$3:$N$74-MIN($N$3:$N$74)))</f>
        <v>0.18257651878354875</v>
      </c>
      <c r="P77" s="24" cm="1">
        <f t="array" ref="P77">(P3-MIN($N$3:$N$74))/(MAX($N$3:$N$74-MIN($N$3:$N$74)))</f>
        <v>0.1862167456865288</v>
      </c>
      <c r="Q77" s="24" cm="1">
        <f t="array" ref="Q77">(Q3-MIN($N$3:$N$74))/(MAX($N$3:$N$74-MIN($N$3:$N$74)))</f>
        <v>0.18532450183630775</v>
      </c>
      <c r="R77" s="28">
        <f>AVERAGE(M77:P77)</f>
        <v>0.18335723928552841</v>
      </c>
      <c r="S77" s="24" cm="1">
        <f t="array" ref="S77">(S3-MIN($S$3:$S$74))/(MAX($S$3:$S$74-MIN($S$3:$S$74)))</f>
        <v>0.76886399624435608</v>
      </c>
      <c r="T77" s="24" cm="1">
        <f t="array" ref="T77">(T3-MIN($T$3:$T$74))/(MAX($T$3:$T$74-MIN($T$3:$T$74)))</f>
        <v>0.11782099763427847</v>
      </c>
      <c r="U77" s="24" cm="1">
        <f t="array" ref="U77">(U3-MIN($T$3:$T$74))/(MAX($T$3:$T$74-MIN($T$3:$T$74)))</f>
        <v>0.11575064618720013</v>
      </c>
      <c r="V77" s="24" cm="1">
        <f t="array" ref="V77">(V3-MIN($T$3:$T$74))/(MAX($T$3:$T$74-MIN($T$3:$T$74)))</f>
        <v>0.11575355149180541</v>
      </c>
      <c r="W77" s="24" cm="1">
        <f t="array" ref="W77">(W3-MIN($T$3:$T$74))/(MAX($T$3:$T$74-MIN($T$3:$T$74)))</f>
        <v>0.11336712113435668</v>
      </c>
      <c r="X77" s="28">
        <f t="shared" ref="X77:X96" si="9">AVERAGE(S77:V77)</f>
        <v>0.27954729788941002</v>
      </c>
      <c r="Y77" s="24">
        <f t="shared" ref="Y77:Y108" si="10">(Y3-MIN($Y$3:$Y$74))/(MAX($Y$3:$Y$74)-MIN($Y$3:$Y$74))</f>
        <v>0.52697079702054028</v>
      </c>
      <c r="Z77" s="24">
        <f t="shared" ref="Z77:AC96" si="11">(Z3-MIN($Z$3:$Z$74))/(MAX($Z$3:$Z$74)-MIN($Z$3:$Z$74))</f>
        <v>0.32607916065820308</v>
      </c>
      <c r="AA77" s="24">
        <f t="shared" si="11"/>
        <v>0.32665676844472169</v>
      </c>
      <c r="AB77" s="24">
        <f t="shared" si="11"/>
        <v>0.3259101548058233</v>
      </c>
      <c r="AC77" s="24">
        <f t="shared" si="11"/>
        <v>0.32569310793728551</v>
      </c>
      <c r="AD77" s="28">
        <f t="shared" ref="AD77:AD140" si="12">AVERAGE(Y77:AB77)</f>
        <v>0.37640422023232212</v>
      </c>
      <c r="AE77" s="29">
        <f t="shared" ref="AE77:AE108" si="13">(AE3-MIN($AE$3:$AE$74))/(MAX($AE$3:$AE$74)-MIN($AE$3:$AE$74))</f>
        <v>0.17204301075268819</v>
      </c>
      <c r="AF77" s="24"/>
      <c r="AG77" s="24"/>
      <c r="AH77" s="25"/>
    </row>
    <row r="78" spans="1:34" ht="14.5">
      <c r="A78" s="12" t="s">
        <v>8</v>
      </c>
      <c r="B78" s="24" cm="1">
        <f t="array" ref="B78">(B4-MIN($B$3:$B$74))/(MAX($B$3:$B$74-MIN($B$3:$B$74)))</f>
        <v>0.35336451274014258</v>
      </c>
      <c r="C78" s="24" cm="1">
        <f t="array" ref="C78">(C4-MIN($B$3:$B$74))/(MAX($B$3:$B$74-MIN($B$3:$B$74)))</f>
        <v>0.35983349700082379</v>
      </c>
      <c r="D78" s="24" cm="1">
        <f t="array" ref="D78">(D4-MIN($B$3:$B$74))/(MAX($B$3:$B$74-MIN($B$3:$B$74)))</f>
        <v>0.67429077244286695</v>
      </c>
      <c r="E78" s="24" cm="1">
        <f t="array" ref="E78">(E4-MIN($B$3:$B$74))/(MAX($B$3:$B$74-MIN($B$3:$B$74)))</f>
        <v>0.42863262045841843</v>
      </c>
      <c r="F78" s="24" cm="1">
        <f t="array" ref="F78">(F4-MIN($B$3:$B$74))/(MAX($B$3:$B$74-MIN($B$3:$B$74)))</f>
        <v>0.42077106489818444</v>
      </c>
      <c r="G78" s="28">
        <f t="shared" si="7"/>
        <v>0.45403035066056296</v>
      </c>
      <c r="H78" s="25" cm="1">
        <f t="array" ref="H78">(H4-MIN($H$3:$H$74))/(MAX($H$3:$H$74-MIN($H$3:$H$74)))</f>
        <v>0.56569798546143479</v>
      </c>
      <c r="I78" s="25" cm="1">
        <f t="array" ref="I78">(I4-MIN($H$3:$H$74))/(MAX($H$3:$H$74-MIN($H$3:$H$74)))</f>
        <v>0.62042870566013375</v>
      </c>
      <c r="J78" s="25" cm="1">
        <f t="array" ref="J78">(J4-MIN($H$3:$H$74))/(MAX($H$3:$H$74-MIN($H$3:$H$74)))</f>
        <v>0.54590782533985971</v>
      </c>
      <c r="K78" s="25" cm="1">
        <f t="array" ref="K78">(K4-MIN($H$3:$H$74))/(MAX($H$3:$H$74-MIN($H$3:$H$74)))</f>
        <v>0.56343535391298283</v>
      </c>
      <c r="L78" s="28">
        <f t="shared" si="8"/>
        <v>0.57734483882047616</v>
      </c>
      <c r="M78" s="24" cm="1">
        <f t="array" ref="M78">(M4-MIN($N$3:$N$74))/(MAX($N$3:$N$74-MIN($N$3:$N$74)))</f>
        <v>0.27406636225110775</v>
      </c>
      <c r="N78" s="24" cm="1">
        <f t="array" ref="N78">(N4-MIN($N$3:$N$74))/(MAX($N$3:$N$74-MIN($N$3:$N$74)))</f>
        <v>0.26380652376886371</v>
      </c>
      <c r="O78" s="24" cm="1">
        <f t="array" ref="O78">(O4-MIN($N$3:$N$74))/(MAX($N$3:$N$74-MIN($N$3:$N$74)))</f>
        <v>0.27240556594020171</v>
      </c>
      <c r="P78" s="24" cm="1">
        <f t="array" ref="P78">(P4-MIN($N$3:$N$74))/(MAX($N$3:$N$74-MIN($N$3:$N$74)))</f>
        <v>0.28095088008177421</v>
      </c>
      <c r="Q78" s="24" cm="1">
        <f t="array" ref="Q78">(Q4-MIN($N$3:$N$74))/(MAX($N$3:$N$74-MIN($N$3:$N$74)))</f>
        <v>0.26720634538108018</v>
      </c>
      <c r="R78" s="28">
        <f t="shared" ref="R78:R96" si="14">AVERAGE(M78:P78)</f>
        <v>0.27280733301048687</v>
      </c>
      <c r="S78" s="24" cm="1">
        <f t="array" ref="S78">(S4-MIN($S$3:$S$74))/(MAX($S$3:$S$74-MIN($S$3:$S$74)))</f>
        <v>0.8173027186439541</v>
      </c>
      <c r="T78" s="24" cm="1">
        <f t="array" ref="T78">(T4-MIN($T$3:$T$74))/(MAX($T$3:$T$74-MIN($T$3:$T$74)))</f>
        <v>0.13271246166812564</v>
      </c>
      <c r="U78" s="24" cm="1">
        <f t="array" ref="U78">(U4-MIN($T$3:$T$74))/(MAX($T$3:$T$74-MIN($T$3:$T$74)))</f>
        <v>0.20140801804425515</v>
      </c>
      <c r="V78" s="24" cm="1">
        <f t="array" ref="V78">(V4-MIN($T$3:$T$74))/(MAX($T$3:$T$74-MIN($T$3:$T$74)))</f>
        <v>0.13802351739400168</v>
      </c>
      <c r="W78" s="24" cm="1">
        <f t="array" ref="W78">(W4-MIN($T$3:$T$74))/(MAX($T$3:$T$74-MIN($T$3:$T$74)))</f>
        <v>0.13309696532940682</v>
      </c>
      <c r="X78" s="28">
        <f t="shared" si="9"/>
        <v>0.32236167893758416</v>
      </c>
      <c r="Y78" s="24">
        <f t="shared" si="10"/>
        <v>0.58514875422875856</v>
      </c>
      <c r="Z78" s="24">
        <f t="shared" si="11"/>
        <v>0.38250490135779952</v>
      </c>
      <c r="AA78" s="24">
        <f t="shared" si="11"/>
        <v>0.38334313576727141</v>
      </c>
      <c r="AB78" s="24">
        <f t="shared" si="11"/>
        <v>0.44518620775497703</v>
      </c>
      <c r="AC78" s="24">
        <f t="shared" si="11"/>
        <v>0.49311539919367997</v>
      </c>
      <c r="AD78" s="28">
        <f t="shared" si="12"/>
        <v>0.44904574977720163</v>
      </c>
      <c r="AE78" s="29">
        <f t="shared" si="13"/>
        <v>0.17497556207233628</v>
      </c>
      <c r="AF78" s="24"/>
      <c r="AG78" s="24"/>
      <c r="AH78" s="25"/>
    </row>
    <row r="79" spans="1:34" ht="14.5">
      <c r="A79" s="12" t="s">
        <v>9</v>
      </c>
      <c r="B79" s="24" cm="1">
        <f t="array" ref="B79">(B5-MIN($B$3:$B$74))/(MAX($B$3:$B$74-MIN($B$3:$B$74)))</f>
        <v>0.15765621467569171</v>
      </c>
      <c r="C79" s="24" cm="1">
        <f t="array" ref="C79">(C5-MIN($B$3:$B$74))/(MAX($B$3:$B$74-MIN($B$3:$B$74)))</f>
        <v>0.14441957832186217</v>
      </c>
      <c r="D79" s="24" cm="1">
        <f t="array" ref="D79">(D5-MIN($B$3:$B$74))/(MAX($B$3:$B$74-MIN($B$3:$B$74)))</f>
        <v>0.13912613553222933</v>
      </c>
      <c r="E79" s="24" cm="1">
        <f t="array" ref="E79">(E5-MIN($B$3:$B$74))/(MAX($B$3:$B$74-MIN($B$3:$B$74)))</f>
        <v>0.15141612409259073</v>
      </c>
      <c r="F79" s="24" cm="1">
        <f t="array" ref="F79">(F5-MIN($B$3:$B$74))/(MAX($B$3:$B$74-MIN($B$3:$B$74)))</f>
        <v>0.15765621467569171</v>
      </c>
      <c r="G79" s="28">
        <f t="shared" si="7"/>
        <v>0.1481545131555935</v>
      </c>
      <c r="H79" s="25" cm="1">
        <f t="array" ref="H79">(H5-MIN($H$3:$H$74))/(MAX($H$3:$H$74-MIN($H$3:$H$74)))</f>
        <v>0.54690137078195722</v>
      </c>
      <c r="I79" s="25" cm="1">
        <f t="array" ref="I79">(I5-MIN($H$3:$H$74))/(MAX($H$3:$H$74-MIN($H$3:$H$74)))</f>
        <v>0.55227575768921955</v>
      </c>
      <c r="J79" s="25" cm="1">
        <f t="array" ref="J79">(J5-MIN($H$3:$H$74))/(MAX($H$3:$H$74-MIN($H$3:$H$74)))</f>
        <v>0.60481949826290271</v>
      </c>
      <c r="K79" s="25" cm="1">
        <f t="array" ref="K79">(K5-MIN($H$3:$H$74))/(MAX($H$3:$H$74-MIN($H$3:$H$74)))</f>
        <v>0.57489577443943973</v>
      </c>
      <c r="L79" s="28">
        <f t="shared" si="8"/>
        <v>0.56799887557802653</v>
      </c>
      <c r="M79" s="24" cm="1">
        <f t="array" ref="M79">(M5-MIN($N$3:$N$74))/(MAX($N$3:$N$74-MIN($N$3:$N$74)))</f>
        <v>0.14670394111027046</v>
      </c>
      <c r="N79" s="24" cm="1">
        <f t="array" ref="N79">(N5-MIN($N$3:$N$74))/(MAX($N$3:$N$74-MIN($N$3:$N$74)))</f>
        <v>0.13549834975213362</v>
      </c>
      <c r="O79" s="24" cm="1">
        <f t="array" ref="O79">(O5-MIN($N$3:$N$74))/(MAX($N$3:$N$74-MIN($N$3:$N$74)))</f>
        <v>0.13211088117729122</v>
      </c>
      <c r="P79" s="24" cm="1">
        <f t="array" ref="P79">(P5-MIN($N$3:$N$74))/(MAX($N$3:$N$74-MIN($N$3:$N$74)))</f>
        <v>0.13693849275612119</v>
      </c>
      <c r="Q79" s="24" cm="1">
        <f t="array" ref="Q79">(Q5-MIN($N$3:$N$74))/(MAX($N$3:$N$74-MIN($N$3:$N$74)))</f>
        <v>0.13978647280054124</v>
      </c>
      <c r="R79" s="28">
        <f t="shared" si="14"/>
        <v>0.13781291619895414</v>
      </c>
      <c r="S79" s="24" cm="1">
        <f t="array" ref="S79">(S5-MIN($S$3:$S$74))/(MAX($S$3:$S$74-MIN($S$3:$S$74)))</f>
        <v>0.7557632952487533</v>
      </c>
      <c r="T79" s="24" cm="1">
        <f t="array" ref="T79">(T5-MIN($T$3:$T$74))/(MAX($T$3:$T$74-MIN($T$3:$T$74)))</f>
        <v>9.3304856208997478E-2</v>
      </c>
      <c r="U79" s="24" cm="1">
        <f t="array" ref="U79">(U5-MIN($T$3:$T$74))/(MAX($T$3:$T$74-MIN($T$3:$T$74)))</f>
        <v>8.7911739614877485E-2</v>
      </c>
      <c r="V79" s="24" cm="1">
        <f t="array" ref="V79">(V5-MIN($T$3:$T$74))/(MAX($T$3:$T$74-MIN($T$3:$T$74)))</f>
        <v>9.8469402384496377E-2</v>
      </c>
      <c r="W79" s="24" cm="1">
        <f t="array" ref="W79">(W5-MIN($T$3:$T$74))/(MAX($T$3:$T$74-MIN($T$3:$T$74)))</f>
        <v>0.10207058624498855</v>
      </c>
      <c r="X79" s="28">
        <f t="shared" si="9"/>
        <v>0.25886232336428117</v>
      </c>
      <c r="Y79" s="24">
        <f t="shared" si="10"/>
        <v>0.62169179717827128</v>
      </c>
      <c r="Z79" s="24">
        <f t="shared" si="11"/>
        <v>0.39245465174027766</v>
      </c>
      <c r="AA79" s="24">
        <f t="shared" si="11"/>
        <v>0.39778461043229724</v>
      </c>
      <c r="AB79" s="24">
        <f t="shared" si="11"/>
        <v>0.37551382327267918</v>
      </c>
      <c r="AC79" s="24">
        <f t="shared" si="11"/>
        <v>0.36902106540471996</v>
      </c>
      <c r="AD79" s="28">
        <f t="shared" si="12"/>
        <v>0.44686122065588135</v>
      </c>
      <c r="AE79" s="29">
        <f t="shared" si="13"/>
        <v>0.31671554252199419</v>
      </c>
      <c r="AF79" s="24"/>
      <c r="AG79" s="24"/>
      <c r="AH79" s="25"/>
    </row>
    <row r="80" spans="1:34" ht="14.5">
      <c r="A80" s="12" t="s">
        <v>10</v>
      </c>
      <c r="B80" s="24" cm="1">
        <f t="array" ref="B80">(B6-MIN($B$3:$B$74))/(MAX($B$3:$B$74-MIN($B$3:$B$74)))</f>
        <v>0.16293676375522897</v>
      </c>
      <c r="C80" s="24" cm="1">
        <f t="array" ref="C80">(C6-MIN($B$3:$B$74))/(MAX($B$3:$B$74-MIN($B$3:$B$74)))</f>
        <v>0.17084323566436793</v>
      </c>
      <c r="D80" s="24" cm="1">
        <f t="array" ref="D80">(D6-MIN($B$3:$B$74))/(MAX($B$3:$B$74-MIN($B$3:$B$74)))</f>
        <v>0.17600920409861825</v>
      </c>
      <c r="E80" s="24" cm="1">
        <f t="array" ref="E80">(E6-MIN($B$3:$B$74))/(MAX($B$3:$B$74-MIN($B$3:$B$74)))</f>
        <v>0.18814200759031299</v>
      </c>
      <c r="F80" s="24" cm="1">
        <f t="array" ref="F80">(F6-MIN($B$3:$B$74))/(MAX($B$3:$B$74-MIN($B$3:$B$74)))</f>
        <v>0.19018035958608731</v>
      </c>
      <c r="G80" s="28">
        <f t="shared" si="7"/>
        <v>0.17448280277713205</v>
      </c>
      <c r="H80" s="25" cm="1">
        <f t="array" ref="H80">(H6-MIN($H$3:$H$74))/(MAX($H$3:$H$74-MIN($H$3:$H$74)))</f>
        <v>0.57351220802613245</v>
      </c>
      <c r="I80" s="25" cm="1">
        <f t="array" ref="I80">(I6-MIN($H$3:$H$74))/(MAX($H$3:$H$74-MIN($H$3:$H$74)))</f>
        <v>0.56934606481929739</v>
      </c>
      <c r="J80" s="25" cm="1">
        <f t="array" ref="J80">(J6-MIN($H$3:$H$74))/(MAX($H$3:$H$74-MIN($H$3:$H$74)))</f>
        <v>0.57467804197764027</v>
      </c>
      <c r="K80" s="25" cm="1">
        <f t="array" ref="K80">(K6-MIN($H$3:$H$74))/(MAX($H$3:$H$74-MIN($H$3:$H$74)))</f>
        <v>0.56588644858206638</v>
      </c>
      <c r="L80" s="28">
        <f t="shared" si="8"/>
        <v>0.57251210494102334</v>
      </c>
      <c r="M80" s="24" cm="1">
        <f t="array" ref="M80">(M6-MIN($N$3:$N$74))/(MAX($N$3:$N$74-MIN($N$3:$N$74)))</f>
        <v>0.14219078781101704</v>
      </c>
      <c r="N80" s="24" cm="1">
        <f t="array" ref="N80">(N6-MIN($N$3:$N$74))/(MAX($N$3:$N$74-MIN($N$3:$N$74)))</f>
        <v>0.14369959900798746</v>
      </c>
      <c r="O80" s="24" cm="1">
        <f t="array" ref="O80">(O6-MIN($N$3:$N$74))/(MAX($N$3:$N$74-MIN($N$3:$N$74)))</f>
        <v>0.14416954282923505</v>
      </c>
      <c r="P80" s="24" cm="1">
        <f t="array" ref="P80">(P6-MIN($N$3:$N$74))/(MAX($N$3:$N$74-MIN($N$3:$N$74)))</f>
        <v>0.14663038645242374</v>
      </c>
      <c r="Q80" s="24" cm="1">
        <f t="array" ref="Q80">(Q6-MIN($N$3:$N$74))/(MAX($N$3:$N$74-MIN($N$3:$N$74)))</f>
        <v>0.14651623389259588</v>
      </c>
      <c r="R80" s="28">
        <f t="shared" si="14"/>
        <v>0.14417257902516581</v>
      </c>
      <c r="S80" s="24" cm="1">
        <f t="array" ref="S80">(S6-MIN($S$3:$S$74))/(MAX($S$3:$S$74-MIN($S$3:$S$74)))</f>
        <v>0.78582137899671012</v>
      </c>
      <c r="T80" s="24" cm="1">
        <f t="array" ref="T80">(T6-MIN($T$3:$T$74))/(MAX($T$3:$T$74-MIN($T$3:$T$74)))</f>
        <v>0.11952848371931013</v>
      </c>
      <c r="U80" s="24" cm="1">
        <f t="array" ref="U80">(U6-MIN($T$3:$T$74))/(MAX($T$3:$T$74-MIN($T$3:$T$74)))</f>
        <v>0.11651413510052694</v>
      </c>
      <c r="V80" s="24" cm="1">
        <f t="array" ref="V80">(V6-MIN($T$3:$T$74))/(MAX($T$3:$T$74-MIN($T$3:$T$74)))</f>
        <v>0.11950669910648395</v>
      </c>
      <c r="W80" s="24" cm="1">
        <f t="array" ref="W80">(W6-MIN($T$3:$T$74))/(MAX($T$3:$T$74-MIN($T$3:$T$74)))</f>
        <v>0.1146966702727554</v>
      </c>
      <c r="X80" s="28">
        <f t="shared" si="9"/>
        <v>0.28534267423075776</v>
      </c>
      <c r="Y80" s="24">
        <f t="shared" si="10"/>
        <v>0.57296931545796359</v>
      </c>
      <c r="Z80" s="24">
        <f t="shared" si="11"/>
        <v>0.34122959125089292</v>
      </c>
      <c r="AA80" s="24">
        <f t="shared" si="11"/>
        <v>0.33953393550196642</v>
      </c>
      <c r="AB80" s="24">
        <f t="shared" si="11"/>
        <v>0.33946813580846052</v>
      </c>
      <c r="AC80" s="24">
        <f t="shared" si="11"/>
        <v>0.33795169051003893</v>
      </c>
      <c r="AD80" s="28">
        <f t="shared" si="12"/>
        <v>0.39830024450482088</v>
      </c>
      <c r="AE80" s="29">
        <f t="shared" si="13"/>
        <v>9.9217986314760517E-2</v>
      </c>
      <c r="AF80" s="24"/>
      <c r="AG80" s="24"/>
      <c r="AH80" s="25"/>
    </row>
    <row r="81" spans="1:34" ht="14.5">
      <c r="A81" s="12" t="s">
        <v>11</v>
      </c>
      <c r="B81" s="24" cm="1">
        <f t="array" ref="B81">(B7-MIN($B$3:$B$74))/(MAX($B$3:$B$74-MIN($B$3:$B$74)))</f>
        <v>0.13498826922645468</v>
      </c>
      <c r="C81" s="24" cm="1">
        <f t="array" ref="C81">(C7-MIN($B$3:$B$74))/(MAX($B$3:$B$74-MIN($B$3:$B$74)))</f>
        <v>0.13971517402432751</v>
      </c>
      <c r="D81" s="24" cm="1">
        <f t="array" ref="D81">(D7-MIN($B$3:$B$74))/(MAX($B$3:$B$74-MIN($B$3:$B$74)))</f>
        <v>0.13241377901721443</v>
      </c>
      <c r="E81" s="24" cm="1">
        <f t="array" ref="E81">(E7-MIN($B$3:$B$74))/(MAX($B$3:$B$74-MIN($B$3:$B$74)))</f>
        <v>0.14298352100853304</v>
      </c>
      <c r="F81" s="24" cm="1">
        <f t="array" ref="F81">(F7-MIN($B$3:$B$74))/(MAX($B$3:$B$74-MIN($B$3:$B$74)))</f>
        <v>0.13947984180520373</v>
      </c>
      <c r="G81" s="28">
        <f t="shared" si="7"/>
        <v>0.13752518581913242</v>
      </c>
      <c r="H81" s="25" cm="1">
        <f t="array" ref="H81">(H7-MIN($H$3:$H$74))/(MAX($H$3:$H$74-MIN($H$3:$H$74)))</f>
        <v>0.58754991446881288</v>
      </c>
      <c r="I81" s="25" cm="1">
        <f t="array" ref="I81">(I7-MIN($H$3:$H$74))/(MAX($H$3:$H$74-MIN($H$3:$H$74)))</f>
        <v>0.54163543097731182</v>
      </c>
      <c r="J81" s="25" cm="1">
        <f t="array" ref="J81">(J7-MIN($H$3:$H$74))/(MAX($H$3:$H$74-MIN($H$3:$H$74)))</f>
        <v>0.63834640098570694</v>
      </c>
      <c r="K81" s="25" cm="1">
        <f t="array" ref="K81">(K7-MIN($H$3:$H$74))/(MAX($H$3:$H$74-MIN($H$3:$H$74)))</f>
        <v>0.55570930875967428</v>
      </c>
      <c r="L81" s="28">
        <f t="shared" si="8"/>
        <v>0.58917724881061051</v>
      </c>
      <c r="M81" s="24" cm="1">
        <f t="array" ref="M81">(M7-MIN($N$3:$N$74))/(MAX($N$3:$N$74-MIN($N$3:$N$74)))</f>
        <v>0.13407932873802045</v>
      </c>
      <c r="N81" s="24" cm="1">
        <f t="array" ref="N81">(N7-MIN($N$3:$N$74))/(MAX($N$3:$N$74-MIN($N$3:$N$74)))</f>
        <v>0.13596874704650067</v>
      </c>
      <c r="O81" s="24" cm="1">
        <f t="array" ref="O81">(O7-MIN($N$3:$N$74))/(MAX($N$3:$N$74-MIN($N$3:$N$74)))</f>
        <v>0.12988485416201001</v>
      </c>
      <c r="P81" s="24" cm="1">
        <f t="array" ref="P81">(P7-MIN($N$3:$N$74))/(MAX($N$3:$N$74-MIN($N$3:$N$74)))</f>
        <v>0.13618190285335216</v>
      </c>
      <c r="Q81" s="24" cm="1">
        <f t="array" ref="Q81">(Q7-MIN($N$3:$N$74))/(MAX($N$3:$N$74-MIN($N$3:$N$74)))</f>
        <v>0.13445896675057978</v>
      </c>
      <c r="R81" s="28">
        <f t="shared" si="14"/>
        <v>0.13402870819997081</v>
      </c>
      <c r="S81" s="24" cm="1">
        <f t="array" ref="S81">(S7-MIN($S$3:$S$74))/(MAX($S$3:$S$74-MIN($S$3:$S$74)))</f>
        <v>0.70474890044179495</v>
      </c>
      <c r="T81" s="24" cm="1">
        <f t="array" ref="T81">(T7-MIN($T$3:$T$74))/(MAX($T$3:$T$74-MIN($T$3:$T$74)))</f>
        <v>9.1293214210276502E-2</v>
      </c>
      <c r="U81" s="24" cm="1">
        <f t="array" ref="U81">(U7-MIN($T$3:$T$74))/(MAX($T$3:$T$74-MIN($T$3:$T$74)))</f>
        <v>8.2461349790628996E-2</v>
      </c>
      <c r="V81" s="24" cm="1">
        <f t="array" ref="V81">(V7-MIN($T$3:$T$74))/(MAX($T$3:$T$74-MIN($T$3:$T$74)))</f>
        <v>9.4065756500842021E-2</v>
      </c>
      <c r="W81" s="24" cm="1">
        <f t="array" ref="W81">(W7-MIN($T$3:$T$74))/(MAX($T$3:$T$74-MIN($T$3:$T$74)))</f>
        <v>8.9710951203942832E-2</v>
      </c>
      <c r="X81" s="28">
        <f t="shared" si="9"/>
        <v>0.24314230523588562</v>
      </c>
      <c r="Y81" s="24">
        <f t="shared" si="10"/>
        <v>0.53940646378786705</v>
      </c>
      <c r="Z81" s="24">
        <f t="shared" si="11"/>
        <v>0.33371343004080889</v>
      </c>
      <c r="AA81" s="24">
        <f t="shared" si="11"/>
        <v>0.33575215394096819</v>
      </c>
      <c r="AB81" s="24">
        <f t="shared" si="11"/>
        <v>0.33330029326441574</v>
      </c>
      <c r="AC81" s="24">
        <f t="shared" si="11"/>
        <v>0.33057435139093105</v>
      </c>
      <c r="AD81" s="28">
        <f t="shared" si="12"/>
        <v>0.38554308525851499</v>
      </c>
      <c r="AE81" s="29">
        <f t="shared" si="13"/>
        <v>0.38383838383838392</v>
      </c>
      <c r="AF81" s="24"/>
      <c r="AG81" s="24"/>
      <c r="AH81" s="25"/>
    </row>
    <row r="82" spans="1:34" ht="14.5">
      <c r="A82" s="12" t="s">
        <v>12</v>
      </c>
      <c r="B82" s="24" cm="1">
        <f t="array" ref="B82">(B8-MIN($B$3:$B$74))/(MAX($B$3:$B$74-MIN($B$3:$B$74)))</f>
        <v>0.12842497010922327</v>
      </c>
      <c r="C82" s="24" cm="1">
        <f t="array" ref="C82">(C8-MIN($B$3:$B$74))/(MAX($B$3:$B$74-MIN($B$3:$B$74)))</f>
        <v>0.12964884124077911</v>
      </c>
      <c r="D82" s="24" cm="1">
        <f t="array" ref="D82">(D8-MIN($B$3:$B$74))/(MAX($B$3:$B$74-MIN($B$3:$B$74)))</f>
        <v>0.13006616867135781</v>
      </c>
      <c r="E82" s="24" cm="1">
        <f t="array" ref="E82">(E8-MIN($B$3:$B$74))/(MAX($B$3:$B$74-MIN($B$3:$B$74)))</f>
        <v>0.13203558999557999</v>
      </c>
      <c r="F82" s="24" cm="1">
        <f t="array" ref="F82">(F8-MIN($B$3:$B$74))/(MAX($B$3:$B$74-MIN($B$3:$B$74)))</f>
        <v>0.13355355112605255</v>
      </c>
      <c r="G82" s="28">
        <f t="shared" si="7"/>
        <v>0.13004389250423504</v>
      </c>
      <c r="H82" s="25" cm="1">
        <f t="array" ref="H82">(H8-MIN($H$3:$H$74))/(MAX($H$3:$H$74-MIN($H$3:$H$74)))</f>
        <v>0.59053801078795021</v>
      </c>
      <c r="I82" s="25" cm="1">
        <f t="array" ref="I82">(I8-MIN($H$3:$H$74))/(MAX($H$3:$H$74-MIN($H$3:$H$74)))</f>
        <v>0.56996838121358684</v>
      </c>
      <c r="J82" s="25" cm="1">
        <f t="array" ref="J82">(J8-MIN($H$3:$H$74))/(MAX($H$3:$H$74-MIN($H$3:$H$74)))</f>
        <v>0.58726097133065047</v>
      </c>
      <c r="K82" s="25" cm="1">
        <f t="array" ref="K82">(K8-MIN($H$3:$H$74))/(MAX($H$3:$H$74-MIN($H$3:$H$74)))</f>
        <v>0.57583911337345139</v>
      </c>
      <c r="L82" s="28">
        <f t="shared" si="8"/>
        <v>0.58258912111072914</v>
      </c>
      <c r="M82" s="24" cm="1">
        <f t="array" ref="M82">(M8-MIN($N$3:$N$74))/(MAX($N$3:$N$74-MIN($N$3:$N$74)))</f>
        <v>0.14842638706392292</v>
      </c>
      <c r="N82" s="24" cm="1">
        <f t="array" ref="N82">(N8-MIN($N$3:$N$74))/(MAX($N$3:$N$74-MIN($N$3:$N$74)))</f>
        <v>0.15431204911345955</v>
      </c>
      <c r="O82" s="24" cm="1">
        <f t="array" ref="O82">(O8-MIN($N$3:$N$74))/(MAX($N$3:$N$74-MIN($N$3:$N$74)))</f>
        <v>0.15445310129000156</v>
      </c>
      <c r="P82" s="24" cm="1">
        <f t="array" ref="P82">(P8-MIN($N$3:$N$74))/(MAX($N$3:$N$74-MIN($N$3:$N$74)))</f>
        <v>0.16344673835397561</v>
      </c>
      <c r="Q82" s="24" cm="1">
        <f t="array" ref="Q82">(Q8-MIN($N$3:$N$74))/(MAX($N$3:$N$74-MIN($N$3:$N$74)))</f>
        <v>0.17478972858199385</v>
      </c>
      <c r="R82" s="28">
        <f t="shared" si="14"/>
        <v>0.15515956895533992</v>
      </c>
      <c r="S82" s="24" cm="1">
        <f t="array" ref="S82">(S8-MIN($S$3:$S$74))/(MAX($S$3:$S$74-MIN($S$3:$S$74)))</f>
        <v>0.74262608902629246</v>
      </c>
      <c r="T82" s="24" cm="1">
        <f t="array" ref="T82">(T8-MIN($T$3:$T$74))/(MAX($T$3:$T$74-MIN($T$3:$T$74)))</f>
        <v>0.11120762513574056</v>
      </c>
      <c r="U82" s="24" cm="1">
        <f t="array" ref="U82">(U8-MIN($T$3:$T$74))/(MAX($T$3:$T$74-MIN($T$3:$T$74)))</f>
        <v>0.10877396286872161</v>
      </c>
      <c r="V82" s="24" cm="1">
        <f t="array" ref="V82">(V8-MIN($T$3:$T$74))/(MAX($T$3:$T$74-MIN($T$3:$T$74)))</f>
        <v>0.116125895980631</v>
      </c>
      <c r="W82" s="24" cm="1">
        <f t="array" ref="W82">(W8-MIN($T$3:$T$74))/(MAX($T$3:$T$74-MIN($T$3:$T$74)))</f>
        <v>0.11615670018356875</v>
      </c>
      <c r="X82" s="28">
        <f t="shared" si="9"/>
        <v>0.2696833932528464</v>
      </c>
      <c r="Y82" s="24">
        <f t="shared" si="10"/>
        <v>0.70944106909146343</v>
      </c>
      <c r="Z82" s="24">
        <f t="shared" si="11"/>
        <v>0.38767644768684706</v>
      </c>
      <c r="AA82" s="24">
        <f t="shared" si="11"/>
        <v>0.37689543410666726</v>
      </c>
      <c r="AB82" s="24">
        <f t="shared" si="11"/>
        <v>0.3608680891228051</v>
      </c>
      <c r="AC82" s="24">
        <f t="shared" si="11"/>
        <v>0.34736264910721376</v>
      </c>
      <c r="AD82" s="28">
        <f t="shared" si="12"/>
        <v>0.45872026000194571</v>
      </c>
      <c r="AE82" s="29">
        <f t="shared" si="13"/>
        <v>0.13310524600847182</v>
      </c>
      <c r="AF82" s="24"/>
      <c r="AG82" s="24"/>
      <c r="AH82" s="25"/>
    </row>
    <row r="83" spans="1:34" ht="14.5">
      <c r="A83" s="12" t="s">
        <v>13</v>
      </c>
      <c r="B83" s="24" cm="1">
        <f t="array" ref="B83">(B9-MIN($B$3:$B$74))/(MAX($B$3:$B$74-MIN($B$3:$B$74)))</f>
        <v>0.13586964986386732</v>
      </c>
      <c r="C83" s="24" cm="1">
        <f t="array" ref="C83">(C9-MIN($B$3:$B$74))/(MAX($B$3:$B$74-MIN($B$3:$B$74)))</f>
        <v>0.14410398954616935</v>
      </c>
      <c r="D83" s="24" cm="1">
        <f t="array" ref="D83">(D9-MIN($B$3:$B$74))/(MAX($B$3:$B$74-MIN($B$3:$B$74)))</f>
        <v>0.15285498981837348</v>
      </c>
      <c r="E83" s="24" cm="1">
        <f t="array" ref="E83">(E9-MIN($B$3:$B$74))/(MAX($B$3:$B$74-MIN($B$3:$B$74)))</f>
        <v>0.16761905956753437</v>
      </c>
      <c r="F83" s="24" cm="1">
        <f t="array" ref="F83">(F9-MIN($B$3:$B$74))/(MAX($B$3:$B$74-MIN($B$3:$B$74)))</f>
        <v>0.16334054731136236</v>
      </c>
      <c r="G83" s="28">
        <f t="shared" si="7"/>
        <v>0.15011192219898611</v>
      </c>
      <c r="H83" s="25" cm="1">
        <f t="array" ref="H83">(H9-MIN($H$3:$H$74))/(MAX($H$3:$H$74-MIN($H$3:$H$74)))</f>
        <v>0.60087818184769892</v>
      </c>
      <c r="I83" s="25" cm="1">
        <f t="array" ref="I83">(I9-MIN($H$3:$H$74))/(MAX($H$3:$H$74-MIN($H$3:$H$74)))</f>
        <v>0.58511065767913606</v>
      </c>
      <c r="J83" s="25" cm="1">
        <f t="array" ref="J83">(J9-MIN($H$3:$H$74))/(MAX($H$3:$H$74-MIN($H$3:$H$74)))</f>
        <v>0.58773644342120213</v>
      </c>
      <c r="K83" s="25" cm="1">
        <f t="array" ref="K83">(K9-MIN($H$3:$H$74))/(MAX($H$3:$H$74-MIN($H$3:$H$74)))</f>
        <v>0.56020020998263287</v>
      </c>
      <c r="L83" s="28">
        <f t="shared" si="8"/>
        <v>0.59124176098267911</v>
      </c>
      <c r="M83" s="24" cm="1">
        <f t="array" ref="M83">(M9-MIN($N$3:$N$74))/(MAX($N$3:$N$74-MIN($N$3:$N$74)))</f>
        <v>0.16024201322873918</v>
      </c>
      <c r="N83" s="24" cm="1">
        <f t="array" ref="N83">(N9-MIN($N$3:$N$74))/(MAX($N$3:$N$74-MIN($N$3:$N$74)))</f>
        <v>0.18177170158404396</v>
      </c>
      <c r="O83" s="24" cm="1">
        <f t="array" ref="O83">(O9-MIN($N$3:$N$74))/(MAX($N$3:$N$74-MIN($N$3:$N$74)))</f>
        <v>0.18205005792697873</v>
      </c>
      <c r="P83" s="24" cm="1">
        <f t="array" ref="P83">(P9-MIN($N$3:$N$74))/(MAX($N$3:$N$74-MIN($N$3:$N$74)))</f>
        <v>0.17804576024827173</v>
      </c>
      <c r="Q83" s="24" cm="1">
        <f t="array" ref="Q83">(Q9-MIN($N$3:$N$74))/(MAX($N$3:$N$74-MIN($N$3:$N$74)))</f>
        <v>0.17803847772540185</v>
      </c>
      <c r="R83" s="28">
        <f t="shared" si="14"/>
        <v>0.1755273832470084</v>
      </c>
      <c r="S83" s="24" cm="1">
        <f t="array" ref="S83">(S9-MIN($S$3:$S$74))/(MAX($S$3:$S$74-MIN($S$3:$S$74)))</f>
        <v>0.7424368639094312</v>
      </c>
      <c r="T83" s="24" cm="1">
        <f t="array" ref="T83">(T9-MIN($T$3:$T$74))/(MAX($T$3:$T$74-MIN($T$3:$T$74)))</f>
        <v>0.12000664167877489</v>
      </c>
      <c r="U83" s="24" cm="1">
        <f t="array" ref="U83">(U9-MIN($T$3:$T$74))/(MAX($T$3:$T$74-MIN($T$3:$T$74)))</f>
        <v>0.13149584954586011</v>
      </c>
      <c r="V83" s="24" cm="1">
        <f t="array" ref="V83">(V9-MIN($T$3:$T$74))/(MAX($T$3:$T$74-MIN($T$3:$T$74)))</f>
        <v>0.14394742824023704</v>
      </c>
      <c r="W83" s="24" cm="1">
        <f t="array" ref="W83">(W9-MIN($T$3:$T$74))/(MAX($T$3:$T$74-MIN($T$3:$T$74)))</f>
        <v>0.12843638373542129</v>
      </c>
      <c r="X83" s="28">
        <f t="shared" si="9"/>
        <v>0.28447169584357579</v>
      </c>
      <c r="Y83" s="24">
        <f t="shared" si="10"/>
        <v>0.55244306434829515</v>
      </c>
      <c r="Z83" s="24">
        <f t="shared" si="11"/>
        <v>0.35357276788417186</v>
      </c>
      <c r="AA83" s="24">
        <f t="shared" si="11"/>
        <v>0.36482597545574491</v>
      </c>
      <c r="AB83" s="24">
        <f t="shared" si="11"/>
        <v>0.3643620639674629</v>
      </c>
      <c r="AC83" s="24">
        <f t="shared" si="11"/>
        <v>0.36614373580581044</v>
      </c>
      <c r="AD83" s="28">
        <f t="shared" si="12"/>
        <v>0.40880096791391868</v>
      </c>
      <c r="AE83" s="29">
        <f t="shared" si="13"/>
        <v>0.19126751384815902</v>
      </c>
      <c r="AF83" s="24"/>
      <c r="AG83" s="24"/>
      <c r="AH83" s="25"/>
    </row>
    <row r="84" spans="1:34" ht="14.5">
      <c r="A84" s="12" t="s">
        <v>14</v>
      </c>
      <c r="B84" s="24" cm="1">
        <f t="array" ref="B84">(B10-MIN($B$3:$B$74))/(MAX($B$3:$B$74-MIN($B$3:$B$74)))</f>
        <v>0.14117062252579593</v>
      </c>
      <c r="C84" s="24" cm="1">
        <f t="array" ref="C84">(C10-MIN($B$3:$B$74))/(MAX($B$3:$B$74-MIN($B$3:$B$74)))</f>
        <v>0.13967345383551782</v>
      </c>
      <c r="D84" s="24" cm="1">
        <f t="array" ref="D84">(D10-MIN($B$3:$B$74))/(MAX($B$3:$B$74-MIN($B$3:$B$74)))</f>
        <v>0.14653422580407402</v>
      </c>
      <c r="E84" s="24" cm="1">
        <f t="array" ref="E84">(E10-MIN($B$3:$B$74))/(MAX($B$3:$B$74-MIN($B$3:$B$74)))</f>
        <v>0.15510830332359421</v>
      </c>
      <c r="F84" s="24" cm="1">
        <f t="array" ref="F84">(F10-MIN($B$3:$B$74))/(MAX($B$3:$B$74-MIN($B$3:$B$74)))</f>
        <v>0.15990534181315547</v>
      </c>
      <c r="G84" s="28">
        <f t="shared" si="7"/>
        <v>0.14562165137224548</v>
      </c>
      <c r="H84" s="25" cm="1">
        <f t="array" ref="H84">(H10-MIN($H$3:$H$74))/(MAX($H$3:$H$74-MIN($H$3:$H$74)))</f>
        <v>0.56028803628835688</v>
      </c>
      <c r="I84" s="25" cm="1">
        <f t="array" ref="I84">(I10-MIN($H$3:$H$74))/(MAX($H$3:$H$74-MIN($H$3:$H$74)))</f>
        <v>0.58608166629639002</v>
      </c>
      <c r="J84" s="25" cm="1">
        <f t="array" ref="J84">(J10-MIN($H$3:$H$74))/(MAX($H$3:$H$74-MIN($H$3:$H$74)))</f>
        <v>0.58224966026198932</v>
      </c>
      <c r="K84" s="25" cm="1">
        <f t="array" ref="K84">(K10-MIN($H$3:$H$74))/(MAX($H$3:$H$74-MIN($H$3:$H$74)))</f>
        <v>0.57146618263023663</v>
      </c>
      <c r="L84" s="28">
        <f t="shared" si="8"/>
        <v>0.57620645428224537</v>
      </c>
      <c r="M84" s="24" cm="1">
        <f t="array" ref="M84">(M10-MIN($N$3:$N$74))/(MAX($N$3:$N$74-MIN($N$3:$N$74)))</f>
        <v>0.16043467660454538</v>
      </c>
      <c r="N84" s="24" cm="1">
        <f t="array" ref="N84">(N10-MIN($N$3:$N$74))/(MAX($N$3:$N$74-MIN($N$3:$N$74)))</f>
        <v>0.15198052470222981</v>
      </c>
      <c r="O84" s="24" cm="1">
        <f t="array" ref="O84">(O10-MIN($N$3:$N$74))/(MAX($N$3:$N$74-MIN($N$3:$N$74)))</f>
        <v>0.15578974291636652</v>
      </c>
      <c r="P84" s="24" cm="1">
        <f t="array" ref="P84">(P10-MIN($N$3:$N$74))/(MAX($N$3:$N$74-MIN($N$3:$N$74)))</f>
        <v>0.16803621488674442</v>
      </c>
      <c r="Q84" s="24" cm="1">
        <f t="array" ref="Q84">(Q10-MIN($N$3:$N$74))/(MAX($N$3:$N$74-MIN($N$3:$N$74)))</f>
        <v>0.16752564893493385</v>
      </c>
      <c r="R84" s="28">
        <f t="shared" si="14"/>
        <v>0.15906028977747155</v>
      </c>
      <c r="S84" s="24" cm="1">
        <f t="array" ref="S84">(S10-MIN($S$3:$S$74))/(MAX($S$3:$S$74-MIN($S$3:$S$74)))</f>
        <v>0.74829567500950533</v>
      </c>
      <c r="T84" s="24" cm="1">
        <f t="array" ref="T84">(T10-MIN($T$3:$T$74))/(MAX($T$3:$T$74-MIN($T$3:$T$74)))</f>
        <v>0.101722330283853</v>
      </c>
      <c r="U84" s="24" cm="1">
        <f t="array" ref="U84">(U10-MIN($T$3:$T$74))/(MAX($T$3:$T$74-MIN($T$3:$T$74)))</f>
        <v>0.11260608547536373</v>
      </c>
      <c r="V84" s="24" cm="1">
        <f t="array" ref="V84">(V10-MIN($T$3:$T$74))/(MAX($T$3:$T$74-MIN($T$3:$T$74)))</f>
        <v>0.11906322369968811</v>
      </c>
      <c r="W84" s="24" cm="1">
        <f t="array" ref="W84">(W10-MIN($T$3:$T$74))/(MAX($T$3:$T$74-MIN($T$3:$T$74)))</f>
        <v>0.11910592020156871</v>
      </c>
      <c r="X84" s="28">
        <f t="shared" si="9"/>
        <v>0.27042182861710257</v>
      </c>
      <c r="Y84" s="24">
        <f t="shared" si="10"/>
        <v>0.54201754460488027</v>
      </c>
      <c r="Z84" s="24">
        <f t="shared" si="11"/>
        <v>0.33755898901847053</v>
      </c>
      <c r="AA84" s="24">
        <f t="shared" si="11"/>
        <v>0.33746558784968139</v>
      </c>
      <c r="AB84" s="24">
        <f t="shared" si="11"/>
        <v>0.33297123825948316</v>
      </c>
      <c r="AC84" s="24">
        <f t="shared" si="11"/>
        <v>0.33492838428415372</v>
      </c>
      <c r="AD84" s="28">
        <f t="shared" si="12"/>
        <v>0.38750333993312885</v>
      </c>
      <c r="AE84" s="29">
        <f t="shared" si="13"/>
        <v>0.16063864450961229</v>
      </c>
      <c r="AF84" s="24"/>
      <c r="AG84" s="24"/>
      <c r="AH84" s="25"/>
    </row>
    <row r="85" spans="1:34" ht="14.5">
      <c r="A85" s="12" t="s">
        <v>15</v>
      </c>
      <c r="B85" s="24" cm="1">
        <f t="array" ref="B85">(B11-MIN($B$3:$B$74))/(MAX($B$3:$B$74-MIN($B$3:$B$74)))</f>
        <v>0.14739371977129484</v>
      </c>
      <c r="C85" s="24" cm="1">
        <f t="array" ref="C85">(C11-MIN($B$3:$B$74))/(MAX($B$3:$B$74-MIN($B$3:$B$74)))</f>
        <v>0.1480323064677769</v>
      </c>
      <c r="D85" s="24" cm="1">
        <f t="array" ref="D85">(D11-MIN($B$3:$B$74))/(MAX($B$3:$B$74-MIN($B$3:$B$74)))</f>
        <v>0.15339370968128041</v>
      </c>
      <c r="E85" s="24" cm="1">
        <f t="array" ref="E85">(E11-MIN($B$3:$B$74))/(MAX($B$3:$B$74-MIN($B$3:$B$74)))</f>
        <v>0.15961688449522676</v>
      </c>
      <c r="F85" s="24" cm="1">
        <f t="array" ref="F85">(F11-MIN($B$3:$B$74))/(MAX($B$3:$B$74-MIN($B$3:$B$74)))</f>
        <v>0.16602242802254863</v>
      </c>
      <c r="G85" s="28">
        <f t="shared" si="7"/>
        <v>0.15210915510389472</v>
      </c>
      <c r="H85" s="25" cm="1">
        <f t="array" ref="H85">(H11-MIN($H$3:$H$74))/(MAX($H$3:$H$74-MIN($H$3:$H$74)))</f>
        <v>0.56578153107814311</v>
      </c>
      <c r="I85" s="25" cm="1">
        <f t="array" ref="I85">(I11-MIN($H$3:$H$74))/(MAX($H$3:$H$74-MIN($H$3:$H$74)))</f>
        <v>0.57483393218912437</v>
      </c>
      <c r="J85" s="25" cm="1">
        <f t="array" ref="J85">(J11-MIN($H$3:$H$74))/(MAX($H$3:$H$74-MIN($H$3:$H$74)))</f>
        <v>0.57410711423879468</v>
      </c>
      <c r="K85" s="25" cm="1">
        <f t="array" ref="K85">(K11-MIN($H$3:$H$74))/(MAX($H$3:$H$74-MIN($H$3:$H$74)))</f>
        <v>0.57253435316172518</v>
      </c>
      <c r="L85" s="28">
        <f t="shared" si="8"/>
        <v>0.57157419250202068</v>
      </c>
      <c r="M85" s="24" cm="1">
        <f t="array" ref="M85">(M11-MIN($N$3:$N$74))/(MAX($N$3:$N$74-MIN($N$3:$N$74)))</f>
        <v>0.37748190924114844</v>
      </c>
      <c r="N85" s="24" cm="1">
        <f t="array" ref="N85">(N11-MIN($N$3:$N$74))/(MAX($N$3:$N$74-MIN($N$3:$N$74)))</f>
        <v>0.37495593486094408</v>
      </c>
      <c r="O85" s="24" cm="1">
        <f t="array" ref="O85">(O11-MIN($N$3:$N$74))/(MAX($N$3:$N$74-MIN($N$3:$N$74)))</f>
        <v>0.39507061689719231</v>
      </c>
      <c r="P85" s="24" cm="1">
        <f t="array" ref="P85">(P11-MIN($N$3:$N$74))/(MAX($N$3:$N$74-MIN($N$3:$N$74)))</f>
        <v>0.37777754840908773</v>
      </c>
      <c r="Q85" s="24" cm="1">
        <f t="array" ref="Q85">(Q11-MIN($N$3:$N$74))/(MAX($N$3:$N$74-MIN($N$3:$N$74)))</f>
        <v>0.39684723064587141</v>
      </c>
      <c r="R85" s="28">
        <f t="shared" si="14"/>
        <v>0.38132150235209311</v>
      </c>
      <c r="S85" s="24" cm="1">
        <f t="array" ref="S85">(S11-MIN($S$3:$S$74))/(MAX($S$3:$S$74-MIN($S$3:$S$74)))</f>
        <v>0.78551023271409715</v>
      </c>
      <c r="T85" s="24" cm="1">
        <f t="array" ref="T85">(T11-MIN($T$3:$T$74))/(MAX($T$3:$T$74-MIN($T$3:$T$74)))</f>
        <v>0.12200608787906</v>
      </c>
      <c r="U85" s="24" cm="1">
        <f t="array" ref="U85">(U11-MIN($T$3:$T$74))/(MAX($T$3:$T$74-MIN($T$3:$T$74)))</f>
        <v>0.12988500173592657</v>
      </c>
      <c r="V85" s="24" cm="1">
        <f t="array" ref="V85">(V11-MIN($T$3:$T$74))/(MAX($T$3:$T$74-MIN($T$3:$T$74)))</f>
        <v>0.13675647235676167</v>
      </c>
      <c r="W85" s="24" cm="1">
        <f t="array" ref="W85">(W11-MIN($T$3:$T$74))/(MAX($T$3:$T$74-MIN($T$3:$T$74)))</f>
        <v>0.14212610224198177</v>
      </c>
      <c r="X85" s="28">
        <f t="shared" si="9"/>
        <v>0.29353944867146131</v>
      </c>
      <c r="Y85" s="24">
        <f t="shared" si="10"/>
        <v>0.50570294952053874</v>
      </c>
      <c r="Z85" s="24">
        <f t="shared" si="11"/>
        <v>0.31697202586935591</v>
      </c>
      <c r="AA85" s="24">
        <f t="shared" si="11"/>
        <v>0.31715197064067352</v>
      </c>
      <c r="AB85" s="24">
        <f t="shared" si="11"/>
        <v>0.31742458272906776</v>
      </c>
      <c r="AC85" s="24">
        <f t="shared" si="11"/>
        <v>0.31738185044042067</v>
      </c>
      <c r="AD85" s="28">
        <f t="shared" si="12"/>
        <v>0.36431288218990898</v>
      </c>
      <c r="AE85" s="29">
        <f t="shared" si="13"/>
        <v>0.17220593027044642</v>
      </c>
      <c r="AF85" s="24"/>
      <c r="AG85" s="24"/>
      <c r="AH85" s="25"/>
    </row>
    <row r="86" spans="1:34" ht="14.5">
      <c r="A86" s="12" t="s">
        <v>16</v>
      </c>
      <c r="B86" s="24" cm="1">
        <f t="array" ref="B86">(B12-MIN($B$3:$B$74))/(MAX($B$3:$B$74-MIN($B$3:$B$74)))</f>
        <v>0.1565650877236035</v>
      </c>
      <c r="C86" s="24" cm="1">
        <f t="array" ref="C86">(C12-MIN($B$3:$B$74))/(MAX($B$3:$B$74-MIN($B$3:$B$74)))</f>
        <v>0.31864758359346329</v>
      </c>
      <c r="D86" s="24" cm="1">
        <f t="array" ref="D86">(D12-MIN($B$3:$B$74))/(MAX($B$3:$B$74-MIN($B$3:$B$74)))</f>
        <v>0.15289235300597961</v>
      </c>
      <c r="E86" s="24" cm="1">
        <f t="array" ref="E86">(E12-MIN($B$3:$B$74))/(MAX($B$3:$B$74-MIN($B$3:$B$74)))</f>
        <v>0.16467107196894479</v>
      </c>
      <c r="F86" s="24" cm="1">
        <f t="array" ref="F86">(F12-MIN($B$3:$B$74))/(MAX($B$3:$B$74-MIN($B$3:$B$74)))</f>
        <v>0.16467107196894479</v>
      </c>
      <c r="G86" s="28">
        <f t="shared" si="7"/>
        <v>0.1981940240729978</v>
      </c>
      <c r="H86" s="25" cm="1">
        <f t="array" ref="H86">(H12-MIN($H$3:$H$74))/(MAX($H$3:$H$74-MIN($H$3:$H$74)))</f>
        <v>0.78801343575773186</v>
      </c>
      <c r="I86" s="25" cm="1">
        <f t="array" ref="I86">(I12-MIN($H$3:$H$74))/(MAX($H$3:$H$74-MIN($H$3:$H$74)))</f>
        <v>0.52872541132492068</v>
      </c>
      <c r="J86" s="25" cm="1">
        <f t="array" ref="J86">(J12-MIN($H$3:$H$74))/(MAX($H$3:$H$74-MIN($H$3:$H$74)))</f>
        <v>0.58301476637293703</v>
      </c>
      <c r="K86" s="25" cm="1">
        <f t="array" ref="K86">(K12-MIN($H$3:$H$74))/(MAX($H$3:$H$74-MIN($H$3:$H$74)))</f>
        <v>0.5645149375714954</v>
      </c>
      <c r="L86" s="28">
        <f t="shared" si="8"/>
        <v>0.63325120448519645</v>
      </c>
      <c r="M86" s="24" cm="1">
        <f t="array" ref="M86">(M12-MIN($N$3:$N$74))/(MAX($N$3:$N$74-MIN($N$3:$N$74)))</f>
        <v>0.17184427432818239</v>
      </c>
      <c r="N86" s="24" cm="1">
        <f t="array" ref="N86">(N12-MIN($N$3:$N$74))/(MAX($N$3:$N$74-MIN($N$3:$N$74)))</f>
        <v>0.35592862996535463</v>
      </c>
      <c r="O86" s="24" cm="1">
        <f t="array" ref="O86">(O12-MIN($N$3:$N$74))/(MAX($N$3:$N$74-MIN($N$3:$N$74)))</f>
        <v>0.17472736733102218</v>
      </c>
      <c r="P86" s="24" cm="1">
        <f t="array" ref="P86">(P12-MIN($N$3:$N$74))/(MAX($N$3:$N$74-MIN($N$3:$N$74)))</f>
        <v>0.16618094444243578</v>
      </c>
      <c r="Q86" s="24" cm="1">
        <f t="array" ref="Q86">(Q12-MIN($N$3:$N$74))/(MAX($N$3:$N$74-MIN($N$3:$N$74)))</f>
        <v>0.16618094444243578</v>
      </c>
      <c r="R86" s="28">
        <f t="shared" si="14"/>
        <v>0.21717030401674875</v>
      </c>
      <c r="S86" s="24" cm="1">
        <f t="array" ref="S86">(S12-MIN($S$3:$S$74))/(MAX($S$3:$S$74-MIN($S$3:$S$74)))</f>
        <v>0.7522798130373215</v>
      </c>
      <c r="T86" s="24" cm="1">
        <f t="array" ref="T86">(T12-MIN($T$3:$T$74))/(MAX($T$3:$T$74-MIN($T$3:$T$74)))</f>
        <v>0.266311413578385</v>
      </c>
      <c r="U86" s="24" cm="1">
        <f t="array" ref="U86">(U12-MIN($T$3:$T$74))/(MAX($T$3:$T$74-MIN($T$3:$T$74)))</f>
        <v>0.10144030564813855</v>
      </c>
      <c r="V86" s="24" cm="1">
        <f t="array" ref="V86">(V12-MIN($T$3:$T$74))/(MAX($T$3:$T$74-MIN($T$3:$T$74)))</f>
        <v>0.1326387380167097</v>
      </c>
      <c r="W86" s="24" cm="1">
        <f t="array" ref="W86">(W12-MIN($T$3:$T$74))/(MAX($T$3:$T$74-MIN($T$3:$T$74)))</f>
        <v>0.11137820809238236</v>
      </c>
      <c r="X86" s="28">
        <f t="shared" si="9"/>
        <v>0.31316756757013869</v>
      </c>
      <c r="Y86" s="24">
        <f t="shared" si="10"/>
        <v>0.52040317524627344</v>
      </c>
      <c r="Z86" s="24">
        <f t="shared" si="11"/>
        <v>0.32057722093559504</v>
      </c>
      <c r="AA86" s="24">
        <f t="shared" si="11"/>
        <v>0.32255873500286092</v>
      </c>
      <c r="AB86" s="24">
        <f t="shared" si="11"/>
        <v>0.33594187983258267</v>
      </c>
      <c r="AC86" s="24">
        <f t="shared" si="11"/>
        <v>0.3296138804697073</v>
      </c>
      <c r="AD86" s="28">
        <f t="shared" si="12"/>
        <v>0.374870252754328</v>
      </c>
      <c r="AE86" s="29">
        <f t="shared" si="13"/>
        <v>0.16438579341805148</v>
      </c>
      <c r="AF86" s="24"/>
      <c r="AG86" s="24"/>
      <c r="AH86" s="25"/>
    </row>
    <row r="87" spans="1:34" ht="14.5">
      <c r="A87" s="12" t="s">
        <v>17</v>
      </c>
      <c r="B87" s="24" cm="1">
        <f t="array" ref="B87">(B13-MIN($B$3:$B$74))/(MAX($B$3:$B$74-MIN($B$3:$B$74)))</f>
        <v>0.16686888312510134</v>
      </c>
      <c r="C87" s="24" cm="1">
        <f t="array" ref="C87">(C13-MIN($B$3:$B$74))/(MAX($B$3:$B$74-MIN($B$3:$B$74)))</f>
        <v>0.19064214056732084</v>
      </c>
      <c r="D87" s="24" cm="1">
        <f t="array" ref="D87">(D13-MIN($B$3:$B$74))/(MAX($B$3:$B$74-MIN($B$3:$B$74)))</f>
        <v>0.18481483403319987</v>
      </c>
      <c r="E87" s="24" cm="1">
        <f t="array" ref="E87">(E13-MIN($B$3:$B$74))/(MAX($B$3:$B$74-MIN($B$3:$B$74)))</f>
        <v>0.18749439488303002</v>
      </c>
      <c r="F87" s="24" cm="1">
        <f t="array" ref="F87">(F13-MIN($B$3:$B$74))/(MAX($B$3:$B$74-MIN($B$3:$B$74)))</f>
        <v>0.1832623646573959</v>
      </c>
      <c r="G87" s="28">
        <f t="shared" si="7"/>
        <v>0.18245506315216301</v>
      </c>
      <c r="H87" s="25" cm="1">
        <f t="array" ref="H87">(H13-MIN($H$3:$H$74))/(MAX($H$3:$H$74-MIN($H$3:$H$74)))</f>
        <v>0.5889346495475124</v>
      </c>
      <c r="I87" s="25" cm="1">
        <f t="array" ref="I87">(I13-MIN($H$3:$H$74))/(MAX($H$3:$H$74-MIN($H$3:$H$74)))</f>
        <v>0.5607467841441911</v>
      </c>
      <c r="J87" s="25" cm="1">
        <f t="array" ref="J87">(J13-MIN($H$3:$H$74))/(MAX($H$3:$H$74-MIN($H$3:$H$74)))</f>
        <v>0.56642070905691655</v>
      </c>
      <c r="K87" s="25" cm="1">
        <f t="array" ref="K87">(K13-MIN($H$3:$H$74))/(MAX($H$3:$H$74-MIN($H$3:$H$74)))</f>
        <v>0.5616371830638166</v>
      </c>
      <c r="L87" s="28">
        <f t="shared" si="8"/>
        <v>0.57203404758287346</v>
      </c>
      <c r="M87" s="24" cm="1">
        <f t="array" ref="M87">(M13-MIN($N$3:$N$74))/(MAX($N$3:$N$74-MIN($N$3:$N$74)))</f>
        <v>0.15200043079777414</v>
      </c>
      <c r="N87" s="24" cm="1">
        <f t="array" ref="N87">(N13-MIN($N$3:$N$74))/(MAX($N$3:$N$74-MIN($N$3:$N$74)))</f>
        <v>0.15441977124929329</v>
      </c>
      <c r="O87" s="24" cm="1">
        <f t="array" ref="O87">(O13-MIN($N$3:$N$74))/(MAX($N$3:$N$74-MIN($N$3:$N$74)))</f>
        <v>0.15189052887782142</v>
      </c>
      <c r="P87" s="24" cm="1">
        <f t="array" ref="P87">(P13-MIN($N$3:$N$74))/(MAX($N$3:$N$74-MIN($N$3:$N$74)))</f>
        <v>0.15077508300822612</v>
      </c>
      <c r="Q87" s="24" cm="1">
        <f t="array" ref="Q87">(Q13-MIN($N$3:$N$74))/(MAX($N$3:$N$74-MIN($N$3:$N$74)))</f>
        <v>0.14885354901826262</v>
      </c>
      <c r="R87" s="28">
        <f t="shared" si="14"/>
        <v>0.15227145348327875</v>
      </c>
      <c r="S87" s="24" cm="1">
        <f t="array" ref="S87">(S13-MIN($S$3:$S$74))/(MAX($S$3:$S$74-MIN($S$3:$S$74)))</f>
        <v>0.84009472620810621</v>
      </c>
      <c r="T87" s="24" cm="1">
        <f t="array" ref="T87">(T13-MIN($T$3:$T$74))/(MAX($T$3:$T$74-MIN($T$3:$T$74)))</f>
        <v>0.15977253365900007</v>
      </c>
      <c r="U87" s="24" cm="1">
        <f t="array" ref="U87">(U13-MIN($T$3:$T$74))/(MAX($T$3:$T$74-MIN($T$3:$T$74)))</f>
        <v>0.14430378570074839</v>
      </c>
      <c r="V87" s="24" cm="1">
        <f t="array" ref="V87">(V13-MIN($T$3:$T$74))/(MAX($T$3:$T$74-MIN($T$3:$T$74)))</f>
        <v>0.1403322566386063</v>
      </c>
      <c r="W87" s="24" cm="1">
        <f t="array" ref="W87">(W13-MIN($T$3:$T$74))/(MAX($T$3:$T$74-MIN($T$3:$T$74)))</f>
        <v>0.13154509257276073</v>
      </c>
      <c r="X87" s="28">
        <f t="shared" si="9"/>
        <v>0.32112582555161523</v>
      </c>
      <c r="Y87" s="24">
        <f t="shared" si="10"/>
        <v>0.56088444192844933</v>
      </c>
      <c r="Z87" s="24">
        <f t="shared" si="11"/>
        <v>0.34723239831982217</v>
      </c>
      <c r="AA87" s="24">
        <f t="shared" si="11"/>
        <v>0.35110647007611595</v>
      </c>
      <c r="AB87" s="24">
        <f t="shared" si="11"/>
        <v>0.35207808808296392</v>
      </c>
      <c r="AC87" s="24">
        <f t="shared" si="11"/>
        <v>0.3514267442786147</v>
      </c>
      <c r="AD87" s="28">
        <f t="shared" si="12"/>
        <v>0.40282534960183786</v>
      </c>
      <c r="AE87" s="29">
        <f t="shared" si="13"/>
        <v>0.18214402085369832</v>
      </c>
      <c r="AF87" s="24"/>
      <c r="AG87" s="24"/>
      <c r="AH87" s="25"/>
    </row>
    <row r="88" spans="1:34" ht="14.5">
      <c r="A88" s="12" t="s">
        <v>18</v>
      </c>
      <c r="B88" s="24" cm="1">
        <f t="array" ref="B88">(B14-MIN($B$3:$B$74))/(MAX($B$3:$B$74-MIN($B$3:$B$74)))</f>
        <v>0.53816313908428715</v>
      </c>
      <c r="C88" s="24" cm="1">
        <f t="array" ref="C88">(C14-MIN($B$3:$B$74))/(MAX($B$3:$B$74-MIN($B$3:$B$74)))</f>
        <v>0.72007730861280927</v>
      </c>
      <c r="D88" s="24" cm="1">
        <f t="array" ref="D88">(D14-MIN($B$3:$B$74))/(MAX($B$3:$B$74-MIN($B$3:$B$74)))</f>
        <v>0.75144242587425658</v>
      </c>
      <c r="E88" s="24" cm="1">
        <f t="array" ref="E88">(E14-MIN($B$3:$B$74))/(MAX($B$3:$B$74-MIN($B$3:$B$74)))</f>
        <v>0.75782175349794845</v>
      </c>
      <c r="F88" s="24" cm="1">
        <f t="array" ref="F88">(F14-MIN($B$3:$B$74))/(MAX($B$3:$B$74-MIN($B$3:$B$74)))</f>
        <v>0.90105869447405118</v>
      </c>
      <c r="G88" s="28">
        <f t="shared" si="7"/>
        <v>0.69187615676732539</v>
      </c>
      <c r="H88" s="25" cm="1">
        <f t="array" ref="H88">(H14-MIN($H$3:$H$74))/(MAX($H$3:$H$74-MIN($H$3:$H$74)))</f>
        <v>0.58284990362727707</v>
      </c>
      <c r="I88" s="25" cm="1">
        <f t="array" ref="I88">(I14-MIN($H$3:$H$74))/(MAX($H$3:$H$74-MIN($H$3:$H$74)))</f>
        <v>0.56670740805025077</v>
      </c>
      <c r="J88" s="25" cm="1">
        <f t="array" ref="J88">(J14-MIN($H$3:$H$74))/(MAX($H$3:$H$74-MIN($H$3:$H$74)))</f>
        <v>0.56493848300129612</v>
      </c>
      <c r="K88" s="25" cm="1">
        <f t="array" ref="K88">(K14-MIN($H$3:$H$74))/(MAX($H$3:$H$74-MIN($H$3:$H$74)))</f>
        <v>0.5739288373709116</v>
      </c>
      <c r="L88" s="28">
        <f t="shared" si="8"/>
        <v>0.57149859822627469</v>
      </c>
      <c r="M88" s="24" cm="1">
        <f t="array" ref="M88">(M14-MIN($N$3:$N$74))/(MAX($N$3:$N$74-MIN($N$3:$N$74)))</f>
        <v>0.52293119622030471</v>
      </c>
      <c r="N88" s="24" cm="1">
        <f t="array" ref="N88">(N14-MIN($N$3:$N$74))/(MAX($N$3:$N$74-MIN($N$3:$N$74)))</f>
        <v>1</v>
      </c>
      <c r="O88" s="24" cm="1">
        <f t="array" ref="O88">(O14-MIN($N$3:$N$74))/(MAX($N$3:$N$74-MIN($N$3:$N$74)))</f>
        <v>0.97168183994035673</v>
      </c>
      <c r="P88" s="24" cm="1">
        <f t="array" ref="P88">(P14-MIN($N$3:$N$74))/(MAX($N$3:$N$74-MIN($N$3:$N$74)))</f>
        <v>0.53377251460821151</v>
      </c>
      <c r="Q88" s="24" cm="1">
        <f t="array" ref="Q88">(Q14-MIN($N$3:$N$74))/(MAX($N$3:$N$74-MIN($N$3:$N$74)))</f>
        <v>0.55000930927086256</v>
      </c>
      <c r="R88" s="28">
        <f t="shared" si="14"/>
        <v>0.75709638769221821</v>
      </c>
      <c r="S88" s="24" cm="1">
        <f t="array" ref="S88">(S14-MIN($S$3:$S$74))/(MAX($S$3:$S$74-MIN($S$3:$S$74)))</f>
        <v>0.89541325752384893</v>
      </c>
      <c r="T88" s="24" cm="1">
        <f t="array" ref="T88">(T14-MIN($T$3:$T$74))/(MAX($T$3:$T$74-MIN($T$3:$T$74)))</f>
        <v>0.17132056217373268</v>
      </c>
      <c r="U88" s="24" cm="1">
        <f t="array" ref="U88">(U14-MIN($T$3:$T$74))/(MAX($T$3:$T$74-MIN($T$3:$T$74)))</f>
        <v>0.16165517059444751</v>
      </c>
      <c r="V88" s="24" cm="1">
        <f t="array" ref="V88">(V14-MIN($T$3:$T$74))/(MAX($T$3:$T$74-MIN($T$3:$T$74)))</f>
        <v>0.15296379297839424</v>
      </c>
      <c r="W88" s="24" cm="1">
        <f t="array" ref="W88">(W14-MIN($T$3:$T$74))/(MAX($T$3:$T$74-MIN($T$3:$T$74)))</f>
        <v>0.16225416452431279</v>
      </c>
      <c r="X88" s="28">
        <f t="shared" si="9"/>
        <v>0.34533819581760583</v>
      </c>
      <c r="Y88" s="24">
        <f t="shared" si="10"/>
        <v>0.53366803320390077</v>
      </c>
      <c r="Z88" s="24">
        <f t="shared" si="11"/>
        <v>0.3308286813854221</v>
      </c>
      <c r="AA88" s="24">
        <f t="shared" si="11"/>
        <v>0.33086034801866882</v>
      </c>
      <c r="AB88" s="24">
        <f t="shared" si="11"/>
        <v>0.33144338661903483</v>
      </c>
      <c r="AC88" s="24">
        <f t="shared" si="11"/>
        <v>0.40036776833577753</v>
      </c>
      <c r="AD88" s="28">
        <f t="shared" si="12"/>
        <v>0.3817001123067566</v>
      </c>
      <c r="AE88" s="29">
        <f t="shared" si="13"/>
        <v>0.12968393613554904</v>
      </c>
      <c r="AF88" s="24"/>
      <c r="AG88" s="24"/>
      <c r="AH88" s="25"/>
    </row>
    <row r="89" spans="1:34" ht="14.5">
      <c r="A89" s="12" t="s">
        <v>35</v>
      </c>
      <c r="B89" s="24" cm="1">
        <f t="array" ref="B89">(B15-MIN($B$3:$B$74))/(MAX($B$3:$B$74-MIN($B$3:$B$74)))</f>
        <v>0.15526534108166526</v>
      </c>
      <c r="C89" s="24" cm="1">
        <f t="array" ref="C89">(C15-MIN($B$3:$B$74))/(MAX($B$3:$B$74-MIN($B$3:$B$74)))</f>
        <v>0.1496207936590904</v>
      </c>
      <c r="D89" s="24" cm="1">
        <f t="array" ref="D89">(D15-MIN($B$3:$B$74))/(MAX($B$3:$B$74-MIN($B$3:$B$74)))</f>
        <v>0.19286548851842741</v>
      </c>
      <c r="E89" s="24" cm="1">
        <f t="array" ref="E89">(E15-MIN($B$3:$B$74))/(MAX($B$3:$B$74-MIN($B$3:$B$74)))</f>
        <v>0.21694909670355339</v>
      </c>
      <c r="F89" s="24" cm="1">
        <f t="array" ref="F89">(F15-MIN($B$3:$B$74))/(MAX($B$3:$B$74-MIN($B$3:$B$74)))</f>
        <v>0.24661781587310588</v>
      </c>
      <c r="G89" s="28">
        <f t="shared" si="7"/>
        <v>0.17867517999068411</v>
      </c>
      <c r="H89" s="25" cm="1">
        <f t="array" ref="H89">(H15-MIN($H$3:$H$74))/(MAX($H$3:$H$74-MIN($H$3:$H$74)))</f>
        <v>0.55638020481663719</v>
      </c>
      <c r="I89" s="25" cm="1">
        <f t="array" ref="I89">(I15-MIN($H$3:$H$74))/(MAX($H$3:$H$74-MIN($H$3:$H$74)))</f>
        <v>0.64203537901873242</v>
      </c>
      <c r="J89" s="25" cm="1">
        <f t="array" ref="J89">(J15-MIN($H$3:$H$74))/(MAX($H$3:$H$74-MIN($H$3:$H$74)))</f>
        <v>0.57956677183710736</v>
      </c>
      <c r="K89" s="25" cm="1">
        <f t="array" ref="K89">(K15-MIN($H$3:$H$74))/(MAX($H$3:$H$74-MIN($H$3:$H$74)))</f>
        <v>0.57812157720346802</v>
      </c>
      <c r="L89" s="28">
        <f t="shared" si="8"/>
        <v>0.59266078522415899</v>
      </c>
      <c r="M89" s="24" cm="1">
        <f t="array" ref="M89">(M15-MIN($N$3:$N$74))/(MAX($N$3:$N$74-MIN($N$3:$N$74)))</f>
        <v>0.14424023277904735</v>
      </c>
      <c r="N89" s="24" cm="1">
        <f t="array" ref="N89">(N15-MIN($N$3:$N$74))/(MAX($N$3:$N$74-MIN($N$3:$N$74)))</f>
        <v>0.14165969820157712</v>
      </c>
      <c r="O89" s="24" cm="1">
        <f t="array" ref="O89">(O15-MIN($N$3:$N$74))/(MAX($N$3:$N$74-MIN($N$3:$N$74)))</f>
        <v>0.16638656450545561</v>
      </c>
      <c r="P89" s="24" cm="1">
        <f t="array" ref="P89">(P15-MIN($N$3:$N$74))/(MAX($N$3:$N$74-MIN($N$3:$N$74)))</f>
        <v>0.17792847624297192</v>
      </c>
      <c r="Q89" s="24" cm="1">
        <f t="array" ref="Q89">(Q15-MIN($N$3:$N$74))/(MAX($N$3:$N$74-MIN($N$3:$N$74)))</f>
        <v>0.18212645522759849</v>
      </c>
      <c r="R89" s="28">
        <f t="shared" si="14"/>
        <v>0.15755374293226301</v>
      </c>
      <c r="S89" s="24" cm="1">
        <f t="array" ref="S89">(S15-MIN($S$3:$S$74))/(MAX($S$3:$S$74-MIN($S$3:$S$74)))</f>
        <v>0.6972684979960263</v>
      </c>
      <c r="T89" s="24" cm="1">
        <f t="array" ref="T89">(T15-MIN($T$3:$T$74))/(MAX($T$3:$T$74-MIN($T$3:$T$74)))</f>
        <v>8.1280702029799951E-2</v>
      </c>
      <c r="U89" s="24" cm="1">
        <f t="array" ref="U89">(U15-MIN($T$3:$T$74))/(MAX($T$3:$T$74-MIN($T$3:$T$74)))</f>
        <v>9.1599941817549421E-2</v>
      </c>
      <c r="V89" s="24" cm="1">
        <f t="array" ref="V89">(V15-MIN($T$3:$T$74))/(MAX($T$3:$T$74-MIN($T$3:$T$74)))</f>
        <v>9.5701495571363732E-2</v>
      </c>
      <c r="W89" s="24" cm="1">
        <f t="array" ref="W89">(W15-MIN($T$3:$T$74))/(MAX($T$3:$T$74-MIN($T$3:$T$74)))</f>
        <v>9.9924333880028054E-2</v>
      </c>
      <c r="X89" s="28">
        <f t="shared" si="9"/>
        <v>0.24146265935368486</v>
      </c>
      <c r="Y89" s="24">
        <f t="shared" si="10"/>
        <v>0.82091486477680142</v>
      </c>
      <c r="Z89" s="24">
        <f t="shared" si="11"/>
        <v>0.46684627532849649</v>
      </c>
      <c r="AA89" s="24">
        <f t="shared" si="11"/>
        <v>0.45448248157268284</v>
      </c>
      <c r="AB89" s="24">
        <f t="shared" si="11"/>
        <v>0.45736462428390701</v>
      </c>
      <c r="AC89" s="24">
        <f t="shared" si="11"/>
        <v>0.49050946261729034</v>
      </c>
      <c r="AD89" s="28">
        <f t="shared" si="12"/>
        <v>0.54990206149047194</v>
      </c>
      <c r="AE89" s="29">
        <f t="shared" si="13"/>
        <v>0.13880742913000982</v>
      </c>
      <c r="AF89" s="24"/>
      <c r="AG89" s="24"/>
      <c r="AH89" s="25"/>
    </row>
    <row r="90" spans="1:34" ht="14.5">
      <c r="A90" s="12" t="s">
        <v>20</v>
      </c>
      <c r="B90" s="24" cm="1">
        <f t="array" ref="B90">(B16-MIN($B$3:$B$74))/(MAX($B$3:$B$74-MIN($B$3:$B$74)))</f>
        <v>0.21706237126183714</v>
      </c>
      <c r="C90" s="24" cm="1">
        <f t="array" ref="C90">(C16-MIN($B$3:$B$74))/(MAX($B$3:$B$74-MIN($B$3:$B$74)))</f>
        <v>0.23676614208286201</v>
      </c>
      <c r="D90" s="24" cm="1">
        <f t="array" ref="D90">(D16-MIN($B$3:$B$74))/(MAX($B$3:$B$74-MIN($B$3:$B$74)))</f>
        <v>0.21616202321026132</v>
      </c>
      <c r="E90" s="24" cm="1">
        <f t="array" ref="E90">(E16-MIN($B$3:$B$74))/(MAX($B$3:$B$74-MIN($B$3:$B$74)))</f>
        <v>0.22634288194731106</v>
      </c>
      <c r="F90" s="24" cm="1">
        <f t="array" ref="F90">(F16-MIN($B$3:$B$74))/(MAX($B$3:$B$74-MIN($B$3:$B$74)))</f>
        <v>0.26097165316176596</v>
      </c>
      <c r="G90" s="28">
        <f t="shared" si="7"/>
        <v>0.22408335462556789</v>
      </c>
      <c r="H90" s="25" cm="1">
        <f t="array" ref="H90">(H16-MIN($H$3:$H$74))/(MAX($H$3:$H$74-MIN($H$3:$H$74)))</f>
        <v>0.57354016262126672</v>
      </c>
      <c r="I90" s="25" cm="1">
        <f t="array" ref="I90">(I16-MIN($H$3:$H$74))/(MAX($H$3:$H$74-MIN($H$3:$H$74)))</f>
        <v>0.55676334313333642</v>
      </c>
      <c r="J90" s="25" cm="1">
        <f t="array" ref="J90">(J16-MIN($H$3:$H$74))/(MAX($H$3:$H$74-MIN($H$3:$H$74)))</f>
        <v>0.56922504789623996</v>
      </c>
      <c r="K90" s="25" cm="1">
        <f t="array" ref="K90">(K16-MIN($H$3:$H$74))/(MAX($H$3:$H$74-MIN($H$3:$H$74)))</f>
        <v>0.57890253432992855</v>
      </c>
      <c r="L90" s="28">
        <f t="shared" si="8"/>
        <v>0.56650951788361437</v>
      </c>
      <c r="M90" s="24" cm="1">
        <f t="array" ref="M90">(M16-MIN($N$3:$N$74))/(MAX($N$3:$N$74-MIN($N$3:$N$74)))</f>
        <v>0.24594200297878524</v>
      </c>
      <c r="N90" s="24" cm="1">
        <f t="array" ref="N90">(N16-MIN($N$3:$N$74))/(MAX($N$3:$N$74-MIN($N$3:$N$74)))</f>
        <v>0.24863916515127443</v>
      </c>
      <c r="O90" s="24" cm="1">
        <f t="array" ref="O90">(O16-MIN($N$3:$N$74))/(MAX($N$3:$N$74-MIN($N$3:$N$74)))</f>
        <v>0.24415668821411637</v>
      </c>
      <c r="P90" s="24" cm="1">
        <f t="array" ref="P90">(P16-MIN($N$3:$N$74))/(MAX($N$3:$N$74-MIN($N$3:$N$74)))</f>
        <v>0.25691711768634073</v>
      </c>
      <c r="Q90" s="24" cm="1">
        <f t="array" ref="Q90">(Q16-MIN($N$3:$N$74))/(MAX($N$3:$N$74-MIN($N$3:$N$74)))</f>
        <v>0.25419204865981765</v>
      </c>
      <c r="R90" s="28">
        <f t="shared" si="14"/>
        <v>0.24891374350762921</v>
      </c>
      <c r="S90" s="24" cm="1">
        <f t="array" ref="S90">(S16-MIN($S$3:$S$74))/(MAX($S$3:$S$74-MIN($S$3:$S$74)))</f>
        <v>0.73308272685314324</v>
      </c>
      <c r="T90" s="24" cm="1">
        <f t="array" ref="T90">(T16-MIN($T$3:$T$74))/(MAX($T$3:$T$74-MIN($T$3:$T$74)))</f>
        <v>0.10228661709957108</v>
      </c>
      <c r="U90" s="24" cm="1">
        <f t="array" ref="U90">(U16-MIN($T$3:$T$74))/(MAX($T$3:$T$74-MIN($T$3:$T$74)))</f>
        <v>8.1268968490908977E-2</v>
      </c>
      <c r="V90" s="24" cm="1">
        <f t="array" ref="V90">(V16-MIN($T$3:$T$74))/(MAX($T$3:$T$74-MIN($T$3:$T$74)))</f>
        <v>0.10470058616012121</v>
      </c>
      <c r="W90" s="24" cm="1">
        <f t="array" ref="W90">(W16-MIN($T$3:$T$74))/(MAX($T$3:$T$74-MIN($T$3:$T$74)))</f>
        <v>0.10394568745226165</v>
      </c>
      <c r="X90" s="28">
        <f t="shared" si="9"/>
        <v>0.2553347246509361</v>
      </c>
      <c r="Y90" s="24">
        <f t="shared" si="10"/>
        <v>0.70291585270399048</v>
      </c>
      <c r="Z90" s="24">
        <f t="shared" si="11"/>
        <v>0.40787738484964176</v>
      </c>
      <c r="AA90" s="24">
        <f t="shared" si="11"/>
        <v>0.32063450776752794</v>
      </c>
      <c r="AB90" s="24">
        <f t="shared" si="11"/>
        <v>0.40059558041198601</v>
      </c>
      <c r="AC90" s="24">
        <f t="shared" si="11"/>
        <v>0.39857422093076361</v>
      </c>
      <c r="AD90" s="28">
        <f t="shared" si="12"/>
        <v>0.45800583143328655</v>
      </c>
      <c r="AE90" s="29">
        <f t="shared" si="13"/>
        <v>0.14141414141414144</v>
      </c>
      <c r="AF90" s="24"/>
      <c r="AG90" s="24"/>
      <c r="AH90" s="25"/>
    </row>
    <row r="91" spans="1:34" ht="14.5">
      <c r="A91" s="12" t="s">
        <v>21</v>
      </c>
      <c r="B91" s="24" cm="1">
        <f t="array" ref="B91">(B17-MIN($B$3:$B$74))/(MAX($B$3:$B$74-MIN($B$3:$B$74)))</f>
        <v>0.12775448807527257</v>
      </c>
      <c r="C91" s="24" cm="1">
        <f t="array" ref="C91">(C17-MIN($B$3:$B$74))/(MAX($B$3:$B$74-MIN($B$3:$B$74)))</f>
        <v>0.12705230662984857</v>
      </c>
      <c r="D91" s="24" cm="1">
        <f t="array" ref="D91">(D17-MIN($B$3:$B$74))/(MAX($B$3:$B$74-MIN($B$3:$B$74)))</f>
        <v>0.1272360849815608</v>
      </c>
      <c r="E91" s="24" cm="1">
        <f t="array" ref="E91">(E17-MIN($B$3:$B$74))/(MAX($B$3:$B$74-MIN($B$3:$B$74)))</f>
        <v>0.12667190957805777</v>
      </c>
      <c r="F91" s="24" cm="1">
        <f t="array" ref="F91">(F17-MIN($B$3:$B$74))/(MAX($B$3:$B$74-MIN($B$3:$B$74)))</f>
        <v>0.13263673446557181</v>
      </c>
      <c r="G91" s="28">
        <f t="shared" si="7"/>
        <v>0.12717869731618492</v>
      </c>
      <c r="H91" s="25" cm="1">
        <f t="array" ref="H91">(H17-MIN($H$3:$H$74))/(MAX($H$3:$H$74-MIN($H$3:$H$74)))</f>
        <v>0.54176973912358684</v>
      </c>
      <c r="I91" s="25" cm="1">
        <f t="array" ref="I91">(I17-MIN($H$3:$H$74))/(MAX($H$3:$H$74-MIN($H$3:$H$74)))</f>
        <v>0.5776898790238475</v>
      </c>
      <c r="J91" s="25" cm="1">
        <f t="array" ref="J91">(J17-MIN($H$3:$H$74))/(MAX($H$3:$H$74-MIN($H$3:$H$74)))</f>
        <v>0.53381675273495877</v>
      </c>
      <c r="K91" s="25" cm="1">
        <f t="array" ref="K91">(K17-MIN($H$3:$H$74))/(MAX($H$3:$H$74-MIN($H$3:$H$74)))</f>
        <v>1.8119880590222608</v>
      </c>
      <c r="L91" s="28">
        <f t="shared" si="8"/>
        <v>0.5510921236274644</v>
      </c>
      <c r="M91" s="24" cm="1">
        <f t="array" ref="M91">(M17-MIN($N$3:$N$74))/(MAX($N$3:$N$74-MIN($N$3:$N$74)))</f>
        <v>0.13411584629141185</v>
      </c>
      <c r="N91" s="24" cm="1">
        <f t="array" ref="N91">(N17-MIN($N$3:$N$74))/(MAX($N$3:$N$74-MIN($N$3:$N$74)))</f>
        <v>0.13010704505761733</v>
      </c>
      <c r="O91" s="24" cm="1">
        <f t="array" ref="O91">(O17-MIN($N$3:$N$74))/(MAX($N$3:$N$74-MIN($N$3:$N$74)))</f>
        <v>0.13085814531092241</v>
      </c>
      <c r="P91" s="24" cm="1">
        <f t="array" ref="P91">(P17-MIN($N$3:$N$74))/(MAX($N$3:$N$74-MIN($N$3:$N$74)))</f>
        <v>0.1270955348251227</v>
      </c>
      <c r="Q91" s="24" cm="1">
        <f t="array" ref="Q91">(Q17-MIN($N$3:$N$74))/(MAX($N$3:$N$74-MIN($N$3:$N$74)))</f>
        <v>0.15658340480523986</v>
      </c>
      <c r="R91" s="28">
        <f t="shared" si="14"/>
        <v>0.13054414287126859</v>
      </c>
      <c r="S91" s="24" cm="1">
        <f t="array" ref="S91">(S17-MIN($S$3:$S$74))/(MAX($S$3:$S$74-MIN($S$3:$S$74)))</f>
        <v>0.68097998197290144</v>
      </c>
      <c r="T91" s="24" cm="1">
        <f t="array" ref="T91">(T17-MIN($T$3:$T$74))/(MAX($T$3:$T$74-MIN($T$3:$T$74)))</f>
        <v>7.5245163074677809E-2</v>
      </c>
      <c r="U91" s="24" cm="1">
        <f t="array" ref="U91">(U17-MIN($T$3:$T$74))/(MAX($T$3:$T$74-MIN($T$3:$T$74)))</f>
        <v>7.5316514909110524E-2</v>
      </c>
      <c r="V91" s="24" cm="1">
        <f t="array" ref="V91">(V17-MIN($T$3:$T$74))/(MAX($T$3:$T$74-MIN($T$3:$T$74)))</f>
        <v>7.5047081527105E-2</v>
      </c>
      <c r="W91" s="24" cm="1">
        <f t="array" ref="W91">(W17-MIN($T$3:$T$74))/(MAX($T$3:$T$74-MIN($T$3:$T$74)))</f>
        <v>7.7612141793366285E-2</v>
      </c>
      <c r="X91" s="28">
        <f t="shared" si="9"/>
        <v>0.22664718537094869</v>
      </c>
      <c r="Y91" s="24">
        <f t="shared" si="10"/>
        <v>0.63540257807054079</v>
      </c>
      <c r="Z91" s="24">
        <f t="shared" si="11"/>
        <v>0.37374219368211059</v>
      </c>
      <c r="AA91" s="24">
        <f t="shared" si="11"/>
        <v>0.32269657264170593</v>
      </c>
      <c r="AB91" s="24">
        <f t="shared" si="11"/>
        <v>0.36786115830403493</v>
      </c>
      <c r="AC91" s="24">
        <f t="shared" si="11"/>
        <v>0.37162116272501328</v>
      </c>
      <c r="AD91" s="28">
        <f t="shared" si="12"/>
        <v>0.42492562567459807</v>
      </c>
      <c r="AE91" s="29">
        <f t="shared" si="13"/>
        <v>0.12544802867383514</v>
      </c>
      <c r="AF91" s="24"/>
      <c r="AG91" s="24"/>
      <c r="AH91" s="25"/>
    </row>
    <row r="92" spans="1:34" ht="14.5">
      <c r="A92" s="12" t="s">
        <v>22</v>
      </c>
      <c r="B92" s="24" cm="1">
        <f t="array" ref="B92">(B18-MIN($B$3:$B$74))/(MAX($B$3:$B$74-MIN($B$3:$B$74)))</f>
        <v>0.14318094458806974</v>
      </c>
      <c r="C92" s="24" cm="1">
        <f t="array" ref="C92">(C18-MIN($B$3:$B$74))/(MAX($B$3:$B$74-MIN($B$3:$B$74)))</f>
        <v>0.15091648710520733</v>
      </c>
      <c r="D92" s="24" cm="1">
        <f t="array" ref="D92">(D18-MIN($B$3:$B$74))/(MAX($B$3:$B$74-MIN($B$3:$B$74)))</f>
        <v>0.1540703273762791</v>
      </c>
      <c r="E92" s="24" cm="1">
        <f t="array" ref="E92">(E18-MIN($B$3:$B$74))/(MAX($B$3:$B$74-MIN($B$3:$B$74)))</f>
        <v>0.14724940966051361</v>
      </c>
      <c r="F92" s="24" cm="1">
        <f t="array" ref="F92">(F18-MIN($B$3:$B$74))/(MAX($B$3:$B$74-MIN($B$3:$B$74)))</f>
        <v>0.16322899880796121</v>
      </c>
      <c r="G92" s="28">
        <f t="shared" si="7"/>
        <v>0.14885429218251744</v>
      </c>
      <c r="H92" s="25" cm="1">
        <f t="array" ref="H92">(H18-MIN($H$3:$H$74))/(MAX($H$3:$H$74-MIN($H$3:$H$74)))</f>
        <v>0.5837265763044609</v>
      </c>
      <c r="I92" s="25" cm="1">
        <f t="array" ref="I92">(I18-MIN($H$3:$H$74))/(MAX($H$3:$H$74-MIN($H$3:$H$74)))</f>
        <v>0.56986882248596815</v>
      </c>
      <c r="J92" s="25" cm="1">
        <f t="array" ref="J92">(J18-MIN($H$3:$H$74))/(MAX($H$3:$H$74-MIN($H$3:$H$74)))</f>
        <v>0.5542591915419014</v>
      </c>
      <c r="K92" s="25" cm="1">
        <f t="array" ref="K92">(K18-MIN($H$3:$H$74))/(MAX($H$3:$H$74-MIN($H$3:$H$74)))</f>
        <v>0.59642952206916811</v>
      </c>
      <c r="L92" s="28">
        <f t="shared" si="8"/>
        <v>0.56928486344411011</v>
      </c>
      <c r="M92" s="24" cm="1">
        <f t="array" ref="M92">(M18-MIN($N$3:$N$74))/(MAX($N$3:$N$74-MIN($N$3:$N$74)))</f>
        <v>0.35695088373065592</v>
      </c>
      <c r="N92" s="24" cm="1">
        <f t="array" ref="N92">(N18-MIN($N$3:$N$74))/(MAX($N$3:$N$74-MIN($N$3:$N$74)))</f>
        <v>0.35175920237022257</v>
      </c>
      <c r="O92" s="24" cm="1">
        <f t="array" ref="O92">(O18-MIN($N$3:$N$74))/(MAX($N$3:$N$74-MIN($N$3:$N$74)))</f>
        <v>0.32620915711463028</v>
      </c>
      <c r="P92" s="24" cm="1">
        <f t="array" ref="P92">(P18-MIN($N$3:$N$74))/(MAX($N$3:$N$74-MIN($N$3:$N$74)))</f>
        <v>0.32316028743594893</v>
      </c>
      <c r="Q92" s="24" cm="1">
        <f t="array" ref="Q92">(Q18-MIN($N$3:$N$74))/(MAX($N$3:$N$74-MIN($N$3:$N$74)))</f>
        <v>0.43783502365521287</v>
      </c>
      <c r="R92" s="28">
        <f t="shared" si="14"/>
        <v>0.33951988266286443</v>
      </c>
      <c r="S92" s="24" cm="1">
        <f t="array" ref="S92">(S18-MIN($S$3:$S$74))/(MAX($S$3:$S$74-MIN($S$3:$S$74)))</f>
        <v>0.76457461295631224</v>
      </c>
      <c r="T92" s="24" cm="1">
        <f t="array" ref="T92">(T18-MIN($T$3:$T$74))/(MAX($T$3:$T$74-MIN($T$3:$T$74)))</f>
        <v>0.12173050334819385</v>
      </c>
      <c r="U92" s="24" cm="1">
        <f t="array" ref="U92">(U18-MIN($T$3:$T$74))/(MAX($T$3:$T$74-MIN($T$3:$T$74)))</f>
        <v>0.10820373967973906</v>
      </c>
      <c r="V92" s="24" cm="1">
        <f t="array" ref="V92">(V18-MIN($T$3:$T$74))/(MAX($T$3:$T$74-MIN($T$3:$T$74)))</f>
        <v>9.7559642923046377E-2</v>
      </c>
      <c r="W92" s="24" cm="1">
        <f t="array" ref="W92">(W18-MIN($T$3:$T$74))/(MAX($T$3:$T$74-MIN($T$3:$T$74)))</f>
        <v>0.11075255304583684</v>
      </c>
      <c r="X92" s="28">
        <f t="shared" si="9"/>
        <v>0.27301712472682288</v>
      </c>
      <c r="Y92" s="24">
        <f t="shared" si="10"/>
        <v>0.52496835106302786</v>
      </c>
      <c r="Z92" s="24">
        <f t="shared" si="11"/>
        <v>0.32795493563504163</v>
      </c>
      <c r="AA92" s="24">
        <f t="shared" si="11"/>
        <v>0.32864001912630353</v>
      </c>
      <c r="AB92" s="24">
        <f t="shared" si="11"/>
        <v>0.32794582847592429</v>
      </c>
      <c r="AC92" s="24">
        <f t="shared" si="11"/>
        <v>0.41772103264486926</v>
      </c>
      <c r="AD92" s="28">
        <f t="shared" si="12"/>
        <v>0.37737728357507433</v>
      </c>
      <c r="AE92" s="29">
        <f t="shared" si="13"/>
        <v>0</v>
      </c>
      <c r="AF92" s="24"/>
      <c r="AG92" s="24"/>
      <c r="AH92" s="25"/>
    </row>
    <row r="93" spans="1:34" ht="14.5">
      <c r="A93" s="12" t="s">
        <v>23</v>
      </c>
      <c r="B93" s="24" cm="1">
        <f t="array" ref="B93">(B19-MIN($B$3:$B$74))/(MAX($B$3:$B$74-MIN($B$3:$B$74)))</f>
        <v>0.14023549875572061</v>
      </c>
      <c r="C93" s="24" cm="1">
        <f t="array" ref="C93">(C19-MIN($B$3:$B$74))/(MAX($B$3:$B$74-MIN($B$3:$B$74)))</f>
        <v>0.13315929578559238</v>
      </c>
      <c r="D93" s="24" cm="1">
        <f t="array" ref="D93">(D19-MIN($B$3:$B$74))/(MAX($B$3:$B$74-MIN($B$3:$B$74)))</f>
        <v>0.14103285262616758</v>
      </c>
      <c r="E93" s="24" cm="1">
        <f t="array" ref="E93">(E19-MIN($B$3:$B$74))/(MAX($B$3:$B$74-MIN($B$3:$B$74)))</f>
        <v>0.14116734538963502</v>
      </c>
      <c r="F93" s="24" cm="1">
        <f t="array" ref="F93">(F19-MIN($B$3:$B$74))/(MAX($B$3:$B$74-MIN($B$3:$B$74)))</f>
        <v>0.1518667357196378</v>
      </c>
      <c r="G93" s="28">
        <f t="shared" si="7"/>
        <v>0.13889874813927891</v>
      </c>
      <c r="H93" s="25" cm="1">
        <f t="array" ref="H93">(H19-MIN($H$3:$H$74))/(MAX($H$3:$H$74-MIN($H$3:$H$74)))</f>
        <v>0.54317945538013257</v>
      </c>
      <c r="I93" s="25" cm="1">
        <f t="array" ref="I93">(I19-MIN($H$3:$H$74))/(MAX($H$3:$H$74-MIN($H$3:$H$74)))</f>
        <v>0.61338037016118041</v>
      </c>
      <c r="J93" s="25" cm="1">
        <f t="array" ref="J93">(J19-MIN($H$3:$H$74))/(MAX($H$3:$H$74-MIN($H$3:$H$74)))</f>
        <v>0.56489823908832204</v>
      </c>
      <c r="K93" s="25" cm="1">
        <f t="array" ref="K93">(K19-MIN($H$3:$H$74))/(MAX($H$3:$H$74-MIN($H$3:$H$74)))</f>
        <v>0.59472886971193006</v>
      </c>
      <c r="L93" s="28">
        <f t="shared" si="8"/>
        <v>0.57381935487654501</v>
      </c>
      <c r="M93" s="24" cm="1">
        <f t="array" ref="M93">(M19-MIN($N$3:$N$74))/(MAX($N$3:$N$74-MIN($N$3:$N$74)))</f>
        <v>0.14149557575951691</v>
      </c>
      <c r="N93" s="24" cm="1">
        <f t="array" ref="N93">(N19-MIN($N$3:$N$74))/(MAX($N$3:$N$74-MIN($N$3:$N$74)))</f>
        <v>0.13307242633950414</v>
      </c>
      <c r="O93" s="24" cm="1">
        <f t="array" ref="O93">(O19-MIN($N$3:$N$74))/(MAX($N$3:$N$74-MIN($N$3:$N$74)))</f>
        <v>0.13776611631380845</v>
      </c>
      <c r="P93" s="24" cm="1">
        <f t="array" ref="P93">(P19-MIN($N$3:$N$74))/(MAX($N$3:$N$74-MIN($N$3:$N$74)))</f>
        <v>0.13759397532812292</v>
      </c>
      <c r="Q93" s="24" cm="1">
        <f t="array" ref="Q93">(Q19-MIN($N$3:$N$74))/(MAX($N$3:$N$74-MIN($N$3:$N$74)))</f>
        <v>0.14438626080035202</v>
      </c>
      <c r="R93" s="28">
        <f t="shared" si="14"/>
        <v>0.1374820234352381</v>
      </c>
      <c r="S93" s="24" cm="1">
        <f t="array" ref="S93">(S19-MIN($S$3:$S$74))/(MAX($S$3:$S$74-MIN($S$3:$S$74)))</f>
        <v>0.72658657171825303</v>
      </c>
      <c r="T93" s="24" cm="1">
        <f t="array" ref="T93">(T19-MIN($T$3:$T$74))/(MAX($T$3:$T$74-MIN($T$3:$T$74)))</f>
        <v>8.5520192765438041E-2</v>
      </c>
      <c r="U93" s="24" cm="1">
        <f t="array" ref="U93">(U19-MIN($T$3:$T$74))/(MAX($T$3:$T$74-MIN($T$3:$T$74)))</f>
        <v>9.676314234804928E-2</v>
      </c>
      <c r="V93" s="24" cm="1">
        <f t="array" ref="V93">(V19-MIN($T$3:$T$74))/(MAX($T$3:$T$74-MIN($T$3:$T$74)))</f>
        <v>9.6473543500135858E-2</v>
      </c>
      <c r="W93" s="24" cm="1">
        <f t="array" ref="W93">(W19-MIN($T$3:$T$74))/(MAX($T$3:$T$74-MIN($T$3:$T$74)))</f>
        <v>0.10854083045173349</v>
      </c>
      <c r="X93" s="28">
        <f t="shared" si="9"/>
        <v>0.25133586258296903</v>
      </c>
      <c r="Y93" s="24">
        <f t="shared" si="10"/>
        <v>0.57576081130954804</v>
      </c>
      <c r="Z93" s="24">
        <f t="shared" si="11"/>
        <v>0.3585931512431359</v>
      </c>
      <c r="AA93" s="24">
        <f t="shared" si="11"/>
        <v>0.3591400169050783</v>
      </c>
      <c r="AB93" s="24">
        <f t="shared" si="11"/>
        <v>0.3608309399767749</v>
      </c>
      <c r="AC93" s="24">
        <f t="shared" si="11"/>
        <v>0.3629652930783715</v>
      </c>
      <c r="AD93" s="28">
        <f t="shared" si="12"/>
        <v>0.41358122985863427</v>
      </c>
      <c r="AE93" s="29">
        <f t="shared" si="13"/>
        <v>0.29537308569566634</v>
      </c>
      <c r="AF93" s="24"/>
      <c r="AG93" s="24"/>
      <c r="AH93" s="25"/>
    </row>
    <row r="94" spans="1:34" ht="14.5">
      <c r="A94" s="12" t="s">
        <v>24</v>
      </c>
      <c r="B94" s="24" cm="1">
        <f t="array" ref="B94">(B20-MIN($B$3:$B$74))/(MAX($B$3:$B$74-MIN($B$3:$B$74)))</f>
        <v>0.13209902529915768</v>
      </c>
      <c r="C94" s="24" cm="1">
        <f t="array" ref="C94">(C20-MIN($B$3:$B$74))/(MAX($B$3:$B$74-MIN($B$3:$B$74)))</f>
        <v>0.13833482524936533</v>
      </c>
      <c r="D94" s="24" cm="1">
        <f t="array" ref="D94">(D20-MIN($B$3:$B$74))/(MAX($B$3:$B$74-MIN($B$3:$B$74)))</f>
        <v>0.14380965635388435</v>
      </c>
      <c r="E94" s="24" cm="1">
        <f t="array" ref="E94">(E20-MIN($B$3:$B$74))/(MAX($B$3:$B$74-MIN($B$3:$B$74)))</f>
        <v>0.14775769534605218</v>
      </c>
      <c r="F94" s="24" cm="1">
        <f t="array" ref="F94">(F20-MIN($B$3:$B$74))/(MAX($B$3:$B$74-MIN($B$3:$B$74)))</f>
        <v>0.15003353867929098</v>
      </c>
      <c r="G94" s="28">
        <f t="shared" si="7"/>
        <v>0.14050030056211488</v>
      </c>
      <c r="H94" s="25" cm="1">
        <f t="array" ref="H94">(H20-MIN($H$3:$H$74))/(MAX($H$3:$H$74-MIN($H$3:$H$74)))</f>
        <v>0.61051019464116307</v>
      </c>
      <c r="I94" s="25" cm="1">
        <f t="array" ref="I94">(I20-MIN($H$3:$H$74))/(MAX($H$3:$H$74-MIN($H$3:$H$74)))</f>
        <v>0.58366725078857229</v>
      </c>
      <c r="J94" s="25" cm="1">
        <f t="array" ref="J94">(J20-MIN($H$3:$H$74))/(MAX($H$3:$H$74-MIN($H$3:$H$74)))</f>
        <v>0.57396451256147785</v>
      </c>
      <c r="K94" s="25" cm="1">
        <f t="array" ref="K94">(K20-MIN($H$3:$H$74))/(MAX($H$3:$H$74-MIN($H$3:$H$74)))</f>
        <v>0.56895172638398939</v>
      </c>
      <c r="L94" s="28">
        <f t="shared" si="8"/>
        <v>0.58938065266373774</v>
      </c>
      <c r="M94" s="24" cm="1">
        <f t="array" ref="M94">(M20-MIN($N$3:$N$74))/(MAX($N$3:$N$74-MIN($N$3:$N$74)))</f>
        <v>0.17713896364541429</v>
      </c>
      <c r="N94" s="24" cm="1">
        <f t="array" ref="N94">(N20-MIN($N$3:$N$74))/(MAX($N$3:$N$74-MIN($N$3:$N$74)))</f>
        <v>0.20762536864804393</v>
      </c>
      <c r="O94" s="24" cm="1">
        <f t="array" ref="O94">(O20-MIN($N$3:$N$74))/(MAX($N$3:$N$74-MIN($N$3:$N$74)))</f>
        <v>0.22817488660241236</v>
      </c>
      <c r="P94" s="24" cm="1">
        <f t="array" ref="P94">(P20-MIN($N$3:$N$74))/(MAX($N$3:$N$74-MIN($N$3:$N$74)))</f>
        <v>0.24018973902540353</v>
      </c>
      <c r="Q94" s="24" cm="1">
        <f t="array" ref="Q94">(Q20-MIN($N$3:$N$74))/(MAX($N$3:$N$74-MIN($N$3:$N$74)))</f>
        <v>0.23674997649670379</v>
      </c>
      <c r="R94" s="28">
        <f t="shared" si="14"/>
        <v>0.21328223948031852</v>
      </c>
      <c r="S94" s="24" cm="1">
        <f t="array" ref="S94">(S20-MIN($S$3:$S$74))/(MAX($S$3:$S$74-MIN($S$3:$S$74)))</f>
        <v>0.68386129936415296</v>
      </c>
      <c r="T94" s="24" cm="1">
        <f t="array" ref="T94">(T20-MIN($T$3:$T$74))/(MAX($T$3:$T$74-MIN($T$3:$T$74)))</f>
        <v>9.4407735610100477E-2</v>
      </c>
      <c r="U94" s="24" cm="1">
        <f t="array" ref="U94">(U20-MIN($T$3:$T$74))/(MAX($T$3:$T$74-MIN($T$3:$T$74)))</f>
        <v>0.10107172930724488</v>
      </c>
      <c r="V94" s="24" cm="1">
        <f t="array" ref="V94">(V20-MIN($T$3:$T$74))/(MAX($T$3:$T$74-MIN($T$3:$T$74)))</f>
        <v>0.10428362891806804</v>
      </c>
      <c r="W94" s="24" cm="1">
        <f t="array" ref="W94">(W20-MIN($T$3:$T$74))/(MAX($T$3:$T$74-MIN($T$3:$T$74)))</f>
        <v>0.10462517395564744</v>
      </c>
      <c r="X94" s="28">
        <f t="shared" si="9"/>
        <v>0.2459060982998916</v>
      </c>
      <c r="Y94" s="24">
        <f t="shared" si="10"/>
        <v>0.51171569787037985</v>
      </c>
      <c r="Z94" s="24">
        <f t="shared" si="11"/>
        <v>0.40949980232362626</v>
      </c>
      <c r="AA94" s="24">
        <f t="shared" si="11"/>
        <v>0.39591048804249906</v>
      </c>
      <c r="AB94" s="24">
        <f t="shared" si="11"/>
        <v>0.39532673399465368</v>
      </c>
      <c r="AC94" s="24">
        <f t="shared" si="11"/>
        <v>0.39143922400766895</v>
      </c>
      <c r="AD94" s="28">
        <f t="shared" si="12"/>
        <v>0.42811318055778969</v>
      </c>
      <c r="AE94" s="29">
        <f t="shared" si="13"/>
        <v>0.13017269468882373</v>
      </c>
      <c r="AF94" s="24"/>
      <c r="AG94" s="24"/>
      <c r="AH94" s="25"/>
    </row>
    <row r="95" spans="1:34" ht="14.5">
      <c r="A95" s="12" t="s">
        <v>25</v>
      </c>
      <c r="B95" s="24" cm="1">
        <f t="array" ref="B95">(B21-MIN($B$3:$B$74))/(MAX($B$3:$B$74-MIN($B$3:$B$74)))</f>
        <v>0.13863367423291362</v>
      </c>
      <c r="C95" s="24" cm="1">
        <f t="array" ref="C95">(C21-MIN($B$3:$B$74))/(MAX($B$3:$B$74-MIN($B$3:$B$74)))</f>
        <v>0.14180985398601278</v>
      </c>
      <c r="D95" s="24" cm="1">
        <f t="array" ref="D95">(D21-MIN($B$3:$B$74))/(MAX($B$3:$B$74-MIN($B$3:$B$74)))</f>
        <v>0.14279500317618762</v>
      </c>
      <c r="E95" s="24" cm="1">
        <f t="array" ref="E95">(E21-MIN($B$3:$B$74))/(MAX($B$3:$B$74-MIN($B$3:$B$74)))</f>
        <v>0.14654470883556739</v>
      </c>
      <c r="F95" s="24" cm="1">
        <f t="array" ref="F95">(F21-MIN($B$3:$B$74))/(MAX($B$3:$B$74-MIN($B$3:$B$74)))</f>
        <v>0.14499152187467104</v>
      </c>
      <c r="G95" s="28">
        <f t="shared" si="7"/>
        <v>0.14244581005767035</v>
      </c>
      <c r="H95" s="25" cm="1">
        <f t="array" ref="H95">(H21-MIN($H$3:$H$74))/(MAX($H$3:$H$74-MIN($H$3:$H$74)))</f>
        <v>0.57535293377666308</v>
      </c>
      <c r="I95" s="25" cm="1">
        <f t="array" ref="I95">(I21-MIN($H$3:$H$74))/(MAX($H$3:$H$74-MIN($H$3:$H$74)))</f>
        <v>0.5671803447139</v>
      </c>
      <c r="J95" s="25" cm="1">
        <f t="array" ref="J95">(J21-MIN($H$3:$H$74))/(MAX($H$3:$H$74-MIN($H$3:$H$74)))</f>
        <v>0.57404774217279009</v>
      </c>
      <c r="K95" s="25" cm="1">
        <f t="array" ref="K95">(K21-MIN($H$3:$H$74))/(MAX($H$3:$H$74-MIN($H$3:$H$74)))</f>
        <v>0.56130398534242276</v>
      </c>
      <c r="L95" s="28">
        <f t="shared" si="8"/>
        <v>0.57219367355445105</v>
      </c>
      <c r="M95" s="24" cm="1">
        <f t="array" ref="M95">(M21-MIN($N$3:$N$74))/(MAX($N$3:$N$74-MIN($N$3:$N$74)))</f>
        <v>0.21672797945091832</v>
      </c>
      <c r="N95" s="24" cm="1">
        <f t="array" ref="N95">(N21-MIN($N$3:$N$74))/(MAX($N$3:$N$74-MIN($N$3:$N$74)))</f>
        <v>0.23688842998682741</v>
      </c>
      <c r="O95" s="24" cm="1">
        <f t="array" ref="O95">(O21-MIN($N$3:$N$74))/(MAX($N$3:$N$74-MIN($N$3:$N$74)))</f>
        <v>0.23629417538101782</v>
      </c>
      <c r="P95" s="24" cm="1">
        <f t="array" ref="P95">(P21-MIN($N$3:$N$74))/(MAX($N$3:$N$74-MIN($N$3:$N$74)))</f>
        <v>0.25244834617503809</v>
      </c>
      <c r="Q95" s="24" cm="1">
        <f t="array" ref="Q95">(Q21-MIN($N$3:$N$74))/(MAX($N$3:$N$74-MIN($N$3:$N$74)))</f>
        <v>0.23740439796911003</v>
      </c>
      <c r="R95" s="28">
        <f t="shared" si="14"/>
        <v>0.23558973274845041</v>
      </c>
      <c r="S95" s="24" cm="1">
        <f t="array" ref="S95">(S21-MIN($S$3:$S$74))/(MAX($S$3:$S$74-MIN($S$3:$S$74)))</f>
        <v>0.75022635758251977</v>
      </c>
      <c r="T95" s="24" cm="1">
        <f t="array" ref="T95">(T21-MIN($T$3:$T$74))/(MAX($T$3:$T$74-MIN($T$3:$T$74)))</f>
        <v>0.11036991388780688</v>
      </c>
      <c r="U95" s="24" cm="1">
        <f t="array" ref="U95">(U21-MIN($T$3:$T$74))/(MAX($T$3:$T$74-MIN($T$3:$T$74)))</f>
        <v>0.1117033887252489</v>
      </c>
      <c r="V95" s="24" cm="1">
        <f t="array" ref="V95">(V21-MIN($T$3:$T$74))/(MAX($T$3:$T$74-MIN($T$3:$T$74)))</f>
        <v>0.11765386148410502</v>
      </c>
      <c r="W95" s="24" cm="1">
        <f t="array" ref="W95">(W21-MIN($T$3:$T$74))/(MAX($T$3:$T$74-MIN($T$3:$T$74)))</f>
        <v>0.1143861321462785</v>
      </c>
      <c r="X95" s="28">
        <f t="shared" si="9"/>
        <v>0.27248838041992013</v>
      </c>
      <c r="Y95" s="24">
        <f t="shared" si="10"/>
        <v>0.51047400468505066</v>
      </c>
      <c r="Z95" s="24">
        <f t="shared" si="11"/>
        <v>0.31912620846054635</v>
      </c>
      <c r="AA95" s="24">
        <f t="shared" si="11"/>
        <v>0.31987343945924901</v>
      </c>
      <c r="AB95" s="24">
        <f t="shared" si="11"/>
        <v>0.31991939281878151</v>
      </c>
      <c r="AC95" s="24">
        <f t="shared" si="11"/>
        <v>0.31990643827654286</v>
      </c>
      <c r="AD95" s="28">
        <f t="shared" si="12"/>
        <v>0.36734826135590692</v>
      </c>
      <c r="AE95" s="29">
        <f t="shared" si="13"/>
        <v>0.26572173346366901</v>
      </c>
      <c r="AF95" s="24"/>
      <c r="AG95" s="24"/>
      <c r="AH95" s="25"/>
    </row>
    <row r="96" spans="1:34" ht="14.5">
      <c r="A96" s="12" t="s">
        <v>26</v>
      </c>
      <c r="B96" s="24" cm="1">
        <f t="array" ref="B96">(B22-MIN($B$3:$B$74))/(MAX($B$3:$B$74-MIN($B$3:$B$74)))</f>
        <v>0.1164671382578529</v>
      </c>
      <c r="C96" s="24" cm="1">
        <f t="array" ref="C96">(C22-MIN($B$3:$B$74))/(MAX($B$3:$B$74-MIN($B$3:$B$74)))</f>
        <v>0.14507376468162703</v>
      </c>
      <c r="D96" s="24" cm="1">
        <f t="array" ref="D96">(D22-MIN($B$3:$B$74))/(MAX($B$3:$B$74-MIN($B$3:$B$74)))</f>
        <v>0.1515874617316269</v>
      </c>
      <c r="E96" s="24" cm="1">
        <f t="array" ref="E96">(E22-MIN($B$3:$B$74))/(MAX($B$3:$B$74-MIN($B$3:$B$74)))</f>
        <v>0.27197609740881939</v>
      </c>
      <c r="F96" s="24" cm="1">
        <f t="array" ref="F96">(F22-MIN($B$3:$B$74))/(MAX($B$3:$B$74-MIN($B$3:$B$74)))</f>
        <v>0.28021870511924335</v>
      </c>
      <c r="G96" s="28">
        <f t="shared" si="7"/>
        <v>0.17127611551998156</v>
      </c>
      <c r="H96" s="25" cm="1">
        <f t="array" ref="H96">(H22-MIN($H$3:$H$74))/(MAX($H$3:$H$74-MIN($H$3:$H$74)))</f>
        <v>0.68313925011410981</v>
      </c>
      <c r="I96" s="25" cm="1">
        <f t="array" ref="I96">(I22-MIN($H$3:$H$74))/(MAX($H$3:$H$74-MIN($H$3:$H$74)))</f>
        <v>0.57904582303355823</v>
      </c>
      <c r="J96" s="25" cm="1">
        <f t="array" ref="J96">(J22-MIN($H$3:$H$74))/(MAX($H$3:$H$74-MIN($H$3:$H$74)))</f>
        <v>0.76342368277731876</v>
      </c>
      <c r="K96" s="25" cm="1">
        <f t="array" ref="K96">(K22-MIN($H$3:$H$74))/(MAX($H$3:$H$74-MIN($H$3:$H$74)))</f>
        <v>0.56686553044691468</v>
      </c>
      <c r="L96" s="28">
        <f t="shared" si="8"/>
        <v>0.67520291864166226</v>
      </c>
      <c r="M96" s="24" cm="1">
        <f t="array" ref="M96">(M22-MIN($N$3:$N$74))/(MAX($N$3:$N$74-MIN($N$3:$N$74)))</f>
        <v>7.6144260385878473E-2</v>
      </c>
      <c r="N96" s="24" cm="1">
        <f t="array" ref="N96">(N22-MIN($N$3:$N$74))/(MAX($N$3:$N$74-MIN($N$3:$N$74)))</f>
        <v>0.17928485769327582</v>
      </c>
      <c r="O96" s="24" cm="1">
        <f t="array" ref="O96">(O22-MIN($N$3:$N$74))/(MAX($N$3:$N$74-MIN($N$3:$N$74)))</f>
        <v>0.17928783672659596</v>
      </c>
      <c r="P96" s="24" cm="1">
        <f t="array" ref="P96">(P22-MIN($N$3:$N$74))/(MAX($N$3:$N$74-MIN($N$3:$N$74)))</f>
        <v>0.20873602995626439</v>
      </c>
      <c r="Q96" s="24" cm="1">
        <f t="array" ref="Q96">(Q22-MIN($N$3:$N$74))/(MAX($N$3:$N$74-MIN($N$3:$N$74)))</f>
        <v>0.20174598944301736</v>
      </c>
      <c r="R96" s="28">
        <f t="shared" si="14"/>
        <v>0.16086324619050366</v>
      </c>
      <c r="S96" s="24" cm="1">
        <f t="array" ref="S96">(S22-MIN($S$3:$S$74))/(MAX($S$3:$S$74-MIN($S$3:$S$74)))</f>
        <v>0.65940051972211444</v>
      </c>
      <c r="T96" s="24" cm="1">
        <f t="array" ref="T96">(T22-MIN($T$3:$T$74))/(MAX($T$3:$T$74-MIN($T$3:$T$74)))</f>
        <v>8.990335946856863E-2</v>
      </c>
      <c r="U96" s="24" cm="1">
        <f t="array" ref="U96">(U22-MIN($T$3:$T$74))/(MAX($T$3:$T$74-MIN($T$3:$T$74)))</f>
        <v>9.3755089394325544E-2</v>
      </c>
      <c r="V96" s="24" cm="1">
        <f t="array" ref="V96">(V22-MIN($T$3:$T$74))/(MAX($T$3:$T$74-MIN($T$3:$T$74)))</f>
        <v>0.17237640395065282</v>
      </c>
      <c r="W96" s="24" cm="1">
        <f t="array" ref="W96">(W22-MIN($T$3:$T$74))/(MAX($T$3:$T$74-MIN($T$3:$T$74)))</f>
        <v>9.933405286647555E-2</v>
      </c>
      <c r="X96" s="28">
        <f t="shared" si="9"/>
        <v>0.25385884313391538</v>
      </c>
      <c r="Y96" s="24">
        <f t="shared" si="10"/>
        <v>0.84529938658115999</v>
      </c>
      <c r="Z96" s="24">
        <f t="shared" si="11"/>
        <v>0.45000309414205752</v>
      </c>
      <c r="AA96" s="24">
        <f t="shared" si="11"/>
        <v>0.4388846137286932</v>
      </c>
      <c r="AB96" s="24">
        <f t="shared" si="11"/>
        <v>0.43201251192768109</v>
      </c>
      <c r="AC96" s="24">
        <f t="shared" si="11"/>
        <v>0.43523033104967229</v>
      </c>
      <c r="AD96" s="28">
        <f t="shared" si="12"/>
        <v>0.54154990159489802</v>
      </c>
      <c r="AE96" s="29">
        <f t="shared" si="13"/>
        <v>9.6285434995112426E-2</v>
      </c>
      <c r="AF96" s="24"/>
      <c r="AG96" s="24"/>
      <c r="AH96" s="25"/>
    </row>
    <row r="97" spans="1:31" ht="15" customHeight="1">
      <c r="A97" t="s">
        <v>45</v>
      </c>
      <c r="B97" s="24" cm="1">
        <f t="array" ref="B97">(B23-MIN($B$3:$B$74))/(MAX($B$3:$B$74-MIN($B$3:$B$74)))</f>
        <v>0.16569216320024849</v>
      </c>
      <c r="C97" s="24" cm="1">
        <f t="array" ref="C97">(C23-MIN($B$3:$B$74))/(MAX($B$3:$B$74-MIN($B$3:$B$74)))</f>
        <v>-6.6928181467907508E-2</v>
      </c>
      <c r="D97" s="24" cm="1">
        <f t="array" ref="D97">(D23-MIN($B$3:$B$74))/(MAX($B$3:$B$74-MIN($B$3:$B$74)))</f>
        <v>0.21965638103281088</v>
      </c>
      <c r="E97" s="24" cm="1">
        <f t="array" ref="E97">(E23-MIN($B$3:$B$74))/(MAX($B$3:$B$74-MIN($B$3:$B$74)))</f>
        <v>1.4046623762017887</v>
      </c>
      <c r="F97" s="24" cm="1">
        <f t="array" ref="F97">(F23-MIN($B$3:$B$74))/(MAX($B$3:$B$74-MIN($B$3:$B$74)))</f>
        <v>1.5015033089380672</v>
      </c>
      <c r="G97" s="28">
        <f t="shared" ref="G97:G148" si="15">AVERAGEA(B97:E97)</f>
        <v>0.43077068474173513</v>
      </c>
      <c r="H97" s="25" cm="1">
        <f t="array" ref="H97">(H23-MIN($H$3:$H$74))/(MAX($H$3:$H$74-MIN($H$3:$H$74)))</f>
        <v>0.31839970959836233</v>
      </c>
      <c r="I97" s="25" cm="1">
        <f t="array" ref="I97">(I23-MIN($H$3:$H$74))/(MAX($H$3:$H$74-MIN($H$3:$H$74)))</f>
        <v>0.62600091018787107</v>
      </c>
      <c r="J97" s="25" cm="1">
        <f t="array" ref="J97">(J23-MIN($H$3:$H$74))/(MAX($H$3:$H$74-MIN($H$3:$H$74)))</f>
        <v>1.0921916812534396</v>
      </c>
      <c r="K97" s="25" cm="1">
        <f t="array" ref="K97">(K23-MIN($H$3:$H$74))/(MAX($H$3:$H$74-MIN($H$3:$H$74)))</f>
        <v>0.56765868353976989</v>
      </c>
      <c r="L97" s="28">
        <f t="shared" ref="L97:L148" si="16">AVERAGE(H97:J97)</f>
        <v>0.67886410034655764</v>
      </c>
      <c r="M97" s="24" cm="1">
        <f t="array" ref="M97">(M23-MIN($N$3:$N$74))/(MAX($N$3:$N$74-MIN($N$3:$N$74)))</f>
        <v>0.13828009446327269</v>
      </c>
      <c r="N97" s="24" cm="1">
        <f t="array" ref="N97">(N23-MIN($N$3:$N$74))/(MAX($N$3:$N$74-MIN($N$3:$N$74)))</f>
        <v>7.2068173116948256E-2</v>
      </c>
      <c r="O97" s="24" cm="1">
        <f t="array" ref="O97">(O23-MIN($N$3:$N$74))/(MAX($N$3:$N$74-MIN($N$3:$N$74)))</f>
        <v>0.1496969861996926</v>
      </c>
      <c r="P97" s="24" cm="1">
        <f t="array" ref="P97">(P23-MIN($N$3:$N$74))/(MAX($N$3:$N$74-MIN($N$3:$N$74)))</f>
        <v>0.12591599275380813</v>
      </c>
      <c r="Q97" s="24" cm="1">
        <f t="array" ref="Q97">(Q23-MIN($N$3:$N$74))/(MAX($N$3:$N$74-MIN($N$3:$N$74)))</f>
        <v>0.14698643229403685</v>
      </c>
      <c r="R97" s="28">
        <f t="shared" ref="R97:R148" si="17">AVERAGE(M97:P97)</f>
        <v>0.12149031163343044</v>
      </c>
      <c r="S97" s="24" cm="1">
        <f t="array" ref="S97">(S23-MIN($S$3:$S$74))/(MAX($S$3:$S$74-MIN($S$3:$S$74)))</f>
        <v>0.68887349740734072</v>
      </c>
      <c r="T97" s="24" cm="1">
        <f t="array" ref="T97">(T23-MIN($T$3:$T$74))/(MAX($T$3:$T$74-MIN($T$3:$T$74)))</f>
        <v>5.5032764546726863E-2</v>
      </c>
      <c r="U97" s="24" cm="1">
        <f t="array" ref="U97">(U23-MIN($T$3:$T$74))/(MAX($T$3:$T$74-MIN($T$3:$T$74)))</f>
        <v>8.4185722867185092E-2</v>
      </c>
      <c r="V97" s="24" cm="1">
        <f t="array" ref="V97">(V23-MIN($T$3:$T$74))/(MAX($T$3:$T$74-MIN($T$3:$T$74)))</f>
        <v>0.20159657624659302</v>
      </c>
      <c r="W97" s="24" cm="1">
        <f t="array" ref="W97">(W23-MIN($T$3:$T$74))/(MAX($T$3:$T$74-MIN($T$3:$T$74)))</f>
        <v>8.4241383163746367E-2</v>
      </c>
      <c r="X97" s="28">
        <f t="shared" ref="X97:X148" si="18">AVERAGE(S97:V97)</f>
        <v>0.25742214026696142</v>
      </c>
      <c r="Y97" s="24">
        <f t="shared" si="10"/>
        <v>1</v>
      </c>
      <c r="Z97" s="24">
        <f t="shared" ref="Z97:AC116" si="19">(Z23-MIN($Z$3:$Z$74))/(MAX($Z$3:$Z$74)-MIN($Z$3:$Z$74))</f>
        <v>0.55569197551664007</v>
      </c>
      <c r="AA97" s="24">
        <f t="shared" si="19"/>
        <v>0.54987335821864858</v>
      </c>
      <c r="AB97" s="24">
        <f t="shared" si="19"/>
        <v>0.54562748909557146</v>
      </c>
      <c r="AC97" s="24">
        <f t="shared" si="19"/>
        <v>0.55630706168110655</v>
      </c>
      <c r="AD97" s="28">
        <f t="shared" si="12"/>
        <v>0.66279820570771508</v>
      </c>
      <c r="AE97" s="29">
        <f t="shared" si="13"/>
        <v>0.23232323232323238</v>
      </c>
    </row>
    <row r="98" spans="1:31" ht="15" customHeight="1">
      <c r="A98" s="5" t="s">
        <v>46</v>
      </c>
      <c r="B98" s="24" cm="1">
        <f t="array" ref="B98">(B24-MIN($B$3:$B$74))/(MAX($B$3:$B$74-MIN($B$3:$B$74)))</f>
        <v>1</v>
      </c>
      <c r="C98" s="24" cm="1">
        <f t="array" ref="C98">(C24-MIN($B$3:$B$74))/(MAX($B$3:$B$74-MIN($B$3:$B$74)))</f>
        <v>1.0187341652270203</v>
      </c>
      <c r="D98" s="24" cm="1">
        <f t="array" ref="D98">(D24-MIN($B$3:$B$74))/(MAX($B$3:$B$74-MIN($B$3:$B$74)))</f>
        <v>1.1099369043955631</v>
      </c>
      <c r="E98" s="24" cm="1">
        <f t="array" ref="E98">(E24-MIN($B$3:$B$74))/(MAX($B$3:$B$74-MIN($B$3:$B$74)))</f>
        <v>5.1756914884743814</v>
      </c>
      <c r="F98" s="24" cm="1">
        <f t="array" ref="F98">(F24-MIN($B$3:$B$74))/(MAX($B$3:$B$74-MIN($B$3:$B$74)))</f>
        <v>5.6364965470251338</v>
      </c>
      <c r="G98" s="28">
        <f t="shared" si="15"/>
        <v>2.0760906395242413</v>
      </c>
      <c r="H98" s="25" cm="1">
        <f t="array" ref="H98">(H24-MIN($H$3:$H$74))/(MAX($H$3:$H$74-MIN($H$3:$H$74)))</f>
        <v>0.56540483874161362</v>
      </c>
      <c r="I98" s="25" cm="1">
        <f t="array" ref="I98">(I24-MIN($H$3:$H$74))/(MAX($H$3:$H$74-MIN($H$3:$H$74)))</f>
        <v>0.56875624399685398</v>
      </c>
      <c r="J98" s="25" cm="1">
        <f t="array" ref="J98">(J24-MIN($H$3:$H$74))/(MAX($H$3:$H$74-MIN($H$3:$H$74)))</f>
        <v>0.73605535881266837</v>
      </c>
      <c r="K98" s="25" cm="1">
        <f t="array" ref="K98">(K24-MIN($H$3:$H$74))/(MAX($H$3:$H$74-MIN($H$3:$H$74)))</f>
        <v>0.56830177473934296</v>
      </c>
      <c r="L98" s="28">
        <f t="shared" si="16"/>
        <v>0.62340548051704536</v>
      </c>
      <c r="M98" s="24" cm="1">
        <f t="array" ref="M98">(M24-MIN($N$3:$N$74))/(MAX($N$3:$N$74-MIN($N$3:$N$74)))</f>
        <v>0.20454402088880952</v>
      </c>
      <c r="N98" s="24" cm="1">
        <f t="array" ref="N98">(N24-MIN($N$3:$N$74))/(MAX($N$3:$N$74-MIN($N$3:$N$74)))</f>
        <v>0.19911961939682515</v>
      </c>
      <c r="O98" s="24" cm="1">
        <f t="array" ref="O98">(O24-MIN($N$3:$N$74))/(MAX($N$3:$N$74-MIN($N$3:$N$74)))</f>
        <v>0.19061969939727533</v>
      </c>
      <c r="P98" s="24" cm="1">
        <f t="array" ref="P98">(P24-MIN($N$3:$N$74))/(MAX($N$3:$N$74-MIN($N$3:$N$74)))</f>
        <v>0.19144399697673861</v>
      </c>
      <c r="Q98" s="24" cm="1">
        <f t="array" ref="Q98">(Q24-MIN($N$3:$N$74))/(MAX($N$3:$N$74-MIN($N$3:$N$74)))</f>
        <v>0.18945291074792167</v>
      </c>
      <c r="R98" s="28">
        <f t="shared" si="17"/>
        <v>0.19643183416491217</v>
      </c>
      <c r="S98" s="24" cm="1">
        <f t="array" ref="S98">(S24-MIN($S$3:$S$74))/(MAX($S$3:$S$74-MIN($S$3:$S$74)))</f>
        <v>0.74895436230794321</v>
      </c>
      <c r="T98" s="24" cm="1">
        <f t="array" ref="T98">(T24-MIN($T$3:$T$74))/(MAX($T$3:$T$74-MIN($T$3:$T$74)))</f>
        <v>0.10404759775578547</v>
      </c>
      <c r="U98" s="24" cm="1">
        <f t="array" ref="U98">(U24-MIN($T$3:$T$74))/(MAX($T$3:$T$74-MIN($T$3:$T$74)))</f>
        <v>0.1050454401554461</v>
      </c>
      <c r="V98" s="24" cm="1">
        <f t="array" ref="V98">(V24-MIN($T$3:$T$74))/(MAX($T$3:$T$74-MIN($T$3:$T$74)))</f>
        <v>0.21812120749855415</v>
      </c>
      <c r="W98" s="24" cm="1">
        <f t="array" ref="W98">(W24-MIN($T$3:$T$74))/(MAX($T$3:$T$74-MIN($T$3:$T$74)))</f>
        <v>0.10654720324065416</v>
      </c>
      <c r="X98" s="28">
        <f t="shared" si="18"/>
        <v>0.29404215192943223</v>
      </c>
      <c r="Y98" s="24">
        <f t="shared" si="10"/>
        <v>0.86240078954803434</v>
      </c>
      <c r="Z98" s="24">
        <f t="shared" si="19"/>
        <v>0.48867663668812117</v>
      </c>
      <c r="AA98" s="24">
        <f t="shared" si="19"/>
        <v>0.49289326828718005</v>
      </c>
      <c r="AB98" s="24">
        <f t="shared" si="19"/>
        <v>0.49451052165025799</v>
      </c>
      <c r="AC98" s="24">
        <f t="shared" si="19"/>
        <v>0.49979913684523036</v>
      </c>
      <c r="AD98" s="28">
        <f t="shared" si="12"/>
        <v>0.58462030404339838</v>
      </c>
      <c r="AE98" s="29">
        <f t="shared" si="13"/>
        <v>7.2987943955685891E-2</v>
      </c>
    </row>
    <row r="99" spans="1:31" ht="15" customHeight="1">
      <c r="A99" s="33" t="s">
        <v>47</v>
      </c>
      <c r="B99" s="24" cm="1">
        <f t="array" ref="B99">(B25-MIN($B$3:$B$74))/(MAX($B$3:$B$74-MIN($B$3:$B$74)))</f>
        <v>0.46532862437870592</v>
      </c>
      <c r="C99" s="24" cm="1">
        <f t="array" ref="C99">(C25-MIN($B$3:$B$74))/(MAX($B$3:$B$74-MIN($B$3:$B$74)))</f>
        <v>0.67224182852529479</v>
      </c>
      <c r="D99" s="24" cm="1">
        <f t="array" ref="D99">(D25-MIN($B$3:$B$74))/(MAX($B$3:$B$74-MIN($B$3:$B$74)))</f>
        <v>0.66136209822373515</v>
      </c>
      <c r="E99" s="24" cm="1">
        <f t="array" ref="E99">(E25-MIN($B$3:$B$74))/(MAX($B$3:$B$74-MIN($B$3:$B$74)))</f>
        <v>3.4225847611817191</v>
      </c>
      <c r="F99" s="24" cm="1">
        <f t="array" ref="F99">(F25-MIN($B$3:$B$74))/(MAX($B$3:$B$74-MIN($B$3:$B$74)))</f>
        <v>3.4139433087286575</v>
      </c>
      <c r="G99" s="28">
        <f t="shared" si="15"/>
        <v>1.3053793280773638</v>
      </c>
      <c r="H99" s="25" cm="1">
        <f t="array" ref="H99">(H25-MIN($H$3:$H$74))/(MAX($H$3:$H$74-MIN($H$3:$H$74)))</f>
        <v>0.58985208211999729</v>
      </c>
      <c r="I99" s="25" cm="1">
        <f t="array" ref="I99">(I25-MIN($H$3:$H$74))/(MAX($H$3:$H$74-MIN($H$3:$H$74)))</f>
        <v>0.56368777034607997</v>
      </c>
      <c r="J99" s="25" cm="1">
        <f t="array" ref="J99">(J25-MIN($H$3:$H$74))/(MAX($H$3:$H$74-MIN($H$3:$H$74)))</f>
        <v>0.77871599320199858</v>
      </c>
      <c r="K99" s="25" cm="1">
        <f t="array" ref="K99">(K25-MIN($H$3:$H$74))/(MAX($H$3:$H$74-MIN($H$3:$H$74)))</f>
        <v>0.56440615272685357</v>
      </c>
      <c r="L99" s="28">
        <f t="shared" si="16"/>
        <v>0.64408528188935854</v>
      </c>
      <c r="M99" s="24" cm="1">
        <f t="array" ref="M99">(M25-MIN($N$3:$N$74))/(MAX($N$3:$N$74-MIN($N$3:$N$74)))</f>
        <v>0.17159054071275701</v>
      </c>
      <c r="N99" s="24" cm="1">
        <f t="array" ref="N99">(N25-MIN($N$3:$N$74))/(MAX($N$3:$N$74-MIN($N$3:$N$74)))</f>
        <v>0.18163700074568201</v>
      </c>
      <c r="O99" s="24" cm="1">
        <f t="array" ref="O99">(O25-MIN($N$3:$N$74))/(MAX($N$3:$N$74-MIN($N$3:$N$74)))</f>
        <v>0.17855960880054042</v>
      </c>
      <c r="P99" s="24" cm="1">
        <f t="array" ref="P99">(P25-MIN($N$3:$N$74))/(MAX($N$3:$N$74-MIN($N$3:$N$74)))</f>
        <v>0.18528396209501041</v>
      </c>
      <c r="Q99" s="24" cm="1">
        <f t="array" ref="Q99">(Q25-MIN($N$3:$N$74))/(MAX($N$3:$N$74-MIN($N$3:$N$74)))</f>
        <v>0.18512115478437954</v>
      </c>
      <c r="R99" s="28">
        <f t="shared" si="17"/>
        <v>0.17926777808849748</v>
      </c>
      <c r="S99" s="24" cm="1">
        <f t="array" ref="S99">(S25-MIN($S$3:$S$74))/(MAX($S$3:$S$74-MIN($S$3:$S$74)))</f>
        <v>0.70837133781709771</v>
      </c>
      <c r="T99" s="24" cm="1">
        <f t="array" ref="T99">(T25-MIN($T$3:$T$74))/(MAX($T$3:$T$74-MIN($T$3:$T$74)))</f>
        <v>9.3926179495999129E-2</v>
      </c>
      <c r="U99" s="24" cm="1">
        <f t="array" ref="U99">(U25-MIN($T$3:$T$74))/(MAX($T$3:$T$74-MIN($T$3:$T$74)))</f>
        <v>9.2507856473865696E-2</v>
      </c>
      <c r="V99" s="24" cm="1">
        <f t="array" ref="V99">(V25-MIN($T$3:$T$74))/(MAX($T$3:$T$74-MIN($T$3:$T$74)))</f>
        <v>0.17407131033946355</v>
      </c>
      <c r="W99" s="24" cm="1">
        <f t="array" ref="W99">(W25-MIN($T$3:$T$74))/(MAX($T$3:$T$74-MIN($T$3:$T$74)))</f>
        <v>9.3528459837653288E-2</v>
      </c>
      <c r="X99" s="28">
        <f t="shared" si="18"/>
        <v>0.26721917103160653</v>
      </c>
      <c r="Y99" s="24">
        <f t="shared" si="10"/>
        <v>0.80689105446765608</v>
      </c>
      <c r="Z99" s="24">
        <f t="shared" si="19"/>
        <v>0.50252702784596082</v>
      </c>
      <c r="AA99" s="24">
        <f t="shared" si="19"/>
        <v>0.51689339070296536</v>
      </c>
      <c r="AB99" s="24">
        <f t="shared" si="19"/>
        <v>0.51160100785434559</v>
      </c>
      <c r="AC99" s="24">
        <f t="shared" si="19"/>
        <v>0.49162195645989815</v>
      </c>
      <c r="AD99" s="28">
        <f t="shared" si="12"/>
        <v>0.58447812021773193</v>
      </c>
      <c r="AE99" s="29">
        <f t="shared" si="13"/>
        <v>3.9263603779732814E-2</v>
      </c>
    </row>
    <row r="100" spans="1:31" ht="15" customHeight="1">
      <c r="A100" s="33" t="s">
        <v>48</v>
      </c>
      <c r="B100" s="24" cm="1">
        <f t="array" ref="B100">(B26-MIN($B$3:$B$74))/(MAX($B$3:$B$74-MIN($B$3:$B$74)))</f>
        <v>0.42368595295826872</v>
      </c>
      <c r="C100" s="24" cm="1">
        <f t="array" ref="C100">(C26-MIN($B$3:$B$74))/(MAX($B$3:$B$74-MIN($B$3:$B$74)))</f>
        <v>0.6053705232400719</v>
      </c>
      <c r="D100" s="24" cm="1">
        <f t="array" ref="D100">(D26-MIN($B$3:$B$74))/(MAX($B$3:$B$74-MIN($B$3:$B$74)))</f>
        <v>0.65711849971490921</v>
      </c>
      <c r="E100" s="24" cm="1">
        <f t="array" ref="E100">(E26-MIN($B$3:$B$74))/(MAX($B$3:$B$74-MIN($B$3:$B$74)))</f>
        <v>1.680474242784701</v>
      </c>
      <c r="F100" s="24" cm="1">
        <f t="array" ref="F100">(F26-MIN($B$3:$B$74))/(MAX($B$3:$B$74-MIN($B$3:$B$74)))</f>
        <v>1.7582315745117045</v>
      </c>
      <c r="G100" s="28">
        <f t="shared" si="15"/>
        <v>0.84166230467448766</v>
      </c>
      <c r="H100" s="25" cm="1">
        <f t="array" ref="H100">(H26-MIN($H$3:$H$74))/(MAX($H$3:$H$74-MIN($H$3:$H$74)))</f>
        <v>0.5898799199998026</v>
      </c>
      <c r="I100" s="25" cm="1">
        <f t="array" ref="I100">(I26-MIN($H$3:$H$74))/(MAX($H$3:$H$74-MIN($H$3:$H$74)))</f>
        <v>0.56899861905466453</v>
      </c>
      <c r="J100" s="25" cm="1">
        <f t="array" ref="J100">(J26-MIN($H$3:$H$74))/(MAX($H$3:$H$74-MIN($H$3:$H$74)))</f>
        <v>0.64453632427211149</v>
      </c>
      <c r="K100" s="25" cm="1">
        <f t="array" ref="K100">(K26-MIN($H$3:$H$74))/(MAX($H$3:$H$74-MIN($H$3:$H$74)))</f>
        <v>0.56659115887133493</v>
      </c>
      <c r="L100" s="28">
        <f t="shared" si="16"/>
        <v>0.60113828777552625</v>
      </c>
      <c r="M100" s="24" cm="1">
        <f t="array" ref="M100">(M26-MIN($N$3:$N$74))/(MAX($N$3:$N$74-MIN($N$3:$N$74)))</f>
        <v>0.19864156791480805</v>
      </c>
      <c r="N100" s="24" cm="1">
        <f t="array" ref="N100">(N26-MIN($N$3:$N$74))/(MAX($N$3:$N$74-MIN($N$3:$N$74)))</f>
        <v>0.24134372918895017</v>
      </c>
      <c r="O100" s="24" cm="1">
        <f t="array" ref="O100">(O26-MIN($N$3:$N$74))/(MAX($N$3:$N$74-MIN($N$3:$N$74)))</f>
        <v>0.24104147245063431</v>
      </c>
      <c r="P100" s="24" cm="1">
        <f t="array" ref="P100">(P26-MIN($N$3:$N$74))/(MAX($N$3:$N$74-MIN($N$3:$N$74)))</f>
        <v>0.23409465513278419</v>
      </c>
      <c r="Q100" s="24" cm="1">
        <f t="array" ref="Q100">(Q26-MIN($N$3:$N$74))/(MAX($N$3:$N$74-MIN($N$3:$N$74)))</f>
        <v>0.23860599759062653</v>
      </c>
      <c r="R100" s="28">
        <f t="shared" si="17"/>
        <v>0.22878035617179418</v>
      </c>
      <c r="S100" s="24" cm="1">
        <f t="array" ref="S100">(S26-MIN($S$3:$S$74))/(MAX($S$3:$S$74-MIN($S$3:$S$74)))</f>
        <v>0.71790236798089246</v>
      </c>
      <c r="T100" s="24" cm="1">
        <f t="array" ref="T100">(T26-MIN($T$3:$T$74))/(MAX($T$3:$T$74-MIN($T$3:$T$74)))</f>
        <v>0.10014892557398622</v>
      </c>
      <c r="U100" s="24" cm="1">
        <f t="array" ref="U100">(U26-MIN($T$3:$T$74))/(MAX($T$3:$T$74-MIN($T$3:$T$74)))</f>
        <v>0.1003103045072499</v>
      </c>
      <c r="V100" s="24" cm="1">
        <f t="array" ref="V100">(V26-MIN($T$3:$T$74))/(MAX($T$3:$T$74-MIN($T$3:$T$74)))</f>
        <v>0.14362053366288985</v>
      </c>
      <c r="W100" s="24" cm="1">
        <f t="array" ref="W100">(W26-MIN($T$3:$T$74))/(MAX($T$3:$T$74-MIN($T$3:$T$74)))</f>
        <v>0.10133292027005006</v>
      </c>
      <c r="X100" s="28">
        <f t="shared" si="18"/>
        <v>0.26549553293125461</v>
      </c>
      <c r="Y100" s="24">
        <f t="shared" si="10"/>
        <v>0.70549533164433831</v>
      </c>
      <c r="Z100" s="24">
        <f t="shared" si="19"/>
        <v>0.41014246686918837</v>
      </c>
      <c r="AA100" s="24">
        <f t="shared" si="19"/>
        <v>0.40934881385646815</v>
      </c>
      <c r="AB100" s="24">
        <f t="shared" si="19"/>
        <v>0.40950198916455605</v>
      </c>
      <c r="AC100" s="24">
        <f t="shared" si="19"/>
        <v>0.41597614838034591</v>
      </c>
      <c r="AD100" s="28">
        <f t="shared" si="12"/>
        <v>0.48362215038363776</v>
      </c>
      <c r="AE100" s="29">
        <f t="shared" si="13"/>
        <v>0.13538611925708702</v>
      </c>
    </row>
    <row r="101" spans="1:31" ht="14.5">
      <c r="A101" s="33" t="s">
        <v>49</v>
      </c>
      <c r="B101" s="24" cm="1">
        <f t="array" ref="B101">(B27-MIN($B$3:$B$74))/(MAX($B$3:$B$74-MIN($B$3:$B$74)))</f>
        <v>0.43636952743309043</v>
      </c>
      <c r="C101" s="24" cm="1">
        <f t="array" ref="C101">(C27-MIN($B$3:$B$74))/(MAX($B$3:$B$74-MIN($B$3:$B$74)))</f>
        <v>0.55507380708613141</v>
      </c>
      <c r="D101" s="24" cm="1">
        <f t="array" ref="D101">(D27-MIN($B$3:$B$74))/(MAX($B$3:$B$74-MIN($B$3:$B$74)))</f>
        <v>0.60679974707019579</v>
      </c>
      <c r="E101" s="24" cm="1">
        <f t="array" ref="E101">(E27-MIN($B$3:$B$74))/(MAX($B$3:$B$74-MIN($B$3:$B$74)))</f>
        <v>1.8211079788268234</v>
      </c>
      <c r="F101" s="24" cm="1">
        <f t="array" ref="F101">(F27-MIN($B$3:$B$74))/(MAX($B$3:$B$74-MIN($B$3:$B$74)))</f>
        <v>1.8977666340852952</v>
      </c>
      <c r="G101" s="28">
        <f t="shared" si="15"/>
        <v>0.85483776510406018</v>
      </c>
      <c r="H101" s="25" cm="1">
        <f t="array" ref="H101">(H27-MIN($H$3:$H$74))/(MAX($H$3:$H$74-MIN($H$3:$H$74)))</f>
        <v>0.58040896248045692</v>
      </c>
      <c r="I101" s="25" cm="1">
        <f t="array" ref="I101">(I27-MIN($H$3:$H$74))/(MAX($H$3:$H$74-MIN($H$3:$H$74)))</f>
        <v>0.56952265059596352</v>
      </c>
      <c r="J101" s="25" cm="1">
        <f t="array" ref="J101">(J27-MIN($H$3:$H$74))/(MAX($H$3:$H$74-MIN($H$3:$H$74)))</f>
        <v>0.66941509469634464</v>
      </c>
      <c r="K101" s="25" cm="1">
        <f t="array" ref="K101">(K27-MIN($H$3:$H$74))/(MAX($H$3:$H$74-MIN($H$3:$H$74)))</f>
        <v>0.5663919565907366</v>
      </c>
      <c r="L101" s="28">
        <f t="shared" si="16"/>
        <v>0.60644890259092166</v>
      </c>
      <c r="M101" s="24" cm="1">
        <f t="array" ref="M101">(M27-MIN($N$3:$N$74))/(MAX($N$3:$N$74-MIN($N$3:$N$74)))</f>
        <v>0.19894130196178739</v>
      </c>
      <c r="N101" s="24" cm="1">
        <f t="array" ref="N101">(N27-MIN($N$3:$N$74))/(MAX($N$3:$N$74-MIN($N$3:$N$74)))</f>
        <v>0.21393421623082176</v>
      </c>
      <c r="O101" s="24" cm="1">
        <f t="array" ref="O101">(O27-MIN($N$3:$N$74))/(MAX($N$3:$N$74-MIN($N$3:$N$74)))</f>
        <v>0.21743524757110277</v>
      </c>
      <c r="P101" s="24" cm="1">
        <f t="array" ref="P101">(P27-MIN($N$3:$N$74))/(MAX($N$3:$N$74-MIN($N$3:$N$74)))</f>
        <v>0.24372824705707646</v>
      </c>
      <c r="Q101" s="24" cm="1">
        <f t="array" ref="Q101">(Q27-MIN($N$3:$N$74))/(MAX($N$3:$N$74-MIN($N$3:$N$74)))</f>
        <v>0.25267401919467064</v>
      </c>
      <c r="R101" s="28">
        <f t="shared" si="17"/>
        <v>0.21850975320519711</v>
      </c>
      <c r="S101" s="24" cm="1">
        <f t="array" ref="S101">(S27-MIN($S$3:$S$74))/(MAX($S$3:$S$74-MIN($S$3:$S$74)))</f>
        <v>0.71678443105130873</v>
      </c>
      <c r="T101" s="24" cm="1">
        <f t="array" ref="T101">(T27-MIN($T$3:$T$74))/(MAX($T$3:$T$74-MIN($T$3:$T$74)))</f>
        <v>9.6082197545437842E-2</v>
      </c>
      <c r="U101" s="24" cm="1">
        <f t="array" ref="U101">(U27-MIN($T$3:$T$74))/(MAX($T$3:$T$74-MIN($T$3:$T$74)))</f>
        <v>9.6469867854552735E-2</v>
      </c>
      <c r="V101" s="24" cm="1">
        <f t="array" ref="V101">(V27-MIN($T$3:$T$74))/(MAX($T$3:$T$74-MIN($T$3:$T$74)))</f>
        <v>0.14125299680505529</v>
      </c>
      <c r="W101" s="24" cm="1">
        <f t="array" ref="W101">(W27-MIN($T$3:$T$74))/(MAX($T$3:$T$74-MIN($T$3:$T$74)))</f>
        <v>0.10250182498581697</v>
      </c>
      <c r="X101" s="28">
        <f t="shared" si="18"/>
        <v>0.26264737331408861</v>
      </c>
      <c r="Y101" s="24">
        <f t="shared" si="10"/>
        <v>0.77009747704691311</v>
      </c>
      <c r="Z101" s="24">
        <f t="shared" si="19"/>
        <v>0.43892145195947541</v>
      </c>
      <c r="AA101" s="24">
        <f t="shared" si="19"/>
        <v>0.43739321881213228</v>
      </c>
      <c r="AB101" s="24">
        <f t="shared" si="19"/>
        <v>0.42819268297487939</v>
      </c>
      <c r="AC101" s="24">
        <f t="shared" si="19"/>
        <v>0.42659349705545335</v>
      </c>
      <c r="AD101" s="28">
        <f t="shared" si="12"/>
        <v>0.51865120769835005</v>
      </c>
      <c r="AE101" s="29">
        <f t="shared" si="13"/>
        <v>9.9543825350276963E-2</v>
      </c>
    </row>
    <row r="102" spans="1:31" ht="14.5">
      <c r="A102" s="33" t="s">
        <v>50</v>
      </c>
      <c r="B102" s="24" cm="1">
        <f t="array" ref="B102">(B28-MIN($B$3:$B$74))/(MAX($B$3:$B$74-MIN($B$3:$B$74)))</f>
        <v>0.17876585912802431</v>
      </c>
      <c r="C102" s="24" cm="1">
        <f t="array" ref="C102">(C28-MIN($B$3:$B$74))/(MAX($B$3:$B$74-MIN($B$3:$B$74)))</f>
        <v>0.21027342695477674</v>
      </c>
      <c r="D102" s="24" cm="1">
        <f t="array" ref="D102">(D28-MIN($B$3:$B$74))/(MAX($B$3:$B$74-MIN($B$3:$B$74)))</f>
        <v>0.17882196207228429</v>
      </c>
      <c r="E102" s="24" cm="1">
        <f t="array" ref="E102">(E28-MIN($B$3:$B$74))/(MAX($B$3:$B$74-MIN($B$3:$B$74)))</f>
        <v>0.48288354467959738</v>
      </c>
      <c r="F102" s="24" cm="1">
        <f t="array" ref="F102">(F28-MIN($B$3:$B$74))/(MAX($B$3:$B$74-MIN($B$3:$B$74)))</f>
        <v>0.51132515943645052</v>
      </c>
      <c r="G102" s="28">
        <f t="shared" si="15"/>
        <v>0.26268619820867067</v>
      </c>
      <c r="H102" s="25" cm="1">
        <f t="array" ref="H102">(H28-MIN($H$3:$H$74))/(MAX($H$3:$H$74-MIN($H$3:$H$74)))</f>
        <v>0.58951610024906176</v>
      </c>
      <c r="I102" s="25" cm="1">
        <f t="array" ref="I102">(I28-MIN($H$3:$H$74))/(MAX($H$3:$H$74-MIN($H$3:$H$74)))</f>
        <v>0.54894163286289577</v>
      </c>
      <c r="J102" s="25" cm="1">
        <f t="array" ref="J102">(J28-MIN($H$3:$H$74))/(MAX($H$3:$H$74-MIN($H$3:$H$74)))</f>
        <v>0.80552833547724878</v>
      </c>
      <c r="K102" s="25" cm="1">
        <f t="array" ref="K102">(K28-MIN($H$3:$H$74))/(MAX($H$3:$H$74-MIN($H$3:$H$74)))</f>
        <v>0.56782615603284348</v>
      </c>
      <c r="L102" s="28">
        <f t="shared" si="16"/>
        <v>0.64799535619640214</v>
      </c>
      <c r="M102" s="24" cm="1">
        <f t="array" ref="M102">(M28-MIN($N$3:$N$74))/(MAX($N$3:$N$74-MIN($N$3:$N$74)))</f>
        <v>0.16658695922306957</v>
      </c>
      <c r="N102" s="24" cm="1">
        <f t="array" ref="N102">(N28-MIN($N$3:$N$74))/(MAX($N$3:$N$74-MIN($N$3:$N$74)))</f>
        <v>0.17825483492852198</v>
      </c>
      <c r="O102" s="24" cm="1">
        <f t="array" ref="O102">(O28-MIN($N$3:$N$74))/(MAX($N$3:$N$74-MIN($N$3:$N$74)))</f>
        <v>0.15593099185933651</v>
      </c>
      <c r="P102" s="24" cm="1">
        <f t="array" ref="P102">(P28-MIN($N$3:$N$74))/(MAX($N$3:$N$74-MIN($N$3:$N$74)))</f>
        <v>0.13884558045669265</v>
      </c>
      <c r="Q102" s="24" cm="1">
        <f t="array" ref="Q102">(Q28-MIN($N$3:$N$74))/(MAX($N$3:$N$74-MIN($N$3:$N$74)))</f>
        <v>0.15229988448530032</v>
      </c>
      <c r="R102" s="28">
        <f t="shared" si="17"/>
        <v>0.15990459161690518</v>
      </c>
      <c r="S102" s="24" cm="1">
        <f t="array" ref="S102">(S28-MIN($S$3:$S$74))/(MAX($S$3:$S$74-MIN($S$3:$S$74)))</f>
        <v>0.83718711734571316</v>
      </c>
      <c r="T102" s="24" cm="1">
        <f t="array" ref="T102">(T28-MIN($T$3:$T$74))/(MAX($T$3:$T$74-MIN($T$3:$T$74)))</f>
        <v>0.16095457486415865</v>
      </c>
      <c r="U102" s="24" cm="1">
        <f t="array" ref="U102">(U28-MIN($T$3:$T$74))/(MAX($T$3:$T$74-MIN($T$3:$T$74)))</f>
        <v>0.12718535297673467</v>
      </c>
      <c r="V102" s="24" cm="1">
        <f t="array" ref="V102">(V28-MIN($T$3:$T$74))/(MAX($T$3:$T$74-MIN($T$3:$T$74)))</f>
        <v>0.46272070677666233</v>
      </c>
      <c r="W102" s="24" cm="1">
        <f t="array" ref="W102">(W28-MIN($T$3:$T$74))/(MAX($T$3:$T$74-MIN($T$3:$T$74)))</f>
        <v>0.10795629782144237</v>
      </c>
      <c r="X102" s="28">
        <f t="shared" si="18"/>
        <v>0.39701193799081719</v>
      </c>
      <c r="Y102" s="24">
        <f t="shared" si="10"/>
        <v>0.56073642243157262</v>
      </c>
      <c r="Z102" s="24">
        <f t="shared" si="19"/>
        <v>0.36587963880502211</v>
      </c>
      <c r="AA102" s="24">
        <f t="shared" si="19"/>
        <v>0.3655267432508218</v>
      </c>
      <c r="AB102" s="24">
        <f t="shared" si="19"/>
        <v>0.35336295253851957</v>
      </c>
      <c r="AC102" s="24">
        <f t="shared" si="19"/>
        <v>0.34541459294798543</v>
      </c>
      <c r="AD102" s="28">
        <f t="shared" si="12"/>
        <v>0.41137643925648404</v>
      </c>
      <c r="AE102" s="29">
        <f t="shared" si="13"/>
        <v>0.1673183447376996</v>
      </c>
    </row>
    <row r="103" spans="1:31" ht="14.5">
      <c r="A103" s="33" t="s">
        <v>51</v>
      </c>
      <c r="B103" s="24" cm="1">
        <f t="array" ref="B103">(B29-MIN($B$3:$B$74))/(MAX($B$3:$B$74-MIN($B$3:$B$74)))</f>
        <v>9.0690135764395635E-2</v>
      </c>
      <c r="C103" s="24" cm="1">
        <f t="array" ref="C103">(C29-MIN($B$3:$B$74))/(MAX($B$3:$B$74-MIN($B$3:$B$74)))</f>
        <v>0.15485363798836393</v>
      </c>
      <c r="D103" s="24" cm="1">
        <f t="array" ref="D103">(D29-MIN($B$3:$B$74))/(MAX($B$3:$B$74-MIN($B$3:$B$74)))</f>
        <v>0.22434713142011872</v>
      </c>
      <c r="E103" s="24" cm="1">
        <f t="array" ref="E103">(E29-MIN($B$3:$B$74))/(MAX($B$3:$B$74-MIN($B$3:$B$74)))</f>
        <v>0.58791675682870637</v>
      </c>
      <c r="F103" s="24" cm="1">
        <f t="array" ref="F103">(F29-MIN($B$3:$B$74))/(MAX($B$3:$B$74-MIN($B$3:$B$74)))</f>
        <v>0.66121101919106662</v>
      </c>
      <c r="G103" s="28">
        <f t="shared" si="15"/>
        <v>0.26445191550039615</v>
      </c>
      <c r="H103" s="25" cm="1">
        <f t="array" ref="H103">(H29-MIN($H$3:$H$74))/(MAX($H$3:$H$74-MIN($H$3:$H$74)))</f>
        <v>0.6389179184138144</v>
      </c>
      <c r="I103" s="25" cm="1">
        <f t="array" ref="I103">(I29-MIN($H$3:$H$74))/(MAX($H$3:$H$74-MIN($H$3:$H$74)))</f>
        <v>0.66611950776600992</v>
      </c>
      <c r="J103" s="25" cm="1">
        <f t="array" ref="J103">(J29-MIN($H$3:$H$74))/(MAX($H$3:$H$74-MIN($H$3:$H$74)))</f>
        <v>0.71865141493147799</v>
      </c>
      <c r="K103" s="25" cm="1">
        <f t="array" ref="K103">(K29-MIN($H$3:$H$74))/(MAX($H$3:$H$74-MIN($H$3:$H$74)))</f>
        <v>0.57110569295884728</v>
      </c>
      <c r="L103" s="28">
        <f t="shared" si="16"/>
        <v>0.67456294703710074</v>
      </c>
      <c r="M103" s="24" cm="1">
        <f t="array" ref="M103">(M29-MIN($N$3:$N$74))/(MAX($N$3:$N$74-MIN($N$3:$N$74)))</f>
        <v>9.7730291085609752E-2</v>
      </c>
      <c r="N103" s="24" cm="1">
        <f t="array" ref="N103">(N29-MIN($N$3:$N$74))/(MAX($N$3:$N$74-MIN($N$3:$N$74)))</f>
        <v>0.14384627285405824</v>
      </c>
      <c r="O103" s="24" cm="1">
        <f t="array" ref="O103">(O29-MIN($N$3:$N$74))/(MAX($N$3:$N$74-MIN($N$3:$N$74)))</f>
        <v>0.16543722573798503</v>
      </c>
      <c r="P103" s="24" cm="1">
        <f t="array" ref="P103">(P29-MIN($N$3:$N$74))/(MAX($N$3:$N$74-MIN($N$3:$N$74)))</f>
        <v>0.14064227886722194</v>
      </c>
      <c r="Q103" s="24" cm="1">
        <f t="array" ref="Q103">(Q29-MIN($N$3:$N$74))/(MAX($N$3:$N$74-MIN($N$3:$N$74)))</f>
        <v>0.16298315695482177</v>
      </c>
      <c r="R103" s="28">
        <f t="shared" si="17"/>
        <v>0.13691401713621873</v>
      </c>
      <c r="S103" s="24" cm="1">
        <f t="array" ref="S103">(S29-MIN($S$3:$S$74))/(MAX($S$3:$S$74-MIN($S$3:$S$74)))</f>
        <v>0.62176857652408846</v>
      </c>
      <c r="T103" s="24" cm="1">
        <f t="array" ref="T103">(T29-MIN($T$3:$T$74))/(MAX($T$3:$T$74-MIN($T$3:$T$74)))</f>
        <v>9.3625482340397595E-2</v>
      </c>
      <c r="U103" s="24" cm="1">
        <f t="array" ref="U103">(U29-MIN($T$3:$T$74))/(MAX($T$3:$T$74-MIN($T$3:$T$74)))</f>
        <v>0.12655973419560188</v>
      </c>
      <c r="V103" s="24" cm="1">
        <f t="array" ref="V103">(V29-MIN($T$3:$T$74))/(MAX($T$3:$T$74-MIN($T$3:$T$74)))</f>
        <v>0.33793221114153044</v>
      </c>
      <c r="W103" s="24" cm="1">
        <f t="array" ref="W103">(W29-MIN($T$3:$T$74))/(MAX($T$3:$T$74-MIN($T$3:$T$74)))</f>
        <v>0.10894565131186433</v>
      </c>
      <c r="X103" s="28">
        <f t="shared" si="18"/>
        <v>0.29497150105040459</v>
      </c>
      <c r="Y103" s="24">
        <f t="shared" si="10"/>
        <v>0.51554582097120416</v>
      </c>
      <c r="Z103" s="24">
        <f t="shared" si="19"/>
        <v>0.32597560774970752</v>
      </c>
      <c r="AA103" s="24">
        <f t="shared" si="19"/>
        <v>0.32469675873247245</v>
      </c>
      <c r="AB103" s="24">
        <f t="shared" si="19"/>
        <v>0.32082902416272036</v>
      </c>
      <c r="AC103" s="24">
        <f t="shared" si="19"/>
        <v>0.32498584903218392</v>
      </c>
      <c r="AD103" s="28">
        <f t="shared" si="12"/>
        <v>0.37176180290402611</v>
      </c>
      <c r="AE103" s="29">
        <f t="shared" si="13"/>
        <v>0.12104920169436301</v>
      </c>
    </row>
    <row r="104" spans="1:31" ht="14.5">
      <c r="A104" s="33" t="s">
        <v>52</v>
      </c>
      <c r="B104" s="24" cm="1">
        <f t="array" ref="B104">(B30-MIN($B$3:$B$74))/(MAX($B$3:$B$74-MIN($B$3:$B$74)))</f>
        <v>0.35363509686153688</v>
      </c>
      <c r="C104" s="24" cm="1">
        <f t="array" ref="C104">(C30-MIN($B$3:$B$74))/(MAX($B$3:$B$74-MIN($B$3:$B$74)))</f>
        <v>0.49485752201430477</v>
      </c>
      <c r="D104" s="24" cm="1">
        <f t="array" ref="D104">(D30-MIN($B$3:$B$74))/(MAX($B$3:$B$74-MIN($B$3:$B$74)))</f>
        <v>0.40311961092699294</v>
      </c>
      <c r="E104" s="24" cm="1">
        <f t="array" ref="E104">(E30-MIN($B$3:$B$74))/(MAX($B$3:$B$74-MIN($B$3:$B$74)))</f>
        <v>2.3763299561288411</v>
      </c>
      <c r="F104" s="24" cm="1">
        <f t="array" ref="F104">(F30-MIN($B$3:$B$74))/(MAX($B$3:$B$74-MIN($B$3:$B$74)))</f>
        <v>2.2965515633909583</v>
      </c>
      <c r="G104" s="28">
        <f t="shared" si="15"/>
        <v>0.90698554648291896</v>
      </c>
      <c r="H104" s="25" cm="1">
        <f t="array" ref="H104">(H30-MIN($H$3:$H$74))/(MAX($H$3:$H$74-MIN($H$3:$H$74)))</f>
        <v>0.59031093212854691</v>
      </c>
      <c r="I104" s="25" cm="1">
        <f t="array" ref="I104">(I30-MIN($H$3:$H$74))/(MAX($H$3:$H$74-MIN($H$3:$H$74)))</f>
        <v>0.55418181498127872</v>
      </c>
      <c r="J104" s="25" cm="1">
        <f t="array" ref="J104">(J30-MIN($H$3:$H$74))/(MAX($H$3:$H$74-MIN($H$3:$H$74)))</f>
        <v>0.86047447294289947</v>
      </c>
      <c r="K104" s="25" cm="1">
        <f t="array" ref="K104">(K30-MIN($H$3:$H$74))/(MAX($H$3:$H$74-MIN($H$3:$H$74)))</f>
        <v>0.56304359437103502</v>
      </c>
      <c r="L104" s="28">
        <f t="shared" si="16"/>
        <v>0.6683224066842417</v>
      </c>
      <c r="M104" s="24" cm="1">
        <f t="array" ref="M104">(M30-MIN($N$3:$N$74))/(MAX($N$3:$N$74-MIN($N$3:$N$74)))</f>
        <v>0.15977460007131766</v>
      </c>
      <c r="N104" s="24" cm="1">
        <f t="array" ref="N104">(N30-MIN($N$3:$N$74))/(MAX($N$3:$N$74-MIN($N$3:$N$74)))</f>
        <v>0.1786674995116812</v>
      </c>
      <c r="O104" s="24" cm="1">
        <f t="array" ref="O104">(O30-MIN($N$3:$N$74))/(MAX($N$3:$N$74-MIN($N$3:$N$74)))</f>
        <v>0.16289304316832703</v>
      </c>
      <c r="P104" s="24" cm="1">
        <f t="array" ref="P104">(P30-MIN($N$3:$N$74))/(MAX($N$3:$N$74-MIN($N$3:$N$74)))</f>
        <v>0.16125207344086517</v>
      </c>
      <c r="Q104" s="24" cm="1">
        <f t="array" ref="Q104">(Q30-MIN($N$3:$N$74))/(MAX($N$3:$N$74-MIN($N$3:$N$74)))</f>
        <v>0.16946369507239267</v>
      </c>
      <c r="R104" s="28">
        <f t="shared" si="17"/>
        <v>0.16564680404804777</v>
      </c>
      <c r="S104" s="24" cm="1">
        <f t="array" ref="S104">(S30-MIN($S$3:$S$74))/(MAX($S$3:$S$74-MIN($S$3:$S$74)))</f>
        <v>0.7085397328941383</v>
      </c>
      <c r="T104" s="24" cm="1">
        <f t="array" ref="T104">(T30-MIN($T$3:$T$74))/(MAX($T$3:$T$74-MIN($T$3:$T$74)))</f>
        <v>9.274936157579021E-2</v>
      </c>
      <c r="U104" s="24" cm="1">
        <f t="array" ref="U104">(U30-MIN($T$3:$T$74))/(MAX($T$3:$T$74-MIN($T$3:$T$74)))</f>
        <v>8.7442893388001486E-2</v>
      </c>
      <c r="V104" s="24" cm="1">
        <f t="array" ref="V104">(V30-MIN($T$3:$T$74))/(MAX($T$3:$T$74-MIN($T$3:$T$74)))</f>
        <v>0.17903981224311055</v>
      </c>
      <c r="W104" s="24" cm="1">
        <f t="array" ref="W104">(W30-MIN($T$3:$T$74))/(MAX($T$3:$T$74-MIN($T$3:$T$74)))</f>
        <v>8.8847870736676854E-2</v>
      </c>
      <c r="X104" s="28">
        <f t="shared" si="18"/>
        <v>0.26694295002526014</v>
      </c>
      <c r="Y104" s="24">
        <f t="shared" si="10"/>
        <v>0.90340092241238634</v>
      </c>
      <c r="Z104" s="24">
        <f t="shared" si="19"/>
        <v>0.49732564449220401</v>
      </c>
      <c r="AA104" s="24">
        <f t="shared" si="19"/>
        <v>0.50047350107378641</v>
      </c>
      <c r="AB104" s="24">
        <f t="shared" si="19"/>
        <v>0.50276610268554522</v>
      </c>
      <c r="AC104" s="24">
        <f t="shared" si="19"/>
        <v>0.49336528354271586</v>
      </c>
      <c r="AD104" s="28">
        <f t="shared" si="12"/>
        <v>0.60099154266598043</v>
      </c>
      <c r="AE104" s="29">
        <f t="shared" si="13"/>
        <v>9.1072010426849134E-2</v>
      </c>
    </row>
    <row r="105" spans="1:31" ht="15" customHeight="1">
      <c r="A105" s="33" t="s">
        <v>53</v>
      </c>
      <c r="B105" s="24" cm="1">
        <f t="array" ref="B105">(B31-MIN($B$3:$B$74))/(MAX($B$3:$B$74-MIN($B$3:$B$74)))</f>
        <v>0.33163638293002679</v>
      </c>
      <c r="C105" s="24" cm="1">
        <f t="array" ref="C105">(C31-MIN($B$3:$B$74))/(MAX($B$3:$B$74-MIN($B$3:$B$74)))</f>
        <v>0.38707704564436912</v>
      </c>
      <c r="D105" s="24" cm="1">
        <f t="array" ref="D105">(D31-MIN($B$3:$B$74))/(MAX($B$3:$B$74-MIN($B$3:$B$74)))</f>
        <v>0.54371557012779026</v>
      </c>
      <c r="E105" s="24" cm="1">
        <f t="array" ref="E105">(E31-MIN($B$3:$B$74))/(MAX($B$3:$B$74-MIN($B$3:$B$74)))</f>
        <v>1.7728543601745357</v>
      </c>
      <c r="F105" s="24" cm="1">
        <f t="array" ref="F105">(F31-MIN($B$3:$B$74))/(MAX($B$3:$B$74-MIN($B$3:$B$74)))</f>
        <v>1.8258804531141974</v>
      </c>
      <c r="G105" s="28">
        <f t="shared" si="15"/>
        <v>0.75882083971918046</v>
      </c>
      <c r="H105" s="25" cm="1">
        <f t="array" ref="H105">(H31-MIN($H$3:$H$74))/(MAX($H$3:$H$74-MIN($H$3:$H$74)))</f>
        <v>0.5757277135519594</v>
      </c>
      <c r="I105" s="25" cm="1">
        <f t="array" ref="I105">(I31-MIN($H$3:$H$74))/(MAX($H$3:$H$74-MIN($H$3:$H$74)))</f>
        <v>0.58945524406453242</v>
      </c>
      <c r="J105" s="25" cm="1">
        <f t="array" ref="J105">(J31-MIN($H$3:$H$74))/(MAX($H$3:$H$74-MIN($H$3:$H$74)))</f>
        <v>0.68675015590312627</v>
      </c>
      <c r="K105" s="25" cm="1">
        <f t="array" ref="K105">(K31-MIN($H$3:$H$74))/(MAX($H$3:$H$74-MIN($H$3:$H$74)))</f>
        <v>0.56585135716712209</v>
      </c>
      <c r="L105" s="28">
        <f t="shared" si="16"/>
        <v>0.61731103783987262</v>
      </c>
      <c r="M105" s="24" cm="1">
        <f t="array" ref="M105">(M31-MIN($N$3:$N$74))/(MAX($N$3:$N$74-MIN($N$3:$N$74)))</f>
        <v>0.17334324548478927</v>
      </c>
      <c r="N105" s="24" cm="1">
        <f t="array" ref="N105">(N31-MIN($N$3:$N$74))/(MAX($N$3:$N$74-MIN($N$3:$N$74)))</f>
        <v>0.18053019185471406</v>
      </c>
      <c r="O105" s="24" cm="1">
        <f t="array" ref="O105">(O31-MIN($N$3:$N$74))/(MAX($N$3:$N$74-MIN($N$3:$N$74)))</f>
        <v>0.20464968709398948</v>
      </c>
      <c r="P105" s="24" cm="1">
        <f t="array" ref="P105">(P31-MIN($N$3:$N$74))/(MAX($N$3:$N$74-MIN($N$3:$N$74)))</f>
        <v>0.19595236736364877</v>
      </c>
      <c r="Q105" s="24" cm="1">
        <f t="array" ref="Q105">(Q31-MIN($N$3:$N$74))/(MAX($N$3:$N$74-MIN($N$3:$N$74)))</f>
        <v>0.16497848857971192</v>
      </c>
      <c r="R105" s="28">
        <f t="shared" si="17"/>
        <v>0.18861887294928539</v>
      </c>
      <c r="S105" s="24" cm="1">
        <f t="array" ref="S105">(S31-MIN($S$3:$S$74))/(MAX($S$3:$S$74-MIN($S$3:$S$74)))</f>
        <v>0.71952619448117494</v>
      </c>
      <c r="T105" s="24" cm="1">
        <f t="array" ref="T105">(T31-MIN($T$3:$T$74))/(MAX($T$3:$T$74-MIN($T$3:$T$74)))</f>
        <v>9.540705441998866E-2</v>
      </c>
      <c r="U105" s="24" cm="1">
        <f t="array" ref="U105">(U31-MIN($T$3:$T$74))/(MAX($T$3:$T$74-MIN($T$3:$T$74)))</f>
        <v>0.10365295432893926</v>
      </c>
      <c r="V105" s="24" cm="1">
        <f t="array" ref="V105">(V31-MIN($T$3:$T$74))/(MAX($T$3:$T$74-MIN($T$3:$T$74)))</f>
        <v>0.17701862371092231</v>
      </c>
      <c r="W105" s="24" cm="1">
        <f t="array" ref="W105">(W31-MIN($T$3:$T$74))/(MAX($T$3:$T$74-MIN($T$3:$T$74)))</f>
        <v>8.8398888058455902E-2</v>
      </c>
      <c r="X105" s="28">
        <f t="shared" si="18"/>
        <v>0.27390120673525631</v>
      </c>
      <c r="Y105" s="24">
        <f t="shared" si="10"/>
        <v>0.81880152506196835</v>
      </c>
      <c r="Z105" s="24">
        <f t="shared" si="19"/>
        <v>0.4608186172539373</v>
      </c>
      <c r="AA105" s="24">
        <f t="shared" si="19"/>
        <v>0.44972715529861473</v>
      </c>
      <c r="AB105" s="24">
        <f t="shared" si="19"/>
        <v>0.44349210902382147</v>
      </c>
      <c r="AC105" s="24">
        <f t="shared" si="19"/>
        <v>0.44789534192439628</v>
      </c>
      <c r="AD105" s="28">
        <f t="shared" si="12"/>
        <v>0.54320985165958546</v>
      </c>
      <c r="AE105" s="29">
        <f t="shared" si="13"/>
        <v>0.18051482567611601</v>
      </c>
    </row>
    <row r="106" spans="1:31" ht="15" customHeight="1">
      <c r="A106" s="33" t="s">
        <v>54</v>
      </c>
      <c r="B106" s="24" cm="1">
        <f t="array" ref="B106">(B32-MIN($B$3:$B$74))/(MAX($B$3:$B$74-MIN($B$3:$B$74)))</f>
        <v>0.17080995244610289</v>
      </c>
      <c r="C106" s="24" cm="1">
        <f t="array" ref="C106">(C32-MIN($B$3:$B$74))/(MAX($B$3:$B$74-MIN($B$3:$B$74)))</f>
        <v>0.2399807151743493</v>
      </c>
      <c r="D106" s="24" cm="1">
        <f t="array" ref="D106">(D32-MIN($B$3:$B$74))/(MAX($B$3:$B$74-MIN($B$3:$B$74)))</f>
        <v>0.26250508126061434</v>
      </c>
      <c r="E106" s="24" cm="1">
        <f t="array" ref="E106">(E32-MIN($B$3:$B$74))/(MAX($B$3:$B$74-MIN($B$3:$B$74)))</f>
        <v>1.2226623535545724</v>
      </c>
      <c r="F106" s="24" cm="1">
        <f t="array" ref="F106">(F32-MIN($B$3:$B$74))/(MAX($B$3:$B$74-MIN($B$3:$B$74)))</f>
        <v>1.2349683012793002</v>
      </c>
      <c r="G106" s="28">
        <f t="shared" si="15"/>
        <v>0.47398952560890972</v>
      </c>
      <c r="H106" s="25" cm="1">
        <f t="array" ref="H106">(H32-MIN($H$3:$H$74))/(MAX($H$3:$H$74-MIN($H$3:$H$74)))</f>
        <v>0.62925083814169691</v>
      </c>
      <c r="I106" s="25" cm="1">
        <f t="array" ref="I106">(I32-MIN($H$3:$H$74))/(MAX($H$3:$H$74-MIN($H$3:$H$74)))</f>
        <v>0.57274897134551594</v>
      </c>
      <c r="J106" s="25" cm="1">
        <f t="array" ref="J106">(J32-MIN($H$3:$H$74))/(MAX($H$3:$H$74-MIN($H$3:$H$74)))</f>
        <v>0.8573925402438336</v>
      </c>
      <c r="K106" s="25" cm="1">
        <f t="array" ref="K106">(K32-MIN($H$3:$H$74))/(MAX($H$3:$H$74-MIN($H$3:$H$74)))</f>
        <v>0.56498075228237654</v>
      </c>
      <c r="L106" s="28">
        <f t="shared" si="16"/>
        <v>0.68646411657701556</v>
      </c>
      <c r="M106" s="24" cm="1">
        <f t="array" ref="M106">(M32-MIN($N$3:$N$74))/(MAX($N$3:$N$74-MIN($N$3:$N$74)))</f>
        <v>0.13521376858293588</v>
      </c>
      <c r="N106" s="24" cm="1">
        <f t="array" ref="N106">(N32-MIN($N$3:$N$74))/(MAX($N$3:$N$74-MIN($N$3:$N$74)))</f>
        <v>0.14563436271794772</v>
      </c>
      <c r="O106" s="24" cm="1">
        <f t="array" ref="O106">(O32-MIN($N$3:$N$74))/(MAX($N$3:$N$74-MIN($N$3:$N$74)))</f>
        <v>0.1482672588679608</v>
      </c>
      <c r="P106" s="24" cm="1">
        <f t="array" ref="P106">(P32-MIN($N$3:$N$74))/(MAX($N$3:$N$74-MIN($N$3:$N$74)))</f>
        <v>0.17039397679470147</v>
      </c>
      <c r="Q106" s="24" cm="1">
        <f t="array" ref="Q106">(Q32-MIN($N$3:$N$74))/(MAX($N$3:$N$74-MIN($N$3:$N$74)))</f>
        <v>0.17216817137222318</v>
      </c>
      <c r="R106" s="28">
        <f t="shared" si="17"/>
        <v>0.14987734174088646</v>
      </c>
      <c r="S106" s="24" cm="1">
        <f t="array" ref="S106">(S32-MIN($S$3:$S$74))/(MAX($S$3:$S$74-MIN($S$3:$S$74)))</f>
        <v>0.71771723233081541</v>
      </c>
      <c r="T106" s="24" cm="1">
        <f t="array" ref="T106">(T32-MIN($T$3:$T$74))/(MAX($T$3:$T$74-MIN($T$3:$T$74)))</f>
        <v>0.11362272357874899</v>
      </c>
      <c r="U106" s="24" cm="1">
        <f t="array" ref="U106">(U32-MIN($T$3:$T$74))/(MAX($T$3:$T$74-MIN($T$3:$T$74)))</f>
        <v>0.11589664258919093</v>
      </c>
      <c r="V106" s="24" cm="1">
        <f t="array" ref="V106">(V32-MIN($T$3:$T$74))/(MAX($T$3:$T$74-MIN($T$3:$T$74)))</f>
        <v>0.29688335926249826</v>
      </c>
      <c r="W106" s="24" cm="1">
        <f t="array" ref="W106">(W32-MIN($T$3:$T$74))/(MAX($T$3:$T$74-MIN($T$3:$T$74)))</f>
        <v>0.10723660934875034</v>
      </c>
      <c r="X106" s="28">
        <f t="shared" si="18"/>
        <v>0.3110299894403134</v>
      </c>
      <c r="Y106" s="24">
        <f t="shared" si="10"/>
        <v>0.55313161961168988</v>
      </c>
      <c r="Z106" s="24">
        <f t="shared" si="19"/>
        <v>0.33364477506583884</v>
      </c>
      <c r="AA106" s="24">
        <f t="shared" si="19"/>
        <v>0.34320743970196943</v>
      </c>
      <c r="AB106" s="24">
        <f t="shared" si="19"/>
        <v>0.33028575313419067</v>
      </c>
      <c r="AC106" s="24">
        <f t="shared" si="19"/>
        <v>0.33258410573150105</v>
      </c>
      <c r="AD106" s="28">
        <f t="shared" si="12"/>
        <v>0.39006739687842223</v>
      </c>
      <c r="AE106" s="29">
        <f t="shared" si="13"/>
        <v>0.13782991202346043</v>
      </c>
    </row>
    <row r="107" spans="1:31" ht="14.5">
      <c r="A107" s="33" t="s">
        <v>55</v>
      </c>
      <c r="B107" s="24" cm="1">
        <f t="array" ref="B107">(B33-MIN($B$3:$B$74))/(MAX($B$3:$B$74-MIN($B$3:$B$74)))</f>
        <v>0.20682797014834964</v>
      </c>
      <c r="C107" s="24" cm="1">
        <f t="array" ref="C107">(C33-MIN($B$3:$B$74))/(MAX($B$3:$B$74-MIN($B$3:$B$74)))</f>
        <v>0.19276005387896811</v>
      </c>
      <c r="D107" s="24" cm="1">
        <f t="array" ref="D107">(D33-MIN($B$3:$B$74))/(MAX($B$3:$B$74-MIN($B$3:$B$74)))</f>
        <v>0.18031768768407572</v>
      </c>
      <c r="E107" s="24" cm="1">
        <f t="array" ref="E107">(E33-MIN($B$3:$B$74))/(MAX($B$3:$B$74-MIN($B$3:$B$74)))</f>
        <v>0.31790474350983866</v>
      </c>
      <c r="F107" s="24" cm="1">
        <f t="array" ref="F107">(F33-MIN($B$3:$B$74))/(MAX($B$3:$B$74-MIN($B$3:$B$74)))</f>
        <v>0.34115472401620156</v>
      </c>
      <c r="G107" s="28">
        <f t="shared" si="15"/>
        <v>0.22445261380530804</v>
      </c>
      <c r="H107" s="25" cm="1">
        <f t="array" ref="H107">(H33-MIN($H$3:$H$74))/(MAX($H$3:$H$74-MIN($H$3:$H$74)))</f>
        <v>0.55725047856142829</v>
      </c>
      <c r="I107" s="25" cm="1">
        <f t="array" ref="I107">(I33-MIN($H$3:$H$74))/(MAX($H$3:$H$74-MIN($H$3:$H$74)))</f>
        <v>0.55672630729019346</v>
      </c>
      <c r="J107" s="25" cm="1">
        <f t="array" ref="J107">(J33-MIN($H$3:$H$74))/(MAX($H$3:$H$74-MIN($H$3:$H$74)))</f>
        <v>0.67054336201056186</v>
      </c>
      <c r="K107" s="25" cm="1">
        <f t="array" ref="K107">(K33-MIN($H$3:$H$74))/(MAX($H$3:$H$74-MIN($H$3:$H$74)))</f>
        <v>0.56955450544945363</v>
      </c>
      <c r="L107" s="28">
        <f t="shared" si="16"/>
        <v>0.59484004928739453</v>
      </c>
      <c r="M107" s="24" cm="1">
        <f t="array" ref="M107">(M33-MIN($N$3:$N$74))/(MAX($N$3:$N$74-MIN($N$3:$N$74)))</f>
        <v>0.24688891468010438</v>
      </c>
      <c r="N107" s="24" cm="1">
        <f t="array" ref="N107">(N33-MIN($N$3:$N$74))/(MAX($N$3:$N$74-MIN($N$3:$N$74)))</f>
        <v>0.29181425084438983</v>
      </c>
      <c r="O107" s="24" cm="1">
        <f t="array" ref="O107">(O33-MIN($N$3:$N$74))/(MAX($N$3:$N$74-MIN($N$3:$N$74)))</f>
        <v>0.25733855695139918</v>
      </c>
      <c r="P107" s="24" cm="1">
        <f t="array" ref="P107">(P33-MIN($N$3:$N$74))/(MAX($N$3:$N$74-MIN($N$3:$N$74)))</f>
        <v>0.23514721214802212</v>
      </c>
      <c r="Q107" s="24" cm="1">
        <f t="array" ref="Q107">(Q33-MIN($N$3:$N$74))/(MAX($N$3:$N$74-MIN($N$3:$N$74)))</f>
        <v>0.25039162875703219</v>
      </c>
      <c r="R107" s="28">
        <f t="shared" si="17"/>
        <v>0.2577972336559789</v>
      </c>
      <c r="S107" s="24" cm="1">
        <f t="array" ref="S107">(S33-MIN($S$3:$S$74))/(MAX($S$3:$S$74-MIN($S$3:$S$74)))</f>
        <v>0.75329982210829916</v>
      </c>
      <c r="T107" s="24" cm="1">
        <f t="array" ref="T107">(T33-MIN($T$3:$T$74))/(MAX($T$3:$T$74-MIN($T$3:$T$74)))</f>
        <v>0.10070285141236776</v>
      </c>
      <c r="U107" s="24" cm="1">
        <f t="array" ref="U107">(U33-MIN($T$3:$T$74))/(MAX($T$3:$T$74-MIN($T$3:$T$74)))</f>
        <v>9.5830053576915125E-2</v>
      </c>
      <c r="V107" s="24" cm="1">
        <f t="array" ref="V107">(V33-MIN($T$3:$T$74))/(MAX($T$3:$T$74-MIN($T$3:$T$74)))</f>
        <v>0.14446469449960417</v>
      </c>
      <c r="W107" s="24" cm="1">
        <f t="array" ref="W107">(W33-MIN($T$3:$T$74))/(MAX($T$3:$T$74-MIN($T$3:$T$74)))</f>
        <v>0.10525248396541846</v>
      </c>
      <c r="X107" s="28">
        <f t="shared" si="18"/>
        <v>0.27357435539929653</v>
      </c>
      <c r="Y107" s="24">
        <f t="shared" si="10"/>
        <v>0.626823084495299</v>
      </c>
      <c r="Z107" s="24">
        <f t="shared" si="19"/>
        <v>0.37901819408776399</v>
      </c>
      <c r="AA107" s="24">
        <f t="shared" si="19"/>
        <v>0.38802434737089625</v>
      </c>
      <c r="AB107" s="24">
        <f t="shared" si="19"/>
        <v>0.39332116511652682</v>
      </c>
      <c r="AC107" s="24">
        <f t="shared" si="19"/>
        <v>0.36561211286598227</v>
      </c>
      <c r="AD107" s="28">
        <f t="shared" si="12"/>
        <v>0.44679669776762154</v>
      </c>
      <c r="AE107" s="29">
        <f t="shared" si="13"/>
        <v>0.11990876507005541</v>
      </c>
    </row>
    <row r="108" spans="1:31" ht="14.5">
      <c r="A108" s="33" t="s">
        <v>56</v>
      </c>
      <c r="B108" s="24" cm="1">
        <f t="array" ref="B108">(B34-MIN($B$3:$B$74))/(MAX($B$3:$B$74-MIN($B$3:$B$74)))</f>
        <v>0.12485812080872045</v>
      </c>
      <c r="C108" s="24" cm="1">
        <f t="array" ref="C108">(C34-MIN($B$3:$B$74))/(MAX($B$3:$B$74-MIN($B$3:$B$74)))</f>
        <v>0.13006338233066256</v>
      </c>
      <c r="D108" s="24" cm="1">
        <f t="array" ref="D108">(D34-MIN($B$3:$B$74))/(MAX($B$3:$B$74-MIN($B$3:$B$74)))</f>
        <v>0.13264851769199504</v>
      </c>
      <c r="E108" s="24" cm="1">
        <f t="array" ref="E108">(E34-MIN($B$3:$B$74))/(MAX($B$3:$B$74-MIN($B$3:$B$74)))</f>
        <v>0.17356910997506847</v>
      </c>
      <c r="F108" s="24" cm="1">
        <f t="array" ref="F108">(F34-MIN($B$3:$B$74))/(MAX($B$3:$B$74-MIN($B$3:$B$74)))</f>
        <v>0.18482425708150424</v>
      </c>
      <c r="G108" s="28">
        <f t="shared" si="15"/>
        <v>0.14028478270161163</v>
      </c>
      <c r="H108" s="25" cm="1">
        <f t="array" ref="H108">(H34-MIN($H$3:$H$74))/(MAX($H$3:$H$74-MIN($H$3:$H$74)))</f>
        <v>0.69822067188759496</v>
      </c>
      <c r="I108" s="25" cm="1">
        <f t="array" ref="I108">(I34-MIN($H$3:$H$74))/(MAX($H$3:$H$74-MIN($H$3:$H$74)))</f>
        <v>0.59439539802475683</v>
      </c>
      <c r="J108" s="25" cm="1">
        <f t="array" ref="J108">(J34-MIN($H$3:$H$74))/(MAX($H$3:$H$74-MIN($H$3:$H$74)))</f>
        <v>0.83948640012060616</v>
      </c>
      <c r="K108" s="25" cm="1">
        <f t="array" ref="K108">(K34-MIN($H$3:$H$74))/(MAX($H$3:$H$74-MIN($H$3:$H$74)))</f>
        <v>0.57443134394982831</v>
      </c>
      <c r="L108" s="28">
        <f t="shared" si="16"/>
        <v>0.71070082334431939</v>
      </c>
      <c r="M108" s="24" cm="1">
        <f t="array" ref="M108">(M34-MIN($N$3:$N$74))/(MAX($N$3:$N$74-MIN($N$3:$N$74)))</f>
        <v>0.10836768004574722</v>
      </c>
      <c r="N108" s="24" cm="1">
        <f t="array" ref="N108">(N34-MIN($N$3:$N$74))/(MAX($N$3:$N$74-MIN($N$3:$N$74)))</f>
        <v>0.15037519616408304</v>
      </c>
      <c r="O108" s="24" cm="1">
        <f t="array" ref="O108">(O34-MIN($N$3:$N$74))/(MAX($N$3:$N$74-MIN($N$3:$N$74)))</f>
        <v>0.16250635613873893</v>
      </c>
      <c r="P108" s="24" cm="1">
        <f t="array" ref="P108">(P34-MIN($N$3:$N$74))/(MAX($N$3:$N$74-MIN($N$3:$N$74)))</f>
        <v>0.1876280076346914</v>
      </c>
      <c r="Q108" s="24" cm="1">
        <f t="array" ref="Q108">(Q34-MIN($N$3:$N$74))/(MAX($N$3:$N$74-MIN($N$3:$N$74)))</f>
        <v>0.18757151273697331</v>
      </c>
      <c r="R108" s="28">
        <f t="shared" si="17"/>
        <v>0.15221930999581515</v>
      </c>
      <c r="S108" s="24" cm="1">
        <f t="array" ref="S108">(S34-MIN($S$3:$S$74))/(MAX($S$3:$S$74-MIN($S$3:$S$74)))</f>
        <v>0.67163366640377387</v>
      </c>
      <c r="T108" s="24" cm="1">
        <f t="array" ref="T108">(T34-MIN($T$3:$T$74))/(MAX($T$3:$T$74-MIN($T$3:$T$74)))</f>
        <v>8.2205684025059192E-2</v>
      </c>
      <c r="U108" s="24" cm="1">
        <f t="array" ref="U108">(U34-MIN($T$3:$T$74))/(MAX($T$3:$T$74-MIN($T$3:$T$74)))</f>
        <v>8.6671774673030069E-2</v>
      </c>
      <c r="V108" s="24" cm="1">
        <f t="array" ref="V108">(V34-MIN($T$3:$T$74))/(MAX($T$3:$T$74-MIN($T$3:$T$74)))</f>
        <v>0.15638364290769252</v>
      </c>
      <c r="W108" s="24" cm="1">
        <f t="array" ref="W108">(W34-MIN($T$3:$T$74))/(MAX($T$3:$T$74-MIN($T$3:$T$74)))</f>
        <v>9.4080054679909542E-2</v>
      </c>
      <c r="X108" s="28">
        <f t="shared" si="18"/>
        <v>0.24922369200238892</v>
      </c>
      <c r="Y108" s="24">
        <f t="shared" si="10"/>
        <v>0.8859087080144149</v>
      </c>
      <c r="Z108" s="24">
        <f t="shared" si="19"/>
        <v>0.47265476158937497</v>
      </c>
      <c r="AA108" s="24">
        <f t="shared" si="19"/>
        <v>0.46885341944441339</v>
      </c>
      <c r="AB108" s="24">
        <f t="shared" si="19"/>
        <v>0.44897624386403068</v>
      </c>
      <c r="AC108" s="24">
        <f t="shared" si="19"/>
        <v>0.44461332365689649</v>
      </c>
      <c r="AD108" s="28">
        <f t="shared" si="12"/>
        <v>0.56909828322805844</v>
      </c>
      <c r="AE108" s="29">
        <f t="shared" si="13"/>
        <v>0.10475724991854024</v>
      </c>
    </row>
    <row r="109" spans="1:31" ht="14.5">
      <c r="A109" s="33" t="s">
        <v>57</v>
      </c>
      <c r="B109" s="24" cm="1">
        <f t="array" ref="B109">(B35-MIN($B$3:$B$74))/(MAX($B$3:$B$74-MIN($B$3:$B$74)))</f>
        <v>0.12514716716204752</v>
      </c>
      <c r="C109" s="24" cm="1">
        <f t="array" ref="C109">(C35-MIN($B$3:$B$74))/(MAX($B$3:$B$74-MIN($B$3:$B$74)))</f>
        <v>0.10710260558113228</v>
      </c>
      <c r="D109" s="24" cm="1">
        <f t="array" ref="D109">(D35-MIN($B$3:$B$74))/(MAX($B$3:$B$74-MIN($B$3:$B$74)))</f>
        <v>3.5335402771786956E-2</v>
      </c>
      <c r="E109" s="24" cm="1">
        <f t="array" ref="E109">(E35-MIN($B$3:$B$74))/(MAX($B$3:$B$74-MIN($B$3:$B$74)))</f>
        <v>0.41396683740466267</v>
      </c>
      <c r="F109" s="24" cm="1">
        <f t="array" ref="F109">(F35-MIN($B$3:$B$74))/(MAX($B$3:$B$74-MIN($B$3:$B$74)))</f>
        <v>0.21411138922876419</v>
      </c>
      <c r="G109" s="28">
        <f t="shared" si="15"/>
        <v>0.17038800322990735</v>
      </c>
      <c r="H109" s="25" cm="1">
        <f t="array" ref="H109">(H35-MIN($H$3:$H$74))/(MAX($H$3:$H$74-MIN($H$3:$H$74)))</f>
        <v>0</v>
      </c>
      <c r="I109" s="25" cm="1">
        <f t="array" ref="I109">(I35-MIN($H$3:$H$74))/(MAX($H$3:$H$74-MIN($H$3:$H$74)))</f>
        <v>0.41078454731478958</v>
      </c>
      <c r="J109" s="25" cm="1">
        <f t="array" ref="J109">(J35-MIN($H$3:$H$74))/(MAX($H$3:$H$74-MIN($H$3:$H$74)))</f>
        <v>0.73690022436327307</v>
      </c>
      <c r="K109" s="25" cm="1">
        <f t="array" ref="K109">(K35-MIN($H$3:$H$74))/(MAX($H$3:$H$74-MIN($H$3:$H$74)))</f>
        <v>0.53566985878554707</v>
      </c>
      <c r="L109" s="28">
        <f t="shared" si="16"/>
        <v>0.38256159055935424</v>
      </c>
      <c r="M109" s="24" cm="1">
        <f t="array" ref="M109">(M35-MIN($N$3:$N$74))/(MAX($N$3:$N$74-MIN($N$3:$N$74)))</f>
        <v>0.12491986927946949</v>
      </c>
      <c r="N109" s="24" cm="1">
        <f t="array" ref="N109">(N35-MIN($N$3:$N$74))/(MAX($N$3:$N$74-MIN($N$3:$N$74)))</f>
        <v>0.11165090671990785</v>
      </c>
      <c r="O109" s="24" cm="1">
        <f t="array" ref="O109">(O35-MIN($N$3:$N$74))/(MAX($N$3:$N$74-MIN($N$3:$N$74)))</f>
        <v>5.5490106104747375E-2</v>
      </c>
      <c r="P109" s="24" cm="1">
        <f t="array" ref="P109">(P35-MIN($N$3:$N$74))/(MAX($N$3:$N$74-MIN($N$3:$N$74)))</f>
        <v>1.5959452749054585E-2</v>
      </c>
      <c r="Q109" s="24" cm="1">
        <f t="array" ref="Q109">(Q35-MIN($N$3:$N$74))/(MAX($N$3:$N$74-MIN($N$3:$N$74)))</f>
        <v>-0.34471875954157116</v>
      </c>
      <c r="R109" s="28">
        <f t="shared" si="17"/>
        <v>7.7005083713294828E-2</v>
      </c>
      <c r="S109" s="24" cm="1">
        <f t="array" ref="S109">(S35-MIN($S$3:$S$74))/(MAX($S$3:$S$74-MIN($S$3:$S$74)))</f>
        <v>0.67331878313883564</v>
      </c>
      <c r="T109" s="24" cm="1">
        <f t="array" ref="T109">(T35-MIN($T$3:$T$74))/(MAX($T$3:$T$74-MIN($T$3:$T$74)))</f>
        <v>6.1157744478045797E-2</v>
      </c>
      <c r="U109" s="24" cm="1">
        <f t="array" ref="U109">(U35-MIN($T$3:$T$74))/(MAX($T$3:$T$74-MIN($T$3:$T$74)))</f>
        <v>-2.3333583068711632E-2</v>
      </c>
      <c r="V109" s="24" cm="1">
        <f t="array" ref="V109">(V35-MIN($T$3:$T$74))/(MAX($T$3:$T$74-MIN($T$3:$T$74)))</f>
        <v>0.88430795926720529</v>
      </c>
      <c r="W109" s="24" cm="1">
        <f t="array" ref="W109">(W35-MIN($T$3:$T$74))/(MAX($T$3:$T$74-MIN($T$3:$T$74)))</f>
        <v>1.473094554852002E-2</v>
      </c>
      <c r="X109" s="28">
        <f t="shared" si="18"/>
        <v>0.39886272595384376</v>
      </c>
      <c r="Y109" s="24">
        <f t="shared" ref="Y109:Y134" si="20">(Y35-MIN($Y$3:$Y$74))/(MAX($Y$3:$Y$74)-MIN($Y$3:$Y$74))</f>
        <v>0.78098212065936978</v>
      </c>
      <c r="Z109" s="24">
        <f t="shared" si="19"/>
        <v>0.36020819843894064</v>
      </c>
      <c r="AA109" s="24">
        <f t="shared" si="19"/>
        <v>0.39058031541400623</v>
      </c>
      <c r="AB109" s="24">
        <f t="shared" si="19"/>
        <v>0.50488718323203219</v>
      </c>
      <c r="AC109" s="24">
        <f t="shared" si="19"/>
        <v>0.34836506204821044</v>
      </c>
      <c r="AD109" s="28">
        <f t="shared" si="12"/>
        <v>0.50916445443608715</v>
      </c>
      <c r="AE109" s="29">
        <f t="shared" ref="AE109:AE140" si="21">(AE35-MIN($AE$3:$AE$74))/(MAX($AE$3:$AE$74)-MIN($AE$3:$AE$74))</f>
        <v>-1.1404366243075921E-2</v>
      </c>
    </row>
    <row r="110" spans="1:31" ht="14.5">
      <c r="A110" s="33" t="s">
        <v>58</v>
      </c>
      <c r="B110" s="24" cm="1">
        <f t="array" ref="B110">(B36-MIN($B$3:$B$74))/(MAX($B$3:$B$74-MIN($B$3:$B$74)))</f>
        <v>0.12593179215636485</v>
      </c>
      <c r="C110" s="24" cm="1">
        <f t="array" ref="C110">(C36-MIN($B$3:$B$74))/(MAX($B$3:$B$74-MIN($B$3:$B$74)))</f>
        <v>0.12347518305342987</v>
      </c>
      <c r="D110" s="24" cm="1">
        <f t="array" ref="D110">(D36-MIN($B$3:$B$74))/(MAX($B$3:$B$74-MIN($B$3:$B$74)))</f>
        <v>0.12859138252387853</v>
      </c>
      <c r="E110" s="24" cm="1">
        <f t="array" ref="E110">(E36-MIN($B$3:$B$74))/(MAX($B$3:$B$74-MIN($B$3:$B$74)))</f>
        <v>0.14741757528443608</v>
      </c>
      <c r="F110" s="24" cm="1">
        <f t="array" ref="F110">(F36-MIN($B$3:$B$74))/(MAX($B$3:$B$74-MIN($B$3:$B$74)))</f>
        <v>0.12770029609456751</v>
      </c>
      <c r="G110" s="28">
        <f t="shared" si="15"/>
        <v>0.13135398325452732</v>
      </c>
      <c r="H110" s="25" cm="1">
        <f t="array" ref="H110">(H36-MIN($H$3:$H$74))/(MAX($H$3:$H$74-MIN($H$3:$H$74)))</f>
        <v>0.37634518039443121</v>
      </c>
      <c r="I110" s="25" cm="1">
        <f t="array" ref="I110">(I36-MIN($H$3:$H$74))/(MAX($H$3:$H$74-MIN($H$3:$H$74)))</f>
        <v>0.63531809208604417</v>
      </c>
      <c r="J110" s="25" cm="1">
        <f t="array" ref="J110">(J36-MIN($H$3:$H$74))/(MAX($H$3:$H$74-MIN($H$3:$H$74)))</f>
        <v>0.93336115147594012</v>
      </c>
      <c r="K110" s="25" cm="1">
        <f t="array" ref="K110">(K36-MIN($H$3:$H$74))/(MAX($H$3:$H$74-MIN($H$3:$H$74)))</f>
        <v>0.52545159263294672</v>
      </c>
      <c r="L110" s="28">
        <f t="shared" si="16"/>
        <v>0.64834147465213854</v>
      </c>
      <c r="M110" s="24" cm="1">
        <f t="array" ref="M110">(M36-MIN($N$3:$N$74))/(MAX($N$3:$N$74-MIN($N$3:$N$74)))</f>
        <v>0.12311182673960598</v>
      </c>
      <c r="N110" s="24" cm="1">
        <f t="array" ref="N110">(N36-MIN($N$3:$N$74))/(MAX($N$3:$N$74-MIN($N$3:$N$74)))</f>
        <v>0.10283774766921211</v>
      </c>
      <c r="O110" s="24" cm="1">
        <f t="array" ref="O110">(O36-MIN($N$3:$N$74))/(MAX($N$3:$N$74-MIN($N$3:$N$74)))</f>
        <v>0.13729027838740226</v>
      </c>
      <c r="P110" s="24" cm="1">
        <f t="array" ref="P110">(P36-MIN($N$3:$N$74))/(MAX($N$3:$N$74-MIN($N$3:$N$74)))</f>
        <v>8.6625443237571521E-4</v>
      </c>
      <c r="Q110" s="24" cm="1">
        <f t="array" ref="Q110">(Q36-MIN($N$3:$N$74))/(MAX($N$3:$N$74-MIN($N$3:$N$74)))</f>
        <v>-1.7520201021801096</v>
      </c>
      <c r="R110" s="28">
        <f t="shared" si="17"/>
        <v>9.1026526807149011E-2</v>
      </c>
      <c r="S110" s="24" cm="1">
        <f t="array" ref="S110">(S36-MIN($S$3:$S$74))/(MAX($S$3:$S$74-MIN($S$3:$S$74)))</f>
        <v>0.67719549242669819</v>
      </c>
      <c r="T110" s="24" cm="1">
        <f t="array" ref="T110">(T36-MIN($T$3:$T$74))/(MAX($T$3:$T$74-MIN($T$3:$T$74)))</f>
        <v>6.9496598630290424E-2</v>
      </c>
      <c r="U110" s="24" cm="1">
        <f t="array" ref="U110">(U36-MIN($T$3:$T$74))/(MAX($T$3:$T$74-MIN($T$3:$T$74)))</f>
        <v>7.87440082608174E-2</v>
      </c>
      <c r="V110" s="24" cm="1">
        <f t="array" ref="V110">(V36-MIN($T$3:$T$74))/(MAX($T$3:$T$74-MIN($T$3:$T$74)))</f>
        <v>0.11721580123510349</v>
      </c>
      <c r="W110" s="24" cm="1">
        <f t="array" ref="W110">(W36-MIN($T$3:$T$74))/(MAX($T$3:$T$74-MIN($T$3:$T$74)))</f>
        <v>5.7950630337383943E-2</v>
      </c>
      <c r="X110" s="28">
        <f t="shared" si="18"/>
        <v>0.23566297513822737</v>
      </c>
      <c r="Y110" s="24">
        <f t="shared" si="20"/>
        <v>0.54434027548948072</v>
      </c>
      <c r="Z110" s="24">
        <f t="shared" si="19"/>
        <v>0.33367912155982271</v>
      </c>
      <c r="AA110" s="24">
        <f t="shared" si="19"/>
        <v>0.32923640827914791</v>
      </c>
      <c r="AB110" s="24">
        <f t="shared" si="19"/>
        <v>0.33312865842194062</v>
      </c>
      <c r="AC110" s="24">
        <f t="shared" si="19"/>
        <v>0.34810231613001497</v>
      </c>
      <c r="AD110" s="28">
        <f t="shared" si="12"/>
        <v>0.38509611593759802</v>
      </c>
      <c r="AE110" s="29">
        <f t="shared" si="21"/>
        <v>-1.1404366243075921E-2</v>
      </c>
    </row>
    <row r="111" spans="1:31" ht="15" customHeight="1">
      <c r="A111" s="33" t="s">
        <v>59</v>
      </c>
      <c r="B111" s="24" cm="1">
        <f t="array" ref="B111">(B37-MIN($B$3:$B$74))/(MAX($B$3:$B$74-MIN($B$3:$B$74)))</f>
        <v>0.14844819362525058</v>
      </c>
      <c r="C111" s="24" cm="1">
        <f t="array" ref="C111">(C37-MIN($B$3:$B$74))/(MAX($B$3:$B$74-MIN($B$3:$B$74)))</f>
        <v>0.15679404859108548</v>
      </c>
      <c r="D111" s="24" cm="1">
        <f t="array" ref="D111">(D37-MIN($B$3:$B$74))/(MAX($B$3:$B$74-MIN($B$3:$B$74)))</f>
        <v>9.5204830330779103E-2</v>
      </c>
      <c r="E111" s="24" cm="1">
        <f t="array" ref="E111">(E37-MIN($B$3:$B$74))/(MAX($B$3:$B$74-MIN($B$3:$B$74)))</f>
        <v>0.93582642080360823</v>
      </c>
      <c r="F111" s="24" cm="1">
        <f t="array" ref="F111">(F37-MIN($B$3:$B$74))/(MAX($B$3:$B$74-MIN($B$3:$B$74)))</f>
        <v>0.94987147578784814</v>
      </c>
      <c r="G111" s="28">
        <f t="shared" si="15"/>
        <v>0.33406837333768086</v>
      </c>
      <c r="H111" s="25" cm="1">
        <f t="array" ref="H111">(H37-MIN($H$3:$H$74))/(MAX($H$3:$H$74-MIN($H$3:$H$74)))</f>
        <v>0.58027404557061746</v>
      </c>
      <c r="I111" s="25" cm="1">
        <f t="array" ref="I111">(I37-MIN($H$3:$H$74))/(MAX($H$3:$H$74-MIN($H$3:$H$74)))</f>
        <v>0.48022975479817948</v>
      </c>
      <c r="J111" s="25" cm="1">
        <f t="array" ref="J111">(J37-MIN($H$3:$H$74))/(MAX($H$3:$H$74-MIN($H$3:$H$74)))</f>
        <v>1.6800277659132077</v>
      </c>
      <c r="K111" s="25" cm="1">
        <f t="array" ref="K111">(K37-MIN($H$3:$H$74))/(MAX($H$3:$H$74-MIN($H$3:$H$74)))</f>
        <v>0.56523499812814948</v>
      </c>
      <c r="L111" s="28">
        <f t="shared" si="16"/>
        <v>0.91351052209400152</v>
      </c>
      <c r="M111" s="24" cm="1">
        <f t="array" ref="M111">(M37-MIN($N$3:$N$74))/(MAX($N$3:$N$74-MIN($N$3:$N$74)))</f>
        <v>0.14129907347219586</v>
      </c>
      <c r="N111" s="24" cm="1">
        <f t="array" ref="N111">(N37-MIN($N$3:$N$74))/(MAX($N$3:$N$74-MIN($N$3:$N$74)))</f>
        <v>0.14354870349424756</v>
      </c>
      <c r="O111" s="24" cm="1">
        <f t="array" ref="O111">(O37-MIN($N$3:$N$74))/(MAX($N$3:$N$74-MIN($N$3:$N$74)))</f>
        <v>0.11092959494336442</v>
      </c>
      <c r="P111" s="24" cm="1">
        <f t="array" ref="P111">(P37-MIN($N$3:$N$74))/(MAX($N$3:$N$74-MIN($N$3:$N$74)))</f>
        <v>0.13381500933906465</v>
      </c>
      <c r="Q111" s="24" cm="1">
        <f t="array" ref="Q111">(Q37-MIN($N$3:$N$74))/(MAX($N$3:$N$74-MIN($N$3:$N$74)))</f>
        <v>0.1401595578724239</v>
      </c>
      <c r="R111" s="28">
        <f t="shared" si="17"/>
        <v>0.13239809531221813</v>
      </c>
      <c r="S111" s="24" cm="1">
        <f t="array" ref="S111">(S37-MIN($S$3:$S$74))/(MAX($S$3:$S$74-MIN($S$3:$S$74)))</f>
        <v>0.72469785851064261</v>
      </c>
      <c r="T111" s="24" cm="1">
        <f t="array" ref="T111">(T37-MIN($T$3:$T$74))/(MAX($T$3:$T$74-MIN($T$3:$T$74)))</f>
        <v>9.8850694586550492E-2</v>
      </c>
      <c r="U111" s="24" cm="1">
        <f t="array" ref="U111">(U37-MIN($T$3:$T$74))/(MAX($T$3:$T$74-MIN($T$3:$T$74)))</f>
        <v>5.3359158203604859E-2</v>
      </c>
      <c r="V111" s="24" cm="1">
        <f t="array" ref="V111">(V37-MIN($T$3:$T$74))/(MAX($T$3:$T$74-MIN($T$3:$T$74)))</f>
        <v>0.58285114136760108</v>
      </c>
      <c r="W111" s="24" cm="1">
        <f t="array" ref="W111">(W37-MIN($T$3:$T$74))/(MAX($T$3:$T$74-MIN($T$3:$T$74)))</f>
        <v>9.6910625795535735E-2</v>
      </c>
      <c r="X111" s="28">
        <f t="shared" si="18"/>
        <v>0.36493971316709972</v>
      </c>
      <c r="Y111" s="24">
        <f t="shared" si="20"/>
        <v>0.53833986198677064</v>
      </c>
      <c r="Z111" s="24">
        <f t="shared" si="19"/>
        <v>0.34134079938253636</v>
      </c>
      <c r="AA111" s="24">
        <f t="shared" si="19"/>
        <v>0.34347495832566632</v>
      </c>
      <c r="AB111" s="24">
        <f t="shared" si="19"/>
        <v>0.3422432884067787</v>
      </c>
      <c r="AC111" s="24">
        <f t="shared" si="19"/>
        <v>0.33818269127323231</v>
      </c>
      <c r="AD111" s="28">
        <f t="shared" si="12"/>
        <v>0.39134972702543802</v>
      </c>
      <c r="AE111" s="29">
        <f t="shared" si="21"/>
        <v>0.2438905180840665</v>
      </c>
    </row>
    <row r="112" spans="1:31" ht="15" customHeight="1">
      <c r="A112" s="33" t="s">
        <v>60</v>
      </c>
      <c r="B112" s="24" cm="1">
        <f t="array" ref="B112">(B38-MIN($B$3:$B$74))/(MAX($B$3:$B$74-MIN($B$3:$B$74)))</f>
        <v>9.6294163327222765E-2</v>
      </c>
      <c r="C112" s="24" cm="1">
        <f t="array" ref="C112">(C38-MIN($B$3:$B$74))/(MAX($B$3:$B$74-MIN($B$3:$B$74)))</f>
        <v>0.11665955774721119</v>
      </c>
      <c r="D112" s="24" cm="1">
        <f t="array" ref="D112">(D38-MIN($B$3:$B$74))/(MAX($B$3:$B$74-MIN($B$3:$B$74)))</f>
        <v>0.10005280478361091</v>
      </c>
      <c r="E112" s="24" cm="1">
        <f t="array" ref="E112">(E38-MIN($B$3:$B$74))/(MAX($B$3:$B$74-MIN($B$3:$B$74)))</f>
        <v>2.4081433358379485</v>
      </c>
      <c r="F112" s="24" cm="1">
        <f t="array" ref="F112">(F38-MIN($B$3:$B$74))/(MAX($B$3:$B$74-MIN($B$3:$B$74)))</f>
        <v>2.5671028001948266</v>
      </c>
      <c r="G112" s="28">
        <f t="shared" si="15"/>
        <v>0.68028746542399832</v>
      </c>
      <c r="H112" s="25" cm="1">
        <f t="array" ref="H112">(H38-MIN($H$3:$H$74))/(MAX($H$3:$H$74-MIN($H$3:$H$74)))</f>
        <v>0.59251548782778274</v>
      </c>
      <c r="I112" s="25" cm="1">
        <f t="array" ref="I112">(I38-MIN($H$3:$H$74))/(MAX($H$3:$H$74-MIN($H$3:$H$74)))</f>
        <v>0.49430081300791007</v>
      </c>
      <c r="J112" s="25" cm="1">
        <f t="array" ref="J112">(J38-MIN($H$3:$H$74))/(MAX($H$3:$H$74-MIN($H$3:$H$74)))</f>
        <v>4.189381438980579</v>
      </c>
      <c r="K112" s="25" cm="1">
        <f t="array" ref="K112">(K38-MIN($H$3:$H$74))/(MAX($H$3:$H$74-MIN($H$3:$H$74)))</f>
        <v>0.56740573130211258</v>
      </c>
      <c r="L112" s="28">
        <f t="shared" si="16"/>
        <v>1.7587325799387574</v>
      </c>
      <c r="M112" s="24" cm="1">
        <f t="array" ref="M112">(M38-MIN($N$3:$N$74))/(MAX($N$3:$N$74-MIN($N$3:$N$74)))</f>
        <v>0.1217121273179087</v>
      </c>
      <c r="N112" s="24" cm="1">
        <f t="array" ref="N112">(N38-MIN($N$3:$N$74))/(MAX($N$3:$N$74-MIN($N$3:$N$74)))</f>
        <v>0.12464269910108096</v>
      </c>
      <c r="O112" s="24" cm="1">
        <f t="array" ref="O112">(O38-MIN($N$3:$N$74))/(MAX($N$3:$N$74-MIN($N$3:$N$74)))</f>
        <v>0.12234016945954432</v>
      </c>
      <c r="P112" s="24" cm="1">
        <f t="array" ref="P112">(P38-MIN($N$3:$N$74))/(MAX($N$3:$N$74-MIN($N$3:$N$74)))</f>
        <v>0.12643905939970573</v>
      </c>
      <c r="Q112" s="24" cm="1">
        <f t="array" ref="Q112">(Q38-MIN($N$3:$N$74))/(MAX($N$3:$N$74-MIN($N$3:$N$74)))</f>
        <v>0.12862364322417158</v>
      </c>
      <c r="R112" s="28">
        <f t="shared" si="17"/>
        <v>0.12378351381955992</v>
      </c>
      <c r="S112" s="24" cm="1">
        <f t="array" ref="S112">(S38-MIN($S$3:$S$74))/(MAX($S$3:$S$74-MIN($S$3:$S$74)))</f>
        <v>0.59442037437542261</v>
      </c>
      <c r="T112" s="24" cm="1">
        <f t="array" ref="T112">(T38-MIN($T$3:$T$74))/(MAX($T$3:$T$74-MIN($T$3:$T$74)))</f>
        <v>6.2125389412401352E-2</v>
      </c>
      <c r="U112" s="24" cm="1">
        <f t="array" ref="U112">(U38-MIN($T$3:$T$74))/(MAX($T$3:$T$74-MIN($T$3:$T$74)))</f>
        <v>3.1557063355557892E-2</v>
      </c>
      <c r="V112" s="24" cm="1">
        <f t="array" ref="V112">(V38-MIN($T$3:$T$74))/(MAX($T$3:$T$74-MIN($T$3:$T$74)))</f>
        <v>3.1994749368786191</v>
      </c>
      <c r="W112" s="24" cm="1">
        <f t="array" ref="W112">(W38-MIN($T$3:$T$74))/(MAX($T$3:$T$74-MIN($T$3:$T$74)))</f>
        <v>0.10175317803574942</v>
      </c>
      <c r="X112" s="28">
        <f t="shared" si="18"/>
        <v>0.97189444100550015</v>
      </c>
      <c r="Y112" s="24">
        <f t="shared" si="20"/>
        <v>0.75154023640065259</v>
      </c>
      <c r="Z112" s="24">
        <f t="shared" si="19"/>
        <v>0.44525780908792167</v>
      </c>
      <c r="AA112" s="24">
        <f t="shared" si="19"/>
        <v>0.48558998707272882</v>
      </c>
      <c r="AB112" s="24">
        <f t="shared" si="19"/>
        <v>0.44069291427865664</v>
      </c>
      <c r="AC112" s="24">
        <f t="shared" si="19"/>
        <v>0.42927369841950147</v>
      </c>
      <c r="AD112" s="28">
        <f t="shared" si="12"/>
        <v>0.53077023670998991</v>
      </c>
      <c r="AE112" s="29">
        <f t="shared" si="21"/>
        <v>0.36673183447377</v>
      </c>
    </row>
    <row r="113" spans="1:31" ht="15" customHeight="1">
      <c r="A113" s="33" t="s">
        <v>61</v>
      </c>
      <c r="B113" s="24" cm="1">
        <f t="array" ref="B113">(B39-MIN($B$3:$B$74))/(MAX($B$3:$B$74-MIN($B$3:$B$74)))</f>
        <v>0.13030209419099437</v>
      </c>
      <c r="C113" s="24" cm="1">
        <f t="array" ref="C113">(C39-MIN($B$3:$B$74))/(MAX($B$3:$B$74-MIN($B$3:$B$74)))</f>
        <v>0.13329804325752437</v>
      </c>
      <c r="D113" s="24" cm="1">
        <f t="array" ref="D113">(D39-MIN($B$3:$B$74))/(MAX($B$3:$B$74-MIN($B$3:$B$74)))</f>
        <v>0.13004762309168988</v>
      </c>
      <c r="E113" s="24" cm="1">
        <f t="array" ref="E113">(E39-MIN($B$3:$B$74))/(MAX($B$3:$B$74-MIN($B$3:$B$74)))</f>
        <v>0.16757878902513376</v>
      </c>
      <c r="F113" s="24" cm="1">
        <f t="array" ref="F113">(F39-MIN($B$3:$B$74))/(MAX($B$3:$B$74-MIN($B$3:$B$74)))</f>
        <v>0.15459473125827392</v>
      </c>
      <c r="G113" s="28">
        <f t="shared" si="15"/>
        <v>0.14030663739133559</v>
      </c>
      <c r="H113" s="25" cm="1">
        <f t="array" ref="H113">(H39-MIN($H$3:$H$74))/(MAX($H$3:$H$74-MIN($H$3:$H$74)))</f>
        <v>0.59698471091231409</v>
      </c>
      <c r="I113" s="25" cm="1">
        <f t="array" ref="I113">(I39-MIN($H$3:$H$74))/(MAX($H$3:$H$74-MIN($H$3:$H$74)))</f>
        <v>0.54475207761939637</v>
      </c>
      <c r="J113" s="25" cm="1">
        <f t="array" ref="J113">(J39-MIN($H$3:$H$74))/(MAX($H$3:$H$74-MIN($H$3:$H$74)))</f>
        <v>1.0002342049924982</v>
      </c>
      <c r="K113" s="25" cm="1">
        <f t="array" ref="K113">(K39-MIN($H$3:$H$74))/(MAX($H$3:$H$74-MIN($H$3:$H$74)))</f>
        <v>0.5514081485984399</v>
      </c>
      <c r="L113" s="28">
        <f t="shared" si="16"/>
        <v>0.71399033117473609</v>
      </c>
      <c r="M113" s="24" cm="1">
        <f t="array" ref="M113">(M39-MIN($N$3:$N$74))/(MAX($N$3:$N$74-MIN($N$3:$N$74)))</f>
        <v>0.19795305300642357</v>
      </c>
      <c r="N113" s="24" cm="1">
        <f t="array" ref="N113">(N39-MIN($N$3:$N$74))/(MAX($N$3:$N$74-MIN($N$3:$N$74)))</f>
        <v>0.21870815532247273</v>
      </c>
      <c r="O113" s="24" cm="1">
        <f t="array" ref="O113">(O39-MIN($N$3:$N$74))/(MAX($N$3:$N$74-MIN($N$3:$N$74)))</f>
        <v>0.18679703848030088</v>
      </c>
      <c r="P113" s="24" cm="1">
        <f t="array" ref="P113">(P39-MIN($N$3:$N$74))/(MAX($N$3:$N$74-MIN($N$3:$N$74)))</f>
        <v>0.15150507195489177</v>
      </c>
      <c r="Q113" s="24" cm="1">
        <f t="array" ref="Q113">(Q39-MIN($N$3:$N$74))/(MAX($N$3:$N$74-MIN($N$3:$N$74)))</f>
        <v>-7.4448785610331275E-2</v>
      </c>
      <c r="R113" s="28">
        <f t="shared" si="17"/>
        <v>0.18874082969102224</v>
      </c>
      <c r="S113" s="24" cm="1">
        <f t="array" ref="S113">(S39-MIN($S$3:$S$74))/(MAX($S$3:$S$74-MIN($S$3:$S$74)))</f>
        <v>0.72415095658092332</v>
      </c>
      <c r="T113" s="24" cm="1">
        <f t="array" ref="T113">(T39-MIN($T$3:$T$74))/(MAX($T$3:$T$74-MIN($T$3:$T$74)))</f>
        <v>0.10788017969138355</v>
      </c>
      <c r="U113" s="24" cm="1">
        <f t="array" ref="U113">(U39-MIN($T$3:$T$74))/(MAX($T$3:$T$74-MIN($T$3:$T$74)))</f>
        <v>9.2888567164114907E-2</v>
      </c>
      <c r="V113" s="24" cm="1">
        <f t="array" ref="V113">(V39-MIN($T$3:$T$74))/(MAX($T$3:$T$74-MIN($T$3:$T$74)))</f>
        <v>0.26671429624819087</v>
      </c>
      <c r="W113" s="24" cm="1">
        <f t="array" ref="W113">(W39-MIN($T$3:$T$74))/(MAX($T$3:$T$74-MIN($T$3:$T$74)))</f>
        <v>-0.15751667356991636</v>
      </c>
      <c r="X113" s="28">
        <f t="shared" si="18"/>
        <v>0.29790849992115315</v>
      </c>
      <c r="Y113" s="24">
        <f t="shared" si="20"/>
        <v>0.50596623747520508</v>
      </c>
      <c r="Z113" s="24">
        <f t="shared" si="19"/>
        <v>0.31842914975689723</v>
      </c>
      <c r="AA113" s="24">
        <f t="shared" si="19"/>
        <v>0.31853360061668617</v>
      </c>
      <c r="AB113" s="24">
        <f t="shared" si="19"/>
        <v>0.31891232329841995</v>
      </c>
      <c r="AC113" s="24">
        <f t="shared" si="19"/>
        <v>0.32387505381955323</v>
      </c>
      <c r="AD113" s="28">
        <f t="shared" si="12"/>
        <v>0.3654603277868021</v>
      </c>
      <c r="AE113" s="29">
        <f t="shared" si="21"/>
        <v>-1.1404366243075921E-2</v>
      </c>
    </row>
    <row r="114" spans="1:31" ht="15" customHeight="1">
      <c r="A114" s="33" t="s">
        <v>62</v>
      </c>
      <c r="B114" s="24" cm="1">
        <f t="array" ref="B114">(B40-MIN($B$3:$B$74))/(MAX($B$3:$B$74-MIN($B$3:$B$74)))</f>
        <v>9.6959426095233989E-2</v>
      </c>
      <c r="C114" s="24" cm="1">
        <f t="array" ref="C114">(C40-MIN($B$3:$B$74))/(MAX($B$3:$B$74-MIN($B$3:$B$74)))</f>
        <v>9.8260910684487945E-2</v>
      </c>
      <c r="D114" s="24" cm="1">
        <f t="array" ref="D114">(D40-MIN($B$3:$B$74))/(MAX($B$3:$B$74-MIN($B$3:$B$74)))</f>
        <v>0.11595558001298222</v>
      </c>
      <c r="E114" s="24" cm="1">
        <f t="array" ref="E114">(E40-MIN($B$3:$B$74))/(MAX($B$3:$B$74-MIN($B$3:$B$74)))</f>
        <v>0.26639962175559856</v>
      </c>
      <c r="F114" s="24" cm="1">
        <f t="array" ref="F114">(F40-MIN($B$3:$B$74))/(MAX($B$3:$B$74-MIN($B$3:$B$74)))</f>
        <v>0.18308937453208071</v>
      </c>
      <c r="G114" s="28">
        <f t="shared" si="15"/>
        <v>0.1443938846370757</v>
      </c>
      <c r="H114" s="25" cm="1">
        <f t="array" ref="H114">(H40-MIN($H$3:$H$74))/(MAX($H$3:$H$74-MIN($H$3:$H$74)))</f>
        <v>0.56634469406954668</v>
      </c>
      <c r="I114" s="25" cm="1">
        <f t="array" ref="I114">(I40-MIN($H$3:$H$74))/(MAX($H$3:$H$74-MIN($H$3:$H$74)))</f>
        <v>0.59053946959861003</v>
      </c>
      <c r="J114" s="25" cm="1">
        <f t="array" ref="J114">(J40-MIN($H$3:$H$74))/(MAX($H$3:$H$74-MIN($H$3:$H$74)))</f>
        <v>1.1580254354722224</v>
      </c>
      <c r="K114" s="25" cm="1">
        <f t="array" ref="K114">(K40-MIN($H$3:$H$74))/(MAX($H$3:$H$74-MIN($H$3:$H$74)))</f>
        <v>0.53981003432995989</v>
      </c>
      <c r="L114" s="28">
        <f t="shared" si="16"/>
        <v>0.77163653304679303</v>
      </c>
      <c r="M114" s="24" cm="1">
        <f t="array" ref="M114">(M40-MIN($N$3:$N$74))/(MAX($N$3:$N$74-MIN($N$3:$N$74)))</f>
        <v>6.5019570757694142E-2</v>
      </c>
      <c r="N114" s="24" cm="1">
        <f t="array" ref="N114">(N40-MIN($N$3:$N$74))/(MAX($N$3:$N$74-MIN($N$3:$N$74)))</f>
        <v>5.9753435584838643E-2</v>
      </c>
      <c r="O114" s="24" cm="1">
        <f t="array" ref="O114">(O40-MIN($N$3:$N$74))/(MAX($N$3:$N$74-MIN($N$3:$N$74)))</f>
        <v>0.11140917798618431</v>
      </c>
      <c r="P114" s="24" cm="1">
        <f t="array" ref="P114">(P40-MIN($N$3:$N$74))/(MAX($N$3:$N$74-MIN($N$3:$N$74)))</f>
        <v>8.9744884670134459E-2</v>
      </c>
      <c r="Q114" s="24" cm="1">
        <f t="array" ref="Q114">(Q40-MIN($N$3:$N$74))/(MAX($N$3:$N$74-MIN($N$3:$N$74)))</f>
        <v>7.5647260580422504E-4</v>
      </c>
      <c r="R114" s="28">
        <f t="shared" si="17"/>
        <v>8.1481767249712886E-2</v>
      </c>
      <c r="S114" s="24" cm="1">
        <f t="array" ref="S114">(S40-MIN($S$3:$S$74))/(MAX($S$3:$S$74-MIN($S$3:$S$74)))</f>
        <v>0.61211181243528545</v>
      </c>
      <c r="T114" s="24" cm="1">
        <f t="array" ref="T114">(T40-MIN($T$3:$T$74))/(MAX($T$3:$T$74-MIN($T$3:$T$74)))</f>
        <v>4.2141754716076806E-2</v>
      </c>
      <c r="U114" s="24" cm="1">
        <f t="array" ref="U114">(U40-MIN($T$3:$T$74))/(MAX($T$3:$T$74-MIN($T$3:$T$74)))</f>
        <v>6.1841709256273997E-2</v>
      </c>
      <c r="V114" s="24" cm="1">
        <f t="array" ref="V114">(V40-MIN($T$3:$T$74))/(MAX($T$3:$T$74-MIN($T$3:$T$74)))</f>
        <v>0.25162079611043781</v>
      </c>
      <c r="W114" s="24" cm="1">
        <f t="array" ref="W114">(W40-MIN($T$3:$T$74))/(MAX($T$3:$T$74-MIN($T$3:$T$74)))</f>
        <v>3.5714929838814358E-2</v>
      </c>
      <c r="X114" s="28">
        <f t="shared" si="18"/>
        <v>0.2419290181295185</v>
      </c>
      <c r="Y114" s="24">
        <f t="shared" si="20"/>
        <v>0.60979818029795008</v>
      </c>
      <c r="Z114" s="24">
        <f t="shared" si="19"/>
        <v>0.37530479801919103</v>
      </c>
      <c r="AA114" s="24">
        <f t="shared" si="19"/>
        <v>0.37481143470605649</v>
      </c>
      <c r="AB114" s="24">
        <f t="shared" si="19"/>
        <v>0.38166318949814709</v>
      </c>
      <c r="AC114" s="24">
        <f t="shared" si="19"/>
        <v>0.43018693753655762</v>
      </c>
      <c r="AD114" s="28">
        <f t="shared" si="12"/>
        <v>0.43539440063033619</v>
      </c>
      <c r="AE114" s="29">
        <f t="shared" si="21"/>
        <v>-1.1404366243075921E-2</v>
      </c>
    </row>
    <row r="115" spans="1:31" ht="15" customHeight="1">
      <c r="A115" s="33" t="s">
        <v>63</v>
      </c>
      <c r="B115" s="24" cm="1">
        <f t="array" ref="B115">(B41-MIN($B$3:$B$74))/(MAX($B$3:$B$74-MIN($B$3:$B$74)))</f>
        <v>0.13157797552604039</v>
      </c>
      <c r="C115" s="24" cm="1">
        <f t="array" ref="C115">(C41-MIN($B$3:$B$74))/(MAX($B$3:$B$74-MIN($B$3:$B$74)))</f>
        <v>0.18515028696248834</v>
      </c>
      <c r="D115" s="24" cm="1">
        <f t="array" ref="D115">(D41-MIN($B$3:$B$74))/(MAX($B$3:$B$74-MIN($B$3:$B$74)))</f>
        <v>0.20826094018190489</v>
      </c>
      <c r="E115" s="24" cm="1">
        <f t="array" ref="E115">(E41-MIN($B$3:$B$74))/(MAX($B$3:$B$74-MIN($B$3:$B$74)))</f>
        <v>0.43830163972300096</v>
      </c>
      <c r="F115" s="24" cm="1">
        <f t="array" ref="F115">(F41-MIN($B$3:$B$74))/(MAX($B$3:$B$74-MIN($B$3:$B$74)))</f>
        <v>0.47663129475152838</v>
      </c>
      <c r="G115" s="28">
        <f t="shared" si="15"/>
        <v>0.24082271059835864</v>
      </c>
      <c r="H115" s="25" cm="1">
        <f t="array" ref="H115">(H41-MIN($H$3:$H$74))/(MAX($H$3:$H$74-MIN($H$3:$H$74)))</f>
        <v>1</v>
      </c>
      <c r="I115" s="25" cm="1">
        <f t="array" ref="I115">(I41-MIN($H$3:$H$74))/(MAX($H$3:$H$74-MIN($H$3:$H$74)))</f>
        <v>0.58085784995314793</v>
      </c>
      <c r="J115" s="25" cm="1">
        <f t="array" ref="J115">(J41-MIN($H$3:$H$74))/(MAX($H$3:$H$74-MIN($H$3:$H$74)))</f>
        <v>0.68122320125082469</v>
      </c>
      <c r="K115" s="25" cm="1">
        <f t="array" ref="K115">(K41-MIN($H$3:$H$74))/(MAX($H$3:$H$74-MIN($H$3:$H$74)))</f>
        <v>0.56961532454800579</v>
      </c>
      <c r="L115" s="28">
        <f t="shared" si="16"/>
        <v>0.7540270170679908</v>
      </c>
      <c r="M115" s="24" cm="1">
        <f t="array" ref="M115">(M41-MIN($N$3:$N$74))/(MAX($N$3:$N$74-MIN($N$3:$N$74)))</f>
        <v>0.13176061716046136</v>
      </c>
      <c r="N115" s="24" cm="1">
        <f t="array" ref="N115">(N41-MIN($N$3:$N$74))/(MAX($N$3:$N$74-MIN($N$3:$N$74)))</f>
        <v>0.16866828630316077</v>
      </c>
      <c r="O115" s="24" cm="1">
        <f t="array" ref="O115">(O41-MIN($N$3:$N$74))/(MAX($N$3:$N$74-MIN($N$3:$N$74)))</f>
        <v>0.17370470024343854</v>
      </c>
      <c r="P115" s="24" cm="1">
        <f t="array" ref="P115">(P41-MIN($N$3:$N$74))/(MAX($N$3:$N$74-MIN($N$3:$N$74)))</f>
        <v>0.13323804365983838</v>
      </c>
      <c r="Q115" s="24" cm="1">
        <f t="array" ref="Q115">(Q41-MIN($N$3:$N$74))/(MAX($N$3:$N$74-MIN($N$3:$N$74)))</f>
        <v>0.13421182329631659</v>
      </c>
      <c r="R115" s="28">
        <f t="shared" si="17"/>
        <v>0.15184291184172477</v>
      </c>
      <c r="S115" s="24" cm="1">
        <f t="array" ref="S115">(S41-MIN($S$3:$S$74))/(MAX($S$3:$S$74-MIN($S$3:$S$74)))</f>
        <v>0.69051273722409823</v>
      </c>
      <c r="T115" s="24" cm="1">
        <f t="array" ref="T115">(T41-MIN($T$3:$T$74))/(MAX($T$3:$T$74-MIN($T$3:$T$74)))</f>
        <v>0.12527580551963655</v>
      </c>
      <c r="U115" s="24" cm="1">
        <f t="array" ref="U115">(U41-MIN($T$3:$T$74))/(MAX($T$3:$T$74-MIN($T$3:$T$74)))</f>
        <v>0.13397213687717646</v>
      </c>
      <c r="V115" s="24" cm="1">
        <f t="array" ref="V115">(V41-MIN($T$3:$T$74))/(MAX($T$3:$T$74-MIN($T$3:$T$74)))</f>
        <v>0.33155482045896095</v>
      </c>
      <c r="W115" s="24" cm="1">
        <f t="array" ref="W115">(W41-MIN($T$3:$T$74))/(MAX($T$3:$T$74-MIN($T$3:$T$74)))</f>
        <v>8.3692339042313477E-2</v>
      </c>
      <c r="X115" s="28">
        <f t="shared" si="18"/>
        <v>0.32032887501996804</v>
      </c>
      <c r="Y115" s="24">
        <f t="shared" si="20"/>
        <v>0.52572849472665262</v>
      </c>
      <c r="Z115" s="24">
        <f t="shared" si="19"/>
        <v>0.3269919582257948</v>
      </c>
      <c r="AA115" s="24">
        <f t="shared" si="19"/>
        <v>0.3262602326570655</v>
      </c>
      <c r="AB115" s="24">
        <f t="shared" si="19"/>
        <v>0.32879400042113943</v>
      </c>
      <c r="AC115" s="24">
        <f t="shared" si="19"/>
        <v>0.33575760248295644</v>
      </c>
      <c r="AD115" s="28">
        <f t="shared" si="12"/>
        <v>0.37694367150766306</v>
      </c>
      <c r="AE115" s="29">
        <f t="shared" si="21"/>
        <v>0.40322580645161293</v>
      </c>
    </row>
    <row r="116" spans="1:31" ht="15" customHeight="1">
      <c r="A116" s="33" t="s">
        <v>64</v>
      </c>
      <c r="B116" s="24" cm="1">
        <f t="array" ref="B116">(B42-MIN($B$3:$B$74))/(MAX($B$3:$B$74-MIN($B$3:$B$74)))</f>
        <v>0.17809580813278289</v>
      </c>
      <c r="C116" s="24" cm="1">
        <f t="array" ref="C116">(C42-MIN($B$3:$B$74))/(MAX($B$3:$B$74-MIN($B$3:$B$74)))</f>
        <v>0.19275803596602734</v>
      </c>
      <c r="D116" s="24" cm="1">
        <f t="array" ref="D116">(D42-MIN($B$3:$B$74))/(MAX($B$3:$B$74-MIN($B$3:$B$74)))</f>
        <v>0.21884383265661422</v>
      </c>
      <c r="E116" s="24" cm="1">
        <f t="array" ref="E116">(E42-MIN($B$3:$B$74))/(MAX($B$3:$B$74-MIN($B$3:$B$74)))</f>
        <v>0.23769723733520615</v>
      </c>
      <c r="F116" s="24" cm="1">
        <f t="array" ref="F116">(F42-MIN($B$3:$B$74))/(MAX($B$3:$B$74-MIN($B$3:$B$74)))</f>
        <v>0.25407591261930756</v>
      </c>
      <c r="G116" s="28">
        <f t="shared" si="15"/>
        <v>0.20684872852265768</v>
      </c>
      <c r="H116" s="25" cm="1">
        <f t="array" ref="H116">(H42-MIN($H$3:$H$74))/(MAX($H$3:$H$74-MIN($H$3:$H$74)))</f>
        <v>0.57630038586257704</v>
      </c>
      <c r="I116" s="25" cm="1">
        <f t="array" ref="I116">(I42-MIN($H$3:$H$74))/(MAX($H$3:$H$74-MIN($H$3:$H$74)))</f>
        <v>0.58084453341024023</v>
      </c>
      <c r="J116" s="25" cm="1">
        <f t="array" ref="J116">(J42-MIN($H$3:$H$74))/(MAX($H$3:$H$74-MIN($H$3:$H$74)))</f>
        <v>0.57298410702334024</v>
      </c>
      <c r="K116" s="25" cm="1">
        <f t="array" ref="K116">(K42-MIN($H$3:$H$74))/(MAX($H$3:$H$74-MIN($H$3:$H$74)))</f>
        <v>0.5706252698066222</v>
      </c>
      <c r="L116" s="28">
        <f t="shared" si="16"/>
        <v>0.57670967543205254</v>
      </c>
      <c r="M116" s="24" cm="1">
        <f t="array" ref="M116">(M42-MIN($N$3:$N$74))/(MAX($N$3:$N$74-MIN($N$3:$N$74)))</f>
        <v>0.399281865878372</v>
      </c>
      <c r="N116" s="24" cm="1">
        <f t="array" ref="N116">(N42-MIN($N$3:$N$74))/(MAX($N$3:$N$74-MIN($N$3:$N$74)))</f>
        <v>0.33027652509570288</v>
      </c>
      <c r="O116" s="24" cm="1">
        <f t="array" ref="O116">(O42-MIN($N$3:$N$74))/(MAX($N$3:$N$74-MIN($N$3:$N$74)))</f>
        <v>0.56258517528376029</v>
      </c>
      <c r="P116" s="24" cm="1">
        <f t="array" ref="P116">(P42-MIN($N$3:$N$74))/(MAX($N$3:$N$74-MIN($N$3:$N$74)))</f>
        <v>0.31874782982366101</v>
      </c>
      <c r="Q116" s="24" cm="1">
        <f t="array" ref="Q116">(Q42-MIN($N$3:$N$74))/(MAX($N$3:$N$74-MIN($N$3:$N$74)))</f>
        <v>0.32448149804542653</v>
      </c>
      <c r="R116" s="28">
        <f t="shared" si="17"/>
        <v>0.40272284902037403</v>
      </c>
      <c r="S116" s="24" cm="1">
        <f t="array" ref="S116">(S42-MIN($S$3:$S$74))/(MAX($S$3:$S$74-MIN($S$3:$S$74)))</f>
        <v>0.69934722667187532</v>
      </c>
      <c r="T116" s="24" cm="1">
        <f t="array" ref="T116">(T42-MIN($T$3:$T$74))/(MAX($T$3:$T$74-MIN($T$3:$T$74)))</f>
        <v>8.5644336378601221E-2</v>
      </c>
      <c r="U116" s="24" cm="1">
        <f t="array" ref="U116">(U42-MIN($T$3:$T$74))/(MAX($T$3:$T$74-MIN($T$3:$T$74)))</f>
        <v>8.9081452666631061E-2</v>
      </c>
      <c r="V116" s="24" cm="1">
        <f t="array" ref="V116">(V42-MIN($T$3:$T$74))/(MAX($T$3:$T$74-MIN($T$3:$T$74)))</f>
        <v>9.1605321625342212E-2</v>
      </c>
      <c r="W116" s="24" cm="1">
        <f t="array" ref="W116">(W42-MIN($T$3:$T$74))/(MAX($T$3:$T$74-MIN($T$3:$T$74)))</f>
        <v>8.75311968554425E-2</v>
      </c>
      <c r="X116" s="28">
        <f t="shared" si="18"/>
        <v>0.24141958433561245</v>
      </c>
      <c r="Y116" s="24">
        <f t="shared" si="20"/>
        <v>0.60758169412602525</v>
      </c>
      <c r="Z116" s="24">
        <f t="shared" si="19"/>
        <v>0.36460768056554271</v>
      </c>
      <c r="AA116" s="24">
        <f t="shared" si="19"/>
        <v>0.36491383208035977</v>
      </c>
      <c r="AB116" s="24">
        <f t="shared" si="19"/>
        <v>0.36720188787796976</v>
      </c>
      <c r="AC116" s="24">
        <f t="shared" si="19"/>
        <v>0.36764444844334648</v>
      </c>
      <c r="AD116" s="28">
        <f t="shared" si="12"/>
        <v>0.42607627366247436</v>
      </c>
      <c r="AE116" s="29">
        <f t="shared" si="21"/>
        <v>0.28543499511241449</v>
      </c>
    </row>
    <row r="117" spans="1:31" ht="15" customHeight="1">
      <c r="A117" s="33" t="s">
        <v>65</v>
      </c>
      <c r="B117" s="24" cm="1">
        <f t="array" ref="B117">(B43-MIN($B$3:$B$74))/(MAX($B$3:$B$74-MIN($B$3:$B$74)))</f>
        <v>0.14896843244678967</v>
      </c>
      <c r="C117" s="24" cm="1">
        <f t="array" ref="C117">(C43-MIN($B$3:$B$74))/(MAX($B$3:$B$74-MIN($B$3:$B$74)))</f>
        <v>0.15500606536779329</v>
      </c>
      <c r="D117" s="24" cm="1">
        <f t="array" ref="D117">(D43-MIN($B$3:$B$74))/(MAX($B$3:$B$74-MIN($B$3:$B$74)))</f>
        <v>0.15182106439064808</v>
      </c>
      <c r="E117" s="24" cm="1">
        <f t="array" ref="E117">(E43-MIN($B$3:$B$74))/(MAX($B$3:$B$74-MIN($B$3:$B$74)))</f>
        <v>0.32108162051429567</v>
      </c>
      <c r="F117" s="24" cm="1">
        <f t="array" ref="F117">(F43-MIN($B$3:$B$74))/(MAX($B$3:$B$74-MIN($B$3:$B$74)))</f>
        <v>0.3447350883576551</v>
      </c>
      <c r="G117" s="28">
        <f t="shared" si="15"/>
        <v>0.19421929567988166</v>
      </c>
      <c r="H117" s="25" cm="1">
        <f t="array" ref="H117">(H43-MIN($H$3:$H$74))/(MAX($H$3:$H$74-MIN($H$3:$H$74)))</f>
        <v>0.57565187132730045</v>
      </c>
      <c r="I117" s="25" cm="1">
        <f t="array" ref="I117">(I43-MIN($H$3:$H$74))/(MAX($H$3:$H$74-MIN($H$3:$H$74)))</f>
        <v>0.55988311035679994</v>
      </c>
      <c r="J117" s="25" cm="1">
        <f t="array" ref="J117">(J43-MIN($H$3:$H$74))/(MAX($H$3:$H$74-MIN($H$3:$H$74)))</f>
        <v>0.8415936371260424</v>
      </c>
      <c r="K117" s="25" cm="1">
        <f t="array" ref="K117">(K43-MIN($H$3:$H$74))/(MAX($H$3:$H$74-MIN($H$3:$H$74)))</f>
        <v>0.56955826761159556</v>
      </c>
      <c r="L117" s="28">
        <f t="shared" si="16"/>
        <v>0.65904287293671426</v>
      </c>
      <c r="M117" s="24" cm="1">
        <f t="array" ref="M117">(M43-MIN($N$3:$N$74))/(MAX($N$3:$N$74-MIN($N$3:$N$74)))</f>
        <v>0.17748106624532009</v>
      </c>
      <c r="N117" s="24" cm="1">
        <f t="array" ref="N117">(N43-MIN($N$3:$N$74))/(MAX($N$3:$N$74-MIN($N$3:$N$74)))</f>
        <v>0.17972531263024469</v>
      </c>
      <c r="O117" s="24" cm="1">
        <f t="array" ref="O117">(O43-MIN($N$3:$N$74))/(MAX($N$3:$N$74-MIN($N$3:$N$74)))</f>
        <v>0.16745948436109098</v>
      </c>
      <c r="P117" s="24" cm="1">
        <f t="array" ref="P117">(P43-MIN($N$3:$N$74))/(MAX($N$3:$N$74-MIN($N$3:$N$74)))</f>
        <v>0.10732725382267932</v>
      </c>
      <c r="Q117" s="24" cm="1">
        <f t="array" ref="Q117">(Q43-MIN($N$3:$N$74))/(MAX($N$3:$N$74-MIN($N$3:$N$74)))</f>
        <v>0.16628927918138101</v>
      </c>
      <c r="R117" s="28">
        <f t="shared" si="17"/>
        <v>0.15799827926483379</v>
      </c>
      <c r="S117" s="24" cm="1">
        <f t="array" ref="S117">(S43-MIN($S$3:$S$74))/(MAX($S$3:$S$74-MIN($S$3:$S$74)))</f>
        <v>0.77754541051078863</v>
      </c>
      <c r="T117" s="24" cm="1">
        <f t="array" ref="T117">(T43-MIN($T$3:$T$74))/(MAX($T$3:$T$74-MIN($T$3:$T$74)))</f>
        <v>0.12189328577651601</v>
      </c>
      <c r="U117" s="24" cm="1">
        <f t="array" ref="U117">(U43-MIN($T$3:$T$74))/(MAX($T$3:$T$74-MIN($T$3:$T$74)))</f>
        <v>0.11630374693455621</v>
      </c>
      <c r="V117" s="24" cm="1">
        <f t="array" ref="V117">(V43-MIN($T$3:$T$74))/(MAX($T$3:$T$74-MIN($T$3:$T$74)))</f>
        <v>0.54961111644446503</v>
      </c>
      <c r="W117" s="24" cm="1">
        <f t="array" ref="W117">(W43-MIN($T$3:$T$74))/(MAX($T$3:$T$74-MIN($T$3:$T$74)))</f>
        <v>0.13687041577628448</v>
      </c>
      <c r="X117" s="28">
        <f t="shared" si="18"/>
        <v>0.39133838991658149</v>
      </c>
      <c r="Y117" s="24">
        <f t="shared" si="20"/>
        <v>0.53181913386301072</v>
      </c>
      <c r="Z117" s="24">
        <f t="shared" ref="Z117:AC136" si="22">(Z43-MIN($Z$3:$Z$74))/(MAX($Z$3:$Z$74)-MIN($Z$3:$Z$74))</f>
        <v>0.33165634978172609</v>
      </c>
      <c r="AA117" s="24">
        <f t="shared" si="22"/>
        <v>0.33162244490583459</v>
      </c>
      <c r="AB117" s="24">
        <f t="shared" si="22"/>
        <v>0.34729576431899534</v>
      </c>
      <c r="AC117" s="24">
        <f t="shared" si="22"/>
        <v>0.34428214250991546</v>
      </c>
      <c r="AD117" s="28">
        <f t="shared" si="12"/>
        <v>0.38559842321739168</v>
      </c>
      <c r="AE117" s="29">
        <f t="shared" si="21"/>
        <v>0.11925708699902249</v>
      </c>
    </row>
    <row r="118" spans="1:31" ht="15" customHeight="1">
      <c r="A118" s="34" t="s">
        <v>66</v>
      </c>
      <c r="B118" s="24" cm="1">
        <f t="array" ref="B118">(B44-MIN($B$3:$B$74))/(MAX($B$3:$B$74-MIN($B$3:$B$74)))</f>
        <v>0.1352580915215946</v>
      </c>
      <c r="C118" s="24" cm="1">
        <f t="array" ref="C118">(C44-MIN($B$3:$B$74))/(MAX($B$3:$B$74-MIN($B$3:$B$74)))</f>
        <v>0.12801586808664484</v>
      </c>
      <c r="D118" s="24" cm="1">
        <f t="array" ref="D118">(D44-MIN($B$3:$B$74))/(MAX($B$3:$B$74-MIN($B$3:$B$74)))</f>
        <v>0.1269212778131168</v>
      </c>
      <c r="E118" s="24" cm="1">
        <f t="array" ref="E118">(E44-MIN($B$3:$B$74))/(MAX($B$3:$B$74-MIN($B$3:$B$74)))</f>
        <v>0.12978702584795054</v>
      </c>
      <c r="F118" s="24" cm="1">
        <f t="array" ref="F118">(F44-MIN($B$3:$B$74))/(MAX($B$3:$B$74-MIN($B$3:$B$74)))</f>
        <v>0.13022858990198652</v>
      </c>
      <c r="G118" s="28">
        <f t="shared" si="15"/>
        <v>0.12999556581732669</v>
      </c>
      <c r="H118" s="25" cm="1">
        <f t="array" ref="H118">(H44-MIN($H$3:$H$74))/(MAX($H$3:$H$74-MIN($H$3:$H$74)))</f>
        <v>0.53030642854423282</v>
      </c>
      <c r="I118" s="25" cm="1">
        <f t="array" ref="I118">(I44-MIN($H$3:$H$74))/(MAX($H$3:$H$74-MIN($H$3:$H$74)))</f>
        <v>0.53506741992378304</v>
      </c>
      <c r="J118" s="25" cm="1">
        <f t="array" ref="J118">(J44-MIN($H$3:$H$74))/(MAX($H$3:$H$74-MIN($H$3:$H$74)))</f>
        <v>0.83007608529093424</v>
      </c>
      <c r="K118" s="25" cm="1">
        <f t="array" ref="K118">(K44-MIN($H$3:$H$74))/(MAX($H$3:$H$74-MIN($H$3:$H$74)))</f>
        <v>0.57004445992648989</v>
      </c>
      <c r="L118" s="28">
        <f t="shared" si="16"/>
        <v>0.63181664458631681</v>
      </c>
      <c r="M118" s="24" cm="1">
        <f t="array" ref="M118">(M44-MIN($N$3:$N$74))/(MAX($N$3:$N$74-MIN($N$3:$N$74)))</f>
        <v>0.26390030805177522</v>
      </c>
      <c r="N118" s="24" cm="1">
        <f t="array" ref="N118">(N44-MIN($N$3:$N$74))/(MAX($N$3:$N$74-MIN($N$3:$N$74)))</f>
        <v>0.3186260734178934</v>
      </c>
      <c r="O118" s="24" cm="1">
        <f t="array" ref="O118">(O44-MIN($N$3:$N$74))/(MAX($N$3:$N$74-MIN($N$3:$N$74)))</f>
        <v>0.1808607175336025</v>
      </c>
      <c r="P118" s="24" cm="1">
        <f t="array" ref="P118">(P44-MIN($N$3:$N$74))/(MAX($N$3:$N$74-MIN($N$3:$N$74)))</f>
        <v>0.24182062231429088</v>
      </c>
      <c r="Q118" s="24" cm="1">
        <f t="array" ref="Q118">(Q44-MIN($N$3:$N$74))/(MAX($N$3:$N$74-MIN($N$3:$N$74)))</f>
        <v>0.31918453657916696</v>
      </c>
      <c r="R118" s="28">
        <f t="shared" si="17"/>
        <v>0.25130193032939052</v>
      </c>
      <c r="S118" s="24" cm="1">
        <f t="array" ref="S118">(S44-MIN($S$3:$S$74))/(MAX($S$3:$S$74-MIN($S$3:$S$74)))</f>
        <v>0.84893195348377115</v>
      </c>
      <c r="T118" s="24" cm="1">
        <f t="array" ref="T118">(T44-MIN($T$3:$T$74))/(MAX($T$3:$T$74-MIN($T$3:$T$74)))</f>
        <v>8.9833396882703004E-2</v>
      </c>
      <c r="U118" s="24" cm="1">
        <f t="array" ref="U118">(U44-MIN($T$3:$T$74))/(MAX($T$3:$T$74-MIN($T$3:$T$74)))</f>
        <v>7.9521254852929671E-2</v>
      </c>
      <c r="V118" s="24" cm="1">
        <f t="array" ref="V118">(V44-MIN($T$3:$T$74))/(MAX($T$3:$T$74-MIN($T$3:$T$74)))</f>
        <v>0.10910726064502743</v>
      </c>
      <c r="W118" s="24" cm="1">
        <f t="array" ref="W118">(W44-MIN($T$3:$T$74))/(MAX($T$3:$T$74-MIN($T$3:$T$74)))</f>
        <v>9.9260447623341602E-2</v>
      </c>
      <c r="X118" s="28">
        <f t="shared" si="18"/>
        <v>0.28184846646610778</v>
      </c>
      <c r="Y118" s="24">
        <f t="shared" si="20"/>
        <v>0.52844852722433666</v>
      </c>
      <c r="Z118" s="24">
        <f t="shared" si="22"/>
        <v>0.3285043465823943</v>
      </c>
      <c r="AA118" s="24">
        <f t="shared" si="22"/>
        <v>0.3296228559746725</v>
      </c>
      <c r="AB118" s="24">
        <f t="shared" si="22"/>
        <v>0.33114226120256768</v>
      </c>
      <c r="AC118" s="24">
        <f t="shared" si="22"/>
        <v>0.33003092263495254</v>
      </c>
      <c r="AD118" s="28">
        <f t="shared" si="12"/>
        <v>0.37942949774599277</v>
      </c>
      <c r="AE118" s="29">
        <f t="shared" si="21"/>
        <v>0.78820462691430426</v>
      </c>
    </row>
    <row r="119" spans="1:31" ht="15" customHeight="1">
      <c r="A119" s="34" t="s">
        <v>68</v>
      </c>
      <c r="B119" s="24" cm="1">
        <f t="array" ref="B119">(B45-MIN($B$3:$B$74))/(MAX($B$3:$B$74-MIN($B$3:$B$74)))</f>
        <v>0.14844690291650531</v>
      </c>
      <c r="C119" s="24" cm="1">
        <f t="array" ref="C119">(C45-MIN($B$3:$B$74))/(MAX($B$3:$B$74-MIN($B$3:$B$74)))</f>
        <v>0.15387178640162971</v>
      </c>
      <c r="D119" s="24" cm="1">
        <f t="array" ref="D119">(D45-MIN($B$3:$B$74))/(MAX($B$3:$B$74-MIN($B$3:$B$74)))</f>
        <v>0.15112319694402482</v>
      </c>
      <c r="E119" s="24" cm="1">
        <f t="array" ref="E119">(E45-MIN($B$3:$B$74))/(MAX($B$3:$B$74-MIN($B$3:$B$74)))</f>
        <v>0.55507195602090653</v>
      </c>
      <c r="F119" s="24" cm="1">
        <f t="array" ref="F119">(F45-MIN($B$3:$B$74))/(MAX($B$3:$B$74-MIN($B$3:$B$74)))</f>
        <v>0.59198338972434594</v>
      </c>
      <c r="G119" s="28">
        <f t="shared" si="15"/>
        <v>0.2521284605707666</v>
      </c>
      <c r="H119" s="25" cm="1">
        <f t="array" ref="H119">(H45-MIN($H$3:$H$74))/(MAX($H$3:$H$74-MIN($H$3:$H$74)))</f>
        <v>0.57475910629976401</v>
      </c>
      <c r="I119" s="25" cm="1">
        <f t="array" ref="I119">(I45-MIN($H$3:$H$74))/(MAX($H$3:$H$74-MIN($H$3:$H$74)))</f>
        <v>0.56035228581250474</v>
      </c>
      <c r="J119" s="25" cm="1">
        <f t="array" ref="J119">(J45-MIN($H$3:$H$74))/(MAX($H$3:$H$74-MIN($H$3:$H$74)))</f>
        <v>1.2444983350418883</v>
      </c>
      <c r="K119" s="25" cm="1">
        <f t="array" ref="K119">(K45-MIN($H$3:$H$74))/(MAX($H$3:$H$74-MIN($H$3:$H$74)))</f>
        <v>0.56808843794046449</v>
      </c>
      <c r="L119" s="28">
        <f t="shared" si="16"/>
        <v>0.79320324238471895</v>
      </c>
      <c r="M119" s="24" cm="1">
        <f t="array" ref="M119">(M45-MIN($N$3:$N$74))/(MAX($N$3:$N$74-MIN($N$3:$N$74)))</f>
        <v>0.14845358766542208</v>
      </c>
      <c r="N119" s="24" cm="1">
        <f t="array" ref="N119">(N45-MIN($N$3:$N$74))/(MAX($N$3:$N$74-MIN($N$3:$N$74)))</f>
        <v>0.15614736406142568</v>
      </c>
      <c r="O119" s="24" cm="1">
        <f t="array" ref="O119">(O45-MIN($N$3:$N$74))/(MAX($N$3:$N$74-MIN($N$3:$N$74)))</f>
        <v>0.14974188367002883</v>
      </c>
      <c r="P119" s="24" cm="1">
        <f t="array" ref="P119">(P45-MIN($N$3:$N$74))/(MAX($N$3:$N$74-MIN($N$3:$N$74)))</f>
        <v>0.13794819516472434</v>
      </c>
      <c r="Q119" s="24" cm="1">
        <f t="array" ref="Q119">(Q45-MIN($N$3:$N$74))/(MAX($N$3:$N$74-MIN($N$3:$N$74)))</f>
        <v>0.16436010815490631</v>
      </c>
      <c r="R119" s="28">
        <f t="shared" si="17"/>
        <v>0.14807275764040023</v>
      </c>
      <c r="S119" s="24" cm="1">
        <f t="array" ref="S119">(S45-MIN($S$3:$S$74))/(MAX($S$3:$S$74-MIN($S$3:$S$74)))</f>
        <v>0.70633270116318769</v>
      </c>
      <c r="T119" s="24" cm="1">
        <f t="array" ref="T119">(T45-MIN($T$3:$T$74))/(MAX($T$3:$T$74-MIN($T$3:$T$74)))</f>
        <v>9.0366376854451758E-2</v>
      </c>
      <c r="U119" s="24" cm="1">
        <f t="array" ref="U119">(U45-MIN($T$3:$T$74))/(MAX($T$3:$T$74-MIN($T$3:$T$74)))</f>
        <v>8.9507100291045139E-2</v>
      </c>
      <c r="V119" s="24" cm="1">
        <f t="array" ref="V119">(V45-MIN($T$3:$T$74))/(MAX($T$3:$T$74-MIN($T$3:$T$74)))</f>
        <v>0.35329320608353987</v>
      </c>
      <c r="W119" s="24" cm="1">
        <f t="array" ref="W119">(W45-MIN($T$3:$T$74))/(MAX($T$3:$T$74-MIN($T$3:$T$74)))</f>
        <v>0.10707944438010972</v>
      </c>
      <c r="X119" s="28">
        <f t="shared" si="18"/>
        <v>0.30987484609805616</v>
      </c>
      <c r="Y119" s="24">
        <f t="shared" si="20"/>
        <v>0.51895727643261125</v>
      </c>
      <c r="Z119" s="24">
        <f t="shared" si="22"/>
        <v>0.32428254253779842</v>
      </c>
      <c r="AA119" s="24">
        <f t="shared" si="22"/>
        <v>0.33087096172218533</v>
      </c>
      <c r="AB119" s="24">
        <f t="shared" si="22"/>
        <v>0.33700987491956125</v>
      </c>
      <c r="AC119" s="24">
        <f t="shared" si="22"/>
        <v>0.33251175421241114</v>
      </c>
      <c r="AD119" s="28">
        <f t="shared" si="12"/>
        <v>0.37778016390303903</v>
      </c>
      <c r="AE119" s="29">
        <f t="shared" si="21"/>
        <v>0.22564353209514504</v>
      </c>
    </row>
    <row r="120" spans="1:31" ht="15" customHeight="1">
      <c r="A120" t="s">
        <v>69</v>
      </c>
      <c r="B120" s="24" cm="1">
        <f t="array" ref="B120">(B46-MIN($B$3:$B$74))/(MAX($B$3:$B$74-MIN($B$3:$B$74)))</f>
        <v>0.10832227182821681</v>
      </c>
      <c r="C120" s="24" cm="1">
        <f t="array" ref="C120">(C46-MIN($B$3:$B$74))/(MAX($B$3:$B$74-MIN($B$3:$B$74)))</f>
        <v>0.1321662994605533</v>
      </c>
      <c r="D120" s="24" cm="1">
        <f t="array" ref="D120">(D46-MIN($B$3:$B$74))/(MAX($B$3:$B$74-MIN($B$3:$B$74)))</f>
        <v>0.14643245600092727</v>
      </c>
      <c r="E120" s="24" cm="1">
        <f t="array" ref="E120">(E46-MIN($B$3:$B$74))/(MAX($B$3:$B$74-MIN($B$3:$B$74)))</f>
        <v>0.39317371784684357</v>
      </c>
      <c r="F120" s="24" cm="1">
        <f t="array" ref="F120">(F46-MIN($B$3:$B$74))/(MAX($B$3:$B$74-MIN($B$3:$B$74)))</f>
        <v>0.4524077420828217</v>
      </c>
      <c r="G120" s="28">
        <f t="shared" si="15"/>
        <v>0.19502368628413524</v>
      </c>
      <c r="H120" s="25" cm="1">
        <f t="array" ref="H120">(H46-MIN($H$3:$H$74))/(MAX($H$3:$H$74-MIN($H$3:$H$74)))</f>
        <v>0.61902252696881088</v>
      </c>
      <c r="I120" s="25" cm="1">
        <f t="array" ref="I120">(I46-MIN($H$3:$H$74))/(MAX($H$3:$H$74-MIN($H$3:$H$74)))</f>
        <v>0.66849858643438254</v>
      </c>
      <c r="J120" s="25" cm="1">
        <f t="array" ref="J120">(J46-MIN($H$3:$H$74))/(MAX($H$3:$H$74-MIN($H$3:$H$74)))</f>
        <v>1.0774797787995483</v>
      </c>
      <c r="K120" s="25" cm="1">
        <f t="array" ref="K120">(K46-MIN($H$3:$H$74))/(MAX($H$3:$H$74-MIN($H$3:$H$74)))</f>
        <v>0.57373070255526526</v>
      </c>
      <c r="L120" s="28">
        <f t="shared" si="16"/>
        <v>0.78833363073424723</v>
      </c>
      <c r="M120" s="24" cm="1">
        <f t="array" ref="M120">(M46-MIN($N$3:$N$74))/(MAX($N$3:$N$74-MIN($N$3:$N$74)))</f>
        <v>7.3341375178803403E-2</v>
      </c>
      <c r="N120" s="24" cm="1">
        <f t="array" ref="N120">(N46-MIN($N$3:$N$74))/(MAX($N$3:$N$74-MIN($N$3:$N$74)))</f>
        <v>0.13662552762123326</v>
      </c>
      <c r="O120" s="24" cm="1">
        <f t="array" ref="O120">(O46-MIN($N$3:$N$74))/(MAX($N$3:$N$74-MIN($N$3:$N$74)))</f>
        <v>0.15299593645263068</v>
      </c>
      <c r="P120" s="24" cm="1">
        <f t="array" ref="P120">(P46-MIN($N$3:$N$74))/(MAX($N$3:$N$74-MIN($N$3:$N$74)))</f>
        <v>0.15710768455035731</v>
      </c>
      <c r="Q120" s="24" cm="1">
        <f t="array" ref="Q120">(Q46-MIN($N$3:$N$74))/(MAX($N$3:$N$74-MIN($N$3:$N$74)))</f>
        <v>0.15464704361345552</v>
      </c>
      <c r="R120" s="28">
        <f t="shared" si="17"/>
        <v>0.13001763095075616</v>
      </c>
      <c r="S120" s="24" cm="1">
        <f t="array" ref="S120">(S46-MIN($S$3:$S$74))/(MAX($S$3:$S$74-MIN($S$3:$S$74)))</f>
        <v>0.66297661326328916</v>
      </c>
      <c r="T120" s="24" cm="1">
        <f t="array" ref="T120">(T46-MIN($T$3:$T$74))/(MAX($T$3:$T$74-MIN($T$3:$T$74)))</f>
        <v>7.7173099173535237E-2</v>
      </c>
      <c r="U120" s="24" cm="1">
        <f t="array" ref="U120">(U46-MIN($T$3:$T$74))/(MAX($T$3:$T$74-MIN($T$3:$T$74)))</f>
        <v>8.2424295581293605E-2</v>
      </c>
      <c r="V120" s="24" cm="1">
        <f t="array" ref="V120">(V46-MIN($T$3:$T$74))/(MAX($T$3:$T$74-MIN($T$3:$T$74)))</f>
        <v>0.17093680306090261</v>
      </c>
      <c r="W120" s="24" cm="1">
        <f t="array" ref="W120">(W46-MIN($T$3:$T$74))/(MAX($T$3:$T$74-MIN($T$3:$T$74)))</f>
        <v>8.5850929733307865E-2</v>
      </c>
      <c r="X120" s="28">
        <f t="shared" si="18"/>
        <v>0.24837770276975515</v>
      </c>
      <c r="Y120" s="24">
        <f t="shared" si="20"/>
        <v>0.67260725605219807</v>
      </c>
      <c r="Z120" s="24">
        <f t="shared" si="22"/>
        <v>0.4151635608736064</v>
      </c>
      <c r="AA120" s="24">
        <f t="shared" si="22"/>
        <v>0.43792168482945198</v>
      </c>
      <c r="AB120" s="24">
        <f t="shared" si="22"/>
        <v>0.45494142104529739</v>
      </c>
      <c r="AC120" s="24">
        <f t="shared" si="22"/>
        <v>0.47387053097922011</v>
      </c>
      <c r="AD120" s="28">
        <f t="shared" si="12"/>
        <v>0.49515848070013846</v>
      </c>
      <c r="AE120" s="29">
        <f t="shared" si="21"/>
        <v>0.36363636363636365</v>
      </c>
    </row>
    <row r="121" spans="1:31" ht="15" customHeight="1">
      <c r="A121" s="36" t="s">
        <v>70</v>
      </c>
      <c r="B121" s="24" cm="1">
        <f t="array" ref="B121">(B47-MIN($B$3:$B$74))/(MAX($B$3:$B$74-MIN($B$3:$B$74)))</f>
        <v>0.12738813661048987</v>
      </c>
      <c r="C121" s="24" cm="1">
        <f t="array" ref="C121">(C47-MIN($B$3:$B$74))/(MAX($B$3:$B$74-MIN($B$3:$B$74)))</f>
        <v>0.125262918551937</v>
      </c>
      <c r="D121" s="24" cm="1">
        <f t="array" ref="D121">(D47-MIN($B$3:$B$74))/(MAX($B$3:$B$74-MIN($B$3:$B$74)))</f>
        <v>0.12524236165411604</v>
      </c>
      <c r="E121" s="24" cm="1">
        <f t="array" ref="E121">(E47-MIN($B$3:$B$74))/(MAX($B$3:$B$74-MIN($B$3:$B$74)))</f>
        <v>0.14621750577378881</v>
      </c>
      <c r="F121" s="24" cm="1">
        <f t="array" ref="F121">(F47-MIN($B$3:$B$74))/(MAX($B$3:$B$74-MIN($B$3:$B$74)))</f>
        <v>0.14091933840674845</v>
      </c>
      <c r="G121" s="28">
        <f t="shared" si="15"/>
        <v>0.13102773064758291</v>
      </c>
      <c r="H121" s="25" cm="1">
        <f t="array" ref="H121">(H47-MIN($H$3:$H$74))/(MAX($H$3:$H$74-MIN($H$3:$H$74)))</f>
        <v>0.46810070090304917</v>
      </c>
      <c r="I121" s="25" cm="1">
        <f t="array" ref="I121">(I47-MIN($H$3:$H$74))/(MAX($H$3:$H$74-MIN($H$3:$H$74)))</f>
        <v>0.56381033372723854</v>
      </c>
      <c r="J121" s="25" cm="1">
        <f t="array" ref="J121">(J47-MIN($H$3:$H$74))/(MAX($H$3:$H$74-MIN($H$3:$H$74)))</f>
        <v>1.2714500858285716</v>
      </c>
      <c r="K121" s="25" cm="1">
        <f t="array" ref="K121">(K47-MIN($H$3:$H$74))/(MAX($H$3:$H$74-MIN($H$3:$H$74)))</f>
        <v>0.55338035233479388</v>
      </c>
      <c r="L121" s="28">
        <f t="shared" si="16"/>
        <v>0.76778704015295318</v>
      </c>
      <c r="M121" s="24" cm="1">
        <f t="array" ref="M121">(M47-MIN($N$3:$N$74))/(MAX($N$3:$N$74-MIN($N$3:$N$74)))</f>
        <v>0.13977120750290048</v>
      </c>
      <c r="N121" s="24" cm="1">
        <f t="array" ref="N121">(N47-MIN($N$3:$N$74))/(MAX($N$3:$N$74-MIN($N$3:$N$74)))</f>
        <v>0.11183274480475497</v>
      </c>
      <c r="O121" s="24" cm="1">
        <f t="array" ref="O121">(O47-MIN($N$3:$N$74))/(MAX($N$3:$N$74-MIN($N$3:$N$74)))</f>
        <v>0.11164694894332258</v>
      </c>
      <c r="P121" s="24" cm="1">
        <f t="array" ref="P121">(P47-MIN($N$3:$N$74))/(MAX($N$3:$N$74-MIN($N$3:$N$74)))</f>
        <v>6.0074570220983725E-2</v>
      </c>
      <c r="Q121" s="24" cm="1">
        <f t="array" ref="Q121">(Q47-MIN($N$3:$N$74))/(MAX($N$3:$N$74-MIN($N$3:$N$74)))</f>
        <v>8.0495894128761278E-2</v>
      </c>
      <c r="R121" s="28">
        <f t="shared" si="17"/>
        <v>0.10583136786799044</v>
      </c>
      <c r="S121" s="24" cm="1">
        <f t="array" ref="S121">(S47-MIN($S$3:$S$74))/(MAX($S$3:$S$74-MIN($S$3:$S$74)))</f>
        <v>0.65254929145702412</v>
      </c>
      <c r="T121" s="24" cm="1">
        <f t="array" ref="T121">(T47-MIN($T$3:$T$74))/(MAX($T$3:$T$74-MIN($T$3:$T$74)))</f>
        <v>8.9262688562017675E-2</v>
      </c>
      <c r="U121" s="24" cm="1">
        <f t="array" ref="U121">(U47-MIN($T$3:$T$74))/(MAX($T$3:$T$74-MIN($T$3:$T$74)))</f>
        <v>8.7704872663024389E-2</v>
      </c>
      <c r="V121" s="24" cm="1">
        <f t="array" ref="V121">(V47-MIN($T$3:$T$74))/(MAX($T$3:$T$74-MIN($T$3:$T$74)))</f>
        <v>-8.8811395001641674E-2</v>
      </c>
      <c r="W121" s="24" cm="1">
        <f t="array" ref="W121">(W47-MIN($T$3:$T$74))/(MAX($T$3:$T$74-MIN($T$3:$T$74)))</f>
        <v>9.1820515724101159E-2</v>
      </c>
      <c r="X121" s="28">
        <f t="shared" si="18"/>
        <v>0.18517636442010613</v>
      </c>
      <c r="Y121" s="24">
        <f t="shared" si="20"/>
        <v>0.42686996768609459</v>
      </c>
      <c r="Z121" s="24">
        <f t="shared" si="22"/>
        <v>0.27888396661717424</v>
      </c>
      <c r="AA121" s="24">
        <f t="shared" si="22"/>
        <v>0.27703736984301014</v>
      </c>
      <c r="AB121" s="24">
        <f t="shared" si="22"/>
        <v>0.28527172240213666</v>
      </c>
      <c r="AC121" s="24">
        <f t="shared" si="22"/>
        <v>0.28760835799886553</v>
      </c>
      <c r="AD121" s="28">
        <f t="shared" si="12"/>
        <v>0.31701575663710391</v>
      </c>
      <c r="AE121" s="29">
        <f t="shared" si="21"/>
        <v>-1.1404366243075921E-2</v>
      </c>
    </row>
    <row r="122" spans="1:31" ht="15" customHeight="1">
      <c r="A122" s="36" t="s">
        <v>71</v>
      </c>
      <c r="B122" s="24" cm="1">
        <f t="array" ref="B122">(B48-MIN($B$3:$B$74))/(MAX($B$3:$B$74-MIN($B$3:$B$74)))</f>
        <v>0.17536557507199171</v>
      </c>
      <c r="C122" s="24" cm="1">
        <f t="array" ref="C122">(C48-MIN($B$3:$B$74))/(MAX($B$3:$B$74-MIN($B$3:$B$74)))</f>
        <v>0.19360274187840176</v>
      </c>
      <c r="D122" s="24" cm="1">
        <f t="array" ref="D122">(D48-MIN($B$3:$B$74))/(MAX($B$3:$B$74-MIN($B$3:$B$74)))</f>
        <v>0.18665035811044686</v>
      </c>
      <c r="E122" s="24" cm="1">
        <f t="array" ref="E122">(E48-MIN($B$3:$B$74))/(MAX($B$3:$B$74-MIN($B$3:$B$74)))</f>
        <v>0.53996385127757485</v>
      </c>
      <c r="F122" s="24" cm="1">
        <f t="array" ref="F122">(F48-MIN($B$3:$B$74))/(MAX($B$3:$B$74-MIN($B$3:$B$74)))</f>
        <v>0.56742934950737889</v>
      </c>
      <c r="G122" s="28">
        <f t="shared" si="15"/>
        <v>0.27389563158460378</v>
      </c>
      <c r="H122" s="25" cm="1">
        <f t="array" ref="H122">(H48-MIN($H$3:$H$74))/(MAX($H$3:$H$74-MIN($H$3:$H$74)))</f>
        <v>0.57999249645924444</v>
      </c>
      <c r="I122" s="25" cm="1">
        <f t="array" ref="I122">(I48-MIN($H$3:$H$74))/(MAX($H$3:$H$74-MIN($H$3:$H$74)))</f>
        <v>0.56021753989101808</v>
      </c>
      <c r="J122" s="25" cm="1">
        <f t="array" ref="J122">(J48-MIN($H$3:$H$74))/(MAX($H$3:$H$74-MIN($H$3:$H$74)))</f>
        <v>0.80813568401401281</v>
      </c>
      <c r="K122" s="25" cm="1">
        <f t="array" ref="K122">(K48-MIN($H$3:$H$74))/(MAX($H$3:$H$74-MIN($H$3:$H$74)))</f>
        <v>0.5672711051597461</v>
      </c>
      <c r="L122" s="28">
        <f t="shared" si="16"/>
        <v>0.64944857345475848</v>
      </c>
      <c r="M122" s="24" cm="1">
        <f t="array" ref="M122">(M48-MIN($N$3:$N$74))/(MAX($N$3:$N$74-MIN($N$3:$N$74)))</f>
        <v>0.17157548191323935</v>
      </c>
      <c r="N122" s="24" cm="1">
        <f t="array" ref="N122">(N48-MIN($N$3:$N$74))/(MAX($N$3:$N$74-MIN($N$3:$N$74)))</f>
        <v>0.17441172924488818</v>
      </c>
      <c r="O122" s="24" cm="1">
        <f t="array" ref="O122">(O48-MIN($N$3:$N$74))/(MAX($N$3:$N$74-MIN($N$3:$N$74)))</f>
        <v>0.1729380944705293</v>
      </c>
      <c r="P122" s="24" cm="1">
        <f t="array" ref="P122">(P48-MIN($N$3:$N$74))/(MAX($N$3:$N$74-MIN($N$3:$N$74)))</f>
        <v>0.17846872737475594</v>
      </c>
      <c r="Q122" s="24" cm="1">
        <f t="array" ref="Q122">(Q48-MIN($N$3:$N$74))/(MAX($N$3:$N$74-MIN($N$3:$N$74)))</f>
        <v>0.18356098863797649</v>
      </c>
      <c r="R122" s="28">
        <f t="shared" si="17"/>
        <v>0.17434850825085318</v>
      </c>
      <c r="S122" s="24" cm="1">
        <f t="array" ref="S122">(S48-MIN($S$3:$S$74))/(MAX($S$3:$S$74-MIN($S$3:$S$74)))</f>
        <v>0.77100973582037458</v>
      </c>
      <c r="T122" s="24" cm="1">
        <f t="array" ref="T122">(T48-MIN($T$3:$T$74))/(MAX($T$3:$T$74-MIN($T$3:$T$74)))</f>
        <v>0.1215937555556298</v>
      </c>
      <c r="U122" s="24" cm="1">
        <f t="array" ref="U122">(U48-MIN($T$3:$T$74))/(MAX($T$3:$T$74-MIN($T$3:$T$74)))</f>
        <v>0.11273948954127302</v>
      </c>
      <c r="V122" s="24" cm="1">
        <f t="array" ref="V122">(V48-MIN($T$3:$T$74))/(MAX($T$3:$T$74-MIN($T$3:$T$74)))</f>
        <v>0.30243183947390806</v>
      </c>
      <c r="W122" s="24" cm="1">
        <f t="array" ref="W122">(W48-MIN($T$3:$T$74))/(MAX($T$3:$T$74-MIN($T$3:$T$74)))</f>
        <v>0.11650755282523542</v>
      </c>
      <c r="X122" s="28">
        <f t="shared" si="18"/>
        <v>0.32694370509779636</v>
      </c>
      <c r="Y122" s="24">
        <f t="shared" si="20"/>
        <v>0.5331857128086166</v>
      </c>
      <c r="Z122" s="24">
        <f t="shared" si="22"/>
        <v>0.32964594401924374</v>
      </c>
      <c r="AA122" s="24">
        <f t="shared" si="22"/>
        <v>0.32794538718262489</v>
      </c>
      <c r="AB122" s="24">
        <f t="shared" si="22"/>
        <v>0.32756531755756813</v>
      </c>
      <c r="AC122" s="24">
        <f t="shared" si="22"/>
        <v>0.32717770738446977</v>
      </c>
      <c r="AD122" s="28">
        <f t="shared" si="12"/>
        <v>0.37958559039201334</v>
      </c>
      <c r="AE122" s="29">
        <f t="shared" si="21"/>
        <v>0.13685239491691106</v>
      </c>
    </row>
    <row r="123" spans="1:31" ht="15" customHeight="1">
      <c r="A123" s="36" t="s">
        <v>72</v>
      </c>
      <c r="B123" s="24" cm="1">
        <f t="array" ref="B123">(B49-MIN($B$3:$B$74))/(MAX($B$3:$B$74-MIN($B$3:$B$74)))</f>
        <v>0</v>
      </c>
      <c r="C123" s="24" cm="1">
        <f t="array" ref="C123">(C49-MIN($B$3:$B$74))/(MAX($B$3:$B$74-MIN($B$3:$B$74)))</f>
        <v>-1.7854682584136021E-2</v>
      </c>
      <c r="D123" s="24" cm="1">
        <f t="array" ref="D123">(D49-MIN($B$3:$B$74))/(MAX($B$3:$B$74-MIN($B$3:$B$74)))</f>
        <v>4.8653876878405042E-2</v>
      </c>
      <c r="E123" s="24" cm="1">
        <f t="array" ref="E123">(E49-MIN($B$3:$B$74))/(MAX($B$3:$B$74-MIN($B$3:$B$74)))</f>
        <v>0.73582642269245047</v>
      </c>
      <c r="F123" s="24" cm="1">
        <f t="array" ref="F123">(F49-MIN($B$3:$B$74))/(MAX($B$3:$B$74-MIN($B$3:$B$74)))</f>
        <v>0.6569546772944338</v>
      </c>
      <c r="G123" s="28">
        <f t="shared" si="15"/>
        <v>0.19165640424667987</v>
      </c>
      <c r="H123" s="25" cm="1">
        <f t="array" ref="H123">(H49-MIN($H$3:$H$74))/(MAX($H$3:$H$74-MIN($H$3:$H$74)))</f>
        <v>0.55865711665926909</v>
      </c>
      <c r="I123" s="25" cm="1">
        <f t="array" ref="I123">(I49-MIN($H$3:$H$74))/(MAX($H$3:$H$74-MIN($H$3:$H$74)))</f>
        <v>0.5836359064436043</v>
      </c>
      <c r="J123" s="25" cm="1">
        <f t="array" ref="J123">(J49-MIN($H$3:$H$74))/(MAX($H$3:$H$74-MIN($H$3:$H$74)))</f>
        <v>0.93091889699394614</v>
      </c>
      <c r="K123" s="25" cm="1">
        <f t="array" ref="K123">(K49-MIN($H$3:$H$74))/(MAX($H$3:$H$74-MIN($H$3:$H$74)))</f>
        <v>0.55914417355345203</v>
      </c>
      <c r="L123" s="28">
        <f t="shared" si="16"/>
        <v>0.69107064003227325</v>
      </c>
      <c r="M123" s="24" cm="1">
        <f t="array" ref="M123">(M49-MIN($N$3:$N$74))/(MAX($N$3:$N$74-MIN($N$3:$N$74)))</f>
        <v>6.0583360440882854E-2</v>
      </c>
      <c r="N123" s="24" cm="1">
        <f t="array" ref="N123">(N49-MIN($N$3:$N$74))/(MAX($N$3:$N$74-MIN($N$3:$N$74)))</f>
        <v>5.31875666158051E-2</v>
      </c>
      <c r="O123" s="24" cm="1">
        <f t="array" ref="O123">(O49-MIN($N$3:$N$74))/(MAX($N$3:$N$74-MIN($N$3:$N$74)))</f>
        <v>9.75363719071798E-2</v>
      </c>
      <c r="P123" s="24" cm="1">
        <f t="array" ref="P123">(P49-MIN($N$3:$N$74))/(MAX($N$3:$N$74-MIN($N$3:$N$74)))</f>
        <v>6.6610457055372815E-2</v>
      </c>
      <c r="Q123" s="24" cm="1">
        <f t="array" ref="Q123">(Q49-MIN($N$3:$N$74))/(MAX($N$3:$N$74-MIN($N$3:$N$74)))</f>
        <v>4.8936683165751706E-2</v>
      </c>
      <c r="R123" s="28">
        <f t="shared" si="17"/>
        <v>6.9479439004810142E-2</v>
      </c>
      <c r="S123" s="24" cm="1">
        <f t="array" ref="S123">(S49-MIN($S$3:$S$74))/(MAX($S$3:$S$74-MIN($S$3:$S$74)))</f>
        <v>1</v>
      </c>
      <c r="T123" s="24" cm="1">
        <f t="array" ref="T123">(T49-MIN($T$3:$T$74))/(MAX($T$3:$T$74-MIN($T$3:$T$74)))</f>
        <v>0.16198327519670822</v>
      </c>
      <c r="U123" s="24" cm="1">
        <f t="array" ref="U123">(U49-MIN($T$3:$T$74))/(MAX($T$3:$T$74-MIN($T$3:$T$74)))</f>
        <v>0.11267578570754512</v>
      </c>
      <c r="V123" s="24" cm="1">
        <f t="array" ref="V123">(V49-MIN($T$3:$T$74))/(MAX($T$3:$T$74-MIN($T$3:$T$74)))</f>
        <v>-0.15019678644707946</v>
      </c>
      <c r="W123" s="24" cm="1">
        <f t="array" ref="W123">(W49-MIN($T$3:$T$74))/(MAX($T$3:$T$74-MIN($T$3:$T$74)))</f>
        <v>0.11997335643536089</v>
      </c>
      <c r="X123" s="28">
        <f t="shared" si="18"/>
        <v>0.28111556861429349</v>
      </c>
      <c r="Y123" s="24">
        <f t="shared" si="20"/>
        <v>0.31542236659452866</v>
      </c>
      <c r="Z123" s="24">
        <f t="shared" si="22"/>
        <v>0.25365639049428534</v>
      </c>
      <c r="AA123" s="24">
        <f t="shared" si="22"/>
        <v>0.25907861532783438</v>
      </c>
      <c r="AB123" s="24">
        <f t="shared" si="22"/>
        <v>0.27453799159275694</v>
      </c>
      <c r="AC123" s="24">
        <f t="shared" si="22"/>
        <v>0.27879324640177333</v>
      </c>
      <c r="AD123" s="28">
        <f t="shared" si="12"/>
        <v>0.27567384100235137</v>
      </c>
      <c r="AE123" s="29">
        <f t="shared" si="21"/>
        <v>-1.1404366243075921E-2</v>
      </c>
    </row>
    <row r="124" spans="1:31" ht="15" customHeight="1">
      <c r="A124" s="36" t="s">
        <v>73</v>
      </c>
      <c r="B124" s="24" cm="1">
        <f t="array" ref="B124">(B50-MIN($B$3:$B$74))/(MAX($B$3:$B$74-MIN($B$3:$B$74)))</f>
        <v>0.111498262172431</v>
      </c>
      <c r="C124" s="24" cm="1">
        <f t="array" ref="C124">(C50-MIN($B$3:$B$74))/(MAX($B$3:$B$74-MIN($B$3:$B$74)))</f>
        <v>8.5016731032475423E-2</v>
      </c>
      <c r="D124" s="24" cm="1">
        <f t="array" ref="D124">(D50-MIN($B$3:$B$74))/(MAX($B$3:$B$74-MIN($B$3:$B$74)))</f>
        <v>9.9498483154360468E-2</v>
      </c>
      <c r="E124" s="24" cm="1">
        <f t="array" ref="E124">(E50-MIN($B$3:$B$74))/(MAX($B$3:$B$74-MIN($B$3:$B$74)))</f>
        <v>0.49675147339833697</v>
      </c>
      <c r="F124" s="24" cm="1">
        <f t="array" ref="F124">(F50-MIN($B$3:$B$74))/(MAX($B$3:$B$74-MIN($B$3:$B$74)))</f>
        <v>0.60939853561159718</v>
      </c>
      <c r="G124" s="28">
        <f t="shared" si="15"/>
        <v>0.19819123743940098</v>
      </c>
      <c r="H124" s="25" cm="1">
        <f t="array" ref="H124">(H50-MIN($H$3:$H$74))/(MAX($H$3:$H$74-MIN($H$3:$H$74)))</f>
        <v>0.49113916112023326</v>
      </c>
      <c r="I124" s="25" cm="1">
        <f t="array" ref="I124">(I50-MIN($H$3:$H$74))/(MAX($H$3:$H$74-MIN($H$3:$H$74)))</f>
        <v>0.57900963357205615</v>
      </c>
      <c r="J124" s="25" cm="1">
        <f t="array" ref="J124">(J50-MIN($H$3:$H$74))/(MAX($H$3:$H$74-MIN($H$3:$H$74)))</f>
        <v>1.175581994135015</v>
      </c>
      <c r="K124" s="25" cm="1">
        <f t="array" ref="K124">(K50-MIN($H$3:$H$74))/(MAX($H$3:$H$74-MIN($H$3:$H$74)))</f>
        <v>0.57713831338962363</v>
      </c>
      <c r="L124" s="28">
        <f t="shared" si="16"/>
        <v>0.74857692960910149</v>
      </c>
      <c r="M124" s="24" cm="1">
        <f t="array" ref="M124">(M50-MIN($N$3:$N$74))/(MAX($N$3:$N$74-MIN($N$3:$N$74)))</f>
        <v>0.11469122803168938</v>
      </c>
      <c r="N124" s="24" cm="1">
        <f t="array" ref="N124">(N50-MIN($N$3:$N$74))/(MAX($N$3:$N$74-MIN($N$3:$N$74)))</f>
        <v>9.5150025089582549E-2</v>
      </c>
      <c r="O124" s="24" cm="1">
        <f t="array" ref="O124">(O50-MIN($N$3:$N$74))/(MAX($N$3:$N$74-MIN($N$3:$N$74)))</f>
        <v>0.10666329328668704</v>
      </c>
      <c r="P124" s="24" cm="1">
        <f t="array" ref="P124">(P50-MIN($N$3:$N$74))/(MAX($N$3:$N$74-MIN($N$3:$N$74)))</f>
        <v>0.10202521489966711</v>
      </c>
      <c r="Q124" s="24" cm="1">
        <f t="array" ref="Q124">(Q50-MIN($N$3:$N$74))/(MAX($N$3:$N$74-MIN($N$3:$N$74)))</f>
        <v>0.13307355107955479</v>
      </c>
      <c r="R124" s="28">
        <f t="shared" si="17"/>
        <v>0.10463244032690652</v>
      </c>
      <c r="S124" s="24" cm="1">
        <f t="array" ref="S124">(S50-MIN($S$3:$S$74))/(MAX($S$3:$S$74-MIN($S$3:$S$74)))</f>
        <v>0.63460120754474303</v>
      </c>
      <c r="T124" s="24" cm="1">
        <f t="array" ref="T124">(T50-MIN($T$3:$T$74))/(MAX($T$3:$T$74-MIN($T$3:$T$74)))</f>
        <v>0</v>
      </c>
      <c r="U124" s="24" cm="1">
        <f t="array" ref="U124">(U50-MIN($T$3:$T$74))/(MAX($T$3:$T$74-MIN($T$3:$T$74)))</f>
        <v>9.7709270963548915E-3</v>
      </c>
      <c r="V124" s="24" cm="1">
        <f t="array" ref="V124">(V50-MIN($T$3:$T$74))/(MAX($T$3:$T$74-MIN($T$3:$T$74)))</f>
        <v>1.5209841251824869</v>
      </c>
      <c r="W124" s="24" cm="1">
        <f t="array" ref="W124">(W50-MIN($T$3:$T$74))/(MAX($T$3:$T$74-MIN($T$3:$T$74)))</f>
        <v>0.11110545583415665</v>
      </c>
      <c r="X124" s="28">
        <f t="shared" si="18"/>
        <v>0.54133906495589623</v>
      </c>
      <c r="Y124" s="24">
        <f t="shared" si="20"/>
        <v>0.59718190750325961</v>
      </c>
      <c r="Z124" s="24">
        <f t="shared" si="22"/>
        <v>0.38813965356275903</v>
      </c>
      <c r="AA124" s="24">
        <f t="shared" si="22"/>
        <v>0.41325414443643138</v>
      </c>
      <c r="AB124" s="24">
        <f t="shared" si="22"/>
        <v>0.48937995239642601</v>
      </c>
      <c r="AC124" s="24">
        <f t="shared" si="22"/>
        <v>0.44590174289458656</v>
      </c>
      <c r="AD124" s="28">
        <f t="shared" si="12"/>
        <v>0.47198891447471897</v>
      </c>
      <c r="AE124" s="29">
        <f t="shared" si="21"/>
        <v>0.33349625285109163</v>
      </c>
    </row>
    <row r="125" spans="1:31" ht="15" customHeight="1">
      <c r="A125" s="36" t="s">
        <v>74</v>
      </c>
      <c r="B125" s="24" cm="1">
        <f t="array" ref="B125">(B51-MIN($B$3:$B$74))/(MAX($B$3:$B$74-MIN($B$3:$B$74)))</f>
        <v>0.16864535832660907</v>
      </c>
      <c r="C125" s="24" cm="1">
        <f t="array" ref="C125">(C51-MIN($B$3:$B$74))/(MAX($B$3:$B$74-MIN($B$3:$B$74)))</f>
        <v>0.21719973415303456</v>
      </c>
      <c r="D125" s="24" cm="1">
        <f t="array" ref="D125">(D51-MIN($B$3:$B$74))/(MAX($B$3:$B$74-MIN($B$3:$B$74)))</f>
        <v>0.18596114167696556</v>
      </c>
      <c r="E125" s="24" cm="1">
        <f t="array" ref="E125">(E51-MIN($B$3:$B$74))/(MAX($B$3:$B$74-MIN($B$3:$B$74)))</f>
        <v>0.21761486701042354</v>
      </c>
      <c r="F125" s="24" cm="1">
        <f t="array" ref="F125">(F51-MIN($B$3:$B$74))/(MAX($B$3:$B$74-MIN($B$3:$B$74)))</f>
        <v>0.21288586127513404</v>
      </c>
      <c r="G125" s="28">
        <f t="shared" si="15"/>
        <v>0.19735527529175817</v>
      </c>
      <c r="H125" s="25" cm="1">
        <f t="array" ref="H125">(H51-MIN($H$3:$H$74))/(MAX($H$3:$H$74-MIN($H$3:$H$74)))</f>
        <v>0.61228867402956455</v>
      </c>
      <c r="I125" s="25" cm="1">
        <f t="array" ref="I125">(I51-MIN($H$3:$H$74))/(MAX($H$3:$H$74-MIN($H$3:$H$74)))</f>
        <v>0.55022790239948849</v>
      </c>
      <c r="J125" s="25" cm="1">
        <f t="array" ref="J125">(J51-MIN($H$3:$H$74))/(MAX($H$3:$H$74-MIN($H$3:$H$74)))</f>
        <v>0.58659405111643104</v>
      </c>
      <c r="K125" s="25" cm="1">
        <f t="array" ref="K125">(K51-MIN($H$3:$H$74))/(MAX($H$3:$H$74-MIN($H$3:$H$74)))</f>
        <v>0.5623619682403258</v>
      </c>
      <c r="L125" s="28">
        <f t="shared" si="16"/>
        <v>0.58303687584849462</v>
      </c>
      <c r="M125" s="24" cm="1">
        <f t="array" ref="M125">(M51-MIN($N$3:$N$74))/(MAX($N$3:$N$74-MIN($N$3:$N$74)))</f>
        <v>0.34576344828753974</v>
      </c>
      <c r="N125" s="24" cm="1">
        <f t="array" ref="N125">(N51-MIN($N$3:$N$74))/(MAX($N$3:$N$74-MIN($N$3:$N$74)))</f>
        <v>0.46392548441664533</v>
      </c>
      <c r="O125" s="24" cm="1">
        <f t="array" ref="O125">(O51-MIN($N$3:$N$74))/(MAX($N$3:$N$74-MIN($N$3:$N$74)))</f>
        <v>0.30900744385666667</v>
      </c>
      <c r="P125" s="24" cm="1">
        <f t="array" ref="P125">(P51-MIN($N$3:$N$74))/(MAX($N$3:$N$74-MIN($N$3:$N$74)))</f>
        <v>0.50819464419908367</v>
      </c>
      <c r="Q125" s="24" cm="1">
        <f t="array" ref="Q125">(Q51-MIN($N$3:$N$74))/(MAX($N$3:$N$74-MIN($N$3:$N$74)))</f>
        <v>0.77861066836655224</v>
      </c>
      <c r="R125" s="28">
        <f t="shared" si="17"/>
        <v>0.40672275518998385</v>
      </c>
      <c r="S125" s="24" cm="1">
        <f t="array" ref="S125">(S51-MIN($S$3:$S$74))/(MAX($S$3:$S$74-MIN($S$3:$S$74)))</f>
        <v>0.74697938501762207</v>
      </c>
      <c r="T125" s="24" cm="1">
        <f t="array" ref="T125">(T51-MIN($T$3:$T$74))/(MAX($T$3:$T$74-MIN($T$3:$T$74)))</f>
        <v>0.13345433053347136</v>
      </c>
      <c r="U125" s="24" cm="1">
        <f t="array" ref="U125">(U51-MIN($T$3:$T$74))/(MAX($T$3:$T$74-MIN($T$3:$T$74)))</f>
        <v>0.11005063478549475</v>
      </c>
      <c r="V125" s="24" cm="1">
        <f t="array" ref="V125">(V51-MIN($T$3:$T$74))/(MAX($T$3:$T$74-MIN($T$3:$T$74)))</f>
        <v>0.12455964883818904</v>
      </c>
      <c r="W125" s="24" cm="1">
        <f t="array" ref="W125">(W51-MIN($T$3:$T$74))/(MAX($T$3:$T$74-MIN($T$3:$T$74)))</f>
        <v>0.18103529423837308</v>
      </c>
      <c r="X125" s="28">
        <f t="shared" si="18"/>
        <v>0.27876099979369429</v>
      </c>
      <c r="Y125" s="24">
        <f t="shared" si="20"/>
        <v>0.63019841167700497</v>
      </c>
      <c r="Z125" s="24">
        <f t="shared" si="22"/>
        <v>0.38018144710362684</v>
      </c>
      <c r="AA125" s="24">
        <f t="shared" si="22"/>
        <v>0.37161174621705778</v>
      </c>
      <c r="AB125" s="24">
        <f t="shared" si="22"/>
        <v>0.37341002997016709</v>
      </c>
      <c r="AC125" s="24">
        <f t="shared" si="22"/>
        <v>0.3766106963102902</v>
      </c>
      <c r="AD125" s="28">
        <f t="shared" si="12"/>
        <v>0.43885040874196418</v>
      </c>
      <c r="AE125" s="29">
        <f t="shared" si="21"/>
        <v>9.4819159335288367E-2</v>
      </c>
    </row>
    <row r="126" spans="1:31" ht="15" customHeight="1">
      <c r="A126" s="36" t="s">
        <v>75</v>
      </c>
      <c r="B126" s="24" cm="1">
        <f t="array" ref="B126">(B52-MIN($B$3:$B$74))/(MAX($B$3:$B$74-MIN($B$3:$B$74)))</f>
        <v>0.12843991942665661</v>
      </c>
      <c r="C126" s="24" cm="1">
        <f t="array" ref="C126">(C52-MIN($B$3:$B$74))/(MAX($B$3:$B$74-MIN($B$3:$B$74)))</f>
        <v>0.13203463772432586</v>
      </c>
      <c r="D126" s="24" cm="1">
        <f t="array" ref="D126">(D52-MIN($B$3:$B$74))/(MAX($B$3:$B$74-MIN($B$3:$B$74)))</f>
        <v>0.14400824053942837</v>
      </c>
      <c r="E126" s="24" cm="1">
        <f t="array" ref="E126">(E52-MIN($B$3:$B$74))/(MAX($B$3:$B$74-MIN($B$3:$B$74)))</f>
        <v>0.22203911752253508</v>
      </c>
      <c r="F126" s="24" cm="1">
        <f t="array" ref="F126">(F52-MIN($B$3:$B$74))/(MAX($B$3:$B$74-MIN($B$3:$B$74)))</f>
        <v>0.22323705264164745</v>
      </c>
      <c r="G126" s="28">
        <f t="shared" si="15"/>
        <v>0.15663047880323649</v>
      </c>
      <c r="H126" s="25" cm="1">
        <f t="array" ref="H126">(H52-MIN($H$3:$H$74))/(MAX($H$3:$H$74-MIN($H$3:$H$74)))</f>
        <v>0.64036806523542211</v>
      </c>
      <c r="I126" s="25" cm="1">
        <f t="array" ref="I126">(I52-MIN($H$3:$H$74))/(MAX($H$3:$H$74-MIN($H$3:$H$74)))</f>
        <v>0.65385477556784277</v>
      </c>
      <c r="J126" s="25" cm="1">
        <f t="array" ref="J126">(J52-MIN($H$3:$H$74))/(MAX($H$3:$H$74-MIN($H$3:$H$74)))</f>
        <v>0.74916557026603003</v>
      </c>
      <c r="K126" s="25" cm="1">
        <f t="array" ref="K126">(K52-MIN($H$3:$H$74))/(MAX($H$3:$H$74-MIN($H$3:$H$74)))</f>
        <v>0.56503507147879506</v>
      </c>
      <c r="L126" s="28">
        <f t="shared" si="16"/>
        <v>0.68112947035643157</v>
      </c>
      <c r="M126" s="24" cm="1">
        <f t="array" ref="M126">(M52-MIN($N$3:$N$74))/(MAX($N$3:$N$74-MIN($N$3:$N$74)))</f>
        <v>0.13619743681266916</v>
      </c>
      <c r="N126" s="24" cm="1">
        <f t="array" ref="N126">(N52-MIN($N$3:$N$74))/(MAX($N$3:$N$74-MIN($N$3:$N$74)))</f>
        <v>0.15346863748072687</v>
      </c>
      <c r="O126" s="24" cm="1">
        <f t="array" ref="O126">(O52-MIN($N$3:$N$74))/(MAX($N$3:$N$74-MIN($N$3:$N$74)))</f>
        <v>0.18448618269677242</v>
      </c>
      <c r="P126" s="24" cm="1">
        <f t="array" ref="P126">(P52-MIN($N$3:$N$74))/(MAX($N$3:$N$74-MIN($N$3:$N$74)))</f>
        <v>0.20870444134738483</v>
      </c>
      <c r="Q126" s="24" cm="1">
        <f t="array" ref="Q126">(Q52-MIN($N$3:$N$74))/(MAX($N$3:$N$74-MIN($N$3:$N$74)))</f>
        <v>0.28133034379487387</v>
      </c>
      <c r="R126" s="28">
        <f t="shared" si="17"/>
        <v>0.17071417458438831</v>
      </c>
      <c r="S126" s="24" cm="1">
        <f t="array" ref="S126">(S52-MIN($S$3:$S$74))/(MAX($S$3:$S$74-MIN($S$3:$S$74)))</f>
        <v>0.6751119691910511</v>
      </c>
      <c r="T126" s="24" cm="1">
        <f t="array" ref="T126">(T52-MIN($T$3:$T$74))/(MAX($T$3:$T$74-MIN($T$3:$T$74)))</f>
        <v>7.9788585247279054E-2</v>
      </c>
      <c r="U126" s="24" cm="1">
        <f t="array" ref="U126">(U52-MIN($T$3:$T$74))/(MAX($T$3:$T$74-MIN($T$3:$T$74)))</f>
        <v>8.907435084911669E-2</v>
      </c>
      <c r="V126" s="24" cm="1">
        <f t="array" ref="V126">(V52-MIN($T$3:$T$74))/(MAX($T$3:$T$74-MIN($T$3:$T$74)))</f>
        <v>0.14409500321775126</v>
      </c>
      <c r="W126" s="24" cm="1">
        <f t="array" ref="W126">(W52-MIN($T$3:$T$74))/(MAX($T$3:$T$74-MIN($T$3:$T$74)))</f>
        <v>0.10610791655116121</v>
      </c>
      <c r="X126" s="28">
        <f t="shared" si="18"/>
        <v>0.24701747712629951</v>
      </c>
      <c r="Y126" s="24">
        <f t="shared" si="20"/>
        <v>0.21301271793766366</v>
      </c>
      <c r="Z126" s="24">
        <f t="shared" si="22"/>
        <v>0.4373350903791135</v>
      </c>
      <c r="AA126" s="24">
        <f t="shared" si="22"/>
        <v>0.44127964136350667</v>
      </c>
      <c r="AB126" s="24">
        <f t="shared" si="22"/>
        <v>0.43372573330246095</v>
      </c>
      <c r="AC126" s="24">
        <f t="shared" si="22"/>
        <v>0.41913796426438271</v>
      </c>
      <c r="AD126" s="28">
        <f t="shared" si="12"/>
        <v>0.38133829574568617</v>
      </c>
      <c r="AE126" s="29">
        <f t="shared" si="21"/>
        <v>0.27256435320951455</v>
      </c>
    </row>
    <row r="127" spans="1:31" ht="15" customHeight="1">
      <c r="A127" s="36" t="s">
        <v>76</v>
      </c>
      <c r="B127" s="24" cm="1">
        <f t="array" ref="B127">(B53-MIN($B$3:$B$74))/(MAX($B$3:$B$74-MIN($B$3:$B$74)))</f>
        <v>6.8788269061762067E-2</v>
      </c>
      <c r="C127" s="24" cm="1">
        <f t="array" ref="C127">(C53-MIN($B$3:$B$74))/(MAX($B$3:$B$74-MIN($B$3:$B$74)))</f>
        <v>2.4391036294720472E-2</v>
      </c>
      <c r="D127" s="24" cm="1">
        <f t="array" ref="D127">(D53-MIN($B$3:$B$74))/(MAX($B$3:$B$74-MIN($B$3:$B$74)))</f>
        <v>3.1077537209220685E-2</v>
      </c>
      <c r="E127" s="24" cm="1">
        <f t="array" ref="E127">(E53-MIN($B$3:$B$74))/(MAX($B$3:$B$74-MIN($B$3:$B$74)))</f>
        <v>0.37426754836513115</v>
      </c>
      <c r="F127" s="24" cm="1">
        <f t="array" ref="F127">(F53-MIN($B$3:$B$74))/(MAX($B$3:$B$74-MIN($B$3:$B$74)))</f>
        <v>0.38912329121613232</v>
      </c>
      <c r="G127" s="28">
        <f t="shared" si="15"/>
        <v>0.1246310977327086</v>
      </c>
      <c r="H127" s="25" cm="1">
        <f t="array" ref="H127">(H53-MIN($H$3:$H$74))/(MAX($H$3:$H$74-MIN($H$3:$H$74)))</f>
        <v>0.53257936285468765</v>
      </c>
      <c r="I127" s="25" cm="1">
        <f t="array" ref="I127">(I53-MIN($H$3:$H$74))/(MAX($H$3:$H$74-MIN($H$3:$H$74)))</f>
        <v>0.56723282368198991</v>
      </c>
      <c r="J127" s="25" cm="1">
        <f t="array" ref="J127">(J53-MIN($H$3:$H$74))/(MAX($H$3:$H$74-MIN($H$3:$H$74)))</f>
        <v>0.71379029868619859</v>
      </c>
      <c r="K127" s="25" cm="1">
        <f t="array" ref="K127">(K53-MIN($H$3:$H$74))/(MAX($H$3:$H$74-MIN($H$3:$H$74)))</f>
        <v>0.56700257467455573</v>
      </c>
      <c r="L127" s="28">
        <f t="shared" si="16"/>
        <v>0.60453416174095875</v>
      </c>
      <c r="M127" s="24" cm="1">
        <f t="array" ref="M127">(M53-MIN($N$3:$N$74))/(MAX($N$3:$N$74-MIN($N$3:$N$74)))</f>
        <v>1.6321708390730452E-2</v>
      </c>
      <c r="N127" s="24" cm="1">
        <f t="array" ref="N127">(N53-MIN($N$3:$N$74))/(MAX($N$3:$N$74-MIN($N$3:$N$74)))</f>
        <v>0</v>
      </c>
      <c r="O127" s="24" cm="1">
        <f t="array" ref="O127">(O53-MIN($N$3:$N$74))/(MAX($N$3:$N$74-MIN($N$3:$N$74)))</f>
        <v>6.7514417345195966E-3</v>
      </c>
      <c r="P127" s="24" cm="1">
        <f t="array" ref="P127">(P53-MIN($N$3:$N$74))/(MAX($N$3:$N$74-MIN($N$3:$N$74)))</f>
        <v>-1.4752022335597264E-2</v>
      </c>
      <c r="Q127" s="24" cm="1">
        <f t="array" ref="Q127">(Q53-MIN($N$3:$N$74))/(MAX($N$3:$N$74-MIN($N$3:$N$74)))</f>
        <v>2.0108420146048345E-2</v>
      </c>
      <c r="R127" s="28">
        <f t="shared" si="17"/>
        <v>2.0802819474131959E-3</v>
      </c>
      <c r="S127" s="24" cm="1">
        <f t="array" ref="S127">(S53-MIN($S$3:$S$74))/(MAX($S$3:$S$74-MIN($S$3:$S$74)))</f>
        <v>0.65459100490213173</v>
      </c>
      <c r="T127" s="24" cm="1">
        <f t="array" ref="T127">(T53-MIN($T$3:$T$74))/(MAX($T$3:$T$74-MIN($T$3:$T$74)))</f>
        <v>5.7063735790838503E-2</v>
      </c>
      <c r="U127" s="24" cm="1">
        <f t="array" ref="U127">(U53-MIN($T$3:$T$74))/(MAX($T$3:$T$74-MIN($T$3:$T$74)))</f>
        <v>5.7136114309457031E-2</v>
      </c>
      <c r="V127" s="24" cm="1">
        <f t="array" ref="V127">(V53-MIN($T$3:$T$74))/(MAX($T$3:$T$74-MIN($T$3:$T$74)))</f>
        <v>0.16380736670461124</v>
      </c>
      <c r="W127" s="24" cm="1">
        <f t="array" ref="W127">(W53-MIN($T$3:$T$74))/(MAX($T$3:$T$74-MIN($T$3:$T$74)))</f>
        <v>3.8287693259004489E-2</v>
      </c>
      <c r="X127" s="28">
        <f t="shared" si="18"/>
        <v>0.23314955542675961</v>
      </c>
      <c r="Y127" s="24">
        <f t="shared" si="20"/>
        <v>0.63149722464511793</v>
      </c>
      <c r="Z127" s="24">
        <f t="shared" si="22"/>
        <v>0.37907934292999901</v>
      </c>
      <c r="AA127" s="24">
        <f t="shared" si="22"/>
        <v>0.38634227199895854</v>
      </c>
      <c r="AB127" s="24">
        <f t="shared" si="22"/>
        <v>0.46847859365518973</v>
      </c>
      <c r="AC127" s="24">
        <f t="shared" si="22"/>
        <v>0.48923667042851204</v>
      </c>
      <c r="AD127" s="28">
        <f t="shared" si="12"/>
        <v>0.46634935830731628</v>
      </c>
      <c r="AE127" s="29">
        <f t="shared" si="21"/>
        <v>-1.1404366243075921E-2</v>
      </c>
    </row>
    <row r="128" spans="1:31" ht="15" customHeight="1">
      <c r="A128" s="36" t="s">
        <v>77</v>
      </c>
      <c r="B128" s="24" cm="1">
        <f t="array" ref="B128">(B54-MIN($B$3:$B$74))/(MAX($B$3:$B$74-MIN($B$3:$B$74)))</f>
        <v>0.12900481227533778</v>
      </c>
      <c r="C128" s="24" cm="1">
        <f t="array" ref="C128">(C54-MIN($B$3:$B$74))/(MAX($B$3:$B$74-MIN($B$3:$B$74)))</f>
        <v>0.12650545238030353</v>
      </c>
      <c r="D128" s="24" cm="1">
        <f t="array" ref="D128">(D54-MIN($B$3:$B$74))/(MAX($B$3:$B$74-MIN($B$3:$B$74)))</f>
        <v>0.11597832796759999</v>
      </c>
      <c r="E128" s="24" cm="1">
        <f t="array" ref="E128">(E54-MIN($B$3:$B$74))/(MAX($B$3:$B$74-MIN($B$3:$B$74)))</f>
        <v>0.32325639658805494</v>
      </c>
      <c r="F128" s="24" cm="1">
        <f t="array" ref="F128">(F54-MIN($B$3:$B$74))/(MAX($B$3:$B$74-MIN($B$3:$B$74)))</f>
        <v>0.35463301305004447</v>
      </c>
      <c r="G128" s="28">
        <f t="shared" si="15"/>
        <v>0.17368624730282406</v>
      </c>
      <c r="H128" s="25" cm="1">
        <f t="array" ref="H128">(H54-MIN($H$3:$H$74))/(MAX($H$3:$H$74-MIN($H$3:$H$74)))</f>
        <v>0.5235447856789871</v>
      </c>
      <c r="I128" s="25" cm="1">
        <f t="array" ref="I128">(I54-MIN($H$3:$H$74))/(MAX($H$3:$H$74-MIN($H$3:$H$74)))</f>
        <v>-13.108629907798562</v>
      </c>
      <c r="J128" s="25" cm="1">
        <f t="array" ref="J128">(J54-MIN($H$3:$H$74))/(MAX($H$3:$H$74-MIN($H$3:$H$74)))</f>
        <v>1.3840113683704911</v>
      </c>
      <c r="K128" s="25" cm="1">
        <f t="array" ref="K128">(K54-MIN($H$3:$H$74))/(MAX($H$3:$H$74-MIN($H$3:$H$74)))</f>
        <v>0.57113104100526479</v>
      </c>
      <c r="L128" s="28">
        <f t="shared" si="16"/>
        <v>-3.7336912512496947</v>
      </c>
      <c r="M128" s="24" cm="1">
        <f t="array" ref="M128">(M54-MIN($N$3:$N$74))/(MAX($N$3:$N$74-MIN($N$3:$N$74)))</f>
        <v>0.1302139757520154</v>
      </c>
      <c r="N128" s="24" cm="1">
        <f t="array" ref="N128">(N54-MIN($N$3:$N$74))/(MAX($N$3:$N$74-MIN($N$3:$N$74)))</f>
        <v>0.12607452378344464</v>
      </c>
      <c r="O128" s="24" cm="1">
        <f t="array" ref="O128">(O54-MIN($N$3:$N$74))/(MAX($N$3:$N$74-MIN($N$3:$N$74)))</f>
        <v>0.11039615380795684</v>
      </c>
      <c r="P128" s="24" cm="1">
        <f t="array" ref="P128">(P54-MIN($N$3:$N$74))/(MAX($N$3:$N$74-MIN($N$3:$N$74)))</f>
        <v>0.12705215237660644</v>
      </c>
      <c r="Q128" s="24" cm="1">
        <f t="array" ref="Q128">(Q54-MIN($N$3:$N$74))/(MAX($N$3:$N$74-MIN($N$3:$N$74)))</f>
        <v>0.1298387793019691</v>
      </c>
      <c r="R128" s="28">
        <f t="shared" si="17"/>
        <v>0.12343420143000584</v>
      </c>
      <c r="S128" s="24" cm="1">
        <f t="array" ref="S128">(S54-MIN($S$3:$S$74))/(MAX($S$3:$S$74-MIN($S$3:$S$74)))</f>
        <v>0.71851559497544004</v>
      </c>
      <c r="T128" s="24" cm="1">
        <f t="array" ref="T128">(T54-MIN($T$3:$T$74))/(MAX($T$3:$T$74-MIN($T$3:$T$74)))</f>
        <v>7.5178564888581198E-2</v>
      </c>
      <c r="U128" s="24" cm="1">
        <f t="array" ref="U128">(U54-MIN($T$3:$T$74))/(MAX($T$3:$T$74-MIN($T$3:$T$74)))</f>
        <v>-4.2239362739589732E-2</v>
      </c>
      <c r="V128" s="24" cm="1">
        <f t="array" ref="V128">(V54-MIN($T$3:$T$74))/(MAX($T$3:$T$74-MIN($T$3:$T$74)))</f>
        <v>2.1975033422482388</v>
      </c>
      <c r="W128" s="24" cm="1">
        <f t="array" ref="W128">(W54-MIN($T$3:$T$74))/(MAX($T$3:$T$74-MIN($T$3:$T$74)))</f>
        <v>0.10242769004997282</v>
      </c>
      <c r="X128" s="28">
        <f t="shared" si="18"/>
        <v>0.73723953484316762</v>
      </c>
      <c r="Y128" s="24">
        <f t="shared" si="20"/>
        <v>0.58901150832815075</v>
      </c>
      <c r="Z128" s="24">
        <f t="shared" si="22"/>
        <v>0.36304296526171259</v>
      </c>
      <c r="AA128" s="24">
        <f t="shared" si="22"/>
        <v>0.39107300778868631</v>
      </c>
      <c r="AB128" s="24">
        <f t="shared" si="22"/>
        <v>0.38793075175111486</v>
      </c>
      <c r="AC128" s="24">
        <f t="shared" si="22"/>
        <v>0.39128918384188593</v>
      </c>
      <c r="AD128" s="28">
        <f t="shared" si="12"/>
        <v>0.43276455828241611</v>
      </c>
      <c r="AE128" s="29">
        <f t="shared" si="21"/>
        <v>0.20332355816226785</v>
      </c>
    </row>
    <row r="129" spans="1:31" ht="15" customHeight="1">
      <c r="A129" s="36" t="s">
        <v>78</v>
      </c>
      <c r="B129" s="24" cm="1">
        <f t="array" ref="B129">(B55-MIN($B$3:$B$74))/(MAX($B$3:$B$74-MIN($B$3:$B$74)))</f>
        <v>9.8913433212762438E-3</v>
      </c>
      <c r="C129" s="24" cm="1">
        <f t="array" ref="C129">(C55-MIN($B$3:$B$74))/(MAX($B$3:$B$74-MIN($B$3:$B$74)))</f>
        <v>4.1796583716205038E-2</v>
      </c>
      <c r="D129" s="24" cm="1">
        <f t="array" ref="D129">(D55-MIN($B$3:$B$74))/(MAX($B$3:$B$74-MIN($B$3:$B$74)))</f>
        <v>3.1069342782723279E-3</v>
      </c>
      <c r="E129" s="24" cm="1">
        <f t="array" ref="E129">(E55-MIN($B$3:$B$74))/(MAX($B$3:$B$74-MIN($B$3:$B$74)))</f>
        <v>3.6178821312370428</v>
      </c>
      <c r="F129" s="24" cm="1">
        <f t="array" ref="F129">(F55-MIN($B$3:$B$74))/(MAX($B$3:$B$74-MIN($B$3:$B$74)))</f>
        <v>3.7122920486803834</v>
      </c>
      <c r="G129" s="28">
        <f t="shared" si="15"/>
        <v>0.91816924813819911</v>
      </c>
      <c r="H129" s="25" cm="1">
        <f t="array" ref="H129">(H55-MIN($H$3:$H$74))/(MAX($H$3:$H$74-MIN($H$3:$H$74)))</f>
        <v>0.57587062495145414</v>
      </c>
      <c r="I129" s="25" cm="1">
        <f t="array" ref="I129">(I55-MIN($H$3:$H$74))/(MAX($H$3:$H$74-MIN($H$3:$H$74)))</f>
        <v>0.54555603281924914</v>
      </c>
      <c r="J129" s="25" cm="1">
        <f t="array" ref="J129">(J55-MIN($H$3:$H$74))/(MAX($H$3:$H$74-MIN($H$3:$H$74)))</f>
        <v>1.7803294185463154</v>
      </c>
      <c r="K129" s="25" cm="1">
        <f t="array" ref="K129">(K55-MIN($H$3:$H$74))/(MAX($H$3:$H$74-MIN($H$3:$H$74)))</f>
        <v>0.56563695719032858</v>
      </c>
      <c r="L129" s="28">
        <f t="shared" si="16"/>
        <v>0.96725202543900624</v>
      </c>
      <c r="M129" s="24" cm="1">
        <f t="array" ref="M129">(M55-MIN($N$3:$N$74))/(MAX($N$3:$N$74-MIN($N$3:$N$74)))</f>
        <v>0.11538858774943472</v>
      </c>
      <c r="N129" s="24" cm="1">
        <f t="array" ref="N129">(N55-MIN($N$3:$N$74))/(MAX($N$3:$N$74-MIN($N$3:$N$74)))</f>
        <v>0.11830133551780722</v>
      </c>
      <c r="O129" s="24" cm="1">
        <f t="array" ref="O129">(O55-MIN($N$3:$N$74))/(MAX($N$3:$N$74-MIN($N$3:$N$74)))</f>
        <v>0.11490268257679424</v>
      </c>
      <c r="P129" s="24" cm="1">
        <f t="array" ref="P129">(P55-MIN($N$3:$N$74))/(MAX($N$3:$N$74-MIN($N$3:$N$74)))</f>
        <v>0.11485137242848194</v>
      </c>
      <c r="Q129" s="24" cm="1">
        <f t="array" ref="Q129">(Q55-MIN($N$3:$N$74))/(MAX($N$3:$N$74-MIN($N$3:$N$74)))</f>
        <v>0.12344380022888393</v>
      </c>
      <c r="R129" s="28">
        <f t="shared" si="17"/>
        <v>0.11586099456812952</v>
      </c>
      <c r="S129" s="24" cm="1">
        <f t="array" ref="S129">(S55-MIN($S$3:$S$74))/(MAX($S$3:$S$74-MIN($S$3:$S$74)))</f>
        <v>0.97010137410371833</v>
      </c>
      <c r="T129" s="24" cm="1">
        <f t="array" ref="T129">(T55-MIN($T$3:$T$74))/(MAX($T$3:$T$74-MIN($T$3:$T$74)))</f>
        <v>0.19712982423679504</v>
      </c>
      <c r="U129" s="24" cm="1">
        <f t="array" ref="U129">(U55-MIN($T$3:$T$74))/(MAX($T$3:$T$74-MIN($T$3:$T$74)))</f>
        <v>0.16628699461629462</v>
      </c>
      <c r="V129" s="24" cm="1">
        <f t="array" ref="V129">(V55-MIN($T$3:$T$74))/(MAX($T$3:$T$74-MIN($T$3:$T$74)))</f>
        <v>-31.262372734282298</v>
      </c>
      <c r="W129" s="24" cm="1">
        <f t="array" ref="W129">(W55-MIN($T$3:$T$74))/(MAX($T$3:$T$74-MIN($T$3:$T$74)))</f>
        <v>0.10004113082133004</v>
      </c>
      <c r="X129" s="28">
        <f t="shared" si="18"/>
        <v>-7.4822136353313722</v>
      </c>
      <c r="Y129" s="24">
        <f t="shared" si="20"/>
        <v>0</v>
      </c>
      <c r="Z129" s="24">
        <f t="shared" si="22"/>
        <v>0</v>
      </c>
      <c r="AA129" s="24">
        <f t="shared" si="22"/>
        <v>0.15038004857469131</v>
      </c>
      <c r="AB129" s="24">
        <f t="shared" si="22"/>
        <v>-1.5737934397782545</v>
      </c>
      <c r="AC129" s="24">
        <f t="shared" si="22"/>
        <v>0.15305977261906065</v>
      </c>
      <c r="AD129" s="28">
        <f t="shared" si="12"/>
        <v>-0.35585334780089078</v>
      </c>
      <c r="AE129" s="29">
        <f t="shared" si="21"/>
        <v>-1.1404366243075921E-2</v>
      </c>
    </row>
    <row r="130" spans="1:31" ht="15" customHeight="1">
      <c r="A130" s="36" t="s">
        <v>79</v>
      </c>
      <c r="B130" s="24" cm="1">
        <f t="array" ref="B130">(B56-MIN($B$3:$B$74))/(MAX($B$3:$B$74-MIN($B$3:$B$74)))</f>
        <v>0.1288636717000079</v>
      </c>
      <c r="C130" s="24" cm="1">
        <f t="array" ref="C130">(C56-MIN($B$3:$B$74))/(MAX($B$3:$B$74-MIN($B$3:$B$74)))</f>
        <v>0.15135395992732784</v>
      </c>
      <c r="D130" s="24" cm="1">
        <f t="array" ref="D130">(D56-MIN($B$3:$B$74))/(MAX($B$3:$B$74-MIN($B$3:$B$74)))</f>
        <v>0.14446534031945918</v>
      </c>
      <c r="E130" s="24" cm="1">
        <f t="array" ref="E130">(E56-MIN($B$3:$B$74))/(MAX($B$3:$B$74-MIN($B$3:$B$74)))</f>
        <v>0.51906671948330807</v>
      </c>
      <c r="F130" s="24" cm="1">
        <f t="array" ref="F130">(F56-MIN($B$3:$B$74))/(MAX($B$3:$B$74-MIN($B$3:$B$74)))</f>
        <v>0.63832502484700904</v>
      </c>
      <c r="G130" s="28">
        <f t="shared" si="15"/>
        <v>0.23593742285752572</v>
      </c>
      <c r="H130" s="25" cm="1">
        <f t="array" ref="H130">(H56-MIN($H$3:$H$74))/(MAX($H$3:$H$74-MIN($H$3:$H$74)))</f>
        <v>0.95495150152797159</v>
      </c>
      <c r="I130" s="25" cm="1">
        <f t="array" ref="I130">(I56-MIN($H$3:$H$74))/(MAX($H$3:$H$74-MIN($H$3:$H$74)))</f>
        <v>0.55302659404924404</v>
      </c>
      <c r="J130" s="25" cm="1">
        <f t="array" ref="J130">(J56-MIN($H$3:$H$74))/(MAX($H$3:$H$74-MIN($H$3:$H$74)))</f>
        <v>1.4284427122635295</v>
      </c>
      <c r="K130" s="25" cm="1">
        <f t="array" ref="K130">(K56-MIN($H$3:$H$74))/(MAX($H$3:$H$74-MIN($H$3:$H$74)))</f>
        <v>0.57711954601299553</v>
      </c>
      <c r="L130" s="28">
        <f t="shared" si="16"/>
        <v>0.97880693594691504</v>
      </c>
      <c r="M130" s="24" cm="1">
        <f t="array" ref="M130">(M56-MIN($N$3:$N$74))/(MAX($N$3:$N$74-MIN($N$3:$N$74)))</f>
        <v>0.12850916631567819</v>
      </c>
      <c r="N130" s="24" cm="1">
        <f t="array" ref="N130">(N56-MIN($N$3:$N$74))/(MAX($N$3:$N$74-MIN($N$3:$N$74)))</f>
        <v>0.14613945197012623</v>
      </c>
      <c r="O130" s="24" cm="1">
        <f t="array" ref="O130">(O56-MIN($N$3:$N$74))/(MAX($N$3:$N$74-MIN($N$3:$N$74)))</f>
        <v>0.1404221784709187</v>
      </c>
      <c r="P130" s="24" cm="1">
        <f t="array" ref="P130">(P56-MIN($N$3:$N$74))/(MAX($N$3:$N$74-MIN($N$3:$N$74)))</f>
        <v>0.13300979659144249</v>
      </c>
      <c r="Q130" s="24" cm="1">
        <f t="array" ref="Q130">(Q56-MIN($N$3:$N$74))/(MAX($N$3:$N$74-MIN($N$3:$N$74)))</f>
        <v>0.14108427396788828</v>
      </c>
      <c r="R130" s="28">
        <f t="shared" si="17"/>
        <v>0.1370201483370414</v>
      </c>
      <c r="S130" s="24" cm="1">
        <f t="array" ref="S130">(S56-MIN($S$3:$S$74))/(MAX($S$3:$S$74-MIN($S$3:$S$74)))</f>
        <v>0.68667104013285507</v>
      </c>
      <c r="T130" s="24" cm="1">
        <f t="array" ref="T130">(T56-MIN($T$3:$T$74))/(MAX($T$3:$T$74-MIN($T$3:$T$74)))</f>
        <v>0.1035421544652971</v>
      </c>
      <c r="U130" s="24" cm="1">
        <f t="array" ref="U130">(U56-MIN($T$3:$T$74))/(MAX($T$3:$T$74-MIN($T$3:$T$74)))</f>
        <v>9.4343636543801318E-2</v>
      </c>
      <c r="V130" s="24" cm="1">
        <f t="array" ref="V130">(V56-MIN($T$3:$T$74))/(MAX($T$3:$T$74-MIN($T$3:$T$74)))</f>
        <v>0.49287970302242778</v>
      </c>
      <c r="W130" s="24" cm="1">
        <f t="array" ref="W130">(W56-MIN($T$3:$T$74))/(MAX($T$3:$T$74-MIN($T$3:$T$74)))</f>
        <v>0.1004589712658706</v>
      </c>
      <c r="X130" s="28">
        <f t="shared" si="18"/>
        <v>0.34435913354109532</v>
      </c>
      <c r="Y130" s="24">
        <f t="shared" si="20"/>
        <v>0.54104218483648736</v>
      </c>
      <c r="Z130" s="24">
        <f t="shared" si="22"/>
        <v>0.33331812300927105</v>
      </c>
      <c r="AA130" s="24">
        <f t="shared" si="22"/>
        <v>0.33222787411531896</v>
      </c>
      <c r="AB130" s="24">
        <f t="shared" si="22"/>
        <v>0.33219592786765667</v>
      </c>
      <c r="AC130" s="24">
        <f t="shared" si="22"/>
        <v>0.33513491327366124</v>
      </c>
      <c r="AD130" s="28">
        <f t="shared" si="12"/>
        <v>0.38469602745718351</v>
      </c>
      <c r="AE130" s="29">
        <f t="shared" si="21"/>
        <v>0.15184099055066799</v>
      </c>
    </row>
    <row r="131" spans="1:31" ht="15" customHeight="1">
      <c r="A131" s="36" t="s">
        <v>80</v>
      </c>
      <c r="B131" s="24" cm="1">
        <f t="array" ref="B131">(B57-MIN($B$3:$B$74))/(MAX($B$3:$B$74-MIN($B$3:$B$74)))</f>
        <v>0.12979913332559517</v>
      </c>
      <c r="C131" s="24" cm="1">
        <f t="array" ref="C131">(C57-MIN($B$3:$B$74))/(MAX($B$3:$B$74-MIN($B$3:$B$74)))</f>
        <v>0.13224935184620604</v>
      </c>
      <c r="D131" s="24" cm="1">
        <f t="array" ref="D131">(D57-MIN($B$3:$B$74))/(MAX($B$3:$B$74-MIN($B$3:$B$74)))</f>
        <v>0.13690824691206668</v>
      </c>
      <c r="E131" s="24" cm="1">
        <f t="array" ref="E131">(E57-MIN($B$3:$B$74))/(MAX($B$3:$B$74-MIN($B$3:$B$74)))</f>
        <v>0.21703871351495746</v>
      </c>
      <c r="F131" s="24" cm="1">
        <f t="array" ref="F131">(F57-MIN($B$3:$B$74))/(MAX($B$3:$B$74-MIN($B$3:$B$74)))</f>
        <v>0.21890112753262359</v>
      </c>
      <c r="G131" s="28">
        <f t="shared" si="15"/>
        <v>0.15399886139970637</v>
      </c>
      <c r="H131" s="25" cm="1">
        <f t="array" ref="H131">(H57-MIN($H$3:$H$74))/(MAX($H$3:$H$74-MIN($H$3:$H$74)))</f>
        <v>0.59508629487916864</v>
      </c>
      <c r="I131" s="25" cm="1">
        <f t="array" ref="I131">(I57-MIN($H$3:$H$74))/(MAX($H$3:$H$74-MIN($H$3:$H$74)))</f>
        <v>0.59798456136461797</v>
      </c>
      <c r="J131" s="25" cm="1">
        <f t="array" ref="J131">(J57-MIN($H$3:$H$74))/(MAX($H$3:$H$74-MIN($H$3:$H$74)))</f>
        <v>0.88315435910628581</v>
      </c>
      <c r="K131" s="25" cm="1">
        <f t="array" ref="K131">(K57-MIN($H$3:$H$74))/(MAX($H$3:$H$74-MIN($H$3:$H$74)))</f>
        <v>0.56536823091439847</v>
      </c>
      <c r="L131" s="28">
        <f t="shared" si="16"/>
        <v>0.69207507178335748</v>
      </c>
      <c r="M131" s="24" cm="1">
        <f t="array" ref="M131">(M57-MIN($N$3:$N$74))/(MAX($N$3:$N$74-MIN($N$3:$N$74)))</f>
        <v>0.14252906733856108</v>
      </c>
      <c r="N131" s="24" cm="1">
        <f t="array" ref="N131">(N57-MIN($N$3:$N$74))/(MAX($N$3:$N$74-MIN($N$3:$N$74)))</f>
        <v>0.14902259515473007</v>
      </c>
      <c r="O131" s="24" cm="1">
        <f t="array" ref="O131">(O57-MIN($N$3:$N$74))/(MAX($N$3:$N$74-MIN($N$3:$N$74)))</f>
        <v>0.15995716174841249</v>
      </c>
      <c r="P131" s="24" cm="1">
        <f t="array" ref="P131">(P57-MIN($N$3:$N$74))/(MAX($N$3:$N$74-MIN($N$3:$N$74)))</f>
        <v>0.16431270966842296</v>
      </c>
      <c r="Q131" s="24" cm="1">
        <f t="array" ref="Q131">(Q57-MIN($N$3:$N$74))/(MAX($N$3:$N$74-MIN($N$3:$N$74)))</f>
        <v>0.15409768152537595</v>
      </c>
      <c r="R131" s="28">
        <f t="shared" si="17"/>
        <v>0.15395538347753163</v>
      </c>
      <c r="S131" s="24" cm="1">
        <f t="array" ref="S131">(S57-MIN($S$3:$S$74))/(MAX($S$3:$S$74-MIN($S$3:$S$74)))</f>
        <v>0.71959273655427303</v>
      </c>
      <c r="T131" s="24" cm="1">
        <f t="array" ref="T131">(T57-MIN($T$3:$T$74))/(MAX($T$3:$T$74-MIN($T$3:$T$74)))</f>
        <v>0.10385133632487852</v>
      </c>
      <c r="U131" s="24" cm="1">
        <f t="array" ref="U131">(U57-MIN($T$3:$T$74))/(MAX($T$3:$T$74-MIN($T$3:$T$74)))</f>
        <v>0.11943581785432211</v>
      </c>
      <c r="V131" s="24" cm="1">
        <f t="array" ref="V131">(V57-MIN($T$3:$T$74))/(MAX($T$3:$T$74-MIN($T$3:$T$74)))</f>
        <v>0.42123505465093086</v>
      </c>
      <c r="W131" s="24" cm="1">
        <f t="array" ref="W131">(W57-MIN($T$3:$T$74))/(MAX($T$3:$T$74-MIN($T$3:$T$74)))</f>
        <v>0.10978384122139014</v>
      </c>
      <c r="X131" s="28">
        <f t="shared" si="18"/>
        <v>0.34102873634610115</v>
      </c>
      <c r="Y131" s="24">
        <f t="shared" si="20"/>
        <v>0.53343965350984579</v>
      </c>
      <c r="Z131" s="24">
        <f t="shared" si="22"/>
        <v>0.33025663376578457</v>
      </c>
      <c r="AA131" s="24">
        <f t="shared" si="22"/>
        <v>0.32662894664265163</v>
      </c>
      <c r="AB131" s="24">
        <f t="shared" si="22"/>
        <v>0.32766610397446572</v>
      </c>
      <c r="AC131" s="24">
        <f t="shared" si="22"/>
        <v>0.32739487219993046</v>
      </c>
      <c r="AD131" s="28">
        <f t="shared" si="12"/>
        <v>0.37949783447318697</v>
      </c>
      <c r="AE131" s="29">
        <f t="shared" si="21"/>
        <v>-1.1404366243075921E-2</v>
      </c>
    </row>
    <row r="132" spans="1:31" ht="15" customHeight="1">
      <c r="A132" s="36" t="s">
        <v>81</v>
      </c>
      <c r="B132" s="24" cm="1">
        <f t="array" ref="B132">(B58-MIN($B$3:$B$74))/(MAX($B$3:$B$74-MIN($B$3:$B$74)))</f>
        <v>8.5647116331733469E-2</v>
      </c>
      <c r="C132" s="24" cm="1">
        <f t="array" ref="C132">(C58-MIN($B$3:$B$74))/(MAX($B$3:$B$74-MIN($B$3:$B$74)))</f>
        <v>0.12585997208486607</v>
      </c>
      <c r="D132" s="24" cm="1">
        <f t="array" ref="D132">(D58-MIN($B$3:$B$74))/(MAX($B$3:$B$74-MIN($B$3:$B$74)))</f>
        <v>9.5178455799394129E-2</v>
      </c>
      <c r="E132" s="24" cm="1">
        <f t="array" ref="E132">(E58-MIN($B$3:$B$74))/(MAX($B$3:$B$74-MIN($B$3:$B$74)))</f>
        <v>0.25480159314887768</v>
      </c>
      <c r="F132" s="24" cm="1">
        <f t="array" ref="F132">(F58-MIN($B$3:$B$74))/(MAX($B$3:$B$74-MIN($B$3:$B$74)))</f>
        <v>0.23045492890236338</v>
      </c>
      <c r="G132" s="28">
        <f t="shared" si="15"/>
        <v>0.14037178434121783</v>
      </c>
      <c r="H132" s="25" cm="1">
        <f t="array" ref="H132">(H58-MIN($H$3:$H$74))/(MAX($H$3:$H$74-MIN($H$3:$H$74)))</f>
        <v>0.60538520274692986</v>
      </c>
      <c r="I132" s="25" cm="1">
        <f t="array" ref="I132">(I58-MIN($H$3:$H$74))/(MAX($H$3:$H$74-MIN($H$3:$H$74)))</f>
        <v>-1.5105033269088326</v>
      </c>
      <c r="J132" s="25" cm="1">
        <f t="array" ref="J132">(J58-MIN($H$3:$H$74))/(MAX($H$3:$H$74-MIN($H$3:$H$74)))</f>
        <v>0.77615783896106894</v>
      </c>
      <c r="K132" s="25" cm="1">
        <f t="array" ref="K132">(K58-MIN($H$3:$H$74))/(MAX($H$3:$H$74-MIN($H$3:$H$74)))</f>
        <v>0.55664264441410272</v>
      </c>
      <c r="L132" s="28">
        <f t="shared" si="16"/>
        <v>-4.2986761733611267E-2</v>
      </c>
      <c r="M132" s="24" cm="1">
        <f t="array" ref="M132">(M58-MIN($N$3:$N$74))/(MAX($N$3:$N$74-MIN($N$3:$N$74)))</f>
        <v>2.7906576051758877E-2</v>
      </c>
      <c r="N132" s="24" cm="1">
        <f t="array" ref="N132">(N58-MIN($N$3:$N$74))/(MAX($N$3:$N$74-MIN($N$3:$N$74)))</f>
        <v>0.12513636343261983</v>
      </c>
      <c r="O132" s="24" cm="1">
        <f t="array" ref="O132">(O58-MIN($N$3:$N$74))/(MAX($N$3:$N$74-MIN($N$3:$N$74)))</f>
        <v>7.6221028380162578E-2</v>
      </c>
      <c r="P132" s="24" cm="1">
        <f t="array" ref="P132">(P58-MIN($N$3:$N$74))/(MAX($N$3:$N$74-MIN($N$3:$N$74)))</f>
        <v>6.3677686936589692E-2</v>
      </c>
      <c r="Q132" s="24" cm="1">
        <f t="array" ref="Q132">(Q58-MIN($N$3:$N$74))/(MAX($N$3:$N$74-MIN($N$3:$N$74)))</f>
        <v>2.0826754693836495E-2</v>
      </c>
      <c r="R132" s="28">
        <f t="shared" si="17"/>
        <v>7.3235413700282748E-2</v>
      </c>
      <c r="S132" s="24" cm="1">
        <f t="array" ref="S132">(S58-MIN($S$3:$S$74))/(MAX($S$3:$S$74-MIN($S$3:$S$74)))</f>
        <v>0.41668298923376379</v>
      </c>
      <c r="T132" s="24" cm="1">
        <f t="array" ref="T132">(T58-MIN($T$3:$T$74))/(MAX($T$3:$T$74-MIN($T$3:$T$74)))</f>
        <v>7.3221647565301876E-2</v>
      </c>
      <c r="U132" s="24" cm="1">
        <f t="array" ref="U132">(U58-MIN($T$3:$T$74))/(MAX($T$3:$T$74-MIN($T$3:$T$74)))</f>
        <v>-8.9881913740281025E-2</v>
      </c>
      <c r="V132" s="24" cm="1">
        <f t="array" ref="V132">(V58-MIN($T$3:$T$74))/(MAX($T$3:$T$74-MIN($T$3:$T$74)))</f>
        <v>0.4702283788117998</v>
      </c>
      <c r="W132" s="24" cm="1">
        <f t="array" ref="W132">(W58-MIN($T$3:$T$74))/(MAX($T$3:$T$74-MIN($T$3:$T$74)))</f>
        <v>-4.9585442297703966E-2</v>
      </c>
      <c r="X132" s="28">
        <f t="shared" si="18"/>
        <v>0.2175627754676461</v>
      </c>
      <c r="Y132" s="24">
        <f t="shared" si="20"/>
        <v>0.72320949157242009</v>
      </c>
      <c r="Z132" s="24">
        <f t="shared" si="22"/>
        <v>0.43982215868132651</v>
      </c>
      <c r="AA132" s="24">
        <f t="shared" si="22"/>
        <v>0.56114662011225147</v>
      </c>
      <c r="AB132" s="24">
        <f t="shared" si="22"/>
        <v>0.46340040032150503</v>
      </c>
      <c r="AC132" s="24">
        <f t="shared" si="22"/>
        <v>0.47825006990137942</v>
      </c>
      <c r="AD132" s="28">
        <f t="shared" si="12"/>
        <v>0.54689466767187578</v>
      </c>
      <c r="AE132" s="29">
        <f t="shared" si="21"/>
        <v>-1.1404366243075921E-2</v>
      </c>
    </row>
    <row r="133" spans="1:31" ht="15" customHeight="1">
      <c r="A133" s="36" t="s">
        <v>82</v>
      </c>
      <c r="B133" s="24" cm="1">
        <f t="array" ref="B133">(B59-MIN($B$3:$B$74))/(MAX($B$3:$B$74-MIN($B$3:$B$74)))</f>
        <v>0.13175131141438939</v>
      </c>
      <c r="C133" s="24" cm="1">
        <f t="array" ref="C133">(C59-MIN($B$3:$B$74))/(MAX($B$3:$B$74-MIN($B$3:$B$74)))</f>
        <v>0.13941422719854316</v>
      </c>
      <c r="D133" s="24" cm="1">
        <f t="array" ref="D133">(D59-MIN($B$3:$B$74))/(MAX($B$3:$B$74-MIN($B$3:$B$74)))</f>
        <v>0.12568124670048805</v>
      </c>
      <c r="E133" s="24" cm="1">
        <f t="array" ref="E133">(E59-MIN($B$3:$B$74))/(MAX($B$3:$B$74-MIN($B$3:$B$74)))</f>
        <v>0.326969671206082</v>
      </c>
      <c r="F133" s="24" cm="1">
        <f t="array" ref="F133">(F59-MIN($B$3:$B$74))/(MAX($B$3:$B$74-MIN($B$3:$B$74)))</f>
        <v>0.3284857156617807</v>
      </c>
      <c r="G133" s="28">
        <f t="shared" si="15"/>
        <v>0.18095411412987567</v>
      </c>
      <c r="H133" s="25" cm="1">
        <f t="array" ref="H133">(H59-MIN($H$3:$H$74))/(MAX($H$3:$H$74-MIN($H$3:$H$74)))</f>
        <v>0.62476037643271543</v>
      </c>
      <c r="I133" s="25" cm="1">
        <f t="array" ref="I133">(I59-MIN($H$3:$H$74))/(MAX($H$3:$H$74-MIN($H$3:$H$74)))</f>
        <v>0.52048076621018347</v>
      </c>
      <c r="J133" s="25" cm="1">
        <f t="array" ref="J133">(J59-MIN($H$3:$H$74))/(MAX($H$3:$H$74-MIN($H$3:$H$74)))</f>
        <v>11.106808301491274</v>
      </c>
      <c r="K133" s="25" cm="1">
        <f t="array" ref="K133">(K59-MIN($H$3:$H$74))/(MAX($H$3:$H$74-MIN($H$3:$H$74)))</f>
        <v>0.5648286916492381</v>
      </c>
      <c r="L133" s="28">
        <f t="shared" si="16"/>
        <v>4.0840164813780575</v>
      </c>
      <c r="M133" s="24" cm="1">
        <f t="array" ref="M133">(M59-MIN($N$3:$N$74))/(MAX($N$3:$N$74-MIN($N$3:$N$74)))</f>
        <v>0.13512155932312975</v>
      </c>
      <c r="N133" s="24" cm="1">
        <f t="array" ref="N133">(N59-MIN($N$3:$N$74))/(MAX($N$3:$N$74-MIN($N$3:$N$74)))</f>
        <v>0.14464726132308786</v>
      </c>
      <c r="O133" s="24" cm="1">
        <f t="array" ref="O133">(O59-MIN($N$3:$N$74))/(MAX($N$3:$N$74-MIN($N$3:$N$74)))</f>
        <v>0.12453622861034726</v>
      </c>
      <c r="P133" s="24" cm="1">
        <f t="array" ref="P133">(P59-MIN($N$3:$N$74))/(MAX($N$3:$N$74-MIN($N$3:$N$74)))</f>
        <v>0.13261269256831237</v>
      </c>
      <c r="Q133" s="24" cm="1">
        <f t="array" ref="Q133">(Q59-MIN($N$3:$N$74))/(MAX($N$3:$N$74-MIN($N$3:$N$74)))</f>
        <v>0.13689533707395676</v>
      </c>
      <c r="R133" s="28">
        <f t="shared" si="17"/>
        <v>0.13422943545621929</v>
      </c>
      <c r="S133" s="24" cm="1">
        <f t="array" ref="S133">(S59-MIN($S$3:$S$74))/(MAX($S$3:$S$74-MIN($S$3:$S$74)))</f>
        <v>0.70580416230192045</v>
      </c>
      <c r="T133" s="24" cm="1">
        <f t="array" ref="T133">(T59-MIN($T$3:$T$74))/(MAX($T$3:$T$74-MIN($T$3:$T$74)))</f>
        <v>0.10119879355903851</v>
      </c>
      <c r="U133" s="24" cm="1">
        <f t="array" ref="U133">(U59-MIN($T$3:$T$74))/(MAX($T$3:$T$74-MIN($T$3:$T$74)))</f>
        <v>7.331015540116631E-2</v>
      </c>
      <c r="V133" s="24" cm="1">
        <f t="array" ref="V133">(V59-MIN($T$3:$T$74))/(MAX($T$3:$T$74-MIN($T$3:$T$74)))</f>
        <v>0.48881166836944673</v>
      </c>
      <c r="W133" s="24" cm="1">
        <f t="array" ref="W133">(W59-MIN($T$3:$T$74))/(MAX($T$3:$T$74-MIN($T$3:$T$74)))</f>
        <v>9.0315205553252065E-2</v>
      </c>
      <c r="X133" s="28">
        <f t="shared" si="18"/>
        <v>0.34228119490789299</v>
      </c>
      <c r="Y133" s="24">
        <f t="shared" si="20"/>
        <v>0.55571061034514879</v>
      </c>
      <c r="Z133" s="24">
        <f t="shared" si="22"/>
        <v>0.33672718047690331</v>
      </c>
      <c r="AA133" s="24">
        <f t="shared" si="22"/>
        <v>0.33797121497475541</v>
      </c>
      <c r="AB133" s="24">
        <f t="shared" si="22"/>
        <v>0.34124356772366388</v>
      </c>
      <c r="AC133" s="24">
        <f t="shared" si="22"/>
        <v>0.33988075949201013</v>
      </c>
      <c r="AD133" s="28">
        <f t="shared" si="12"/>
        <v>0.39291314338011785</v>
      </c>
      <c r="AE133" s="29">
        <f t="shared" si="21"/>
        <v>0.2901596611274031</v>
      </c>
    </row>
    <row r="134" spans="1:31" ht="15" customHeight="1">
      <c r="A134" s="36" t="s">
        <v>83</v>
      </c>
      <c r="B134" s="24" cm="1">
        <f t="array" ref="B134">(B60-MIN($B$3:$B$74))/(MAX($B$3:$B$74-MIN($B$3:$B$74)))</f>
        <v>0.1588991945546144</v>
      </c>
      <c r="C134" s="24" cm="1">
        <f t="array" ref="C134">(C60-MIN($B$3:$B$74))/(MAX($B$3:$B$74-MIN($B$3:$B$74)))</f>
        <v>0.14115897894776278</v>
      </c>
      <c r="D134" s="24" cm="1">
        <f t="array" ref="D134">(D60-MIN($B$3:$B$74))/(MAX($B$3:$B$74-MIN($B$3:$B$74)))</f>
        <v>0.13092253158870351</v>
      </c>
      <c r="E134" s="24" cm="1">
        <f t="array" ref="E134">(E60-MIN($B$3:$B$74))/(MAX($B$3:$B$74-MIN($B$3:$B$74)))</f>
        <v>0.15382759694148998</v>
      </c>
      <c r="F134" s="24" cm="1">
        <f t="array" ref="F134">(F60-MIN($B$3:$B$74))/(MAX($B$3:$B$74-MIN($B$3:$B$74)))</f>
        <v>0.142259220007139</v>
      </c>
      <c r="G134" s="28">
        <f t="shared" si="15"/>
        <v>0.14620207550814265</v>
      </c>
      <c r="H134" s="25" cm="1">
        <f t="array" ref="H134">(H60-MIN($H$3:$H$74))/(MAX($H$3:$H$74-MIN($H$3:$H$74)))</f>
        <v>0.54181350851330878</v>
      </c>
      <c r="I134" s="25" cm="1">
        <f t="array" ref="I134">(I60-MIN($H$3:$H$74))/(MAX($H$3:$H$74-MIN($H$3:$H$74)))</f>
        <v>0.53559183843001912</v>
      </c>
      <c r="J134" s="25" cm="1">
        <f t="array" ref="J134">(J60-MIN($H$3:$H$74))/(MAX($H$3:$H$74-MIN($H$3:$H$74)))</f>
        <v>0.77813897658166176</v>
      </c>
      <c r="K134" s="25" cm="1">
        <f t="array" ref="K134">(K60-MIN($H$3:$H$74))/(MAX($H$3:$H$74-MIN($H$3:$H$74)))</f>
        <v>0.54696669399012332</v>
      </c>
      <c r="L134" s="28">
        <f t="shared" si="16"/>
        <v>0.61851477450832992</v>
      </c>
      <c r="M134" s="24" cm="1">
        <f t="array" ref="M134">(M60-MIN($N$3:$N$74))/(MAX($N$3:$N$74-MIN($N$3:$N$74)))</f>
        <v>0.19142515415888803</v>
      </c>
      <c r="N134" s="24" cm="1">
        <f t="array" ref="N134">(N60-MIN($N$3:$N$74))/(MAX($N$3:$N$74-MIN($N$3:$N$74)))</f>
        <v>0.31468891895274764</v>
      </c>
      <c r="O134" s="24" cm="1">
        <f t="array" ref="O134">(O60-MIN($N$3:$N$74))/(MAX($N$3:$N$74-MIN($N$3:$N$74)))</f>
        <v>0.17992581576753658</v>
      </c>
      <c r="P134" s="24" cm="1">
        <f t="array" ref="P134">(P60-MIN($N$3:$N$74))/(MAX($N$3:$N$74-MIN($N$3:$N$74)))</f>
        <v>0.18910395385346429</v>
      </c>
      <c r="Q134" s="24" cm="1">
        <f t="array" ref="Q134">(Q60-MIN($N$3:$N$74))/(MAX($N$3:$N$74-MIN($N$3:$N$74)))</f>
        <v>0.16805997351845461</v>
      </c>
      <c r="R134" s="28">
        <f t="shared" si="17"/>
        <v>0.21878596068315914</v>
      </c>
      <c r="S134" s="24" cm="1">
        <f t="array" ref="S134">(S60-MIN($S$3:$S$74))/(MAX($S$3:$S$74-MIN($S$3:$S$74)))</f>
        <v>0.80374891472722931</v>
      </c>
      <c r="T134" s="24" cm="1">
        <f t="array" ref="T134">(T60-MIN($T$3:$T$74))/(MAX($T$3:$T$74-MIN($T$3:$T$74)))</f>
        <v>9.8744243652075625E-2</v>
      </c>
      <c r="U134" s="24" cm="1">
        <f t="array" ref="U134">(U60-MIN($T$3:$T$74))/(MAX($T$3:$T$74-MIN($T$3:$T$74)))</f>
        <v>8.1949316195631186E-2</v>
      </c>
      <c r="V134" s="24" cm="1">
        <f t="array" ref="V134">(V60-MIN($T$3:$T$74))/(MAX($T$3:$T$74-MIN($T$3:$T$74)))</f>
        <v>0.11593881055021595</v>
      </c>
      <c r="W134" s="24" cm="1">
        <f t="array" ref="W134">(W60-MIN($T$3:$T$74))/(MAX($T$3:$T$74-MIN($T$3:$T$74)))</f>
        <v>7.8288354775844018E-2</v>
      </c>
      <c r="X134" s="28">
        <f t="shared" si="18"/>
        <v>0.27509532128128805</v>
      </c>
      <c r="Y134" s="24">
        <f t="shared" si="20"/>
        <v>0.53119729251320524</v>
      </c>
      <c r="Z134" s="24">
        <f t="shared" si="22"/>
        <v>0.32590049174375285</v>
      </c>
      <c r="AA134" s="24">
        <f t="shared" si="22"/>
        <v>0.3245424094703584</v>
      </c>
      <c r="AB134" s="24">
        <f t="shared" si="22"/>
        <v>0.32587713144837188</v>
      </c>
      <c r="AC134" s="24">
        <f t="shared" si="22"/>
        <v>0.32864515918195653</v>
      </c>
      <c r="AD134" s="28">
        <f t="shared" si="12"/>
        <v>0.37687933129392209</v>
      </c>
      <c r="AE134" s="29">
        <f t="shared" si="21"/>
        <v>1</v>
      </c>
    </row>
    <row r="135" spans="1:31" ht="15" customHeight="1">
      <c r="A135" s="38" t="s">
        <v>84</v>
      </c>
      <c r="B135" s="24"/>
      <c r="C135" s="24" cm="1">
        <f t="array" ref="C135">(C61-MIN($B$3:$B$74))/(MAX($B$3:$B$74-MIN($B$3:$B$74)))</f>
        <v>0.18994850931529531</v>
      </c>
      <c r="D135" s="24" cm="1">
        <f t="array" ref="D135">(D61-MIN($B$3:$B$74))/(MAX($B$3:$B$74-MIN($B$3:$B$74)))</f>
        <v>0.18330014097404243</v>
      </c>
      <c r="E135" s="24" cm="1">
        <f t="array" ref="E135">(E61-MIN($B$3:$B$74))/(MAX($B$3:$B$74-MIN($B$3:$B$74)))</f>
        <v>1.3055306778440616</v>
      </c>
      <c r="F135" s="24" cm="1">
        <f t="array" ref="F135">(F61-MIN($B$3:$B$74))/(MAX($B$3:$B$74-MIN($B$3:$B$74)))</f>
        <v>1.4999883316781357</v>
      </c>
      <c r="G135" s="28">
        <f t="shared" si="15"/>
        <v>0.55959310937779982</v>
      </c>
      <c r="H135" s="25"/>
      <c r="I135" s="25" cm="1">
        <f t="array" ref="I135">(I61-MIN($H$3:$H$74))/(MAX($H$3:$H$74-MIN($H$3:$H$74)))</f>
        <v>0.56016887622464073</v>
      </c>
      <c r="J135" s="25" cm="1">
        <f t="array" ref="J135">(J61-MIN($H$3:$H$74))/(MAX($H$3:$H$74-MIN($H$3:$H$74)))</f>
        <v>1.3839483226666345</v>
      </c>
      <c r="K135" s="25" cm="1">
        <f t="array" ref="K135">(K61-MIN($H$3:$H$74))/(MAX($H$3:$H$74-MIN($H$3:$H$74)))</f>
        <v>0.57135836538567253</v>
      </c>
      <c r="L135" s="28">
        <f t="shared" si="16"/>
        <v>0.97205859944563766</v>
      </c>
      <c r="M135" s="24"/>
      <c r="N135" s="24" cm="1">
        <f t="array" ref="N135">(N61-MIN($N$3:$N$74))/(MAX($N$3:$N$74-MIN($N$3:$N$74)))</f>
        <v>0.14458435974648173</v>
      </c>
      <c r="O135" s="24" cm="1">
        <f t="array" ref="O135">(O61-MIN($N$3:$N$74))/(MAX($N$3:$N$74-MIN($N$3:$N$74)))</f>
        <v>0.14055454186381716</v>
      </c>
      <c r="P135" s="24" cm="1">
        <f t="array" ref="P135">(P61-MIN($N$3:$N$74))/(MAX($N$3:$N$74-MIN($N$3:$N$74)))</f>
        <v>0.13780628980161644</v>
      </c>
      <c r="Q135" s="24" cm="1">
        <f t="array" ref="Q135">(Q61-MIN($N$3:$N$74))/(MAX($N$3:$N$74-MIN($N$3:$N$74)))</f>
        <v>0.13611675603453535</v>
      </c>
      <c r="R135" s="28">
        <f t="shared" si="17"/>
        <v>0.14098173047063844</v>
      </c>
      <c r="S135" s="30"/>
      <c r="T135" s="24" cm="1">
        <f t="array" ref="T135">(T61-MIN($T$3:$T$74))/(MAX($T$3:$T$74-MIN($T$3:$T$74)))</f>
        <v>0.11532729857786812</v>
      </c>
      <c r="U135" s="24" cm="1">
        <f t="array" ref="U135">(U61-MIN($T$3:$T$74))/(MAX($T$3:$T$74-MIN($T$3:$T$74)))</f>
        <v>0.11061529482439335</v>
      </c>
      <c r="V135" s="24" cm="1">
        <f t="array" ref="V135">(V61-MIN($T$3:$T$74))/(MAX($T$3:$T$74-MIN($T$3:$T$74)))</f>
        <v>0.79944316829928885</v>
      </c>
      <c r="W135" s="24" cm="1">
        <f t="array" ref="W135">(W61-MIN($T$3:$T$74))/(MAX($T$3:$T$74-MIN($T$3:$T$74)))</f>
        <v>0.10258144266067266</v>
      </c>
      <c r="X135" s="28">
        <f t="shared" si="18"/>
        <v>0.34179525390051674</v>
      </c>
      <c r="Y135" s="24"/>
      <c r="Z135" s="24">
        <f t="shared" si="22"/>
        <v>0.33287599448702337</v>
      </c>
      <c r="AA135" s="24">
        <f t="shared" si="22"/>
        <v>0.33764449046942974</v>
      </c>
      <c r="AB135" s="24">
        <f t="shared" si="22"/>
        <v>0.3397399104293799</v>
      </c>
      <c r="AC135" s="24">
        <f t="shared" si="22"/>
        <v>0.34137226639853224</v>
      </c>
      <c r="AD135" s="28">
        <f t="shared" si="12"/>
        <v>0.33675346512861104</v>
      </c>
      <c r="AE135" s="29">
        <f t="shared" si="21"/>
        <v>0.19322254806125777</v>
      </c>
    </row>
    <row r="136" spans="1:31" ht="15" customHeight="1">
      <c r="A136" s="38" t="s">
        <v>85</v>
      </c>
      <c r="B136" s="24" cm="1">
        <f t="array" ref="B136">(B62-MIN($B$3:$B$74))/(MAX($B$3:$B$74-MIN($B$3:$B$74)))</f>
        <v>7.8296737800070626E-2</v>
      </c>
      <c r="C136" s="24" cm="1">
        <f t="array" ref="C136">(C62-MIN($B$3:$B$74))/(MAX($B$3:$B$74-MIN($B$3:$B$74)))</f>
        <v>0.13356731973055808</v>
      </c>
      <c r="D136" s="24" cm="1">
        <f t="array" ref="D136">(D62-MIN($B$3:$B$74))/(MAX($B$3:$B$74-MIN($B$3:$B$74)))</f>
        <v>8.2955522683477431E-2</v>
      </c>
      <c r="E136" s="24" cm="1">
        <f t="array" ref="E136">(E62-MIN($B$3:$B$74))/(MAX($B$3:$B$74-MIN($B$3:$B$74)))</f>
        <v>0.53952858336375975</v>
      </c>
      <c r="F136" s="24" cm="1">
        <f t="array" ref="F136">(F62-MIN($B$3:$B$74))/(MAX($B$3:$B$74-MIN($B$3:$B$74)))</f>
        <v>0.41159458084033596</v>
      </c>
      <c r="G136" s="28">
        <f t="shared" si="15"/>
        <v>0.20858704089446647</v>
      </c>
      <c r="H136" s="25" cm="1">
        <f t="array" ref="H136">(H62-MIN($H$3:$H$74))/(MAX($H$3:$H$74-MIN($H$3:$H$74)))</f>
        <v>0.61211854767395402</v>
      </c>
      <c r="I136" s="25" cm="1">
        <f t="array" ref="I136">(I62-MIN($H$3:$H$74))/(MAX($H$3:$H$74-MIN($H$3:$H$74)))</f>
        <v>0.26847147423912149</v>
      </c>
      <c r="J136" s="25" cm="1">
        <f t="array" ref="J136">(J62-MIN($H$3:$H$74))/(MAX($H$3:$H$74-MIN($H$3:$H$74)))</f>
        <v>0.99985139362676501</v>
      </c>
      <c r="K136" s="25" cm="1">
        <f t="array" ref="K136">(K62-MIN($H$3:$H$74))/(MAX($H$3:$H$74-MIN($H$3:$H$74)))</f>
        <v>0.55166320927071744</v>
      </c>
      <c r="L136" s="28">
        <f t="shared" si="16"/>
        <v>0.62681380517994689</v>
      </c>
      <c r="M136" s="24" cm="1">
        <f t="array" ref="M136">(M62-MIN($N$3:$N$74))/(MAX($N$3:$N$74-MIN($N$3:$N$74)))</f>
        <v>9.0844215425294875E-2</v>
      </c>
      <c r="N136" s="24" cm="1">
        <f t="array" ref="N136">(N62-MIN($N$3:$N$74))/(MAX($N$3:$N$74-MIN($N$3:$N$74)))</f>
        <v>0.13035868295681402</v>
      </c>
      <c r="O136" s="24" cm="1">
        <f t="array" ref="O136">(O62-MIN($N$3:$N$74))/(MAX($N$3:$N$74-MIN($N$3:$N$74)))</f>
        <v>9.9801971552324245E-2</v>
      </c>
      <c r="P136" s="24" cm="1">
        <f t="array" ref="P136">(P62-MIN($N$3:$N$74))/(MAX($N$3:$N$74-MIN($N$3:$N$74)))</f>
        <v>7.8961280477217274E-2</v>
      </c>
      <c r="Q136" s="24" cm="1">
        <f t="array" ref="Q136">(Q62-MIN($N$3:$N$74))/(MAX($N$3:$N$74-MIN($N$3:$N$74)))</f>
        <v>-1.4549351170201223E-2</v>
      </c>
      <c r="R136" s="28">
        <f t="shared" si="17"/>
        <v>9.99915376029126E-2</v>
      </c>
      <c r="S136" s="30" cm="1">
        <f t="array" ref="S136">(S62-MIN($S$3:$S$74))/(MAX($S$3:$S$74-MIN($S$3:$S$74)))</f>
        <v>0.58405400074912517</v>
      </c>
      <c r="T136" s="24" cm="1">
        <f t="array" ref="T136">(T62-MIN($T$3:$T$74))/(MAX($T$3:$T$74-MIN($T$3:$T$74)))</f>
        <v>8.0960395624129919E-2</v>
      </c>
      <c r="U136" s="24" cm="1">
        <f t="array" ref="U136">(U62-MIN($T$3:$T$74))/(MAX($T$3:$T$74-MIN($T$3:$T$74)))</f>
        <v>3.0922246624993106E-2</v>
      </c>
      <c r="V136" s="24" cm="1">
        <f t="array" ref="V136">(V62-MIN($T$3:$T$74))/(MAX($T$3:$T$74-MIN($T$3:$T$74)))</f>
        <v>0.75409894657364429</v>
      </c>
      <c r="W136" s="24" cm="1">
        <f t="array" ref="W136">(W62-MIN($T$3:$T$74))/(MAX($T$3:$T$74-MIN($T$3:$T$74)))</f>
        <v>0.89301559167896127</v>
      </c>
      <c r="X136" s="28">
        <f t="shared" si="18"/>
        <v>0.3625088973929731</v>
      </c>
      <c r="Y136" s="24" cm="1">
        <f t="array" ref="Y136">(Y62-MIN($Y$3:$Y$74))/(MAX($Y$3:$Y$74-MIN($Y$3:$Y$74)))</f>
        <v>0.67316861242350934</v>
      </c>
      <c r="Z136" s="24">
        <f t="shared" si="22"/>
        <v>0.39798808750247949</v>
      </c>
      <c r="AA136" s="24">
        <f t="shared" si="22"/>
        <v>0.41688797031978631</v>
      </c>
      <c r="AB136" s="24">
        <f t="shared" si="22"/>
        <v>0.49621691696603826</v>
      </c>
      <c r="AC136" s="24">
        <f t="shared" si="22"/>
        <v>-0.32070607813552704</v>
      </c>
      <c r="AD136" s="28">
        <f t="shared" si="12"/>
        <v>0.49606539680295336</v>
      </c>
      <c r="AE136" s="29">
        <f t="shared" si="21"/>
        <v>-1.1404366243075921E-2</v>
      </c>
    </row>
    <row r="137" spans="1:31" ht="15" customHeight="1">
      <c r="A137" s="38" t="s">
        <v>86</v>
      </c>
      <c r="B137" s="24" cm="1">
        <f t="array" ref="B137">(B63-MIN($B$3:$B$74))/(MAX($B$3:$B$74-MIN($B$3:$B$74)))</f>
        <v>0.1077038460473082</v>
      </c>
      <c r="C137" s="24" cm="1">
        <f t="array" ref="C137">(C63-MIN($B$3:$B$74))/(MAX($B$3:$B$74-MIN($B$3:$B$74)))</f>
        <v>0.12970252849811717</v>
      </c>
      <c r="D137" s="24" cm="1">
        <f t="array" ref="D137">(D63-MIN($B$3:$B$74))/(MAX($B$3:$B$74-MIN($B$3:$B$74)))</f>
        <v>0.11146300063912434</v>
      </c>
      <c r="E137" s="24" cm="1">
        <f t="array" ref="E137">(E63-MIN($B$3:$B$74))/(MAX($B$3:$B$74-MIN($B$3:$B$74)))</f>
        <v>0.30504858868349455</v>
      </c>
      <c r="F137" s="24" cm="1">
        <f t="array" ref="F137">(F63-MIN($B$3:$B$74))/(MAX($B$3:$B$74-MIN($B$3:$B$74)))</f>
        <v>0.24489352727917499</v>
      </c>
      <c r="G137" s="28">
        <f t="shared" si="15"/>
        <v>0.16347949096701109</v>
      </c>
      <c r="H137" s="25" cm="1">
        <f t="array" ref="H137">(H63-MIN($H$3:$H$74))/(MAX($H$3:$H$74-MIN($H$3:$H$74)))</f>
        <v>0.61314712284848161</v>
      </c>
      <c r="I137" s="25" cm="1">
        <f t="array" ref="I137">(I63-MIN($H$3:$H$74))/(MAX($H$3:$H$74-MIN($H$3:$H$74)))</f>
        <v>0.330131994659913</v>
      </c>
      <c r="J137" s="25" cm="1">
        <f t="array" ref="J137">(J63-MIN($H$3:$H$74))/(MAX($H$3:$H$74-MIN($H$3:$H$74)))</f>
        <v>1.0996473151861816</v>
      </c>
      <c r="K137" s="25" cm="1">
        <f t="array" ref="K137">(K63-MIN($H$3:$H$74))/(MAX($H$3:$H$74-MIN($H$3:$H$74)))</f>
        <v>0.55053726614227716</v>
      </c>
      <c r="L137" s="28">
        <f t="shared" si="16"/>
        <v>0.68097547756485877</v>
      </c>
      <c r="M137" s="24" cm="1">
        <f t="array" ref="M137">(M63-MIN($N$3:$N$74))/(MAX($N$3:$N$74-MIN($N$3:$N$74)))</f>
        <v>8.9523563700887404E-2</v>
      </c>
      <c r="N137" s="24" cm="1">
        <f t="array" ref="N137">(N63-MIN($N$3:$N$74))/(MAX($N$3:$N$74-MIN($N$3:$N$74)))</f>
        <v>0.13085845894241496</v>
      </c>
      <c r="O137" s="24" cm="1">
        <f t="array" ref="O137">(O63-MIN($N$3:$N$74))/(MAX($N$3:$N$74-MIN($N$3:$N$74)))</f>
        <v>0.10443442722670265</v>
      </c>
      <c r="P137" s="24" cm="1">
        <f t="array" ref="P137">(P63-MIN($N$3:$N$74))/(MAX($N$3:$N$74-MIN($N$3:$N$74)))</f>
        <v>7.5649078905388786E-2</v>
      </c>
      <c r="Q137" s="24" cm="1">
        <f t="array" ref="Q137">(Q63-MIN($N$3:$N$74))/(MAX($N$3:$N$74-MIN($N$3:$N$74)))</f>
        <v>1.3061042424502695E-2</v>
      </c>
      <c r="R137" s="28">
        <f t="shared" si="17"/>
        <v>0.10011638219384845</v>
      </c>
      <c r="S137" s="30" cm="1">
        <f t="array" ref="S137">(S63-MIN($S$3:$S$74))/(MAX($S$3:$S$74-MIN($S$3:$S$74)))</f>
        <v>0.61652268158296497</v>
      </c>
      <c r="T137" s="24" cm="1">
        <f t="array" ref="T137">(T63-MIN($T$3:$T$74))/(MAX($T$3:$T$74-MIN($T$3:$T$74)))</f>
        <v>7.9564534283961125E-2</v>
      </c>
      <c r="U137" s="24" cm="1">
        <f t="array" ref="U137">(U63-MIN($T$3:$T$74))/(MAX($T$3:$T$74-MIN($T$3:$T$74)))</f>
        <v>5.0749504367118017E-2</v>
      </c>
      <c r="V137" s="24" cm="1">
        <f t="array" ref="V137">(V63-MIN($T$3:$T$74))/(MAX($T$3:$T$74-MIN($T$3:$T$74)))</f>
        <v>0.46523417334721745</v>
      </c>
      <c r="W137" s="24" cm="1">
        <f t="array" ref="W137">(W63-MIN($T$3:$T$74))/(MAX($T$3:$T$74-MIN($T$3:$T$74)))</f>
        <v>-2.0640447077926775E-3</v>
      </c>
      <c r="X137" s="28">
        <f t="shared" si="18"/>
        <v>0.30301772339531541</v>
      </c>
      <c r="Y137" s="24" cm="1">
        <f t="array" ref="Y137">(Y63-MIN($Y$3:$Y$74))/(MAX($Y$3:$Y$74-MIN($Y$3:$Y$74)))</f>
        <v>0.59157915432912056</v>
      </c>
      <c r="Z137" s="24">
        <f t="shared" ref="Z137:AC141" si="23">(Z63-MIN($Z$3:$Z$74))/(MAX($Z$3:$Z$74)-MIN($Z$3:$Z$74))</f>
        <v>0.36259508943749902</v>
      </c>
      <c r="AA137" s="24">
        <f t="shared" si="23"/>
        <v>0.36791632075614733</v>
      </c>
      <c r="AB137" s="24">
        <f t="shared" si="23"/>
        <v>0.39279253998060054</v>
      </c>
      <c r="AC137" s="24">
        <f t="shared" si="23"/>
        <v>0.3706806312817762</v>
      </c>
      <c r="AD137" s="28">
        <f t="shared" si="12"/>
        <v>0.42872077612584186</v>
      </c>
      <c r="AE137" s="29">
        <f t="shared" si="21"/>
        <v>-1.1404366243075921E-2</v>
      </c>
    </row>
    <row r="138" spans="1:31" ht="15" customHeight="1">
      <c r="A138" s="38" t="s">
        <v>87</v>
      </c>
      <c r="B138" s="24" cm="1">
        <f t="array" ref="B138">(B64-MIN($B$3:$B$74))/(MAX($B$3:$B$74-MIN($B$3:$B$74)))</f>
        <v>0.1386943517102566</v>
      </c>
      <c r="C138" s="24" cm="1">
        <f t="array" ref="C138">(C64-MIN($B$3:$B$74))/(MAX($B$3:$B$74-MIN($B$3:$B$74)))</f>
        <v>0.12567138064876204</v>
      </c>
      <c r="D138" s="24" cm="1">
        <f t="array" ref="D138">(D64-MIN($B$3:$B$74))/(MAX($B$3:$B$74-MIN($B$3:$B$74)))</f>
        <v>0.13023965536842458</v>
      </c>
      <c r="E138" s="24" cm="1">
        <f t="array" ref="E138">(E64-MIN($B$3:$B$74))/(MAX($B$3:$B$74-MIN($B$3:$B$74)))</f>
        <v>0.33577557569364114</v>
      </c>
      <c r="F138" s="24" cm="1">
        <f t="array" ref="F138">(F64-MIN($B$3:$B$74))/(MAX($B$3:$B$74-MIN($B$3:$B$74)))</f>
        <v>0.3527132254546162</v>
      </c>
      <c r="G138" s="28">
        <f t="shared" si="15"/>
        <v>0.18259524085527107</v>
      </c>
      <c r="H138" s="25" cm="1">
        <f t="array" ref="H138">(H64-MIN($H$3:$H$74))/(MAX($H$3:$H$74-MIN($H$3:$H$74)))</f>
        <v>0.52029762746229791</v>
      </c>
      <c r="I138" s="25" cm="1">
        <f t="array" ref="I138">(I64-MIN($H$3:$H$74))/(MAX($H$3:$H$74-MIN($H$3:$H$74)))</f>
        <v>0.8008312010591434</v>
      </c>
      <c r="J138" s="25" cm="1">
        <f t="array" ref="J138">(J64-MIN($H$3:$H$74))/(MAX($H$3:$H$74-MIN($H$3:$H$74)))</f>
        <v>2.8290219910685215</v>
      </c>
      <c r="K138" s="25" cm="1">
        <f t="array" ref="K138">(K64-MIN($H$3:$H$74))/(MAX($H$3:$H$74-MIN($H$3:$H$74)))</f>
        <v>0.56787280184848066</v>
      </c>
      <c r="L138" s="28">
        <f t="shared" si="16"/>
        <v>1.3833836065299876</v>
      </c>
      <c r="M138" s="24" cm="1">
        <f t="array" ref="M138">(M64-MIN($N$3:$N$74))/(MAX($N$3:$N$74-MIN($N$3:$N$74)))</f>
        <v>0.16075329220265772</v>
      </c>
      <c r="N138" s="24" cm="1">
        <f t="array" ref="N138">(N64-MIN($N$3:$N$74))/(MAX($N$3:$N$74-MIN($N$3:$N$74)))</f>
        <v>0.12417318233698307</v>
      </c>
      <c r="O138" s="24" cm="1">
        <f t="array" ref="O138">(O64-MIN($N$3:$N$74))/(MAX($N$3:$N$74-MIN($N$3:$N$74)))</f>
        <v>0.13292798502705608</v>
      </c>
      <c r="P138" s="24" cm="1">
        <f t="array" ref="P138">(P64-MIN($N$3:$N$74))/(MAX($N$3:$N$74-MIN($N$3:$N$74)))</f>
        <v>0.14309842262702649</v>
      </c>
      <c r="Q138" s="24" cm="1">
        <f t="array" ref="Q138">(Q64-MIN($N$3:$N$74))/(MAX($N$3:$N$74-MIN($N$3:$N$74)))</f>
        <v>0.14273788107536697</v>
      </c>
      <c r="R138" s="28">
        <f t="shared" si="17"/>
        <v>0.14023822054843083</v>
      </c>
      <c r="S138" s="30" cm="1">
        <f t="array" ref="S138">(S64-MIN($S$3:$S$74))/(MAX($S$3:$S$74-MIN($S$3:$S$74)))</f>
        <v>0.74352539936804785</v>
      </c>
      <c r="T138" s="24" cm="1">
        <f t="array" ref="T138">(T64-MIN($T$3:$T$74))/(MAX($T$3:$T$74-MIN($T$3:$T$74)))</f>
        <v>7.3080605748842967E-2</v>
      </c>
      <c r="U138" s="24" cm="1">
        <f t="array" ref="U138">(U64-MIN($T$3:$T$74))/(MAX($T$3:$T$74-MIN($T$3:$T$74)))</f>
        <v>8.3384487972108567E-2</v>
      </c>
      <c r="V138" s="24" cm="1">
        <f t="array" ref="V138">(V64-MIN($T$3:$T$74))/(MAX($T$3:$T$74-MIN($T$3:$T$74)))</f>
        <v>0.4851270742066604</v>
      </c>
      <c r="W138" s="24" cm="1">
        <f t="array" ref="W138">(W64-MIN($T$3:$T$74))/(MAX($T$3:$T$74-MIN($T$3:$T$74)))</f>
        <v>9.8877502159748887E-2</v>
      </c>
      <c r="X138" s="28">
        <f t="shared" si="18"/>
        <v>0.34627939182391498</v>
      </c>
      <c r="Y138" s="24" cm="1">
        <f t="array" ref="Y138">(Y64-MIN($Y$3:$Y$74))/(MAX($Y$3:$Y$74-MIN($Y$3:$Y$74)))</f>
        <v>0.56928220953401965</v>
      </c>
      <c r="Z138" s="24">
        <f t="shared" si="23"/>
        <v>0.34595546145512412</v>
      </c>
      <c r="AA138" s="24">
        <f t="shared" si="23"/>
        <v>0.34646519044653085</v>
      </c>
      <c r="AB138" s="24">
        <f t="shared" si="23"/>
        <v>0.35423283535527567</v>
      </c>
      <c r="AC138" s="24">
        <f t="shared" si="23"/>
        <v>0.34832672711591489</v>
      </c>
      <c r="AD138" s="28">
        <f t="shared" si="12"/>
        <v>0.4039839241977376</v>
      </c>
      <c r="AE138" s="29">
        <f t="shared" si="21"/>
        <v>8.0645161290322592E-2</v>
      </c>
    </row>
    <row r="139" spans="1:31" ht="15" customHeight="1">
      <c r="A139" s="38" t="s">
        <v>88</v>
      </c>
      <c r="B139" s="24" cm="1">
        <f t="array" ref="B139">(B65-MIN($B$3:$B$74))/(MAX($B$3:$B$74-MIN($B$3:$B$74)))</f>
        <v>0.14902043406956947</v>
      </c>
      <c r="C139" s="24" cm="1">
        <f t="array" ref="C139">(C65-MIN($B$3:$B$74))/(MAX($B$3:$B$74-MIN($B$3:$B$74)))</f>
        <v>0.15052662821389273</v>
      </c>
      <c r="D139" s="24" cm="1">
        <f t="array" ref="D139">(D65-MIN($B$3:$B$74))/(MAX($B$3:$B$74-MIN($B$3:$B$74)))</f>
        <v>0.155994734701633</v>
      </c>
      <c r="E139" s="24" cm="1">
        <f t="array" ref="E139">(E65-MIN($B$3:$B$74))/(MAX($B$3:$B$74-MIN($B$3:$B$74)))</f>
        <v>0.18418175800846132</v>
      </c>
      <c r="F139" s="24" cm="1">
        <f t="array" ref="F139">(F65-MIN($B$3:$B$74))/(MAX($B$3:$B$74-MIN($B$3:$B$74)))</f>
        <v>0.1855798411290531</v>
      </c>
      <c r="G139" s="28">
        <f t="shared" si="15"/>
        <v>0.15993088874838912</v>
      </c>
      <c r="H139" s="25" cm="1">
        <f t="array" ref="H139">(H65-MIN($H$3:$H$74))/(MAX($H$3:$H$74-MIN($H$3:$H$74)))</f>
        <v>0.56728683454557205</v>
      </c>
      <c r="I139" s="25" cm="1">
        <f t="array" ref="I139">(I65-MIN($H$3:$H$74))/(MAX($H$3:$H$74-MIN($H$3:$H$74)))</f>
        <v>0.5739479197681786</v>
      </c>
      <c r="J139" s="25" cm="1">
        <f t="array" ref="J139">(J65-MIN($H$3:$H$74))/(MAX($H$3:$H$74-MIN($H$3:$H$74)))</f>
        <v>0.60413346189047434</v>
      </c>
      <c r="K139" s="25" cm="1">
        <f t="array" ref="K139">(K65-MIN($H$3:$H$74))/(MAX($H$3:$H$74-MIN($H$3:$H$74)))</f>
        <v>0.56552019799353082</v>
      </c>
      <c r="L139" s="28">
        <f t="shared" si="16"/>
        <v>0.58178940540140833</v>
      </c>
      <c r="M139" s="24" cm="1">
        <f t="array" ref="M139">(M65-MIN($N$3:$N$74))/(MAX($N$3:$N$74-MIN($N$3:$N$74)))</f>
        <v>0.35217230056159277</v>
      </c>
      <c r="N139" s="24" cm="1">
        <f t="array" ref="N139">(N65-MIN($N$3:$N$74))/(MAX($N$3:$N$74-MIN($N$3:$N$74)))</f>
        <v>0.24981134294331811</v>
      </c>
      <c r="O139" s="24" cm="1">
        <f t="array" ref="O139">(O65-MIN($N$3:$N$74))/(MAX($N$3:$N$74-MIN($N$3:$N$74)))</f>
        <v>0.26156080607309939</v>
      </c>
      <c r="P139" s="24" cm="1">
        <f t="array" ref="P139">(P65-MIN($N$3:$N$74))/(MAX($N$3:$N$74-MIN($N$3:$N$74)))</f>
        <v>0.26483972964391078</v>
      </c>
      <c r="Q139" s="24" cm="1">
        <f t="array" ref="Q139">(Q65-MIN($N$3:$N$74))/(MAX($N$3:$N$74-MIN($N$3:$N$74)))</f>
        <v>0.26525075257305908</v>
      </c>
      <c r="R139" s="28">
        <f t="shared" si="17"/>
        <v>0.28209604480548023</v>
      </c>
      <c r="S139" s="30" cm="1">
        <f t="array" ref="S139">(S65-MIN($S$3:$S$74))/(MAX($S$3:$S$74-MIN($S$3:$S$74)))</f>
        <v>0.74617016384235235</v>
      </c>
      <c r="T139" s="24" cm="1">
        <f t="array" ref="T139">(T65-MIN($T$3:$T$74))/(MAX($T$3:$T$74-MIN($T$3:$T$74)))</f>
        <v>0.10411517065555212</v>
      </c>
      <c r="U139" s="24" cm="1">
        <f t="array" ref="U139">(U65-MIN($T$3:$T$74))/(MAX($T$3:$T$74-MIN($T$3:$T$74)))</f>
        <v>0.10798446512699288</v>
      </c>
      <c r="V139" s="24" cm="1">
        <f t="array" ref="V139">(V65-MIN($T$3:$T$74))/(MAX($T$3:$T$74-MIN($T$3:$T$74)))</f>
        <v>0.13679263292743341</v>
      </c>
      <c r="W139" s="24" cm="1">
        <f t="array" ref="W139">(W65-MIN($T$3:$T$74))/(MAX($T$3:$T$74-MIN($T$3:$T$74)))</f>
        <v>0.10380771923889655</v>
      </c>
      <c r="X139" s="28">
        <f t="shared" si="18"/>
        <v>0.27376560813808271</v>
      </c>
      <c r="Y139" s="24" cm="1">
        <f t="array" ref="Y139">(Y65-MIN($Y$3:$Y$74))/(MAX($Y$3:$Y$74-MIN($Y$3:$Y$74)))</f>
        <v>0.51218653769663169</v>
      </c>
      <c r="Z139" s="24">
        <f t="shared" si="23"/>
        <v>0.32075020488591366</v>
      </c>
      <c r="AA139" s="24">
        <f t="shared" si="23"/>
        <v>0.32059765870118007</v>
      </c>
      <c r="AB139" s="24">
        <f t="shared" si="23"/>
        <v>0.32161827595356329</v>
      </c>
      <c r="AC139" s="24">
        <f t="shared" si="23"/>
        <v>0.31957910527481653</v>
      </c>
      <c r="AD139" s="28">
        <f t="shared" si="12"/>
        <v>0.36878816930932218</v>
      </c>
      <c r="AE139" s="29">
        <f t="shared" si="21"/>
        <v>0.16275659824046923</v>
      </c>
    </row>
    <row r="140" spans="1:31" ht="15" customHeight="1">
      <c r="A140" s="38" t="s">
        <v>89</v>
      </c>
      <c r="B140" s="24"/>
      <c r="C140" s="24" cm="1">
        <f t="array" ref="C140">(C66-MIN($B$3:$B$74))/(MAX($B$3:$B$74-MIN($B$3:$B$74)))</f>
        <v>0.14085944637289799</v>
      </c>
      <c r="D140" s="24" cm="1">
        <f t="array" ref="D140">(D66-MIN($B$3:$B$74))/(MAX($B$3:$B$74-MIN($B$3:$B$74)))</f>
        <v>0.14652538703058643</v>
      </c>
      <c r="E140" s="24" cm="1">
        <f t="array" ref="E140">(E66-MIN($B$3:$B$74))/(MAX($B$3:$B$74-MIN($B$3:$B$74)))</f>
        <v>0.37824301629844359</v>
      </c>
      <c r="F140" s="24" cm="1">
        <f t="array" ref="F140">(F66-MIN($B$3:$B$74))/(MAX($B$3:$B$74-MIN($B$3:$B$74)))</f>
        <v>0.47021416475216521</v>
      </c>
      <c r="G140" s="28">
        <f t="shared" si="15"/>
        <v>0.22187594990064266</v>
      </c>
      <c r="H140" s="25"/>
      <c r="I140" s="25" cm="1">
        <f t="array" ref="I140">(I66-MIN($H$3:$H$74))/(MAX($H$3:$H$74-MIN($H$3:$H$74)))</f>
        <v>0.58085739160144545</v>
      </c>
      <c r="J140" s="25" cm="1">
        <f t="array" ref="J140">(J66-MIN($H$3:$H$74))/(MAX($H$3:$H$74-MIN($H$3:$H$74)))</f>
        <v>1.0440136723577609</v>
      </c>
      <c r="K140" s="25" cm="1">
        <f t="array" ref="K140">(K66-MIN($H$3:$H$74))/(MAX($H$3:$H$74-MIN($H$3:$H$74)))</f>
        <v>0.57967259150466621</v>
      </c>
      <c r="L140" s="28">
        <f t="shared" si="16"/>
        <v>0.81243553197960316</v>
      </c>
      <c r="M140" s="24"/>
      <c r="N140" s="24" cm="1">
        <f t="array" ref="N140">(N66-MIN($N$3:$N$74))/(MAX($N$3:$N$74-MIN($N$3:$N$74)))</f>
        <v>0.14469484520946843</v>
      </c>
      <c r="O140" s="24" cm="1">
        <f t="array" ref="O140">(O66-MIN($N$3:$N$74))/(MAX($N$3:$N$74-MIN($N$3:$N$74)))</f>
        <v>0.14251500548470455</v>
      </c>
      <c r="P140" s="24" cm="1">
        <f t="array" ref="P140">(P66-MIN($N$3:$N$74))/(MAX($N$3:$N$74-MIN($N$3:$N$74)))</f>
        <v>0.13095317963194</v>
      </c>
      <c r="Q140" s="24" cm="1">
        <f t="array" ref="Q140">(Q66-MIN($N$3:$N$74))/(MAX($N$3:$N$74-MIN($N$3:$N$74)))</f>
        <v>0.14163308329811378</v>
      </c>
      <c r="R140" s="28">
        <f t="shared" si="17"/>
        <v>0.13938767677537101</v>
      </c>
      <c r="S140" s="30"/>
      <c r="T140" s="24" cm="1">
        <f t="array" ref="T140">(T66-MIN($T$3:$T$74))/(MAX($T$3:$T$74-MIN($T$3:$T$74)))</f>
        <v>0.1062338910011735</v>
      </c>
      <c r="U140" s="24" cm="1">
        <f t="array" ref="U140">(U66-MIN($T$3:$T$74))/(MAX($T$3:$T$74-MIN($T$3:$T$74)))</f>
        <v>0.11520446302414726</v>
      </c>
      <c r="V140" s="24" cm="1">
        <f t="array" ref="V140">(V66-MIN($T$3:$T$74))/(MAX($T$3:$T$74-MIN($T$3:$T$74)))</f>
        <v>0.64066253515820915</v>
      </c>
      <c r="W140" s="24" cm="1">
        <f t="array" ref="W140">(W66-MIN($T$3:$T$74))/(MAX($T$3:$T$74-MIN($T$3:$T$74)))</f>
        <v>0.11107734247074889</v>
      </c>
      <c r="X140" s="28">
        <f t="shared" si="18"/>
        <v>0.28736696306117665</v>
      </c>
      <c r="Y140" s="24"/>
      <c r="Z140" s="24">
        <f t="shared" si="23"/>
        <v>0.3366220279441911</v>
      </c>
      <c r="AA140" s="24">
        <f t="shared" si="23"/>
        <v>0.34598691311889468</v>
      </c>
      <c r="AB140" s="24">
        <f t="shared" si="23"/>
        <v>0.34511814895937731</v>
      </c>
      <c r="AC140" s="24">
        <f t="shared" si="23"/>
        <v>0.3620214260653718</v>
      </c>
      <c r="AD140" s="28">
        <f t="shared" si="12"/>
        <v>0.34257569667415438</v>
      </c>
      <c r="AE140" s="29">
        <f t="shared" si="21"/>
        <v>0.20446399478657545</v>
      </c>
    </row>
    <row r="141" spans="1:31" ht="15" customHeight="1">
      <c r="A141" s="38" t="s">
        <v>90</v>
      </c>
      <c r="B141" s="24" cm="1">
        <f t="array" ref="B141">(B67-MIN($B$3:$B$74))/(MAX($B$3:$B$74-MIN($B$3:$B$74)))</f>
        <v>0.57586750903692085</v>
      </c>
      <c r="C141" s="24" cm="1">
        <f t="array" ref="C141">(C67-MIN($B$3:$B$74))/(MAX($B$3:$B$74-MIN($B$3:$B$74)))</f>
        <v>0.20260920676462468</v>
      </c>
      <c r="D141" s="24" cm="1">
        <f t="array" ref="D141">(D67-MIN($B$3:$B$74))/(MAX($B$3:$B$74-MIN($B$3:$B$74)))</f>
        <v>0.16400711460067266</v>
      </c>
      <c r="E141" s="24" cm="1">
        <f t="array" ref="E141">(E67-MIN($B$3:$B$74))/(MAX($B$3:$B$74-MIN($B$3:$B$74)))</f>
        <v>0.56454297216911153</v>
      </c>
      <c r="F141" s="24" cm="1">
        <f t="array" ref="F141">(F67-MIN($B$3:$B$74))/(MAX($B$3:$B$74-MIN($B$3:$B$74)))</f>
        <v>0.57729672657090458</v>
      </c>
      <c r="G141" s="28">
        <f t="shared" si="15"/>
        <v>0.3767567006428324</v>
      </c>
      <c r="H141" s="25" cm="1">
        <f t="array" ref="H141">(H67-MIN($H$3:$H$74))/(MAX($H$3:$H$74-MIN($H$3:$H$74)))</f>
        <v>0.53005093477282983</v>
      </c>
      <c r="I141" s="25" cm="1">
        <f t="array" ref="I141">(I67-MIN($H$3:$H$74))/(MAX($H$3:$H$74-MIN($H$3:$H$74)))</f>
        <v>0.54347686223705338</v>
      </c>
      <c r="J141" s="25" cm="1">
        <f t="array" ref="J141">(J67-MIN($H$3:$H$74))/(MAX($H$3:$H$74-MIN($H$3:$H$74)))</f>
        <v>1.0073118579410372</v>
      </c>
      <c r="K141" s="25" cm="1">
        <f t="array" ref="K141">(K67-MIN($H$3:$H$74))/(MAX($H$3:$H$74-MIN($H$3:$H$74)))</f>
        <v>0.56572296996246363</v>
      </c>
      <c r="L141" s="28">
        <f t="shared" si="16"/>
        <v>0.69361321831697342</v>
      </c>
      <c r="M141" s="24" cm="1">
        <f t="array" ref="M141">(M67-MIN($N$3:$N$74))/(MAX($N$3:$N$74-MIN($N$3:$N$74)))</f>
        <v>0.67571569040178692</v>
      </c>
      <c r="N141" s="24" cm="1">
        <f t="array" ref="N141">(N67-MIN($N$3:$N$74))/(MAX($N$3:$N$74-MIN($N$3:$N$74)))</f>
        <v>0.18346536873138833</v>
      </c>
      <c r="O141" s="24" cm="1">
        <f t="array" ref="O141">(O67-MIN($N$3:$N$74))/(MAX($N$3:$N$74-MIN($N$3:$N$74)))</f>
        <v>0.14891577258996627</v>
      </c>
      <c r="P141" s="24" cm="1">
        <f t="array" ref="P141">(P67-MIN($N$3:$N$74))/(MAX($N$3:$N$74-MIN($N$3:$N$74)))</f>
        <v>0.12272742944413556</v>
      </c>
      <c r="Q141" s="24" cm="1">
        <f t="array" ref="Q141">(Q67-MIN($N$3:$N$74))/(MAX($N$3:$N$74-MIN($N$3:$N$74)))</f>
        <v>0.10574357059716778</v>
      </c>
      <c r="R141" s="28">
        <f t="shared" si="17"/>
        <v>0.2827060652918193</v>
      </c>
      <c r="S141" s="30" cm="1">
        <f t="array" ref="S141">(S67-MIN($S$3:$S$74))/(MAX($S$3:$S$74-MIN($S$3:$S$74)))</f>
        <v>0</v>
      </c>
      <c r="T141" s="24" cm="1">
        <f t="array" ref="T141">(T67-MIN($T$3:$T$74))/(MAX($T$3:$T$74-MIN($T$3:$T$74)))</f>
        <v>1</v>
      </c>
      <c r="U141" s="24" cm="1">
        <f t="array" ref="U141">(U67-MIN($T$3:$T$74))/(MAX($T$3:$T$74-MIN($T$3:$T$74)))</f>
        <v>0.21088960638647303</v>
      </c>
      <c r="V141" s="24" cm="1">
        <f t="array" ref="V141">(V67-MIN($T$3:$T$74))/(MAX($T$3:$T$74-MIN($T$3:$T$74)))</f>
        <v>1.8460744008119245</v>
      </c>
      <c r="W141" s="24" cm="1">
        <f t="array" ref="W141">(W67-MIN($T$3:$T$74))/(MAX($T$3:$T$74-MIN($T$3:$T$74)))</f>
        <v>-0.29225097536586719</v>
      </c>
      <c r="X141" s="28">
        <f t="shared" si="18"/>
        <v>0.76424100179959931</v>
      </c>
      <c r="Y141" s="24" cm="1">
        <f t="array" ref="Y141">(Y67-MIN($Y$3:$Y$74))/(MAX($Y$3:$Y$74-MIN($Y$3:$Y$74)))</f>
        <v>0.42715342466360234</v>
      </c>
      <c r="Z141" s="24">
        <f t="shared" si="23"/>
        <v>1</v>
      </c>
      <c r="AA141" s="24">
        <f t="shared" si="23"/>
        <v>0.55007851688514731</v>
      </c>
      <c r="AB141" s="24">
        <f t="shared" si="23"/>
        <v>0.57804954907484796</v>
      </c>
      <c r="AC141" s="24">
        <f t="shared" si="23"/>
        <v>1.0295461040738678</v>
      </c>
      <c r="AD141" s="28">
        <f t="shared" ref="AD141:AD148" si="24">AVERAGE(Y141:AB141)</f>
        <v>0.63882037265589942</v>
      </c>
      <c r="AE141" s="29">
        <f t="shared" ref="AE141:AE142" si="25">(AE67-MIN($AE$3:$AE$74))/(MAX($AE$3:$AE$74)-MIN($AE$3:$AE$74))</f>
        <v>-1.1404366243075921E-2</v>
      </c>
    </row>
    <row r="142" spans="1:31" ht="15" customHeight="1">
      <c r="A142" s="38" t="s">
        <v>91</v>
      </c>
      <c r="B142" s="24" cm="1">
        <f t="array" ref="B142">(B68-MIN($B$3:$B$74))/(MAX($B$3:$B$74-MIN($B$3:$B$74)))</f>
        <v>0.10363516375802671</v>
      </c>
      <c r="C142" s="24" cm="1">
        <f t="array" ref="C142">(C68-MIN($B$3:$B$74))/(MAX($B$3:$B$74-MIN($B$3:$B$74)))</f>
        <v>0.10363516375802671</v>
      </c>
      <c r="D142" s="24" cm="1">
        <f t="array" ref="D142">(D68-MIN($B$3:$B$74))/(MAX($B$3:$B$74-MIN($B$3:$B$74)))</f>
        <v>0.12048154152229081</v>
      </c>
      <c r="E142" s="24" cm="1">
        <f t="array" ref="E142">(E68-MIN($B$3:$B$74))/(MAX($B$3:$B$74-MIN($B$3:$B$74)))</f>
        <v>0.4326256913504315</v>
      </c>
      <c r="F142" s="24" cm="1">
        <f t="array" ref="F142">(F68-MIN($B$3:$B$74))/(MAX($B$3:$B$74-MIN($B$3:$B$74)))</f>
        <v>0.35935569746055224</v>
      </c>
      <c r="G142" s="28">
        <f t="shared" si="15"/>
        <v>0.19009439009719392</v>
      </c>
      <c r="H142" s="25" cm="1">
        <f t="array" ref="H142">(H68-MIN($H$3:$H$74))/(MAX($H$3:$H$74-MIN($H$3:$H$74)))</f>
        <v>0.5645149375714954</v>
      </c>
      <c r="I142" s="25" cm="1">
        <f t="array" ref="I142">(I68-MIN($H$3:$H$74))/(MAX($H$3:$H$74-MIN($H$3:$H$74)))</f>
        <v>0.59512226970078641</v>
      </c>
      <c r="J142" s="25" cm="1">
        <f t="array" ref="J142">(J68-MIN($H$3:$H$74))/(MAX($H$3:$H$74-MIN($H$3:$H$74)))</f>
        <v>2.7260859129792405</v>
      </c>
      <c r="K142" s="25" cm="1">
        <f t="array" ref="K142">(K68-MIN($H$3:$H$74))/(MAX($H$3:$H$74-MIN($H$3:$H$74)))</f>
        <v>0.55458441038860884</v>
      </c>
      <c r="L142" s="28">
        <f t="shared" si="16"/>
        <v>1.2952410400838408</v>
      </c>
      <c r="M142" s="24" cm="1">
        <f t="array" ref="M142">(M68-MIN($N$3:$N$74))/(MAX($N$3:$N$74-MIN($N$3:$N$74)))</f>
        <v>9.5120955187397965E-2</v>
      </c>
      <c r="N142" s="24" cm="1">
        <f t="array" ref="N142">(N68-MIN($N$3:$N$74))/(MAX($N$3:$N$74-MIN($N$3:$N$74)))</f>
        <v>9.5120955187397965E-2</v>
      </c>
      <c r="O142" s="24" cm="1">
        <f t="array" ref="O142">(O68-MIN($N$3:$N$74))/(MAX($N$3:$N$74-MIN($N$3:$N$74)))</f>
        <v>0.11912039525687042</v>
      </c>
      <c r="P142" s="24" cm="1">
        <f t="array" ref="P142">(P68-MIN($N$3:$N$74))/(MAX($N$3:$N$74-MIN($N$3:$N$74)))</f>
        <v>0.12951532639527283</v>
      </c>
      <c r="Q142" s="24" cm="1">
        <f t="array" ref="Q142">(Q68-MIN($N$3:$N$74))/(MAX($N$3:$N$74-MIN($N$3:$N$74)))</f>
        <v>0.12260455749327138</v>
      </c>
      <c r="R142" s="28">
        <f t="shared" si="17"/>
        <v>0.1097194080067348</v>
      </c>
      <c r="S142" s="30" cm="1">
        <f t="array" ref="S142">(S68-MIN($S$3:$S$74))/(MAX($S$3:$S$74-MIN($S$3:$S$74)))</f>
        <v>0.55737059915914289</v>
      </c>
      <c r="T142" s="24" cm="1">
        <f t="array" ref="T142">(T68-MIN($T$3:$T$74))/(MAX($T$3:$T$74-MIN($T$3:$T$74)))</f>
        <v>2.1952114602527661E-2</v>
      </c>
      <c r="U142" s="24" cm="1">
        <f t="array" ref="U142">(U68-MIN($T$3:$T$74))/(MAX($T$3:$T$74-MIN($T$3:$T$74)))</f>
        <v>6.0367603426968224E-2</v>
      </c>
      <c r="V142" s="24" cm="1">
        <f t="array" ref="V142">(V68-MIN($T$3:$T$74))/(MAX($T$3:$T$74-MIN($T$3:$T$74)))</f>
        <v>0.77025939167762714</v>
      </c>
      <c r="W142" s="24" cm="1">
        <f t="array" ref="W142">(W68-MIN($T$3:$T$74))/(MAX($T$3:$T$74-MIN($T$3:$T$74)))</f>
        <v>6.6589584160825471E-2</v>
      </c>
      <c r="X142" s="28">
        <f t="shared" si="18"/>
        <v>0.35248742721656645</v>
      </c>
      <c r="Y142" s="24" cm="1">
        <f t="array" ref="Y142">(Y68-MIN($Y$3:$Y$74))/(MAX($Y$3:$Y$74-MIN($Y$3:$Y$74)))</f>
        <v>0.73121328182515721</v>
      </c>
      <c r="Z142" s="24">
        <f t="shared" ref="Z142:AB148" si="26">(Z68-MIN($Z$3:$Z$74))/(MAX($Z$3:$Z$74)-MIN($Z$3:$Z$74))</f>
        <v>0.42383432691361111</v>
      </c>
      <c r="AA142" s="24">
        <f t="shared" si="26"/>
        <v>0.42566663395331339</v>
      </c>
      <c r="AB142" s="24">
        <f t="shared" si="26"/>
        <v>0.42846405007524269</v>
      </c>
      <c r="AC142" s="24">
        <f t="shared" ref="AC142" si="27">(AC68-MIN($Z$3:$Z$74))/(MAX($Z$3:$Z$74)-MIN($Z$3:$Z$74))</f>
        <v>0.47306802212783583</v>
      </c>
      <c r="AD142" s="28">
        <f t="shared" si="24"/>
        <v>0.50229457319183113</v>
      </c>
      <c r="AE142" s="29">
        <f t="shared" si="25"/>
        <v>-1.1404366243075921E-2</v>
      </c>
    </row>
    <row r="143" spans="1:31" ht="15" customHeight="1">
      <c r="A143" s="38" t="s">
        <v>92</v>
      </c>
      <c r="B143" s="24"/>
      <c r="C143" s="24" cm="1">
        <f t="array" ref="C143">(C69-MIN($B$3:$B$74))/(MAX($B$3:$B$74-MIN($B$3:$B$74)))</f>
        <v>0.12571991444565417</v>
      </c>
      <c r="D143" s="24" cm="1">
        <f t="array" ref="D143">(D69-MIN($B$3:$B$74))/(MAX($B$3:$B$74-MIN($B$3:$B$74)))</f>
        <v>0.12581543948508428</v>
      </c>
      <c r="E143" s="24" cm="1">
        <f t="array" ref="E143">(E69-MIN($B$3:$B$74))/(MAX($B$3:$B$74-MIN($B$3:$B$74)))</f>
        <v>0.12850933437259104</v>
      </c>
      <c r="F143" s="24" cm="1">
        <f t="array" ref="F143">(F69-MIN($B$3:$B$74))/(MAX($B$3:$B$74-MIN($B$3:$B$74)))</f>
        <v>0.12902060299501159</v>
      </c>
      <c r="G143" s="28">
        <f t="shared" si="15"/>
        <v>0.12668156276777651</v>
      </c>
      <c r="H143" s="25"/>
      <c r="I143" s="25" cm="1">
        <f t="array" ref="I143">(I69-MIN($H$3:$H$74))/(MAX($H$3:$H$74-MIN($H$3:$H$74)))</f>
        <v>0.5697746845396604</v>
      </c>
      <c r="J143" s="25" cm="1">
        <f t="array" ref="J143">(J69-MIN($H$3:$H$74))/(MAX($H$3:$H$74-MIN($H$3:$H$74)))</f>
        <v>0.734376268239882</v>
      </c>
      <c r="K143" s="25" cm="1">
        <f t="array" ref="K143">(K69-MIN($H$3:$H$74))/(MAX($H$3:$H$74-MIN($H$3:$H$74)))</f>
        <v>0.57493550673781735</v>
      </c>
      <c r="L143" s="28">
        <f t="shared" si="16"/>
        <v>0.65207547638977115</v>
      </c>
      <c r="M143" s="24"/>
      <c r="N143" s="24" cm="1">
        <f t="array" ref="N143">(N69-MIN($N$3:$N$74))/(MAX($N$3:$N$74-MIN($N$3:$N$74)))</f>
        <v>8.8743319397677878E-2</v>
      </c>
      <c r="O143" s="24" cm="1">
        <f t="array" ref="O143">(O69-MIN($N$3:$N$74))/(MAX($N$3:$N$74-MIN($N$3:$N$74)))</f>
        <v>9.4431666994087018E-2</v>
      </c>
      <c r="P143" s="24" cm="1">
        <f t="array" ref="P143">(P69-MIN($N$3:$N$74))/(MAX($N$3:$N$74-MIN($N$3:$N$74)))</f>
        <v>-1.759441041912066E-2</v>
      </c>
      <c r="Q143" s="24" cm="1">
        <f t="array" ref="Q143">(Q69-MIN($N$3:$N$74))/(MAX($N$3:$N$74-MIN($N$3:$N$74)))</f>
        <v>4.8763699969948905E-3</v>
      </c>
      <c r="R143" s="28">
        <f t="shared" si="17"/>
        <v>5.5193525324214739E-2</v>
      </c>
      <c r="S143" s="30"/>
      <c r="T143" s="24" cm="1">
        <f t="array" ref="T143">(T69-MIN($T$3:$T$74))/(MAX($T$3:$T$74-MIN($T$3:$T$74)))</f>
        <v>0.14384828503403951</v>
      </c>
      <c r="U143" s="24" cm="1">
        <f t="array" ref="U143">(U69-MIN($T$3:$T$74))/(MAX($T$3:$T$74-MIN($T$3:$T$74)))</f>
        <v>0.1210411094887678</v>
      </c>
      <c r="V143" s="24" cm="1">
        <f t="array" ref="V143">(V69-MIN($T$3:$T$74))/(MAX($T$3:$T$74-MIN($T$3:$T$74)))</f>
        <v>-2.9976393811286382E-2</v>
      </c>
      <c r="W143" s="24" cm="1">
        <f t="array" ref="W143">(W69-MIN($T$3:$T$74))/(MAX($T$3:$T$74-MIN($T$3:$T$74)))</f>
        <v>0.11741810991150799</v>
      </c>
      <c r="X143" s="28">
        <f t="shared" si="18"/>
        <v>7.8304333570506965E-2</v>
      </c>
      <c r="Y143" s="24"/>
      <c r="Z143" s="24">
        <f t="shared" si="26"/>
        <v>0.26563685138912058</v>
      </c>
      <c r="AA143" s="24">
        <f t="shared" si="26"/>
        <v>0.27068762754526637</v>
      </c>
      <c r="AB143" s="24">
        <f t="shared" si="26"/>
        <v>0.2773739313319295</v>
      </c>
      <c r="AC143" s="24">
        <f t="shared" ref="AC143" si="28">(AC69-MIN($Z$3:$Z$74))/(MAX($Z$3:$Z$74)-MIN($Z$3:$Z$74))</f>
        <v>0.28433372520754208</v>
      </c>
      <c r="AD143" s="28">
        <f t="shared" si="24"/>
        <v>0.27123280342210548</v>
      </c>
      <c r="AE143" s="29">
        <f t="shared" ref="AE143:AE148" si="29">(AE69-MIN($AE$3:$AE$74))/(MAX($AE$3:$AE$74)-MIN($AE$3:$AE$74))</f>
        <v>-1.1404366243075921E-2</v>
      </c>
    </row>
    <row r="144" spans="1:31" ht="15" customHeight="1">
      <c r="A144" s="38" t="s">
        <v>93</v>
      </c>
      <c r="B144" s="24" cm="1">
        <f t="array" ref="B144">(B70-MIN($B$3:$B$74))/(MAX($B$3:$B$74-MIN($B$3:$B$74)))</f>
        <v>0.35648724838156381</v>
      </c>
      <c r="C144" s="24" cm="1">
        <f t="array" ref="C144">(C70-MIN($B$3:$B$74))/(MAX($B$3:$B$74-MIN($B$3:$B$74)))</f>
        <v>0.560309047679735</v>
      </c>
      <c r="D144" s="24" cm="1">
        <f t="array" ref="D144">(D70-MIN($B$3:$B$74))/(MAX($B$3:$B$74-MIN($B$3:$B$74)))</f>
        <v>0.52044818394178693</v>
      </c>
      <c r="E144" s="24" cm="1">
        <f t="array" ref="E144">(E70-MIN($B$3:$B$74))/(MAX($B$3:$B$74-MIN($B$3:$B$74)))</f>
        <v>2.4706744692675686</v>
      </c>
      <c r="F144" s="24" cm="1">
        <f t="array" ref="F144">(F70-MIN($B$3:$B$74))/(MAX($B$3:$B$74-MIN($B$3:$B$74)))</f>
        <v>2.7729836419697595</v>
      </c>
      <c r="G144" s="28">
        <f t="shared" si="15"/>
        <v>0.97697973731766363</v>
      </c>
      <c r="H144" s="25" cm="1">
        <f t="array" ref="H144">(H70-MIN($H$3:$H$74))/(MAX($H$3:$H$74-MIN($H$3:$H$74)))</f>
        <v>0.60128381407772691</v>
      </c>
      <c r="I144" s="25" cm="1">
        <f t="array" ref="I144">(I70-MIN($H$3:$H$74))/(MAX($H$3:$H$74-MIN($H$3:$H$74)))</f>
        <v>0.56070247937943507</v>
      </c>
      <c r="J144" s="25" cm="1">
        <f t="array" ref="J144">(J70-MIN($H$3:$H$74))/(MAX($H$3:$H$74-MIN($H$3:$H$74)))</f>
        <v>0.7699148289278458</v>
      </c>
      <c r="K144" s="25" cm="1">
        <f t="array" ref="K144">(K70-MIN($H$3:$H$74))/(MAX($H$3:$H$74-MIN($H$3:$H$74)))</f>
        <v>0.56986599975773711</v>
      </c>
      <c r="L144" s="28">
        <f t="shared" si="16"/>
        <v>0.64396704079500255</v>
      </c>
      <c r="M144" s="24" cm="1">
        <f t="array" ref="M144">(M70-MIN($N$3:$N$74))/(MAX($N$3:$N$74-MIN($N$3:$N$74)))</f>
        <v>0.16421437544459902</v>
      </c>
      <c r="N144" s="24" cm="1">
        <f t="array" ref="N144">(N70-MIN($N$3:$N$74))/(MAX($N$3:$N$74-MIN($N$3:$N$74)))</f>
        <v>0.19097573883294733</v>
      </c>
      <c r="O144" s="24" cm="1">
        <f t="array" ref="O144">(O70-MIN($N$3:$N$74))/(MAX($N$3:$N$74-MIN($N$3:$N$74)))</f>
        <v>0.17749839934497796</v>
      </c>
      <c r="P144" s="24" cm="1">
        <f t="array" ref="P144">(P70-MIN($N$3:$N$74))/(MAX($N$3:$N$74-MIN($N$3:$N$74)))</f>
        <v>0.18220843476808238</v>
      </c>
      <c r="Q144" s="24" cm="1">
        <f t="array" ref="Q144">(Q70-MIN($N$3:$N$74))/(MAX($N$3:$N$74-MIN($N$3:$N$74)))</f>
        <v>0.15075007591416112</v>
      </c>
      <c r="R144" s="28">
        <f t="shared" si="17"/>
        <v>0.17872423709765167</v>
      </c>
      <c r="S144" s="30" cm="1">
        <f t="array" ref="S144">(S70-MIN($S$3:$S$74))/(MAX($S$3:$S$74-MIN($S$3:$S$74)))</f>
        <v>0.7096375667992314</v>
      </c>
      <c r="T144" s="24" cm="1">
        <f t="array" ref="T144">(T70-MIN($T$3:$T$74))/(MAX($T$3:$T$74-MIN($T$3:$T$74)))</f>
        <v>9.7381924858389216E-2</v>
      </c>
      <c r="U144" s="24" cm="1">
        <f t="array" ref="U144">(U70-MIN($T$3:$T$74))/(MAX($T$3:$T$74-MIN($T$3:$T$74)))</f>
        <v>9.4078511482757435E-2</v>
      </c>
      <c r="V144" s="24" cm="1">
        <f t="array" ref="V144">(V70-MIN($T$3:$T$74))/(MAX($T$3:$T$74-MIN($T$3:$T$74)))</f>
        <v>0.1799314890604532</v>
      </c>
      <c r="W144" s="24" cm="1">
        <f t="array" ref="W144">(W70-MIN($T$3:$T$74))/(MAX($T$3:$T$74-MIN($T$3:$T$74)))</f>
        <v>8.3452557580065118E-2</v>
      </c>
      <c r="X144" s="28">
        <f t="shared" si="18"/>
        <v>0.27025737305020781</v>
      </c>
      <c r="Y144" s="24" cm="1">
        <f t="array" ref="Y144">(Y70-MIN($Y$3:$Y$74))/(MAX($Y$3:$Y$74-MIN($Y$3:$Y$74)))</f>
        <v>0.94030845105693894</v>
      </c>
      <c r="Z144" s="24">
        <f t="shared" si="26"/>
        <v>0.49859902901077735</v>
      </c>
      <c r="AA144" s="24">
        <f t="shared" si="26"/>
        <v>0.50559097703359102</v>
      </c>
      <c r="AB144" s="24">
        <f t="shared" si="26"/>
        <v>0.48946643340954088</v>
      </c>
      <c r="AC144" s="24">
        <f t="shared" ref="AC144" si="30">(AC70-MIN($Z$3:$Z$74))/(MAX($Z$3:$Z$74)-MIN($Z$3:$Z$74))</f>
        <v>0.47434543022367665</v>
      </c>
      <c r="AD144" s="28">
        <f t="shared" si="24"/>
        <v>0.60849122262771205</v>
      </c>
      <c r="AE144" s="29">
        <f t="shared" si="29"/>
        <v>6.3049853372434017E-2</v>
      </c>
    </row>
    <row r="145" spans="1:31" ht="15" customHeight="1">
      <c r="A145" s="38" t="s">
        <v>94</v>
      </c>
      <c r="B145" s="24" cm="1">
        <f t="array" ref="B145">(B71-MIN($B$3:$B$74))/(MAX($B$3:$B$74-MIN($B$3:$B$74)))</f>
        <v>0.15689100600241584</v>
      </c>
      <c r="C145" s="24" cm="1">
        <f t="array" ref="C145">(C71-MIN($B$3:$B$74))/(MAX($B$3:$B$74-MIN($B$3:$B$74)))</f>
        <v>0.16786418676520287</v>
      </c>
      <c r="D145" s="24" cm="1">
        <f t="array" ref="D145">(D71-MIN($B$3:$B$74))/(MAX($B$3:$B$74-MIN($B$3:$B$74)))</f>
        <v>0.1683629575492851</v>
      </c>
      <c r="E145" s="24" cm="1">
        <f t="array" ref="E145">(E71-MIN($B$3:$B$74))/(MAX($B$3:$B$74-MIN($B$3:$B$74)))</f>
        <v>0.17031415973634509</v>
      </c>
      <c r="F145" s="24" cm="1">
        <f t="array" ref="F145">(F71-MIN($B$3:$B$74))/(MAX($B$3:$B$74-MIN($B$3:$B$74)))</f>
        <v>0.17031127295605386</v>
      </c>
      <c r="G145" s="28">
        <f t="shared" si="15"/>
        <v>0.16585807751331222</v>
      </c>
      <c r="H145" s="25" cm="1">
        <f t="array" ref="H145">(H71-MIN($H$3:$H$74))/(MAX($H$3:$H$74-MIN($H$3:$H$74)))</f>
        <v>0.57948392855247044</v>
      </c>
      <c r="I145" s="25" cm="1">
        <f t="array" ref="I145">(I71-MIN($H$3:$H$74))/(MAX($H$3:$H$74-MIN($H$3:$H$74)))</f>
        <v>0.5650149513221826</v>
      </c>
      <c r="J145" s="25" cm="1">
        <f t="array" ref="J145">(J71-MIN($H$3:$H$74))/(MAX($H$3:$H$74-MIN($H$3:$H$74)))</f>
        <v>0.56644771173170683</v>
      </c>
      <c r="K145" s="25" cm="1">
        <f t="array" ref="K145">(K71-MIN($H$3:$H$74))/(MAX($H$3:$H$74-MIN($H$3:$H$74)))</f>
        <v>0.56451220532283886</v>
      </c>
      <c r="L145" s="28">
        <f t="shared" si="16"/>
        <v>0.57031553053545336</v>
      </c>
      <c r="M145" s="24" cm="1">
        <f t="array" ref="M145">(M71-MIN($N$3:$N$74))/(MAX($N$3:$N$74-MIN($N$3:$N$74)))</f>
        <v>0.46809459150313737</v>
      </c>
      <c r="N145" s="24" cm="1">
        <f t="array" ref="N145">(N71-MIN($N$3:$N$74))/(MAX($N$3:$N$74-MIN($N$3:$N$74)))</f>
        <v>0.5320184507221748</v>
      </c>
      <c r="O145" s="24" cm="1">
        <f t="array" ref="O145">(O71-MIN($N$3:$N$74))/(MAX($N$3:$N$74-MIN($N$3:$N$74)))</f>
        <v>0.46956978319981307</v>
      </c>
      <c r="P145" s="24" cm="1">
        <f t="array" ref="P145">(P71-MIN($N$3:$N$74))/(MAX($N$3:$N$74-MIN($N$3:$N$74)))</f>
        <v>0.40284185404627115</v>
      </c>
      <c r="Q145" s="24" cm="1">
        <f t="array" ref="Q145">(Q71-MIN($N$3:$N$74))/(MAX($N$3:$N$74-MIN($N$3:$N$74)))</f>
        <v>0.35744463092593998</v>
      </c>
      <c r="R145" s="28">
        <f t="shared" si="17"/>
        <v>0.46813116986784908</v>
      </c>
      <c r="S145" s="30" cm="1">
        <f t="array" ref="S145">(S71-MIN($S$3:$S$74))/(MAX($S$3:$S$74-MIN($S$3:$S$74)))</f>
        <v>0.74048480975917685</v>
      </c>
      <c r="T145" s="24" cm="1">
        <f t="array" ref="T145">(T71-MIN($T$3:$T$74))/(MAX($T$3:$T$74-MIN($T$3:$T$74)))</f>
        <v>0.10634466517575615</v>
      </c>
      <c r="U145" s="24" cm="1">
        <f t="array" ref="U145">(U71-MIN($T$3:$T$74))/(MAX($T$3:$T$74-MIN($T$3:$T$74)))</f>
        <v>0.10310181625296254</v>
      </c>
      <c r="V145" s="24" cm="1">
        <f t="array" ref="V145">(V71-MIN($T$3:$T$74))/(MAX($T$3:$T$74-MIN($T$3:$T$74)))</f>
        <v>0.10153886774931602</v>
      </c>
      <c r="W145" s="24" cm="1">
        <f t="array" ref="W145">(W71-MIN($T$3:$T$74))/(MAX($T$3:$T$74-MIN($T$3:$T$74)))</f>
        <v>9.4613273541090184E-2</v>
      </c>
      <c r="X145" s="28">
        <f t="shared" si="18"/>
        <v>0.26286753973430288</v>
      </c>
      <c r="Y145" s="24" cm="1">
        <f t="array" ref="Y145">(Y71-MIN($Y$3:$Y$74))/(MAX($Y$3:$Y$74-MIN($Y$3:$Y$74)))</f>
        <v>0.66037620342816861</v>
      </c>
      <c r="Z145" s="24">
        <f t="shared" si="26"/>
        <v>0.38611597471707032</v>
      </c>
      <c r="AA145" s="24">
        <f t="shared" si="26"/>
        <v>0.38852268339994328</v>
      </c>
      <c r="AB145" s="24">
        <f t="shared" si="26"/>
        <v>0.15697601248378179</v>
      </c>
      <c r="AC145" s="24">
        <f t="shared" ref="AC145" si="31">(AC71-MIN($Z$3:$Z$74))/(MAX($Z$3:$Z$74)-MIN($Z$3:$Z$74))</f>
        <v>0.3952317405488035</v>
      </c>
      <c r="AD145" s="28">
        <f t="shared" si="24"/>
        <v>0.39799771850724103</v>
      </c>
      <c r="AE145" s="29">
        <f t="shared" si="29"/>
        <v>0.23639622026718804</v>
      </c>
    </row>
    <row r="146" spans="1:31" ht="15" customHeight="1">
      <c r="A146" s="38" t="s">
        <v>95</v>
      </c>
      <c r="B146" s="24" cm="1">
        <f t="array" ref="B146">(B72-MIN($B$3:$B$74))/(MAX($B$3:$B$74-MIN($B$3:$B$74)))</f>
        <v>0.14060260477680037</v>
      </c>
      <c r="C146" s="24" cm="1">
        <f t="array" ref="C146">(C72-MIN($B$3:$B$74))/(MAX($B$3:$B$74-MIN($B$3:$B$74)))</f>
        <v>0.13893037197064403</v>
      </c>
      <c r="D146" s="24" cm="1">
        <f t="array" ref="D146">(D72-MIN($B$3:$B$74))/(MAX($B$3:$B$74-MIN($B$3:$B$74)))</f>
        <v>0.13644856571454536</v>
      </c>
      <c r="E146" s="24" cm="1">
        <f t="array" ref="E146">(E72-MIN($B$3:$B$74))/(MAX($B$3:$B$74-MIN($B$3:$B$74)))</f>
        <v>0.13202170230424221</v>
      </c>
      <c r="F146" s="24" cm="1">
        <f t="array" ref="F146">(F72-MIN($B$3:$B$74))/(MAX($B$3:$B$74-MIN($B$3:$B$74)))</f>
        <v>0.137131234162197</v>
      </c>
      <c r="G146" s="28">
        <f t="shared" si="15"/>
        <v>0.13700081119155799</v>
      </c>
      <c r="H146" s="25" cm="1">
        <f t="array" ref="H146">(H72-MIN($H$3:$H$74))/(MAX($H$3:$H$74-MIN($H$3:$H$74)))</f>
        <v>0.55960398449983495</v>
      </c>
      <c r="I146" s="25" cm="1">
        <f t="array" ref="I146">(I72-MIN($H$3:$H$74))/(MAX($H$3:$H$74-MIN($H$3:$H$74)))</f>
        <v>0.55624803939441314</v>
      </c>
      <c r="J146" s="25" cm="1">
        <f t="array" ref="J146">(J72-MIN($H$3:$H$74))/(MAX($H$3:$H$74-MIN($H$3:$H$74)))</f>
        <v>0.54610025991476774</v>
      </c>
      <c r="K146" s="25" cm="1">
        <f t="array" ref="K146">(K72-MIN($H$3:$H$74))/(MAX($H$3:$H$74-MIN($H$3:$H$74)))</f>
        <v>0.60272808303956416</v>
      </c>
      <c r="L146" s="28">
        <f t="shared" si="16"/>
        <v>0.55398409460300535</v>
      </c>
      <c r="M146" s="24" cm="1">
        <f t="array" ref="M146">(M72-MIN($N$3:$N$74))/(MAX($N$3:$N$74-MIN($N$3:$N$74)))</f>
        <v>0.38796998160249996</v>
      </c>
      <c r="N146" s="24" cm="1">
        <f t="array" ref="N146">(N72-MIN($N$3:$N$74))/(MAX($N$3:$N$74-MIN($N$3:$N$74)))</f>
        <v>0.38034363877764216</v>
      </c>
      <c r="O146" s="24" cm="1">
        <f t="array" ref="O146">(O72-MIN($N$3:$N$74))/(MAX($N$3:$N$74-MIN($N$3:$N$74)))</f>
        <v>0.3856329909907974</v>
      </c>
      <c r="P146" s="24" cm="1">
        <f t="array" ref="P146">(P72-MIN($N$3:$N$74))/(MAX($N$3:$N$74-MIN($N$3:$N$74)))</f>
        <v>0.36295831891170077</v>
      </c>
      <c r="Q146" s="24" cm="1">
        <f t="array" ref="Q146">(Q72-MIN($N$3:$N$74))/(MAX($N$3:$N$74-MIN($N$3:$N$74)))</f>
        <v>0.3949156070455811</v>
      </c>
      <c r="R146" s="28">
        <f t="shared" si="17"/>
        <v>0.37922623257066007</v>
      </c>
      <c r="S146" s="30" cm="1">
        <f t="array" ref="S146">(S72-MIN($S$3:$S$74))/(MAX($S$3:$S$74-MIN($S$3:$S$74)))</f>
        <v>0.78452131473537956</v>
      </c>
      <c r="T146" s="24" cm="1">
        <f t="array" ref="T146">(T72-MIN($T$3:$T$74))/(MAX($T$3:$T$74-MIN($T$3:$T$74)))</f>
        <v>0.11528142004272997</v>
      </c>
      <c r="U146" s="24" cm="1">
        <f t="array" ref="U146">(U72-MIN($T$3:$T$74))/(MAX($T$3:$T$74-MIN($T$3:$T$74)))</f>
        <v>0.10854682203778457</v>
      </c>
      <c r="V146" s="24" cm="1">
        <f t="array" ref="V146">(V72-MIN($T$3:$T$74))/(MAX($T$3:$T$74-MIN($T$3:$T$74)))</f>
        <v>9.481194498229481E-2</v>
      </c>
      <c r="W146" s="24" cm="1">
        <f t="array" ref="W146">(W72-MIN($T$3:$T$74))/(MAX($T$3:$T$74-MIN($T$3:$T$74)))</f>
        <v>0.10879800924094235</v>
      </c>
      <c r="X146" s="28">
        <f t="shared" si="18"/>
        <v>0.27579037544954726</v>
      </c>
      <c r="Y146" s="24" cm="1">
        <f t="array" ref="Y146">(Y72-MIN($Y$3:$Y$74))/(MAX($Y$3:$Y$74-MIN($Y$3:$Y$74)))</f>
        <v>0.50415368044003206</v>
      </c>
      <c r="Z146" s="24">
        <f t="shared" si="26"/>
        <v>0.31647065732273427</v>
      </c>
      <c r="AA146" s="24">
        <f t="shared" si="26"/>
        <v>0.31647065732273427</v>
      </c>
      <c r="AB146" s="24">
        <f t="shared" si="26"/>
        <v>0.31647065732273427</v>
      </c>
      <c r="AC146" s="24">
        <f t="shared" ref="AC146" si="32">(AC72-MIN($Z$3:$Z$74))/(MAX($Z$3:$Z$74)-MIN($Z$3:$Z$74))</f>
        <v>0.31647065732273427</v>
      </c>
      <c r="AD146" s="28">
        <f t="shared" si="24"/>
        <v>0.36339141310205869</v>
      </c>
      <c r="AE146" s="29">
        <f t="shared" si="29"/>
        <v>0.20755946562398178</v>
      </c>
    </row>
    <row r="147" spans="1:31" ht="15" customHeight="1">
      <c r="A147" s="38" t="s">
        <v>96</v>
      </c>
      <c r="B147" s="24" cm="1">
        <f t="array" ref="B147">(B73-MIN($B$3:$B$74))/(MAX($B$3:$B$74-MIN($B$3:$B$74)))</f>
        <v>0.13663749084608109</v>
      </c>
      <c r="C147" s="24" cm="1">
        <f t="array" ref="C147">(C73-MIN($B$3:$B$74))/(MAX($B$3:$B$74-MIN($B$3:$B$74)))</f>
        <v>0.15464713403333169</v>
      </c>
      <c r="D147" s="24" cm="1">
        <f t="array" ref="D147">(D73-MIN($B$3:$B$74))/(MAX($B$3:$B$74-MIN($B$3:$B$74)))</f>
        <v>0.15004151375794941</v>
      </c>
      <c r="E147" s="24" cm="1">
        <f t="array" ref="E147">(E73-MIN($B$3:$B$74))/(MAX($B$3:$B$74-MIN($B$3:$B$74)))</f>
        <v>0.22264370438723835</v>
      </c>
      <c r="F147" s="24" cm="1">
        <f t="array" ref="F147">(F73-MIN($B$3:$B$74))/(MAX($B$3:$B$74-MIN($B$3:$B$74)))</f>
        <v>0.22992247376809979</v>
      </c>
      <c r="G147" s="28">
        <f t="shared" si="15"/>
        <v>0.16599246075615012</v>
      </c>
      <c r="H147" s="25" cm="1">
        <f t="array" ref="H147">(H73-MIN($H$3:$H$74))/(MAX($H$3:$H$74-MIN($H$3:$H$74)))</f>
        <v>0.63803817178649302</v>
      </c>
      <c r="I147" s="25" cm="1">
        <f t="array" ref="I147">(I73-MIN($H$3:$H$74))/(MAX($H$3:$H$74-MIN($H$3:$H$74)))</f>
        <v>0.55773182754531447</v>
      </c>
      <c r="J147" s="25" cm="1">
        <f t="array" ref="J147">(J73-MIN($H$3:$H$74))/(MAX($H$3:$H$74-MIN($H$3:$H$74)))</f>
        <v>0.69233833646043763</v>
      </c>
      <c r="K147" s="25" cm="1">
        <f t="array" ref="K147">(K73-MIN($H$3:$H$74))/(MAX($H$3:$H$74-MIN($H$3:$H$74)))</f>
        <v>0.56765545320648192</v>
      </c>
      <c r="L147" s="28">
        <f t="shared" si="16"/>
        <v>0.62936944526408167</v>
      </c>
      <c r="M147" s="24" cm="1">
        <f t="array" ref="M147">(M73-MIN($N$3:$N$74))/(MAX($N$3:$N$74-MIN($N$3:$N$74)))</f>
        <v>0.17297688172135492</v>
      </c>
      <c r="N147" s="24" cm="1">
        <f t="array" ref="N147">(N73-MIN($N$3:$N$74))/(MAX($N$3:$N$74-MIN($N$3:$N$74)))</f>
        <v>0.22083249252333631</v>
      </c>
      <c r="O147" s="24" cm="1">
        <f t="array" ref="O147">(O73-MIN($N$3:$N$74))/(MAX($N$3:$N$74-MIN($N$3:$N$74)))</f>
        <v>0.20081548813981584</v>
      </c>
      <c r="P147" s="24" cm="1">
        <f t="array" ref="P147">(P73-MIN($N$3:$N$74))/(MAX($N$3:$N$74-MIN($N$3:$N$74)))</f>
        <v>0.21051905022152823</v>
      </c>
      <c r="Q147" s="24" cm="1">
        <f t="array" ref="Q147">(Q73-MIN($N$3:$N$74))/(MAX($N$3:$N$74-MIN($N$3:$N$74)))</f>
        <v>0.21510116440561913</v>
      </c>
      <c r="R147" s="28">
        <f t="shared" si="17"/>
        <v>0.20128597815150884</v>
      </c>
      <c r="S147" s="30" cm="1">
        <f t="array" ref="S147">(S73-MIN($S$3:$S$74))/(MAX($S$3:$S$74-MIN($S$3:$S$74)))</f>
        <v>0.70541293356447843</v>
      </c>
      <c r="T147" s="24" cm="1">
        <f t="array" ref="T147">(T73-MIN($T$3:$T$74))/(MAX($T$3:$T$74-MIN($T$3:$T$74)))</f>
        <v>0.1025465133210844</v>
      </c>
      <c r="U147" s="24" cm="1">
        <f t="array" ref="U147">(U73-MIN($T$3:$T$74))/(MAX($T$3:$T$74-MIN($T$3:$T$74)))</f>
        <v>9.666587819977096E-2</v>
      </c>
      <c r="V147" s="24" cm="1">
        <f t="array" ref="V147">(V73-MIN($T$3:$T$74))/(MAX($T$3:$T$74-MIN($T$3:$T$74)))</f>
        <v>0.15791022719147693</v>
      </c>
      <c r="W147" s="24" cm="1">
        <f t="array" ref="W147">(W73-MIN($T$3:$T$74))/(MAX($T$3:$T$74-MIN($T$3:$T$74)))</f>
        <v>0.10014138854784599</v>
      </c>
      <c r="X147" s="28">
        <f t="shared" si="18"/>
        <v>0.26563388806920268</v>
      </c>
      <c r="Y147" s="24" cm="1">
        <f t="array" ref="Y147">(Y73-MIN($Y$3:$Y$74))/(MAX($Y$3:$Y$74-MIN($Y$3:$Y$74)))</f>
        <v>0.80108127034258358</v>
      </c>
      <c r="Z147" s="24">
        <f t="shared" si="26"/>
        <v>0.42732081014541418</v>
      </c>
      <c r="AA147" s="24">
        <f t="shared" si="26"/>
        <v>0.41921995271961399</v>
      </c>
      <c r="AB147" s="24">
        <f t="shared" si="26"/>
        <v>0.41489188877009187</v>
      </c>
      <c r="AC147" s="24">
        <f t="shared" ref="AC147" si="33">(AC73-MIN($Z$3:$Z$74))/(MAX($Z$3:$Z$74)-MIN($Z$3:$Z$74))</f>
        <v>0.41396013935953702</v>
      </c>
      <c r="AD147" s="28">
        <f t="shared" si="24"/>
        <v>0.515628480494426</v>
      </c>
      <c r="AE147" s="29">
        <f t="shared" si="29"/>
        <v>0.11616161616161617</v>
      </c>
    </row>
    <row r="148" spans="1:31" ht="15" customHeight="1">
      <c r="A148" s="38" t="s">
        <v>97</v>
      </c>
      <c r="B148" s="24" cm="1">
        <f t="array" ref="B148">(B74-MIN($B$3:$B$74))/(MAX($B$3:$B$74-MIN($B$3:$B$74)))</f>
        <v>0.26013741458250861</v>
      </c>
      <c r="C148" s="24" cm="1">
        <f t="array" ref="C148">(C74-MIN($B$3:$B$74))/(MAX($B$3:$B$74-MIN($B$3:$B$74)))</f>
        <v>0.22252112483327938</v>
      </c>
      <c r="D148" s="24" cm="1">
        <f t="array" ref="D148">(D74-MIN($B$3:$B$74))/(MAX($B$3:$B$74-MIN($B$3:$B$74)))</f>
        <v>0.31449199310876119</v>
      </c>
      <c r="E148" s="24" cm="1">
        <f t="array" ref="E148">(E74-MIN($B$3:$B$74))/(MAX($B$3:$B$74-MIN($B$3:$B$74)))</f>
        <v>1.079954684664066</v>
      </c>
      <c r="F148" s="24" cm="1">
        <f t="array" ref="F148">(F74-MIN($B$3:$B$74))/(MAX($B$3:$B$74-MIN($B$3:$B$74)))</f>
        <v>1.1390722932673614</v>
      </c>
      <c r="G148" s="28">
        <f t="shared" si="15"/>
        <v>0.46927630429715378</v>
      </c>
      <c r="H148" s="25" cm="1">
        <f t="array" ref="H148">(H74-MIN($H$3:$H$74))/(MAX($H$3:$H$74-MIN($H$3:$H$74)))</f>
        <v>0.55283756025845832</v>
      </c>
      <c r="I148" s="25" cm="1">
        <f t="array" ref="I148">(I74-MIN($H$3:$H$74))/(MAX($H$3:$H$74-MIN($H$3:$H$74)))</f>
        <v>0.60424755690071053</v>
      </c>
      <c r="J148" s="25" cm="1">
        <f t="array" ref="J148">(J74-MIN($H$3:$H$74))/(MAX($H$3:$H$74-MIN($H$3:$H$74)))</f>
        <v>0.73344501735912115</v>
      </c>
      <c r="K148" s="25" cm="1">
        <f t="array" ref="K148">(K74-MIN($H$3:$H$74))/(MAX($H$3:$H$74-MIN($H$3:$H$74)))</f>
        <v>0.56708763223982639</v>
      </c>
      <c r="L148" s="28">
        <f t="shared" si="16"/>
        <v>0.63017671150609667</v>
      </c>
      <c r="M148" s="24" cm="1">
        <f t="array" ref="M148">(M74-MIN($N$3:$N$74))/(MAX($N$3:$N$74-MIN($N$3:$N$74)))</f>
        <v>0.17704442586903277</v>
      </c>
      <c r="N148" s="24" cm="1">
        <f t="array" ref="N148">(N74-MIN($N$3:$N$74))/(MAX($N$3:$N$74-MIN($N$3:$N$74)))</f>
        <v>0.15978710131752316</v>
      </c>
      <c r="O148" s="24" cm="1">
        <f t="array" ref="O148">(O74-MIN($N$3:$N$74))/(MAX($N$3:$N$74-MIN($N$3:$N$74)))</f>
        <v>0.18527876388187353</v>
      </c>
      <c r="P148" s="24" cm="1">
        <f t="array" ref="P148">(P74-MIN($N$3:$N$74))/(MAX($N$3:$N$74-MIN($N$3:$N$74)))</f>
        <v>0.17757452839406587</v>
      </c>
      <c r="Q148" s="24" cm="1">
        <f t="array" ref="Q148">(Q74-MIN($N$3:$N$74))/(MAX($N$3:$N$74-MIN($N$3:$N$74)))</f>
        <v>0.17604519196881027</v>
      </c>
      <c r="R148" s="28">
        <f t="shared" si="17"/>
        <v>0.17492120486562382</v>
      </c>
      <c r="S148" s="30" cm="1">
        <f t="array" ref="S148">(S74-MIN($S$3:$S$74))/(MAX($S$3:$S$74-MIN($S$3:$S$74)))</f>
        <v>0.7213834687794346</v>
      </c>
      <c r="T148" s="24" cm="1">
        <f t="array" ref="T148">(T74-MIN($T$3:$T$74))/(MAX($T$3:$T$74-MIN($T$3:$T$74)))</f>
        <v>8.7804596287232944E-2</v>
      </c>
      <c r="U148" s="24" cm="1">
        <f t="array" ref="U148">(U74-MIN($T$3:$T$74))/(MAX($T$3:$T$74-MIN($T$3:$T$74)))</f>
        <v>9.790798790564699E-2</v>
      </c>
      <c r="V148" s="24" cm="1">
        <f t="array" ref="V148">(V74-MIN($T$3:$T$74))/(MAX($T$3:$T$74-MIN($T$3:$T$74)))</f>
        <v>0.18508961544881289</v>
      </c>
      <c r="W148" s="24" cm="1">
        <f t="array" ref="W148">(W74-MIN($T$3:$T$74))/(MAX($T$3:$T$74-MIN($T$3:$T$74)))</f>
        <v>9.3981046588538467E-2</v>
      </c>
      <c r="X148" s="28">
        <f t="shared" si="18"/>
        <v>0.27304641710528188</v>
      </c>
      <c r="Y148" s="24" cm="1">
        <f t="array" ref="Y148">(Y74-MIN($Y$3:$Y$74))/(MAX($Y$3:$Y$74-MIN($Y$3:$Y$74)))</f>
        <v>0.75438061076866747</v>
      </c>
      <c r="Z148" s="24">
        <f t="shared" si="26"/>
        <v>0.44169959783847729</v>
      </c>
      <c r="AA148" s="24">
        <f t="shared" si="26"/>
        <v>0.43400967392360645</v>
      </c>
      <c r="AB148" s="24">
        <f t="shared" si="26"/>
        <v>0.45769531949701903</v>
      </c>
      <c r="AC148" s="24">
        <f t="shared" ref="AC148" si="34">(AC74-MIN($Z$3:$Z$74))/(MAX($Z$3:$Z$74)-MIN($Z$3:$Z$74))</f>
        <v>0.47095180115815471</v>
      </c>
      <c r="AD148" s="28">
        <f t="shared" si="24"/>
        <v>0.52194630050694246</v>
      </c>
      <c r="AE148" s="29">
        <f t="shared" si="29"/>
        <v>0.19110459433040081</v>
      </c>
    </row>
  </sheetData>
  <mergeCells count="12">
    <mergeCell ref="H76:K76"/>
    <mergeCell ref="B76:F76"/>
    <mergeCell ref="M76:Q76"/>
    <mergeCell ref="S76:W76"/>
    <mergeCell ref="Y76:AC76"/>
    <mergeCell ref="AG1:AH1"/>
    <mergeCell ref="A75:AH75"/>
    <mergeCell ref="B1:F1"/>
    <mergeCell ref="H1:K1"/>
    <mergeCell ref="M1:Q1"/>
    <mergeCell ref="S1:W1"/>
    <mergeCell ref="Y1:AC1"/>
  </mergeCells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5AFD-F946-4C82-8855-86271CFC2335}">
  <dimension ref="A1:H73"/>
  <sheetViews>
    <sheetView tabSelected="1" workbookViewId="0">
      <selection activeCell="L15" sqref="L15"/>
    </sheetView>
  </sheetViews>
  <sheetFormatPr defaultRowHeight="14.5"/>
  <cols>
    <col min="1" max="1" width="37.1796875" bestFit="1" customWidth="1"/>
    <col min="2" max="2" width="13" customWidth="1"/>
    <col min="3" max="3" width="19.6328125" customWidth="1"/>
    <col min="4" max="4" width="14.453125" customWidth="1"/>
    <col min="5" max="6" width="13.6328125" customWidth="1"/>
    <col min="7" max="7" width="13.08984375" customWidth="1"/>
    <col min="8" max="8" width="12.453125" bestFit="1" customWidth="1"/>
  </cols>
  <sheetData>
    <row r="1" spans="1:8">
      <c r="A1" s="43" t="s">
        <v>104</v>
      </c>
      <c r="B1" s="44" t="s">
        <v>37</v>
      </c>
      <c r="C1" s="44" t="s">
        <v>98</v>
      </c>
      <c r="D1" s="44" t="s">
        <v>99</v>
      </c>
      <c r="E1" s="44" t="s">
        <v>100</v>
      </c>
      <c r="F1" s="44" t="s">
        <v>101</v>
      </c>
      <c r="G1" s="44" t="s">
        <v>102</v>
      </c>
      <c r="H1" s="45" t="s">
        <v>103</v>
      </c>
    </row>
    <row r="2" spans="1:8">
      <c r="A2" s="46" t="s">
        <v>82</v>
      </c>
      <c r="B2" s="47">
        <v>0.18095411412987567</v>
      </c>
      <c r="C2" s="47">
        <v>4.0840164813780575</v>
      </c>
      <c r="D2" s="47">
        <v>0.13422943545621929</v>
      </c>
      <c r="E2" s="47">
        <v>0.34228119490789299</v>
      </c>
      <c r="F2" s="47">
        <v>0.39291314338011785</v>
      </c>
      <c r="G2" s="47">
        <v>0.2901596611274031</v>
      </c>
      <c r="H2" s="48">
        <f>B2*0.1+C2*0.2+D2*0.15+E2*0.25+F2*0.15+G2*0.15</f>
        <v>1.0430643424101333</v>
      </c>
    </row>
    <row r="3" spans="1:8">
      <c r="A3" s="49" t="s">
        <v>60</v>
      </c>
      <c r="B3" s="50">
        <v>0.68028746542399832</v>
      </c>
      <c r="C3" s="50">
        <v>1.7587325799387574</v>
      </c>
      <c r="D3" s="50">
        <v>0.12378351381955992</v>
      </c>
      <c r="E3" s="50">
        <v>0.97189444100550015</v>
      </c>
      <c r="F3" s="50">
        <v>0.53077023670998991</v>
      </c>
      <c r="G3" s="50">
        <v>0.36673183447377</v>
      </c>
      <c r="H3" s="51">
        <v>0.77265430766446197</v>
      </c>
    </row>
    <row r="4" spans="1:8">
      <c r="A4" s="46" t="s">
        <v>90</v>
      </c>
      <c r="B4" s="47">
        <v>0.3767567006428324</v>
      </c>
      <c r="C4" s="47">
        <v>0.69361321831697342</v>
      </c>
      <c r="D4" s="47">
        <v>0.2827060652918193</v>
      </c>
      <c r="E4" s="47">
        <v>0.76424100179959931</v>
      </c>
      <c r="F4" s="47">
        <v>0.63882037265589942</v>
      </c>
      <c r="G4" s="47">
        <v>-1.1404366243075921E-2</v>
      </c>
      <c r="H4" s="48">
        <v>0.55472502262909906</v>
      </c>
    </row>
    <row r="5" spans="1:8">
      <c r="A5" s="49" t="s">
        <v>46</v>
      </c>
      <c r="B5" s="50">
        <v>2.0760906395242413</v>
      </c>
      <c r="C5" s="50">
        <v>0.62340548051704536</v>
      </c>
      <c r="D5" s="50">
        <v>0.19643183416491217</v>
      </c>
      <c r="E5" s="50">
        <v>0.29404215192943223</v>
      </c>
      <c r="F5" s="50">
        <v>0.58462030404339838</v>
      </c>
      <c r="G5" s="50">
        <v>7.2987943955685891E-2</v>
      </c>
      <c r="H5" s="51">
        <f>B5*0.1+C5*0.2+D5*0.15+E5*0.25+F5*0.15+G5*0.15</f>
        <v>0.5339067103627908</v>
      </c>
    </row>
    <row r="6" spans="1:8">
      <c r="A6" s="46" t="s">
        <v>18</v>
      </c>
      <c r="B6" s="47">
        <v>0.69187615676732539</v>
      </c>
      <c r="C6" s="47">
        <v>0.57149859822627469</v>
      </c>
      <c r="D6" s="47">
        <v>0.75709638769221821</v>
      </c>
      <c r="E6" s="47">
        <v>0.34533819581760583</v>
      </c>
      <c r="F6" s="47">
        <v>0.3817001123067566</v>
      </c>
      <c r="G6" s="47">
        <v>0.12968393613554904</v>
      </c>
      <c r="H6" s="48">
        <v>0.49275736096252798</v>
      </c>
    </row>
    <row r="7" spans="1:8">
      <c r="A7" s="49" t="s">
        <v>87</v>
      </c>
      <c r="B7" s="50">
        <v>0.18259524085527107</v>
      </c>
      <c r="C7" s="50">
        <v>1.3833836065299876</v>
      </c>
      <c r="D7" s="50">
        <v>0.14023822054843083</v>
      </c>
      <c r="E7" s="50">
        <v>0.34627939182391498</v>
      </c>
      <c r="F7" s="50">
        <v>0.4039839241977376</v>
      </c>
      <c r="G7" s="50">
        <v>8.0645161290322592E-2</v>
      </c>
      <c r="H7" s="51">
        <f>B7*0.1+C7*0.2+D7*0.15+E7*0.25+F7*0.15+G7*0.15</f>
        <v>0.475236189252977</v>
      </c>
    </row>
    <row r="8" spans="1:8">
      <c r="A8" s="46" t="s">
        <v>47</v>
      </c>
      <c r="B8" s="47">
        <v>1.3053793280773638</v>
      </c>
      <c r="C8" s="47">
        <v>0.64408528188935854</v>
      </c>
      <c r="D8" s="47">
        <v>0.17926777808849748</v>
      </c>
      <c r="E8" s="47">
        <v>0.26721917103160653</v>
      </c>
      <c r="F8" s="47">
        <v>0.58447812021773193</v>
      </c>
      <c r="G8" s="47">
        <v>3.9263603779732814E-2</v>
      </c>
      <c r="H8" s="48">
        <f>B8*0.1+C8*0.2+D8*0.15+E8*0.25+F8*0.15+G8*0.15</f>
        <v>0.44661120725640402</v>
      </c>
    </row>
    <row r="9" spans="1:8">
      <c r="A9" s="49" t="s">
        <v>83</v>
      </c>
      <c r="B9" s="50">
        <v>0.14620207550814265</v>
      </c>
      <c r="C9" s="50">
        <v>0.61851477450832992</v>
      </c>
      <c r="D9" s="50">
        <v>0.21878596068315914</v>
      </c>
      <c r="E9" s="50">
        <v>0.27509532128128805</v>
      </c>
      <c r="F9" s="50">
        <v>0.37687933129392209</v>
      </c>
      <c r="G9" s="50">
        <v>1</v>
      </c>
      <c r="H9" s="51">
        <f>B9*0.1+C9*0.2+D9*0.15+E9*0.25+F9*0.15+G9*0.15</f>
        <v>0.44644678656936454</v>
      </c>
    </row>
    <row r="10" spans="1:8">
      <c r="A10" s="46" t="s">
        <v>73</v>
      </c>
      <c r="B10" s="47">
        <v>0.19819123743940098</v>
      </c>
      <c r="C10" s="47">
        <v>0.74857692960910149</v>
      </c>
      <c r="D10" s="47">
        <v>0.10463244032690652</v>
      </c>
      <c r="E10" s="47">
        <v>0.54133906495589623</v>
      </c>
      <c r="F10" s="47">
        <v>0.47198891447471897</v>
      </c>
      <c r="G10" s="47">
        <v>0.33349625285109163</v>
      </c>
      <c r="H10" s="48">
        <f>B10*0.1+C10*0.2+D10*0.15+E10*0.25+F10*0.15+G10*0.15</f>
        <v>0.44138691705264199</v>
      </c>
    </row>
    <row r="11" spans="1:8">
      <c r="A11" s="49" t="s">
        <v>91</v>
      </c>
      <c r="B11" s="50">
        <v>0.19009439009719392</v>
      </c>
      <c r="C11" s="50">
        <v>1.2952410400838408</v>
      </c>
      <c r="D11" s="50">
        <v>0.1097194080067348</v>
      </c>
      <c r="E11" s="50">
        <v>0.35248742721656645</v>
      </c>
      <c r="F11" s="50">
        <v>0.50229457319183113</v>
      </c>
      <c r="G11" s="50">
        <v>-1.1404366243075921E-2</v>
      </c>
      <c r="H11" s="51">
        <v>0.44087440111482484</v>
      </c>
    </row>
    <row r="12" spans="1:8">
      <c r="A12" s="46" t="s">
        <v>84</v>
      </c>
      <c r="B12" s="47">
        <v>0.55959310937779982</v>
      </c>
      <c r="C12" s="47">
        <v>0.97205859944563766</v>
      </c>
      <c r="D12" s="47">
        <v>0.14098173047063844</v>
      </c>
      <c r="E12" s="47">
        <v>0.34179525390051674</v>
      </c>
      <c r="F12" s="47">
        <v>0.33675346512861104</v>
      </c>
      <c r="G12" s="47">
        <v>0.19322254806125777</v>
      </c>
      <c r="H12" s="48">
        <f t="shared" ref="H12:H24" si="0">B12*0.1+C12*0.2+D12*0.15+E12*0.25+F12*0.15+G12*0.15</f>
        <v>0.43646350585111282</v>
      </c>
    </row>
    <row r="13" spans="1:8">
      <c r="A13" s="49" t="s">
        <v>59</v>
      </c>
      <c r="B13" s="50">
        <v>0.33406837333768086</v>
      </c>
      <c r="C13" s="50">
        <v>0.91351052209400152</v>
      </c>
      <c r="D13" s="50">
        <v>0.13239809531221813</v>
      </c>
      <c r="E13" s="50">
        <v>0.36493971316709972</v>
      </c>
      <c r="F13" s="50">
        <v>0.39134972702543802</v>
      </c>
      <c r="G13" s="50">
        <v>0.2438905180840665</v>
      </c>
      <c r="H13" s="51">
        <f t="shared" si="0"/>
        <v>0.42248962110760169</v>
      </c>
    </row>
    <row r="14" spans="1:8">
      <c r="A14" s="46" t="s">
        <v>93</v>
      </c>
      <c r="B14" s="47">
        <v>0.97697973731766363</v>
      </c>
      <c r="C14" s="47">
        <v>0.64396704079500255</v>
      </c>
      <c r="D14" s="47">
        <v>0.17872423709765167</v>
      </c>
      <c r="E14" s="47">
        <v>0.27025737305020781</v>
      </c>
      <c r="F14" s="47">
        <v>0.60849122262771205</v>
      </c>
      <c r="G14" s="47">
        <v>6.3049853372434017E-2</v>
      </c>
      <c r="H14" s="48">
        <f t="shared" si="0"/>
        <v>0.42159552211798851</v>
      </c>
    </row>
    <row r="15" spans="1:8">
      <c r="A15" s="49" t="s">
        <v>52</v>
      </c>
      <c r="B15" s="50">
        <v>0.90698554648291896</v>
      </c>
      <c r="C15" s="50">
        <v>0.6683224066842417</v>
      </c>
      <c r="D15" s="50">
        <v>0.16564680404804777</v>
      </c>
      <c r="E15" s="50">
        <v>0.26694295002526014</v>
      </c>
      <c r="F15" s="50">
        <v>0.60099154266598043</v>
      </c>
      <c r="G15" s="50">
        <v>9.1072010426849134E-2</v>
      </c>
      <c r="H15" s="51">
        <f t="shared" si="0"/>
        <v>0.41975532706258689</v>
      </c>
    </row>
    <row r="16" spans="1:8">
      <c r="A16" s="46" t="s">
        <v>79</v>
      </c>
      <c r="B16" s="47">
        <v>0.23593742285752572</v>
      </c>
      <c r="C16" s="47">
        <v>0.97880693594691504</v>
      </c>
      <c r="D16" s="47">
        <v>0.1370201483370414</v>
      </c>
      <c r="E16" s="47">
        <v>0.34435913354109532</v>
      </c>
      <c r="F16" s="47">
        <v>0.38469602745718351</v>
      </c>
      <c r="G16" s="47">
        <v>0.15184099055066799</v>
      </c>
      <c r="H16" s="48">
        <f t="shared" si="0"/>
        <v>0.40647848781214335</v>
      </c>
    </row>
    <row r="17" spans="1:8">
      <c r="A17" s="49" t="s">
        <v>53</v>
      </c>
      <c r="B17" s="50">
        <v>0.75882083971918046</v>
      </c>
      <c r="C17" s="50">
        <v>0.61731103783987262</v>
      </c>
      <c r="D17" s="50">
        <v>0.18861887294928539</v>
      </c>
      <c r="E17" s="50">
        <v>0.27390120673525631</v>
      </c>
      <c r="F17" s="50">
        <v>0.54320985165958546</v>
      </c>
      <c r="G17" s="50">
        <v>0.18051482567611601</v>
      </c>
      <c r="H17" s="51">
        <f t="shared" si="0"/>
        <v>0.40467112576645475</v>
      </c>
    </row>
    <row r="18" spans="1:8">
      <c r="A18" s="46" t="s">
        <v>49</v>
      </c>
      <c r="B18" s="47">
        <v>0.85483776510406018</v>
      </c>
      <c r="C18" s="47">
        <v>0.60644890259092166</v>
      </c>
      <c r="D18" s="47">
        <v>0.21850975320519711</v>
      </c>
      <c r="E18" s="47">
        <v>0.26264737331408861</v>
      </c>
      <c r="F18" s="47">
        <v>0.51865120769835005</v>
      </c>
      <c r="G18" s="47">
        <v>9.9543825350276963E-2</v>
      </c>
      <c r="H18" s="48">
        <f t="shared" si="0"/>
        <v>0.39794111829518614</v>
      </c>
    </row>
    <row r="19" spans="1:8">
      <c r="A19" s="49" t="s">
        <v>48</v>
      </c>
      <c r="B19" s="50">
        <v>0.84166230467448766</v>
      </c>
      <c r="C19" s="50">
        <v>0.60113828777552625</v>
      </c>
      <c r="D19" s="50">
        <v>0.22878035617179418</v>
      </c>
      <c r="E19" s="50">
        <v>0.26549553293125461</v>
      </c>
      <c r="F19" s="50">
        <v>0.48362215038363776</v>
      </c>
      <c r="G19" s="50">
        <v>0.13538611925708702</v>
      </c>
      <c r="H19" s="51">
        <f t="shared" si="0"/>
        <v>0.39793606512724555</v>
      </c>
    </row>
    <row r="20" spans="1:8">
      <c r="A20" s="46" t="s">
        <v>45</v>
      </c>
      <c r="B20" s="47">
        <v>0.43077068474173513</v>
      </c>
      <c r="C20" s="47">
        <v>0.67886410034655764</v>
      </c>
      <c r="D20" s="47">
        <v>0.12149031163343044</v>
      </c>
      <c r="E20" s="47">
        <v>0.25742214026696142</v>
      </c>
      <c r="F20" s="47">
        <v>0.66279820570771508</v>
      </c>
      <c r="G20" s="47">
        <v>0.23232323232323238</v>
      </c>
      <c r="H20" s="48">
        <f t="shared" si="0"/>
        <v>0.39569718605988202</v>
      </c>
    </row>
    <row r="21" spans="1:8">
      <c r="A21" s="49" t="s">
        <v>63</v>
      </c>
      <c r="B21" s="50">
        <v>0.24082271059835864</v>
      </c>
      <c r="C21" s="50">
        <v>0.7540270170679908</v>
      </c>
      <c r="D21" s="50">
        <v>0.15184291184172477</v>
      </c>
      <c r="E21" s="50">
        <v>0.32032887501996804</v>
      </c>
      <c r="F21" s="50">
        <v>0.37694367150766306</v>
      </c>
      <c r="G21" s="50">
        <v>0.40322580645161293</v>
      </c>
      <c r="H21" s="51">
        <f t="shared" si="0"/>
        <v>0.39477175169857615</v>
      </c>
    </row>
    <row r="22" spans="1:8">
      <c r="A22" s="46" t="s">
        <v>69</v>
      </c>
      <c r="B22" s="47">
        <v>0.19502368628413524</v>
      </c>
      <c r="C22" s="47">
        <v>0.78833363073424723</v>
      </c>
      <c r="D22" s="47">
        <v>0.13001763095075616</v>
      </c>
      <c r="E22" s="47">
        <v>0.24837770276975515</v>
      </c>
      <c r="F22" s="47">
        <v>0.49515848070013846</v>
      </c>
      <c r="G22" s="47">
        <v>0.36363636363636365</v>
      </c>
      <c r="H22" s="48">
        <f t="shared" si="0"/>
        <v>0.38758539176079054</v>
      </c>
    </row>
    <row r="23" spans="1:8">
      <c r="A23" s="49" t="s">
        <v>8</v>
      </c>
      <c r="B23" s="50">
        <v>0.45403035066056296</v>
      </c>
      <c r="C23" s="50">
        <v>0.57734483882047616</v>
      </c>
      <c r="D23" s="50">
        <v>0.27280733301048687</v>
      </c>
      <c r="E23" s="50">
        <v>0.32236167893758416</v>
      </c>
      <c r="F23" s="50">
        <v>0.44904574977720163</v>
      </c>
      <c r="G23" s="50">
        <v>0.17497556207233628</v>
      </c>
      <c r="H23" s="51">
        <f t="shared" si="0"/>
        <v>0.37598671929355132</v>
      </c>
    </row>
    <row r="24" spans="1:8">
      <c r="A24" s="46" t="s">
        <v>68</v>
      </c>
      <c r="B24" s="47">
        <v>0.2521284605707666</v>
      </c>
      <c r="C24" s="47">
        <v>0.79320324238471895</v>
      </c>
      <c r="D24" s="47">
        <v>0.14807275764040023</v>
      </c>
      <c r="E24" s="47">
        <v>0.30987484609805616</v>
      </c>
      <c r="F24" s="47">
        <v>0.37778016390303903</v>
      </c>
      <c r="G24" s="47">
        <v>0.22564353209514504</v>
      </c>
      <c r="H24" s="48">
        <f t="shared" si="0"/>
        <v>0.37404667410432219</v>
      </c>
    </row>
    <row r="25" spans="1:8">
      <c r="A25" s="49" t="s">
        <v>97</v>
      </c>
      <c r="B25" s="50">
        <v>0.46927630429715378</v>
      </c>
      <c r="C25" s="50">
        <v>0.63017671150609667</v>
      </c>
      <c r="D25" s="50">
        <v>0.17492120486562382</v>
      </c>
      <c r="E25" s="50">
        <v>0.27304641710528188</v>
      </c>
      <c r="F25" s="50">
        <v>0.52194630050694246</v>
      </c>
      <c r="G25" s="50">
        <v>0.19110459433040081</v>
      </c>
      <c r="H25" s="51">
        <v>0.37229679307824776</v>
      </c>
    </row>
    <row r="26" spans="1:8">
      <c r="A26" s="46" t="s">
        <v>94</v>
      </c>
      <c r="B26" s="47">
        <v>0.16585807751331222</v>
      </c>
      <c r="C26" s="47">
        <v>0.57031553053545336</v>
      </c>
      <c r="D26" s="47">
        <v>0.46813116986784908</v>
      </c>
      <c r="E26" s="47">
        <v>0.26286753973430288</v>
      </c>
      <c r="F26" s="47">
        <v>0.39799771850724103</v>
      </c>
      <c r="G26" s="47">
        <v>0.23639622026718804</v>
      </c>
      <c r="H26" s="48">
        <v>0.36603898794031753</v>
      </c>
    </row>
    <row r="27" spans="1:8">
      <c r="A27" s="49" t="s">
        <v>50</v>
      </c>
      <c r="B27" s="50">
        <v>0.26268619820867067</v>
      </c>
      <c r="C27" s="50">
        <v>0.64799535619640214</v>
      </c>
      <c r="D27" s="50">
        <v>0.15990459161690518</v>
      </c>
      <c r="E27" s="50">
        <v>0.39701193799081719</v>
      </c>
      <c r="F27" s="50">
        <v>0.41137643925648404</v>
      </c>
      <c r="G27" s="50">
        <v>0.1673183447376996</v>
      </c>
      <c r="H27" s="51">
        <f>B27*0.1+C27*0.2+D27*0.15+E27*0.25+F27*0.15+G27*0.15</f>
        <v>0.36591058189951514</v>
      </c>
    </row>
    <row r="28" spans="1:8">
      <c r="A28" s="46" t="s">
        <v>74</v>
      </c>
      <c r="B28" s="47">
        <v>0.19735527529175817</v>
      </c>
      <c r="C28" s="47">
        <v>0.58303687584849462</v>
      </c>
      <c r="D28" s="47">
        <v>0.40672275518998385</v>
      </c>
      <c r="E28" s="47">
        <v>0.27876099979369429</v>
      </c>
      <c r="F28" s="47">
        <v>0.43885040874196418</v>
      </c>
      <c r="G28" s="47">
        <v>9.4819159335288367E-2</v>
      </c>
      <c r="H28" s="48">
        <v>0.36467494959771235</v>
      </c>
    </row>
    <row r="29" spans="1:8">
      <c r="A29" s="49" t="s">
        <v>54</v>
      </c>
      <c r="B29" s="50">
        <v>0.47398952560890972</v>
      </c>
      <c r="C29" s="50">
        <v>0.68646411657701556</v>
      </c>
      <c r="D29" s="50">
        <v>0.14987734174088646</v>
      </c>
      <c r="E29" s="50">
        <v>0.3110299894403134</v>
      </c>
      <c r="F29" s="50">
        <v>0.39006739687842223</v>
      </c>
      <c r="G29" s="50">
        <v>0.13782991202346043</v>
      </c>
      <c r="H29" s="51">
        <f>B29*0.1+C29*0.2+D29*0.15+E29*0.25+F29*0.15+G29*0.15</f>
        <v>0.36411547083278784</v>
      </c>
    </row>
    <row r="30" spans="1:8">
      <c r="A30" s="46" t="s">
        <v>64</v>
      </c>
      <c r="B30" s="47">
        <v>0.20684872852265768</v>
      </c>
      <c r="C30" s="47">
        <v>0.57670967543205254</v>
      </c>
      <c r="D30" s="47">
        <v>0.40272284902037403</v>
      </c>
      <c r="E30" s="47">
        <v>0.24141958433561245</v>
      </c>
      <c r="F30" s="47">
        <v>0.42607627366247436</v>
      </c>
      <c r="G30" s="47">
        <v>0.28543499511241449</v>
      </c>
      <c r="H30" s="48">
        <v>0.3596487737599478</v>
      </c>
    </row>
    <row r="31" spans="1:8">
      <c r="A31" s="49" t="s">
        <v>66</v>
      </c>
      <c r="B31" s="50">
        <v>0.12999556581732669</v>
      </c>
      <c r="C31" s="50">
        <v>0.63181664458631681</v>
      </c>
      <c r="D31" s="50">
        <v>0.25130193032939052</v>
      </c>
      <c r="E31" s="50">
        <v>0.28184846646610778</v>
      </c>
      <c r="F31" s="50">
        <v>0.37942949774599277</v>
      </c>
      <c r="G31" s="50">
        <v>0.78820462691430426</v>
      </c>
      <c r="H31" s="51">
        <v>0.35788311017030439</v>
      </c>
    </row>
    <row r="32" spans="1:8">
      <c r="A32" s="46" t="s">
        <v>65</v>
      </c>
      <c r="B32" s="47">
        <v>0.19421929567988166</v>
      </c>
      <c r="C32" s="47">
        <v>0.65904287293671426</v>
      </c>
      <c r="D32" s="47">
        <v>0.15799827926483379</v>
      </c>
      <c r="E32" s="47">
        <v>0.39133838991658149</v>
      </c>
      <c r="F32" s="47">
        <v>0.38559842321739168</v>
      </c>
      <c r="G32" s="47">
        <v>0.11925708699902249</v>
      </c>
      <c r="H32" s="48">
        <v>0.35036207232986599</v>
      </c>
    </row>
    <row r="33" spans="1:8">
      <c r="A33" s="49" t="s">
        <v>15</v>
      </c>
      <c r="B33" s="50">
        <v>0.15210915510389472</v>
      </c>
      <c r="C33" s="50">
        <v>0.57157419250202068</v>
      </c>
      <c r="D33" s="50">
        <v>0.38132150235209311</v>
      </c>
      <c r="E33" s="50">
        <v>0.29353944867146131</v>
      </c>
      <c r="F33" s="50">
        <v>0.36431288218990898</v>
      </c>
      <c r="G33" s="50">
        <v>0.17220593027044642</v>
      </c>
      <c r="H33" s="51">
        <v>0.34674605240905365</v>
      </c>
    </row>
    <row r="34" spans="1:8">
      <c r="A34" s="46" t="s">
        <v>56</v>
      </c>
      <c r="B34" s="47">
        <v>0.14028478270161163</v>
      </c>
      <c r="C34" s="47">
        <v>0.71070082334431939</v>
      </c>
      <c r="D34" s="47">
        <v>0.15221930999581515</v>
      </c>
      <c r="E34" s="47">
        <v>0.24922369200238892</v>
      </c>
      <c r="F34" s="47">
        <v>0.56909828322805844</v>
      </c>
      <c r="G34" s="47">
        <v>0.10475724991854024</v>
      </c>
      <c r="H34" s="48">
        <v>0.34490209051322746</v>
      </c>
    </row>
    <row r="35" spans="1:8">
      <c r="A35" s="49" t="s">
        <v>55</v>
      </c>
      <c r="B35" s="50">
        <v>0.22445261380530804</v>
      </c>
      <c r="C35" s="50">
        <v>0.59484004928739453</v>
      </c>
      <c r="D35" s="50">
        <v>0.2577972336559789</v>
      </c>
      <c r="E35" s="50">
        <v>0.27357435539929653</v>
      </c>
      <c r="F35" s="50">
        <v>0.44679669776762154</v>
      </c>
      <c r="G35" s="50">
        <v>0.11990876507005541</v>
      </c>
      <c r="H35" s="51">
        <v>0.34065779993165179</v>
      </c>
    </row>
    <row r="36" spans="1:8">
      <c r="A36" s="46" t="s">
        <v>71</v>
      </c>
      <c r="B36" s="47">
        <v>0.27389563158460378</v>
      </c>
      <c r="C36" s="47">
        <v>0.64944857345475848</v>
      </c>
      <c r="D36" s="47">
        <v>0.17434850825085318</v>
      </c>
      <c r="E36" s="47">
        <v>0.32694370509779636</v>
      </c>
      <c r="F36" s="47">
        <v>0.37958559039201334</v>
      </c>
      <c r="G36" s="47">
        <v>0.13685239491691106</v>
      </c>
      <c r="H36" s="48">
        <v>0.34051940018043192</v>
      </c>
    </row>
    <row r="37" spans="1:8">
      <c r="A37" s="49" t="s">
        <v>96</v>
      </c>
      <c r="B37" s="50">
        <v>0.16599246075615012</v>
      </c>
      <c r="C37" s="50">
        <v>0.62936944526408167</v>
      </c>
      <c r="D37" s="50">
        <v>0.20128597815150884</v>
      </c>
      <c r="E37" s="50">
        <v>0.26563388806920268</v>
      </c>
      <c r="F37" s="50">
        <v>0.515628480494426</v>
      </c>
      <c r="G37" s="50">
        <v>0.11616161616161617</v>
      </c>
      <c r="H37" s="51">
        <v>0.3398858018232559</v>
      </c>
    </row>
    <row r="38" spans="1:8">
      <c r="A38" s="46" t="s">
        <v>26</v>
      </c>
      <c r="B38" s="47">
        <v>0.17127611551998156</v>
      </c>
      <c r="C38" s="47">
        <v>0.67520291864166226</v>
      </c>
      <c r="D38" s="47">
        <v>0.16086324619050366</v>
      </c>
      <c r="E38" s="47">
        <v>0.25385884313391538</v>
      </c>
      <c r="F38" s="47">
        <v>0.54154990159489802</v>
      </c>
      <c r="G38" s="47">
        <v>9.6285434995112426E-2</v>
      </c>
      <c r="H38" s="48">
        <v>0.33986260359525805</v>
      </c>
    </row>
    <row r="39" spans="1:8">
      <c r="A39" s="49" t="s">
        <v>95</v>
      </c>
      <c r="B39" s="50">
        <v>0.13700081119155799</v>
      </c>
      <c r="C39" s="50">
        <v>0.55398409460300535</v>
      </c>
      <c r="D39" s="50">
        <v>0.37922623257066007</v>
      </c>
      <c r="E39" s="50">
        <v>0.27579037544954726</v>
      </c>
      <c r="F39" s="50">
        <v>0.36339141310205869</v>
      </c>
      <c r="G39" s="50">
        <v>0.20755946562398178</v>
      </c>
      <c r="H39" s="51">
        <v>0.33843631036021365</v>
      </c>
    </row>
    <row r="40" spans="1:8">
      <c r="A40" s="46" t="s">
        <v>16</v>
      </c>
      <c r="B40" s="47">
        <v>0.1981940240729978</v>
      </c>
      <c r="C40" s="47">
        <v>0.63325120448519645</v>
      </c>
      <c r="D40" s="47">
        <v>0.21717030401674875</v>
      </c>
      <c r="E40" s="47">
        <v>0.31316756757013869</v>
      </c>
      <c r="F40" s="47">
        <v>0.374870252754328</v>
      </c>
      <c r="G40" s="47">
        <v>0.16438579341805148</v>
      </c>
      <c r="H40" s="48">
        <f>B40*0.1+C40*0.2+D40*0.15+E40*0.25+F40*0.15+G40*0.15</f>
        <v>0.33822548772524297</v>
      </c>
    </row>
    <row r="41" spans="1:8">
      <c r="A41" s="49" t="s">
        <v>75</v>
      </c>
      <c r="B41" s="50">
        <v>0.15663047880323649</v>
      </c>
      <c r="C41" s="50">
        <v>0.68112947035643157</v>
      </c>
      <c r="D41" s="50">
        <v>0.17071417458438831</v>
      </c>
      <c r="E41" s="50">
        <v>0.24701747712629951</v>
      </c>
      <c r="F41" s="50">
        <v>0.38133829574568617</v>
      </c>
      <c r="G41" s="50">
        <v>0.27256435320951455</v>
      </c>
      <c r="H41" s="51">
        <f>B41*0.1+C41*0.2+D41*0.15+E41*0.25+F41*0.15+G41*0.15</f>
        <v>0.33733583476412321</v>
      </c>
    </row>
    <row r="42" spans="1:8">
      <c r="A42" s="46" t="s">
        <v>89</v>
      </c>
      <c r="B42" s="47">
        <v>0.22187594990064266</v>
      </c>
      <c r="C42" s="47">
        <v>0.81243553197960316</v>
      </c>
      <c r="D42" s="47">
        <v>0.13938767677537101</v>
      </c>
      <c r="E42" s="47">
        <v>0.28736696306117665</v>
      </c>
      <c r="F42" s="47">
        <v>0.34257569667415438</v>
      </c>
      <c r="G42" s="47">
        <v>0.20446399478657545</v>
      </c>
      <c r="H42" s="48">
        <v>0.3368788881345916</v>
      </c>
    </row>
    <row r="43" spans="1:8">
      <c r="A43" s="49" t="s">
        <v>20</v>
      </c>
      <c r="B43" s="50">
        <v>0.22408335462556789</v>
      </c>
      <c r="C43" s="50">
        <v>0.56650951788361437</v>
      </c>
      <c r="D43" s="50">
        <v>0.24891374350762921</v>
      </c>
      <c r="E43" s="50">
        <v>0.2553347246509361</v>
      </c>
      <c r="F43" s="50">
        <v>0.45800583143328655</v>
      </c>
      <c r="G43" s="50">
        <v>0.14141414141414144</v>
      </c>
      <c r="H43" s="51">
        <v>0.33243980259926997</v>
      </c>
    </row>
    <row r="44" spans="1:8">
      <c r="A44" s="46" t="s">
        <v>51</v>
      </c>
      <c r="B44" s="47">
        <v>0.26445191550039615</v>
      </c>
      <c r="C44" s="47">
        <v>0.67456294703710074</v>
      </c>
      <c r="D44" s="47">
        <v>0.13691401713621873</v>
      </c>
      <c r="E44" s="47">
        <v>0.29497150105040459</v>
      </c>
      <c r="F44" s="47">
        <v>0.37176180290402611</v>
      </c>
      <c r="G44" s="47">
        <v>0.12104920169436301</v>
      </c>
      <c r="H44" s="48">
        <f>B44*0.1+C44*0.2+D44*0.15+E44*0.25+F44*0.15+G44*0.15</f>
        <v>0.32955940948025214</v>
      </c>
    </row>
    <row r="45" spans="1:8">
      <c r="A45" s="49" t="s">
        <v>9</v>
      </c>
      <c r="B45" s="50">
        <v>0.1481545131555935</v>
      </c>
      <c r="C45" s="50">
        <v>0.56799887557802653</v>
      </c>
      <c r="D45" s="50">
        <v>0.13781291619895414</v>
      </c>
      <c r="E45" s="50">
        <v>0.25886232336428117</v>
      </c>
      <c r="F45" s="50">
        <v>0.44686122065588135</v>
      </c>
      <c r="G45" s="50">
        <v>0.31671554252199419</v>
      </c>
      <c r="H45" s="51">
        <f>B45*0.1+C45*0.2+D45*0.15+E45*0.25+F45*0.15+G45*0.15</f>
        <v>0.32833925917875939</v>
      </c>
    </row>
    <row r="46" spans="1:8">
      <c r="A46" s="46" t="s">
        <v>11</v>
      </c>
      <c r="B46" s="47">
        <v>0.13752518581913242</v>
      </c>
      <c r="C46" s="47">
        <v>0.58917724881061051</v>
      </c>
      <c r="D46" s="47">
        <v>0.13402870819997081</v>
      </c>
      <c r="E46" s="47">
        <v>0.24314230523588562</v>
      </c>
      <c r="F46" s="47">
        <v>0.38554308525851499</v>
      </c>
      <c r="G46" s="47">
        <v>0.38383838383838392</v>
      </c>
      <c r="H46" s="48">
        <f>B46*0.1+C46*0.2+D46*0.15+E46*0.25+F46*0.15+G46*0.15</f>
        <v>0.32788507124753719</v>
      </c>
    </row>
    <row r="47" spans="1:8">
      <c r="A47" s="49" t="s">
        <v>35</v>
      </c>
      <c r="B47" s="50">
        <v>0.17867517999068411</v>
      </c>
      <c r="C47" s="50">
        <v>0.59266078522415899</v>
      </c>
      <c r="D47" s="50">
        <v>0.15755374293226301</v>
      </c>
      <c r="E47" s="50">
        <v>0.24146265935368486</v>
      </c>
      <c r="F47" s="50">
        <v>0.54990206149047194</v>
      </c>
      <c r="G47" s="50">
        <v>0.13880742913000982</v>
      </c>
      <c r="H47" s="51">
        <v>0.3276369659298452</v>
      </c>
    </row>
    <row r="48" spans="1:8">
      <c r="A48" s="46" t="s">
        <v>25</v>
      </c>
      <c r="B48" s="47">
        <v>0.14244581005767035</v>
      </c>
      <c r="C48" s="47">
        <v>0.57219367355445105</v>
      </c>
      <c r="D48" s="47">
        <v>0.23558973274845041</v>
      </c>
      <c r="E48" s="47">
        <v>0.27248838041992013</v>
      </c>
      <c r="F48" s="47">
        <v>0.36734826135590692</v>
      </c>
      <c r="G48" s="47">
        <v>0.26572173346366901</v>
      </c>
      <c r="H48" s="48">
        <f>B48*0.1+C48*0.2+D48*0.15+E48*0.25+F48*0.15+G48*0.15</f>
        <v>0.32710436995684122</v>
      </c>
    </row>
    <row r="49" spans="1:8">
      <c r="A49" s="49" t="s">
        <v>22</v>
      </c>
      <c r="B49" s="50">
        <v>0.14885429218251744</v>
      </c>
      <c r="C49" s="50">
        <v>0.56928486344411011</v>
      </c>
      <c r="D49" s="50">
        <v>0.33951988266286443</v>
      </c>
      <c r="E49" s="50">
        <v>0.27301712472682288</v>
      </c>
      <c r="F49" s="50">
        <v>0.37737728357507433</v>
      </c>
      <c r="G49" s="50">
        <v>0</v>
      </c>
      <c r="H49" s="51">
        <v>0.3255627294005029</v>
      </c>
    </row>
    <row r="50" spans="1:8">
      <c r="A50" s="46" t="s">
        <v>85</v>
      </c>
      <c r="B50" s="47">
        <v>0.20858704089446647</v>
      </c>
      <c r="C50" s="47">
        <v>0.62681380517994689</v>
      </c>
      <c r="D50" s="47">
        <v>9.99915376029126E-2</v>
      </c>
      <c r="E50" s="47">
        <v>0.3625088973929731</v>
      </c>
      <c r="F50" s="47">
        <v>0.49606539680295336</v>
      </c>
      <c r="G50" s="47">
        <v>-1.1404366243075921E-2</v>
      </c>
      <c r="H50" s="48">
        <f>B50*0.1+C50*0.2+D50*0.15+E50*0.25+F50*0.15+G50*0.15</f>
        <v>0.32454657469809783</v>
      </c>
    </row>
    <row r="51" spans="1:8">
      <c r="A51" s="49" t="s">
        <v>88</v>
      </c>
      <c r="B51" s="50">
        <v>0.15993088874838912</v>
      </c>
      <c r="C51" s="50">
        <v>0.58178940540140833</v>
      </c>
      <c r="D51" s="50">
        <v>0.28209604480548023</v>
      </c>
      <c r="E51" s="50">
        <v>0.27376560813808271</v>
      </c>
      <c r="F51" s="50">
        <v>0.36878816930932218</v>
      </c>
      <c r="G51" s="50">
        <v>0.16275659824046923</v>
      </c>
      <c r="H51" s="51">
        <v>0.32370585486145892</v>
      </c>
    </row>
    <row r="52" spans="1:8">
      <c r="A52" s="46" t="s">
        <v>17</v>
      </c>
      <c r="B52" s="47">
        <v>0.18245506315216301</v>
      </c>
      <c r="C52" s="47">
        <v>0.57203404758287346</v>
      </c>
      <c r="D52" s="47">
        <v>0.15227145348327875</v>
      </c>
      <c r="E52" s="47">
        <v>0.32112582555161523</v>
      </c>
      <c r="F52" s="47">
        <v>0.40282534960183786</v>
      </c>
      <c r="G52" s="47">
        <v>0.18214402085369832</v>
      </c>
      <c r="H52" s="48">
        <f>B52*0.1+C52*0.2+D52*0.15+E52*0.25+F52*0.15+G52*0.15</f>
        <v>0.32351989581051704</v>
      </c>
    </row>
    <row r="53" spans="1:8">
      <c r="A53" s="49" t="s">
        <v>13</v>
      </c>
      <c r="B53" s="50">
        <v>0.15011192219898611</v>
      </c>
      <c r="C53" s="50">
        <v>0.59124176098267911</v>
      </c>
      <c r="D53" s="50">
        <v>0.1755273832470084</v>
      </c>
      <c r="E53" s="50">
        <v>0.28447169584357579</v>
      </c>
      <c r="F53" s="50">
        <v>0.40880096791391868</v>
      </c>
      <c r="G53" s="50">
        <v>0.19126751384815902</v>
      </c>
      <c r="H53" s="51">
        <f>B53*0.1+C53*0.2+D53*0.15+E53*0.25+F53*0.15+G53*0.15</f>
        <v>0.32071684812869128</v>
      </c>
    </row>
    <row r="54" spans="1:8">
      <c r="A54" s="46" t="s">
        <v>23</v>
      </c>
      <c r="B54" s="47">
        <v>0.13889874813927891</v>
      </c>
      <c r="C54" s="47">
        <v>0.57381935487654501</v>
      </c>
      <c r="D54" s="47">
        <v>0.1374820234352381</v>
      </c>
      <c r="E54" s="47">
        <v>0.25133586258296903</v>
      </c>
      <c r="F54" s="47">
        <v>0.41358122985863427</v>
      </c>
      <c r="G54" s="47">
        <v>0.29537308569566634</v>
      </c>
      <c r="H54" s="48">
        <f>B54*0.1+C54*0.2+D54*0.15+E54*0.25+F54*0.15+G54*0.15</f>
        <v>0.31845316228340992</v>
      </c>
    </row>
    <row r="55" spans="1:8">
      <c r="A55" s="49" t="s">
        <v>80</v>
      </c>
      <c r="B55" s="50">
        <v>0.15399886139970637</v>
      </c>
      <c r="C55" s="50">
        <v>0.69207507178335748</v>
      </c>
      <c r="D55" s="50">
        <v>0.15395538347753163</v>
      </c>
      <c r="E55" s="50">
        <v>0.34102873634610115</v>
      </c>
      <c r="F55" s="50">
        <v>0.37949783447318697</v>
      </c>
      <c r="G55" s="50">
        <v>-1.1404366243075921E-2</v>
      </c>
      <c r="H55" s="51">
        <f>B55*0.1+C55*0.2+D55*0.15+E55*0.25+F55*0.15+G55*0.15</f>
        <v>0.31737941233931383</v>
      </c>
    </row>
    <row r="56" spans="1:8">
      <c r="A56" s="46" t="s">
        <v>86</v>
      </c>
      <c r="B56" s="47">
        <v>0.16347949096701109</v>
      </c>
      <c r="C56" s="47">
        <v>0.68097547756485877</v>
      </c>
      <c r="D56" s="47">
        <v>0.10011638219384845</v>
      </c>
      <c r="E56" s="47">
        <v>0.30301772339531541</v>
      </c>
      <c r="F56" s="47">
        <v>0.42872077612584186</v>
      </c>
      <c r="G56" s="47">
        <v>-1.1404366243075921E-2</v>
      </c>
      <c r="H56" s="48">
        <v>0.31459680110180877</v>
      </c>
    </row>
    <row r="57" spans="1:8">
      <c r="A57" s="49" t="s">
        <v>61</v>
      </c>
      <c r="B57" s="50">
        <v>0.14030663739133559</v>
      </c>
      <c r="C57" s="50">
        <v>0.71399033117473609</v>
      </c>
      <c r="D57" s="50">
        <v>0.18874082969102224</v>
      </c>
      <c r="E57" s="50">
        <v>0.29790849992115315</v>
      </c>
      <c r="F57" s="50">
        <v>0.3654603277868021</v>
      </c>
      <c r="G57" s="50">
        <v>-1.1404366243075921E-2</v>
      </c>
      <c r="H57" s="51">
        <f>B57*0.1+C57*0.2+D57*0.15+E57*0.25+F57*0.15+G57*0.15</f>
        <v>0.31272537363958136</v>
      </c>
    </row>
    <row r="58" spans="1:8">
      <c r="A58" s="46" t="s">
        <v>57</v>
      </c>
      <c r="B58" s="47">
        <v>0.17038800322990735</v>
      </c>
      <c r="C58" s="47">
        <v>0.38256159055935424</v>
      </c>
      <c r="D58" s="47">
        <v>7.7005083713294828E-2</v>
      </c>
      <c r="E58" s="47">
        <v>0.39886272595384376</v>
      </c>
      <c r="F58" s="47">
        <v>0.50916445443608715</v>
      </c>
      <c r="G58" s="47">
        <v>-1.1404366243075921E-2</v>
      </c>
      <c r="H58" s="48">
        <v>0.31074554601076954</v>
      </c>
    </row>
    <row r="59" spans="1:8">
      <c r="A59" s="49" t="s">
        <v>7</v>
      </c>
      <c r="B59" s="50">
        <v>0.15877173445877157</v>
      </c>
      <c r="C59" s="50">
        <v>0.56882834232736945</v>
      </c>
      <c r="D59" s="50">
        <v>0.18335723928552841</v>
      </c>
      <c r="E59" s="50">
        <v>0.27954729788941002</v>
      </c>
      <c r="F59" s="50">
        <v>0.37640422023232212</v>
      </c>
      <c r="G59" s="50">
        <v>0.17204301075268819</v>
      </c>
      <c r="H59" s="51">
        <f>B59*0.1+C59*0.2+D59*0.15+E59*0.25+F59*0.15+G59*0.15</f>
        <v>0.30930033692428438</v>
      </c>
    </row>
    <row r="60" spans="1:8">
      <c r="A60" s="46" t="s">
        <v>24</v>
      </c>
      <c r="B60" s="47">
        <v>0.14050030056211488</v>
      </c>
      <c r="C60" s="47">
        <v>0.58938065266373774</v>
      </c>
      <c r="D60" s="47">
        <v>0.21328223948031852</v>
      </c>
      <c r="E60" s="47">
        <v>0.2459060982998916</v>
      </c>
      <c r="F60" s="47">
        <v>0.42811318055778969</v>
      </c>
      <c r="G60" s="47">
        <v>0.13017269468882373</v>
      </c>
      <c r="H60" s="48">
        <f>B60*0.1+C60*0.2+D60*0.15+E60*0.25+F60*0.15+G60*0.15</f>
        <v>0.30913790237297173</v>
      </c>
    </row>
    <row r="61" spans="1:8">
      <c r="A61" s="49" t="s">
        <v>12</v>
      </c>
      <c r="B61" s="50">
        <v>0.13004389250423504</v>
      </c>
      <c r="C61" s="50">
        <v>0.58258912111072914</v>
      </c>
      <c r="D61" s="50">
        <v>0.15515956895533992</v>
      </c>
      <c r="E61" s="50">
        <v>0.2696833932528464</v>
      </c>
      <c r="F61" s="50">
        <v>0.45872026000194571</v>
      </c>
      <c r="G61" s="50">
        <v>0.13310524600847182</v>
      </c>
      <c r="H61" s="51">
        <f>B61*0.1+C61*0.2+D61*0.15+E61*0.25+F61*0.15+G61*0.15</f>
        <v>0.30899082303064457</v>
      </c>
    </row>
    <row r="62" spans="1:8">
      <c r="A62" s="46" t="s">
        <v>62</v>
      </c>
      <c r="B62" s="47">
        <v>0.1443938846370757</v>
      </c>
      <c r="C62" s="47">
        <v>0.77163653304679303</v>
      </c>
      <c r="D62" s="47">
        <v>8.1481767249712886E-2</v>
      </c>
      <c r="E62" s="47">
        <v>0.2419290181295185</v>
      </c>
      <c r="F62" s="47">
        <v>0.43539440063033619</v>
      </c>
      <c r="G62" s="47">
        <v>-1.1404366243075921E-2</v>
      </c>
      <c r="H62" s="48">
        <v>0.30556858912343804</v>
      </c>
    </row>
    <row r="63" spans="1:8">
      <c r="A63" s="49" t="s">
        <v>14</v>
      </c>
      <c r="B63" s="50">
        <v>0.14562165137224548</v>
      </c>
      <c r="C63" s="50">
        <v>0.57620645428224537</v>
      </c>
      <c r="D63" s="50">
        <v>0.15906028977747155</v>
      </c>
      <c r="E63" s="50">
        <v>0.27042182861710257</v>
      </c>
      <c r="F63" s="50">
        <v>0.38750333993312885</v>
      </c>
      <c r="G63" s="50">
        <v>0.16063864450961229</v>
      </c>
      <c r="H63" s="51">
        <f>B63*0.1+C63*0.2+D63*0.15+E63*0.25+F63*0.15+G63*0.15</f>
        <v>0.30348925428098117</v>
      </c>
    </row>
    <row r="64" spans="1:8">
      <c r="A64" s="46" t="s">
        <v>10</v>
      </c>
      <c r="B64" s="47">
        <v>0.17448280277713205</v>
      </c>
      <c r="C64" s="47">
        <v>0.57251210494102334</v>
      </c>
      <c r="D64" s="47">
        <v>0.14417257902516581</v>
      </c>
      <c r="E64" s="47">
        <v>0.28534267423075776</v>
      </c>
      <c r="F64" s="47">
        <v>0.39830024450482088</v>
      </c>
      <c r="G64" s="47">
        <v>9.9217986314760517E-2</v>
      </c>
      <c r="H64" s="48">
        <f>B64*0.1+C64*0.2+D64*0.15+E64*0.25+F64*0.15+G64*0.15</f>
        <v>0.29953999130031939</v>
      </c>
    </row>
    <row r="65" spans="1:8">
      <c r="A65" s="49" t="s">
        <v>21</v>
      </c>
      <c r="B65" s="50">
        <v>0.12717869731618492</v>
      </c>
      <c r="C65" s="50">
        <v>0.5510921236274644</v>
      </c>
      <c r="D65" s="50">
        <v>0.13054414287126859</v>
      </c>
      <c r="E65" s="50">
        <v>0.22664718537094869</v>
      </c>
      <c r="F65" s="50">
        <v>0.42492562567459807</v>
      </c>
      <c r="G65" s="50">
        <v>0.12544802867383514</v>
      </c>
      <c r="H65" s="51">
        <f>B65*0.1+C65*0.2+D65*0.15+E65*0.25+F65*0.15+G65*0.15</f>
        <v>0.28173576038280379</v>
      </c>
    </row>
    <row r="66" spans="1:8">
      <c r="A66" s="46" t="s">
        <v>58</v>
      </c>
      <c r="B66" s="47">
        <v>0.13135398325452732</v>
      </c>
      <c r="C66" s="47">
        <v>0.64834147465213854</v>
      </c>
      <c r="D66" s="47">
        <v>9.1026526807149011E-2</v>
      </c>
      <c r="E66" s="47">
        <v>0.23566297513822737</v>
      </c>
      <c r="F66" s="47">
        <v>0.38509611593759802</v>
      </c>
      <c r="G66" s="47">
        <v>-1.1404366243075921E-2</v>
      </c>
      <c r="H66" s="48">
        <v>0.27573982230153732</v>
      </c>
    </row>
    <row r="67" spans="1:8">
      <c r="A67" s="49" t="s">
        <v>72</v>
      </c>
      <c r="B67" s="50">
        <v>0.19165640424667987</v>
      </c>
      <c r="C67" s="50">
        <v>0.69107064003227325</v>
      </c>
      <c r="D67" s="50">
        <v>6.9479439004810142E-2</v>
      </c>
      <c r="E67" s="50">
        <v>0.28111556861429349</v>
      </c>
      <c r="F67" s="50">
        <v>0.27567384100235137</v>
      </c>
      <c r="G67" s="50">
        <v>-1.1404366243075921E-2</v>
      </c>
      <c r="H67" s="51">
        <v>0.27562134470307548</v>
      </c>
    </row>
    <row r="68" spans="1:8">
      <c r="A68" s="46" t="s">
        <v>70</v>
      </c>
      <c r="B68" s="47">
        <v>0.13102773064758291</v>
      </c>
      <c r="C68" s="47">
        <v>0.76778704015295318</v>
      </c>
      <c r="D68" s="47">
        <v>0.10583136786799044</v>
      </c>
      <c r="E68" s="47">
        <v>0.18517636442010613</v>
      </c>
      <c r="F68" s="47">
        <v>0.31701575663710391</v>
      </c>
      <c r="G68" s="47">
        <v>-1.1404366243075921E-2</v>
      </c>
      <c r="H68" s="48">
        <v>0.26782294500259818</v>
      </c>
    </row>
    <row r="69" spans="1:8">
      <c r="A69" s="49" t="s">
        <v>76</v>
      </c>
      <c r="B69" s="50">
        <v>0.1246310977327086</v>
      </c>
      <c r="C69" s="50">
        <v>0.60453416174095875</v>
      </c>
      <c r="D69" s="50">
        <v>2.0802819474131959E-3</v>
      </c>
      <c r="E69" s="50">
        <v>0.23314955542675961</v>
      </c>
      <c r="F69" s="50">
        <v>0.46634935830731628</v>
      </c>
      <c r="G69" s="50">
        <v>-1.1404366243075921E-2</v>
      </c>
      <c r="H69" s="51">
        <v>0.26620381040123464</v>
      </c>
    </row>
    <row r="70" spans="1:8">
      <c r="A70" s="46" t="s">
        <v>92</v>
      </c>
      <c r="B70" s="47">
        <v>0.12668156276777651</v>
      </c>
      <c r="C70" s="47">
        <v>0.65207547638977115</v>
      </c>
      <c r="D70" s="47">
        <v>5.5193525324214739E-2</v>
      </c>
      <c r="E70" s="47">
        <v>7.8304333570506965E-2</v>
      </c>
      <c r="F70" s="47">
        <v>0.27123280342210548</v>
      </c>
      <c r="G70" s="47">
        <v>-1.1404366243075921E-2</v>
      </c>
      <c r="H70" s="48">
        <v>0.19868582524350567</v>
      </c>
    </row>
    <row r="71" spans="1:8">
      <c r="A71" s="49" t="s">
        <v>81</v>
      </c>
      <c r="B71" s="50">
        <v>0.14037178434121783</v>
      </c>
      <c r="C71" s="50">
        <v>-4.2986761733611267E-2</v>
      </c>
      <c r="D71" s="50">
        <v>7.3235413700282748E-2</v>
      </c>
      <c r="E71" s="50">
        <v>0.2175627754676461</v>
      </c>
      <c r="F71" s="50">
        <v>0.54689466767187578</v>
      </c>
      <c r="G71" s="50">
        <v>-1.1404366243075921E-2</v>
      </c>
      <c r="H71" s="51">
        <v>0.19631379477665187</v>
      </c>
    </row>
    <row r="72" spans="1:8">
      <c r="A72" s="46" t="s">
        <v>77</v>
      </c>
      <c r="B72" s="47">
        <v>0.17368624730282406</v>
      </c>
      <c r="C72" s="47">
        <v>-3.7336912512496947</v>
      </c>
      <c r="D72" s="47">
        <v>0.12343420143000584</v>
      </c>
      <c r="E72" s="47">
        <v>0.73723953484316762</v>
      </c>
      <c r="F72" s="47">
        <v>0.43276455828241611</v>
      </c>
      <c r="G72" s="47">
        <v>0.20332355816226785</v>
      </c>
      <c r="H72" s="48">
        <v>-0.20010727265362369</v>
      </c>
    </row>
    <row r="73" spans="1:8">
      <c r="A73" s="42" t="s">
        <v>78</v>
      </c>
      <c r="B73" s="52">
        <v>0.91816924813819911</v>
      </c>
      <c r="C73" s="52">
        <v>0.96725202543900624</v>
      </c>
      <c r="D73" s="52">
        <v>0.11586099456812952</v>
      </c>
      <c r="E73" s="52">
        <v>-7.4822136353313722</v>
      </c>
      <c r="F73" s="52">
        <v>-0.35585334780089078</v>
      </c>
      <c r="G73" s="52">
        <v>-1.1404366243075921E-2</v>
      </c>
      <c r="H73" s="53">
        <v>-2.0563280509284469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</vt:lpstr>
      <vt:lpstr>Ratios and Scoring System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Amine Bessaad</cp:lastModifiedBy>
  <dcterms:created xsi:type="dcterms:W3CDTF">2024-11-26T10:09:39Z</dcterms:created>
  <dcterms:modified xsi:type="dcterms:W3CDTF">2026-01-01T10:27:37Z</dcterms:modified>
</cp:coreProperties>
</file>