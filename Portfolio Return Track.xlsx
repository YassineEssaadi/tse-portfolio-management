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ek Store\Desktop\yahoo finance\dashboarding\"/>
    </mc:Choice>
  </mc:AlternateContent>
  <xr:revisionPtr revIDLastSave="0" documentId="13_ncr:1_{CBCDF21A-75A8-40F1-89A5-338A182E5515}" xr6:coauthVersionLast="47" xr6:coauthVersionMax="47" xr10:uidLastSave="{00000000-0000-0000-0000-000000000000}"/>
  <bookViews>
    <workbookView xWindow="-110" yWindow="-110" windowWidth="19420" windowHeight="10300" xr2:uid="{BB4981A8-9DDB-48B3-A0D7-3D56FFF750F1}"/>
  </bookViews>
  <sheets>
    <sheet name="Portfolio Return" sheetId="9" r:id="rId1"/>
    <sheet name="KRIs calculations" sheetId="5" r:id="rId2"/>
    <sheet name="One tech Holding" sheetId="2" r:id="rId3"/>
    <sheet name="POULINA" sheetId="10" r:id="rId4"/>
    <sheet name="UNIMED" sheetId="6" r:id="rId5"/>
    <sheet name="AMV" sheetId="3" r:id="rId6"/>
    <sheet name="Attijari Bank" sheetId="1" r:id="rId7"/>
    <sheet name="ESSOUKNA" sheetId="12" r:id="rId8"/>
    <sheet name="SMART TUNISIE" sheetId="4" r:id="rId9"/>
  </sheets>
  <definedNames>
    <definedName name="POWER_USER_EXCEL_CHART_D8D87AC5_6C52_436B_B3DE_CF445431689B">'KRIs calculations'!#REF!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9" l="1"/>
  <c r="J4" i="9"/>
  <c r="J5" i="9"/>
  <c r="J6" i="9"/>
  <c r="J7" i="9"/>
  <c r="J8" i="9"/>
  <c r="J9" i="9"/>
  <c r="J10" i="9"/>
  <c r="J11" i="9"/>
  <c r="J12" i="9"/>
  <c r="J3" i="9"/>
  <c r="P13" i="9"/>
  <c r="P4" i="9"/>
  <c r="P5" i="9"/>
  <c r="P6" i="9"/>
  <c r="P7" i="9"/>
  <c r="P8" i="9"/>
  <c r="P9" i="9"/>
  <c r="P10" i="9"/>
  <c r="P11" i="9"/>
  <c r="P12" i="9"/>
  <c r="P3" i="9"/>
  <c r="C14" i="9"/>
  <c r="F4" i="9"/>
  <c r="F5" i="9"/>
  <c r="F6" i="9"/>
  <c r="F7" i="9"/>
  <c r="F8" i="9"/>
  <c r="F9" i="9"/>
  <c r="F10" i="9"/>
  <c r="F11" i="9"/>
  <c r="F12" i="9"/>
  <c r="F13" i="9"/>
  <c r="F3" i="9"/>
  <c r="E12" i="4"/>
  <c r="E11" i="4"/>
  <c r="E10" i="4"/>
  <c r="E9" i="4"/>
  <c r="E8" i="4"/>
  <c r="E7" i="4"/>
  <c r="E6" i="4"/>
  <c r="E5" i="4"/>
  <c r="E4" i="4"/>
  <c r="E3" i="4"/>
  <c r="E13" i="4" s="1"/>
  <c r="E12" i="12"/>
  <c r="E11" i="12"/>
  <c r="E10" i="12"/>
  <c r="E9" i="12"/>
  <c r="E8" i="12"/>
  <c r="E7" i="12"/>
  <c r="E6" i="12"/>
  <c r="E5" i="12"/>
  <c r="E4" i="12"/>
  <c r="E3" i="12"/>
  <c r="E13" i="12" s="1"/>
  <c r="E12" i="1"/>
  <c r="E11" i="1"/>
  <c r="E10" i="1"/>
  <c r="E9" i="1"/>
  <c r="E8" i="1"/>
  <c r="E7" i="1"/>
  <c r="E6" i="1"/>
  <c r="E5" i="1"/>
  <c r="E4" i="1"/>
  <c r="E3" i="1"/>
  <c r="E13" i="1" s="1"/>
  <c r="E12" i="3"/>
  <c r="E11" i="3"/>
  <c r="E10" i="3"/>
  <c r="E9" i="3"/>
  <c r="E8" i="3"/>
  <c r="E7" i="3"/>
  <c r="E6" i="3"/>
  <c r="E5" i="3"/>
  <c r="E4" i="3"/>
  <c r="E3" i="3"/>
  <c r="E13" i="3" s="1"/>
  <c r="E12" i="6"/>
  <c r="E11" i="6"/>
  <c r="E10" i="6"/>
  <c r="E9" i="6"/>
  <c r="E8" i="6"/>
  <c r="E7" i="6"/>
  <c r="E6" i="6"/>
  <c r="E5" i="6"/>
  <c r="E4" i="6"/>
  <c r="E3" i="6"/>
  <c r="E13" i="6" s="1"/>
  <c r="E12" i="10"/>
  <c r="E11" i="10"/>
  <c r="E10" i="10"/>
  <c r="E9" i="10"/>
  <c r="E8" i="10"/>
  <c r="E7" i="10"/>
  <c r="E6" i="10"/>
  <c r="E5" i="10"/>
  <c r="E4" i="10"/>
  <c r="E3" i="10"/>
  <c r="E13" i="10" s="1"/>
  <c r="E13" i="2"/>
  <c r="E4" i="2"/>
  <c r="E5" i="2"/>
  <c r="E6" i="2"/>
  <c r="E7" i="2"/>
  <c r="E8" i="2"/>
  <c r="E9" i="2"/>
  <c r="E10" i="2"/>
  <c r="E11" i="2"/>
  <c r="E12" i="2"/>
  <c r="E3" i="2"/>
  <c r="O13" i="5"/>
  <c r="O14" i="5"/>
  <c r="B31" i="9"/>
  <c r="A32" i="9"/>
  <c r="A31" i="9"/>
  <c r="P14" i="5" l="1"/>
  <c r="Q14" i="5"/>
  <c r="P13" i="5"/>
  <c r="Q13" i="5" s="1"/>
  <c r="E3" i="9" l="1"/>
  <c r="E4" i="9"/>
  <c r="E5" i="9"/>
  <c r="E6" i="9"/>
  <c r="E7" i="9"/>
  <c r="E8" i="9"/>
  <c r="E9" i="9"/>
  <c r="E10" i="9"/>
  <c r="E11" i="9"/>
  <c r="E12" i="9"/>
  <c r="L1" i="5" l="1"/>
  <c r="C24" i="5"/>
  <c r="D24" i="5"/>
  <c r="E24" i="5"/>
  <c r="F24" i="5"/>
  <c r="G24" i="5"/>
  <c r="H24" i="5"/>
  <c r="B24" i="5"/>
  <c r="A9" i="5"/>
  <c r="A26" i="5" s="1"/>
  <c r="A10" i="5"/>
  <c r="A27" i="5" s="1"/>
  <c r="A11" i="5"/>
  <c r="A28" i="5" s="1"/>
  <c r="A12" i="5"/>
  <c r="A29" i="5" s="1"/>
  <c r="A13" i="5"/>
  <c r="A30" i="5" s="1"/>
  <c r="A14" i="5"/>
  <c r="J19" i="5" s="1"/>
  <c r="A15" i="5"/>
  <c r="A32" i="5" s="1"/>
  <c r="A16" i="5"/>
  <c r="J21" i="5" s="1"/>
  <c r="A17" i="5"/>
  <c r="A34" i="5" s="1"/>
  <c r="A18" i="5"/>
  <c r="A35" i="5" s="1"/>
  <c r="A23" i="5"/>
  <c r="A8" i="5"/>
  <c r="A25" i="5" s="1"/>
  <c r="O13" i="9"/>
  <c r="O4" i="9"/>
  <c r="O5" i="9"/>
  <c r="O6" i="9"/>
  <c r="O7" i="9"/>
  <c r="O8" i="9"/>
  <c r="O9" i="9"/>
  <c r="O10" i="9"/>
  <c r="O11" i="9"/>
  <c r="O12" i="9"/>
  <c r="O3" i="9"/>
  <c r="C13" i="1"/>
  <c r="G13" i="1" s="1"/>
  <c r="B13" i="1"/>
  <c r="B13" i="4"/>
  <c r="G13" i="4" s="1"/>
  <c r="B13" i="9"/>
  <c r="O24" i="5" s="1"/>
  <c r="L13" i="9"/>
  <c r="B13" i="12"/>
  <c r="G13" i="12" s="1"/>
  <c r="G13" i="3"/>
  <c r="C13" i="3"/>
  <c r="D13" i="3" s="1"/>
  <c r="C18" i="5" s="1"/>
  <c r="B13" i="3"/>
  <c r="C13" i="10"/>
  <c r="B13" i="10"/>
  <c r="G13" i="10" s="1"/>
  <c r="C13" i="2"/>
  <c r="G13" i="2" s="1"/>
  <c r="B13" i="2"/>
  <c r="B13" i="6"/>
  <c r="D13" i="6" s="1"/>
  <c r="F18" i="5" s="1"/>
  <c r="B11" i="9"/>
  <c r="B12" i="9"/>
  <c r="B10" i="9"/>
  <c r="D13" i="2" l="1"/>
  <c r="E18" i="5" s="1"/>
  <c r="G12" i="9"/>
  <c r="O23" i="5"/>
  <c r="G10" i="9"/>
  <c r="O21" i="5"/>
  <c r="G11" i="9"/>
  <c r="O22" i="5"/>
  <c r="G13" i="6"/>
  <c r="D13" i="1"/>
  <c r="B18" i="5" s="1"/>
  <c r="D13" i="12"/>
  <c r="H18" i="5" s="1"/>
  <c r="D13" i="4"/>
  <c r="D18" i="5" s="1"/>
  <c r="D13" i="10"/>
  <c r="G18" i="5" s="1"/>
  <c r="C13" i="9"/>
  <c r="B23" i="9" s="1"/>
  <c r="B24" i="9" s="1"/>
  <c r="J20" i="5"/>
  <c r="J18" i="5"/>
  <c r="J17" i="5"/>
  <c r="J16" i="5"/>
  <c r="J15" i="5"/>
  <c r="J23" i="5"/>
  <c r="J14" i="5"/>
  <c r="J22" i="5"/>
  <c r="A33" i="5"/>
  <c r="J13" i="5"/>
  <c r="A31" i="5"/>
  <c r="H11" i="9"/>
  <c r="I11" i="9" s="1"/>
  <c r="H10" i="9"/>
  <c r="I10" i="9" s="1"/>
  <c r="H12" i="9"/>
  <c r="I12" i="9" s="1"/>
  <c r="B9" i="9"/>
  <c r="O20" i="5" s="1"/>
  <c r="I12" i="12"/>
  <c r="I11" i="12"/>
  <c r="I10" i="12"/>
  <c r="I9" i="12"/>
  <c r="I8" i="12"/>
  <c r="I7" i="12"/>
  <c r="I6" i="12"/>
  <c r="I3" i="12"/>
  <c r="I12" i="3"/>
  <c r="I11" i="3"/>
  <c r="I10" i="3"/>
  <c r="I9" i="3"/>
  <c r="I8" i="3"/>
  <c r="I7" i="3"/>
  <c r="I6" i="3"/>
  <c r="I3" i="3"/>
  <c r="I12" i="6"/>
  <c r="I11" i="6"/>
  <c r="I10" i="6"/>
  <c r="I9" i="6"/>
  <c r="I8" i="6"/>
  <c r="I7" i="6"/>
  <c r="I6" i="6"/>
  <c r="I3" i="6"/>
  <c r="I12" i="10"/>
  <c r="I11" i="10"/>
  <c r="I10" i="10"/>
  <c r="I9" i="10"/>
  <c r="I8" i="10"/>
  <c r="I7" i="10"/>
  <c r="I6" i="10"/>
  <c r="I3" i="10"/>
  <c r="I12" i="4"/>
  <c r="I11" i="4"/>
  <c r="I10" i="4"/>
  <c r="I9" i="4"/>
  <c r="I8" i="4"/>
  <c r="I7" i="4"/>
  <c r="I6" i="4"/>
  <c r="I3" i="4"/>
  <c r="I12" i="2"/>
  <c r="I11" i="2"/>
  <c r="I10" i="2"/>
  <c r="I9" i="2"/>
  <c r="I8" i="2"/>
  <c r="I7" i="2"/>
  <c r="I6" i="2"/>
  <c r="I3" i="2"/>
  <c r="I6" i="1"/>
  <c r="I7" i="1"/>
  <c r="I8" i="1"/>
  <c r="I9" i="1"/>
  <c r="I10" i="1"/>
  <c r="I11" i="1"/>
  <c r="I12" i="1"/>
  <c r="I3" i="1"/>
  <c r="G13" i="9" l="1"/>
  <c r="B32" i="9"/>
  <c r="I13" i="6"/>
  <c r="F13" i="6" s="1"/>
  <c r="F35" i="5" s="1"/>
  <c r="H13" i="9"/>
  <c r="I13" i="4"/>
  <c r="F13" i="4" s="1"/>
  <c r="D35" i="5" s="1"/>
  <c r="E13" i="9"/>
  <c r="I13" i="1"/>
  <c r="F13" i="1" s="1"/>
  <c r="B35" i="5" s="1"/>
  <c r="I13" i="12"/>
  <c r="F13" i="12" s="1"/>
  <c r="H35" i="5" s="1"/>
  <c r="I13" i="3"/>
  <c r="F13" i="3" s="1"/>
  <c r="C35" i="5" s="1"/>
  <c r="I13" i="10"/>
  <c r="F13" i="10" s="1"/>
  <c r="G35" i="5" s="1"/>
  <c r="I13" i="2"/>
  <c r="F13" i="2" s="1"/>
  <c r="E35" i="5" s="1"/>
  <c r="H9" i="9"/>
  <c r="I9" i="9" s="1"/>
  <c r="G9" i="9"/>
  <c r="L4" i="9"/>
  <c r="L5" i="9"/>
  <c r="L6" i="9"/>
  <c r="L7" i="9"/>
  <c r="L8" i="9"/>
  <c r="L9" i="9"/>
  <c r="L10" i="9"/>
  <c r="L11" i="9"/>
  <c r="L12" i="9"/>
  <c r="L3" i="9"/>
  <c r="H3" i="9"/>
  <c r="G3" i="9"/>
  <c r="B7" i="9"/>
  <c r="B8" i="9"/>
  <c r="C5" i="9"/>
  <c r="C4" i="9"/>
  <c r="B5" i="9" s="1"/>
  <c r="B4" i="9"/>
  <c r="O15" i="5" s="1"/>
  <c r="B12" i="12"/>
  <c r="G12" i="12" s="1"/>
  <c r="B11" i="12"/>
  <c r="G11" i="12" s="1"/>
  <c r="B10" i="12"/>
  <c r="G10" i="12" s="1"/>
  <c r="B9" i="12"/>
  <c r="G9" i="12" s="1"/>
  <c r="B8" i="12"/>
  <c r="G8" i="12" s="1"/>
  <c r="B7" i="12"/>
  <c r="G7" i="12" s="1"/>
  <c r="B6" i="12"/>
  <c r="F6" i="12" s="1"/>
  <c r="H28" i="5" s="1"/>
  <c r="B5" i="12"/>
  <c r="G5" i="12" s="1"/>
  <c r="B4" i="12"/>
  <c r="G4" i="12" s="1"/>
  <c r="F3" i="12"/>
  <c r="H25" i="5" s="1"/>
  <c r="G3" i="12"/>
  <c r="D3" i="12"/>
  <c r="H8" i="5" s="1"/>
  <c r="B12" i="3"/>
  <c r="G12" i="3" s="1"/>
  <c r="B11" i="3"/>
  <c r="G11" i="3" s="1"/>
  <c r="B10" i="3"/>
  <c r="G10" i="3" s="1"/>
  <c r="B9" i="3"/>
  <c r="G9" i="3" s="1"/>
  <c r="B8" i="3"/>
  <c r="D8" i="3" s="1"/>
  <c r="C13" i="5" s="1"/>
  <c r="B7" i="3"/>
  <c r="G7" i="3" s="1"/>
  <c r="B6" i="3"/>
  <c r="G6" i="3" s="1"/>
  <c r="B5" i="3"/>
  <c r="G5" i="3" s="1"/>
  <c r="B4" i="3"/>
  <c r="G4" i="3" s="1"/>
  <c r="F3" i="3"/>
  <c r="C25" i="5" s="1"/>
  <c r="G3" i="3"/>
  <c r="D3" i="3"/>
  <c r="C8" i="5" s="1"/>
  <c r="B12" i="6"/>
  <c r="G12" i="6" s="1"/>
  <c r="B11" i="6"/>
  <c r="F11" i="6" s="1"/>
  <c r="F33" i="5" s="1"/>
  <c r="B10" i="6"/>
  <c r="G10" i="6" s="1"/>
  <c r="B9" i="6"/>
  <c r="G9" i="6" s="1"/>
  <c r="B8" i="6"/>
  <c r="D8" i="6" s="1"/>
  <c r="F13" i="5" s="1"/>
  <c r="B7" i="6"/>
  <c r="G7" i="6" s="1"/>
  <c r="B6" i="6"/>
  <c r="G6" i="6" s="1"/>
  <c r="B5" i="6"/>
  <c r="G5" i="6" s="1"/>
  <c r="B4" i="6"/>
  <c r="D4" i="6" s="1"/>
  <c r="F9" i="5" s="1"/>
  <c r="F3" i="6"/>
  <c r="F25" i="5" s="1"/>
  <c r="G3" i="6"/>
  <c r="D3" i="6"/>
  <c r="F8" i="5" s="1"/>
  <c r="B12" i="10"/>
  <c r="G12" i="10" s="1"/>
  <c r="B11" i="10"/>
  <c r="G11" i="10" s="1"/>
  <c r="B10" i="10"/>
  <c r="G10" i="10" s="1"/>
  <c r="B9" i="10"/>
  <c r="G9" i="10" s="1"/>
  <c r="B8" i="10"/>
  <c r="D8" i="10" s="1"/>
  <c r="G13" i="5" s="1"/>
  <c r="B7" i="10"/>
  <c r="F7" i="10" s="1"/>
  <c r="G29" i="5" s="1"/>
  <c r="B6" i="10"/>
  <c r="G6" i="10" s="1"/>
  <c r="B5" i="10"/>
  <c r="G5" i="10" s="1"/>
  <c r="B4" i="10"/>
  <c r="F3" i="10"/>
  <c r="G25" i="5" s="1"/>
  <c r="G3" i="10"/>
  <c r="D3" i="10"/>
  <c r="G8" i="5" s="1"/>
  <c r="B12" i="4"/>
  <c r="G12" i="4" s="1"/>
  <c r="B11" i="4"/>
  <c r="G11" i="4" s="1"/>
  <c r="B10" i="4"/>
  <c r="G10" i="4" s="1"/>
  <c r="B9" i="4"/>
  <c r="G9" i="4" s="1"/>
  <c r="B8" i="4"/>
  <c r="D8" i="4" s="1"/>
  <c r="D13" i="5" s="1"/>
  <c r="B7" i="4"/>
  <c r="G7" i="4" s="1"/>
  <c r="B6" i="4"/>
  <c r="D6" i="4" s="1"/>
  <c r="D11" i="5" s="1"/>
  <c r="B5" i="4"/>
  <c r="G5" i="4" s="1"/>
  <c r="B4" i="4"/>
  <c r="G4" i="4" s="1"/>
  <c r="F3" i="4"/>
  <c r="D25" i="5" s="1"/>
  <c r="G3" i="4"/>
  <c r="D3" i="4"/>
  <c r="D8" i="5" s="1"/>
  <c r="B12" i="2"/>
  <c r="G12" i="2" s="1"/>
  <c r="B11" i="2"/>
  <c r="G11" i="2" s="1"/>
  <c r="B10" i="2"/>
  <c r="G10" i="2" s="1"/>
  <c r="B9" i="2"/>
  <c r="D9" i="2" s="1"/>
  <c r="E14" i="5" s="1"/>
  <c r="B8" i="2"/>
  <c r="D8" i="2" s="1"/>
  <c r="E13" i="5" s="1"/>
  <c r="B7" i="2"/>
  <c r="G7" i="2" s="1"/>
  <c r="B6" i="2"/>
  <c r="G6" i="2" s="1"/>
  <c r="B5" i="2"/>
  <c r="B4" i="2"/>
  <c r="F3" i="2"/>
  <c r="E25" i="5" s="1"/>
  <c r="G3" i="2"/>
  <c r="D3" i="2"/>
  <c r="E8" i="5" s="1"/>
  <c r="G9" i="1"/>
  <c r="G11" i="1"/>
  <c r="G3" i="1"/>
  <c r="F3" i="1"/>
  <c r="B10" i="1"/>
  <c r="G10" i="1" s="1"/>
  <c r="B11" i="1"/>
  <c r="D11" i="1" s="1"/>
  <c r="B16" i="5" s="1"/>
  <c r="B12" i="1"/>
  <c r="G12" i="1" s="1"/>
  <c r="D7" i="1"/>
  <c r="B12" i="5" s="1"/>
  <c r="D3" i="1"/>
  <c r="C5" i="1"/>
  <c r="B6" i="1" s="1"/>
  <c r="B5" i="1"/>
  <c r="G5" i="1" s="1"/>
  <c r="B7" i="1"/>
  <c r="G7" i="1" s="1"/>
  <c r="B8" i="1"/>
  <c r="D8" i="1" s="1"/>
  <c r="B13" i="5" s="1"/>
  <c r="B9" i="1"/>
  <c r="D9" i="1" s="1"/>
  <c r="B14" i="5" s="1"/>
  <c r="B4" i="1"/>
  <c r="D4" i="1" s="1"/>
  <c r="B9" i="5" s="1"/>
  <c r="G7" i="9" l="1"/>
  <c r="O18" i="5"/>
  <c r="G8" i="9"/>
  <c r="O19" i="5"/>
  <c r="H7" i="9"/>
  <c r="G5" i="9"/>
  <c r="O16" i="5"/>
  <c r="P19" i="5" s="1"/>
  <c r="P23" i="5"/>
  <c r="Q23" i="5" s="1"/>
  <c r="P15" i="5"/>
  <c r="Q15" i="5"/>
  <c r="H8" i="9"/>
  <c r="G6" i="1"/>
  <c r="D6" i="1"/>
  <c r="B11" i="5" s="1"/>
  <c r="D5" i="1"/>
  <c r="B10" i="5" s="1"/>
  <c r="G8" i="1"/>
  <c r="M13" i="9"/>
  <c r="I13" i="9"/>
  <c r="G4" i="5"/>
  <c r="M3" i="9"/>
  <c r="D11" i="3"/>
  <c r="C16" i="5" s="1"/>
  <c r="D5" i="6"/>
  <c r="F10" i="5" s="1"/>
  <c r="F8" i="10"/>
  <c r="G30" i="5" s="1"/>
  <c r="G8" i="2"/>
  <c r="G4" i="1"/>
  <c r="D12" i="1"/>
  <c r="B17" i="5" s="1"/>
  <c r="G4" i="9"/>
  <c r="I5" i="10"/>
  <c r="F5" i="10" s="1"/>
  <c r="G27" i="5" s="1"/>
  <c r="I5" i="4"/>
  <c r="F5" i="4" s="1"/>
  <c r="D27" i="5" s="1"/>
  <c r="I5" i="2"/>
  <c r="F5" i="2" s="1"/>
  <c r="E27" i="5" s="1"/>
  <c r="I5" i="12"/>
  <c r="F5" i="12" s="1"/>
  <c r="H27" i="5" s="1"/>
  <c r="I5" i="3"/>
  <c r="F5" i="3" s="1"/>
  <c r="C27" i="5" s="1"/>
  <c r="I5" i="1"/>
  <c r="I5" i="6"/>
  <c r="F5" i="6" s="1"/>
  <c r="F27" i="5" s="1"/>
  <c r="H5" i="9"/>
  <c r="I4" i="4"/>
  <c r="F4" i="4" s="1"/>
  <c r="D26" i="5" s="1"/>
  <c r="I4" i="10"/>
  <c r="F4" i="10" s="1"/>
  <c r="G26" i="5" s="1"/>
  <c r="I4" i="12"/>
  <c r="F4" i="12" s="1"/>
  <c r="H26" i="5" s="1"/>
  <c r="I4" i="3"/>
  <c r="F4" i="3" s="1"/>
  <c r="C26" i="5" s="1"/>
  <c r="I4" i="2"/>
  <c r="F4" i="2" s="1"/>
  <c r="E26" i="5" s="1"/>
  <c r="I4" i="1"/>
  <c r="I4" i="6"/>
  <c r="F4" i="6" s="1"/>
  <c r="F26" i="5" s="1"/>
  <c r="B6" i="9"/>
  <c r="O17" i="5" s="1"/>
  <c r="H4" i="9"/>
  <c r="D12" i="3"/>
  <c r="C17" i="5" s="1"/>
  <c r="F12" i="6"/>
  <c r="F34" i="5" s="1"/>
  <c r="D12" i="6"/>
  <c r="F17" i="5" s="1"/>
  <c r="D12" i="10"/>
  <c r="G17" i="5" s="1"/>
  <c r="D12" i="4"/>
  <c r="D17" i="5" s="1"/>
  <c r="D11" i="12"/>
  <c r="H16" i="5" s="1"/>
  <c r="D10" i="1"/>
  <c r="B15" i="5" s="1"/>
  <c r="D8" i="12"/>
  <c r="H13" i="5" s="1"/>
  <c r="F8" i="12"/>
  <c r="H30" i="5" s="1"/>
  <c r="D6" i="12"/>
  <c r="H11" i="5" s="1"/>
  <c r="G6" i="12"/>
  <c r="F11" i="12"/>
  <c r="H33" i="5" s="1"/>
  <c r="F9" i="12"/>
  <c r="H31" i="5" s="1"/>
  <c r="D9" i="12"/>
  <c r="H14" i="5" s="1"/>
  <c r="D7" i="12"/>
  <c r="H12" i="5" s="1"/>
  <c r="D4" i="12"/>
  <c r="H9" i="5" s="1"/>
  <c r="H4" i="5" s="1"/>
  <c r="F7" i="12"/>
  <c r="H29" i="5" s="1"/>
  <c r="D12" i="12"/>
  <c r="H17" i="5" s="1"/>
  <c r="D5" i="12"/>
  <c r="H10" i="5" s="1"/>
  <c r="F12" i="12"/>
  <c r="H34" i="5" s="1"/>
  <c r="D10" i="12"/>
  <c r="H15" i="5" s="1"/>
  <c r="F10" i="12"/>
  <c r="H32" i="5" s="1"/>
  <c r="D9" i="3"/>
  <c r="C14" i="5" s="1"/>
  <c r="F9" i="3"/>
  <c r="C31" i="5" s="1"/>
  <c r="F8" i="3"/>
  <c r="C30" i="5" s="1"/>
  <c r="G8" i="3"/>
  <c r="D6" i="3"/>
  <c r="C11" i="5" s="1"/>
  <c r="F6" i="3"/>
  <c r="C28" i="5" s="1"/>
  <c r="D4" i="3"/>
  <c r="C9" i="5" s="1"/>
  <c r="C3" i="5" s="1"/>
  <c r="F11" i="3"/>
  <c r="C33" i="5" s="1"/>
  <c r="D7" i="3"/>
  <c r="C12" i="5" s="1"/>
  <c r="F7" i="3"/>
  <c r="C29" i="5" s="1"/>
  <c r="D5" i="3"/>
  <c r="C10" i="5" s="1"/>
  <c r="F12" i="3"/>
  <c r="C34" i="5" s="1"/>
  <c r="D10" i="3"/>
  <c r="C15" i="5" s="1"/>
  <c r="F10" i="3"/>
  <c r="C32" i="5" s="1"/>
  <c r="G8" i="6"/>
  <c r="F8" i="6"/>
  <c r="F30" i="5" s="1"/>
  <c r="D9" i="6"/>
  <c r="F14" i="5" s="1"/>
  <c r="G11" i="6"/>
  <c r="F6" i="6"/>
  <c r="F28" i="5" s="1"/>
  <c r="G4" i="6"/>
  <c r="F9" i="6"/>
  <c r="F31" i="5" s="1"/>
  <c r="D7" i="6"/>
  <c r="F12" i="5" s="1"/>
  <c r="F7" i="6"/>
  <c r="F29" i="5" s="1"/>
  <c r="D11" i="6"/>
  <c r="F16" i="5" s="1"/>
  <c r="D10" i="6"/>
  <c r="F15" i="5" s="1"/>
  <c r="F10" i="6"/>
  <c r="F32" i="5" s="1"/>
  <c r="D6" i="6"/>
  <c r="F11" i="5" s="1"/>
  <c r="G8" i="10"/>
  <c r="D6" i="10"/>
  <c r="G11" i="5" s="1"/>
  <c r="F6" i="10"/>
  <c r="G28" i="5" s="1"/>
  <c r="D9" i="10"/>
  <c r="G14" i="5" s="1"/>
  <c r="G4" i="10"/>
  <c r="F9" i="10"/>
  <c r="G31" i="5" s="1"/>
  <c r="D7" i="10"/>
  <c r="G12" i="5" s="1"/>
  <c r="D4" i="10"/>
  <c r="G9" i="5" s="1"/>
  <c r="G3" i="5" s="1"/>
  <c r="D5" i="10"/>
  <c r="G10" i="5" s="1"/>
  <c r="G7" i="10"/>
  <c r="F12" i="10"/>
  <c r="G34" i="5" s="1"/>
  <c r="D11" i="10"/>
  <c r="G16" i="5" s="1"/>
  <c r="D10" i="10"/>
  <c r="G15" i="5" s="1"/>
  <c r="F11" i="10"/>
  <c r="G33" i="5" s="1"/>
  <c r="F10" i="10"/>
  <c r="G32" i="5" s="1"/>
  <c r="D9" i="4"/>
  <c r="D14" i="5" s="1"/>
  <c r="G8" i="4"/>
  <c r="F8" i="4"/>
  <c r="D30" i="5" s="1"/>
  <c r="F7" i="4"/>
  <c r="D29" i="5" s="1"/>
  <c r="F6" i="4"/>
  <c r="D28" i="5" s="1"/>
  <c r="D11" i="4"/>
  <c r="D16" i="5" s="1"/>
  <c r="D4" i="4"/>
  <c r="D9" i="5" s="1"/>
  <c r="G6" i="4"/>
  <c r="F11" i="4"/>
  <c r="D33" i="5" s="1"/>
  <c r="F9" i="4"/>
  <c r="D31" i="5" s="1"/>
  <c r="D7" i="4"/>
  <c r="D12" i="5" s="1"/>
  <c r="D5" i="4"/>
  <c r="D10" i="5" s="1"/>
  <c r="F12" i="4"/>
  <c r="D34" i="5" s="1"/>
  <c r="D10" i="4"/>
  <c r="D15" i="5" s="1"/>
  <c r="F10" i="4"/>
  <c r="D32" i="5" s="1"/>
  <c r="F8" i="2"/>
  <c r="E30" i="5" s="1"/>
  <c r="F6" i="2"/>
  <c r="E28" i="5" s="1"/>
  <c r="G5" i="2"/>
  <c r="G4" i="2"/>
  <c r="D4" i="2"/>
  <c r="E9" i="5" s="1"/>
  <c r="E3" i="5" s="1"/>
  <c r="D11" i="2"/>
  <c r="E16" i="5" s="1"/>
  <c r="F11" i="2"/>
  <c r="E33" i="5" s="1"/>
  <c r="F7" i="2"/>
  <c r="E29" i="5" s="1"/>
  <c r="D12" i="2"/>
  <c r="E17" i="5" s="1"/>
  <c r="D7" i="2"/>
  <c r="E12" i="5" s="1"/>
  <c r="D5" i="2"/>
  <c r="E10" i="5" s="1"/>
  <c r="F12" i="2"/>
  <c r="E34" i="5" s="1"/>
  <c r="D10" i="2"/>
  <c r="E15" i="5" s="1"/>
  <c r="D6" i="2"/>
  <c r="E11" i="5" s="1"/>
  <c r="F9" i="2"/>
  <c r="E31" i="5" s="1"/>
  <c r="G9" i="2"/>
  <c r="F10" i="2"/>
  <c r="E32" i="5" s="1"/>
  <c r="P17" i="5" l="1"/>
  <c r="Q17" i="5" s="1"/>
  <c r="P21" i="5"/>
  <c r="Q21" i="5" s="1"/>
  <c r="P24" i="5"/>
  <c r="Q24" i="5" s="1"/>
  <c r="P22" i="5"/>
  <c r="Q22" i="5" s="1"/>
  <c r="P20" i="5"/>
  <c r="Q20" i="5" s="1"/>
  <c r="P16" i="5"/>
  <c r="Q16" i="5" s="1"/>
  <c r="Q18" i="5"/>
  <c r="Q19" i="5"/>
  <c r="P18" i="5"/>
  <c r="E4" i="5"/>
  <c r="E2" i="5"/>
  <c r="F4" i="5"/>
  <c r="F2" i="5"/>
  <c r="F3" i="5"/>
  <c r="C2" i="5"/>
  <c r="C4" i="5"/>
  <c r="H3" i="5"/>
  <c r="H2" i="5"/>
  <c r="D2" i="5"/>
  <c r="D4" i="5"/>
  <c r="D3" i="5"/>
  <c r="G2" i="5"/>
  <c r="H6" i="9"/>
  <c r="G6" i="9"/>
  <c r="Q25" i="5" l="1"/>
  <c r="B20" i="9"/>
  <c r="B18" i="9"/>
  <c r="B8" i="5" l="1"/>
  <c r="B4" i="5" l="1"/>
  <c r="B2" i="5"/>
  <c r="B3" i="5"/>
  <c r="B16" i="9"/>
  <c r="B26" i="9" l="1"/>
  <c r="M6" i="9"/>
  <c r="F5" i="1" l="1"/>
  <c r="B27" i="5" s="1"/>
  <c r="F10" i="1"/>
  <c r="B32" i="5" s="1"/>
  <c r="F12" i="1"/>
  <c r="B34" i="5" s="1"/>
  <c r="F6" i="1"/>
  <c r="B28" i="5" s="1"/>
  <c r="F9" i="1"/>
  <c r="B31" i="5" s="1"/>
  <c r="F11" i="1"/>
  <c r="B33" i="5" s="1"/>
  <c r="F7" i="1"/>
  <c r="B29" i="5" s="1"/>
  <c r="F4" i="1"/>
  <c r="B26" i="5" s="1"/>
  <c r="I7" i="9"/>
  <c r="M7" i="9"/>
  <c r="I5" i="9"/>
  <c r="M5" i="9"/>
  <c r="M10" i="9"/>
  <c r="M12" i="9"/>
  <c r="M11" i="9"/>
  <c r="I6" i="9"/>
  <c r="M4" i="9" l="1"/>
  <c r="B25" i="5" l="1"/>
  <c r="I4" i="9"/>
  <c r="I3" i="9"/>
  <c r="C36" i="5" l="1"/>
  <c r="C5" i="5" s="1"/>
  <c r="F36" i="5"/>
  <c r="F5" i="5" s="1"/>
  <c r="E36" i="5"/>
  <c r="E5" i="5" s="1"/>
  <c r="D36" i="5"/>
  <c r="D5" i="5" s="1"/>
  <c r="F8" i="1" l="1"/>
  <c r="B19" i="9"/>
  <c r="O3" i="5"/>
  <c r="M3" i="5"/>
  <c r="N3" i="5"/>
  <c r="G36" i="5"/>
  <c r="G5" i="5" s="1"/>
  <c r="P3" i="5"/>
  <c r="H36" i="5"/>
  <c r="H5" i="5" s="1"/>
  <c r="M9" i="9"/>
  <c r="I8" i="9"/>
  <c r="B22" i="9" s="1"/>
  <c r="M8" i="9"/>
  <c r="B30" i="5" l="1"/>
  <c r="B36" i="5" s="1"/>
  <c r="Q3" i="5"/>
  <c r="R3" i="5"/>
  <c r="B21" i="9"/>
  <c r="B25" i="9" s="1"/>
  <c r="L3" i="5" l="1"/>
  <c r="S3" i="5" s="1"/>
  <c r="T3" i="5" s="1"/>
  <c r="A29" i="9" s="1"/>
  <c r="B5" i="5"/>
</calcChain>
</file>

<file path=xl/sharedStrings.xml><?xml version="1.0" encoding="utf-8"?>
<sst xmlns="http://schemas.openxmlformats.org/spreadsheetml/2006/main" count="115" uniqueCount="58">
  <si>
    <t>Date</t>
  </si>
  <si>
    <t>portfolio value</t>
  </si>
  <si>
    <t xml:space="preserve">return </t>
  </si>
  <si>
    <t xml:space="preserve">portfolio </t>
  </si>
  <si>
    <t>(1+return)</t>
  </si>
  <si>
    <t>TWR</t>
  </si>
  <si>
    <t>rf yearly</t>
  </si>
  <si>
    <t>rf daily</t>
  </si>
  <si>
    <t>MWR</t>
  </si>
  <si>
    <t xml:space="preserve">Total broker fees </t>
  </si>
  <si>
    <t>-</t>
  </si>
  <si>
    <t xml:space="preserve">portfolio return </t>
  </si>
  <si>
    <t>sharpe ratio</t>
  </si>
  <si>
    <t xml:space="preserve">Weights </t>
  </si>
  <si>
    <t>Returns</t>
  </si>
  <si>
    <t>mean return</t>
  </si>
  <si>
    <t>volatility</t>
  </si>
  <si>
    <t>market variance</t>
  </si>
  <si>
    <t>Annualized MWR</t>
  </si>
  <si>
    <t>sum</t>
  </si>
  <si>
    <t>Average Daily Return</t>
  </si>
  <si>
    <t>Annualized Average Daily Return</t>
  </si>
  <si>
    <t>Daily Volatility</t>
  </si>
  <si>
    <t>Annualized Volatility</t>
  </si>
  <si>
    <t>Weight*volatility</t>
  </si>
  <si>
    <t>diversification  ratio</t>
  </si>
  <si>
    <t xml:space="preserve">Cummulative Max </t>
  </si>
  <si>
    <t>Drawdown</t>
  </si>
  <si>
    <t>beta</t>
  </si>
  <si>
    <t>contribution to return</t>
  </si>
  <si>
    <t>Average unrealized capital gain/loss</t>
  </si>
  <si>
    <t>Daily unrealized capital loss/gain</t>
  </si>
  <si>
    <t>Average Weight</t>
  </si>
  <si>
    <t>Beginning Portfolio Value</t>
  </si>
  <si>
    <t>Ending Portfolio Value</t>
  </si>
  <si>
    <t>SMART TUNISIE</t>
  </si>
  <si>
    <t>AMV</t>
  </si>
  <si>
    <t>One Tech Holding</t>
  </si>
  <si>
    <t>UNIMED</t>
  </si>
  <si>
    <t>POULINA</t>
  </si>
  <si>
    <t>ESSOUKNA</t>
  </si>
  <si>
    <t>Attijari Bank</t>
  </si>
  <si>
    <t>TUNINDEX</t>
  </si>
  <si>
    <t>Available to Invest</t>
  </si>
  <si>
    <t>Portfolio Value</t>
  </si>
  <si>
    <t>Broker's fees</t>
  </si>
  <si>
    <t>Weight</t>
  </si>
  <si>
    <t>Unrealized Capital Gain/Loss</t>
  </si>
  <si>
    <t>Return</t>
  </si>
  <si>
    <t>Close Price</t>
  </si>
  <si>
    <t>Buy Price</t>
  </si>
  <si>
    <t>Max Drawdown</t>
  </si>
  <si>
    <t>Total Brokers fees(0.2%)</t>
  </si>
  <si>
    <r>
      <rPr>
        <u/>
        <sz val="11"/>
        <color rgb="FFFF0000"/>
        <rFont val="Aptos Narrow"/>
        <family val="2"/>
        <scheme val="minor"/>
      </rPr>
      <t>Note</t>
    </r>
    <r>
      <rPr>
        <sz val="11"/>
        <color theme="1"/>
        <rFont val="Aptos Narrow"/>
        <family val="2"/>
        <scheme val="minor"/>
      </rPr>
      <t xml:space="preserve">: For consistency, to annualize returns we used number of days equal to </t>
    </r>
    <r>
      <rPr>
        <b/>
        <sz val="11"/>
        <color theme="9"/>
        <rFont val="Aptos Narrow"/>
        <family val="2"/>
        <scheme val="minor"/>
      </rPr>
      <t>365</t>
    </r>
    <r>
      <rPr>
        <sz val="11"/>
        <color theme="1"/>
        <rFont val="Aptos Narrow"/>
        <family val="2"/>
        <scheme val="minor"/>
      </rPr>
      <t xml:space="preserve"> instead of 252 and considered the number of days 15 (difference between starting day and ending day) , since we are working with the risk free rate of zero-coupon bonds provided by Tunisie Clearing that was calculated using a base of 365 days.(source:https://www.tunisieclearing.com/upload/202103/note%20corporate%20vf.pdf)</t>
    </r>
  </si>
  <si>
    <t>Net Ending Portfolio</t>
  </si>
  <si>
    <t>TUNINDEX(1+TUNINDEX)</t>
  </si>
  <si>
    <t>geometric return TUNINDEX</t>
  </si>
  <si>
    <t>Geometric Return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</si>
</sst>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%"/>
    <numFmt numFmtId="166" formatCode="0.0000%"/>
    <numFmt numFmtId="167" formatCode="0.00000%"/>
    <numFmt numFmtId="168" formatCode="0.0000"/>
    <numFmt numFmtId="169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64" fontId="0" fillId="0" borderId="0" xfId="0" applyNumberFormat="1"/>
    <xf numFmtId="166" fontId="0" fillId="0" borderId="0" xfId="1" applyNumberFormat="1" applyFont="1"/>
    <xf numFmtId="0" fontId="2" fillId="0" borderId="1" xfId="0" applyFont="1" applyBorder="1" applyAlignment="1">
      <alignment horizontal="center" vertical="center"/>
    </xf>
    <xf numFmtId="0" fontId="0" fillId="0" borderId="5" xfId="0" applyBorder="1"/>
    <xf numFmtId="10" fontId="0" fillId="0" borderId="6" xfId="1" applyNumberFormat="1" applyFont="1" applyBorder="1"/>
    <xf numFmtId="0" fontId="0" fillId="0" borderId="7" xfId="0" applyBorder="1"/>
    <xf numFmtId="166" fontId="0" fillId="0" borderId="8" xfId="1" applyNumberFormat="1" applyFont="1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66" fontId="0" fillId="0" borderId="9" xfId="1" applyNumberFormat="1" applyFont="1" applyBorder="1"/>
    <xf numFmtId="166" fontId="0" fillId="0" borderId="2" xfId="1" applyNumberFormat="1" applyFont="1" applyBorder="1"/>
    <xf numFmtId="1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/>
    <xf numFmtId="10" fontId="0" fillId="0" borderId="4" xfId="1" applyNumberFormat="1" applyFon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 applyAlignment="1">
      <alignment horizontal="center" vertical="center"/>
    </xf>
    <xf numFmtId="168" fontId="0" fillId="0" borderId="0" xfId="0" applyNumberFormat="1"/>
    <xf numFmtId="165" fontId="0" fillId="0" borderId="0" xfId="0" applyNumberFormat="1"/>
    <xf numFmtId="2" fontId="0" fillId="0" borderId="0" xfId="1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0" xfId="0" applyBorder="1"/>
    <xf numFmtId="0" fontId="0" fillId="4" borderId="6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0" fillId="5" borderId="0" xfId="1" applyFont="1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165" fontId="0" fillId="0" borderId="6" xfId="0" applyNumberFormat="1" applyBorder="1"/>
    <xf numFmtId="10" fontId="0" fillId="0" borderId="11" xfId="1" applyNumberFormat="1" applyFont="1" applyBorder="1"/>
    <xf numFmtId="165" fontId="0" fillId="0" borderId="11" xfId="1" applyNumberFormat="1" applyFont="1" applyBorder="1"/>
    <xf numFmtId="2" fontId="0" fillId="0" borderId="11" xfId="1" applyNumberFormat="1" applyFont="1" applyBorder="1"/>
    <xf numFmtId="164" fontId="0" fillId="0" borderId="8" xfId="0" applyNumberFormat="1" applyBorder="1"/>
    <xf numFmtId="0" fontId="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9" fontId="0" fillId="0" borderId="0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0" fillId="4" borderId="8" xfId="0" applyNumberFormat="1" applyFill="1" applyBorder="1"/>
    <xf numFmtId="10" fontId="2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 wrapText="1"/>
    </xf>
    <xf numFmtId="10" fontId="0" fillId="0" borderId="0" xfId="1" applyNumberFormat="1" applyFont="1" applyFill="1" applyAlignment="1">
      <alignment horizontal="center" vertical="center"/>
    </xf>
    <xf numFmtId="10" fontId="0" fillId="0" borderId="0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6" fontId="0" fillId="0" borderId="0" xfId="1" applyNumberFormat="1" applyFont="1" applyBorder="1"/>
    <xf numFmtId="165" fontId="0" fillId="0" borderId="0" xfId="1" applyNumberFormat="1" applyFont="1" applyBorder="1"/>
    <xf numFmtId="0" fontId="3" fillId="6" borderId="0" xfId="0" applyFont="1" applyFill="1" applyAlignment="1">
      <alignment horizontal="center" vertical="center"/>
    </xf>
    <xf numFmtId="165" fontId="3" fillId="6" borderId="0" xfId="0" applyNumberFormat="1" applyFont="1" applyFill="1" applyAlignment="1">
      <alignment horizontal="center" vertical="center"/>
    </xf>
    <xf numFmtId="9" fontId="0" fillId="0" borderId="0" xfId="0" applyNumberFormat="1" applyAlignment="1">
      <alignment horizontal="center" wrapText="1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7B6A-B39C-410B-9F50-32721E63484F}">
  <dimension ref="A1:Q50"/>
  <sheetViews>
    <sheetView tabSelected="1" topLeftCell="A13" workbookViewId="0">
      <selection activeCell="C32" sqref="C32"/>
    </sheetView>
  </sheetViews>
  <sheetFormatPr defaultRowHeight="14.5" x14ac:dyDescent="0.35"/>
  <cols>
    <col min="1" max="1" width="27.1796875" customWidth="1"/>
    <col min="2" max="2" width="21.81640625" bestFit="1" customWidth="1"/>
    <col min="3" max="3" width="19.1796875" bestFit="1" customWidth="1"/>
    <col min="4" max="4" width="19.1796875" customWidth="1"/>
    <col min="5" max="5" width="16.453125" customWidth="1"/>
    <col min="6" max="6" width="22.08984375" bestFit="1" customWidth="1"/>
    <col min="7" max="7" width="28.81640625" bestFit="1" customWidth="1"/>
    <col min="8" max="8" width="21.90625" customWidth="1"/>
    <col min="9" max="9" width="9.08984375" bestFit="1" customWidth="1"/>
    <col min="10" max="10" width="23.26953125" bestFit="1" customWidth="1"/>
    <col min="12" max="12" width="12" bestFit="1" customWidth="1"/>
    <col min="14" max="14" width="10.6328125" customWidth="1"/>
    <col min="15" max="15" width="22.08984375" bestFit="1" customWidth="1"/>
    <col min="16" max="16" width="23.36328125" bestFit="1" customWidth="1"/>
    <col min="17" max="17" width="11.81640625" bestFit="1" customWidth="1"/>
  </cols>
  <sheetData>
    <row r="1" spans="1:17" x14ac:dyDescent="0.35">
      <c r="A1" s="6" t="s">
        <v>0</v>
      </c>
      <c r="B1" s="6" t="s">
        <v>33</v>
      </c>
      <c r="C1" s="6" t="s">
        <v>34</v>
      </c>
      <c r="D1" s="6" t="s">
        <v>43</v>
      </c>
      <c r="E1" s="6" t="s">
        <v>9</v>
      </c>
      <c r="F1" s="6" t="s">
        <v>52</v>
      </c>
      <c r="G1" s="6" t="s">
        <v>31</v>
      </c>
      <c r="H1" s="6" t="s">
        <v>2</v>
      </c>
      <c r="I1" s="6" t="s">
        <v>4</v>
      </c>
    </row>
    <row r="2" spans="1:17" x14ac:dyDescent="0.35">
      <c r="B2" s="11">
        <v>0</v>
      </c>
      <c r="C2" s="11">
        <v>0</v>
      </c>
      <c r="D2" s="11">
        <v>406.91199999999998</v>
      </c>
      <c r="E2" s="11">
        <v>0</v>
      </c>
      <c r="F2" s="11"/>
      <c r="G2" s="11" t="s">
        <v>10</v>
      </c>
      <c r="H2" s="11" t="s">
        <v>10</v>
      </c>
      <c r="I2" s="12" t="s">
        <v>10</v>
      </c>
      <c r="J2" s="11" t="s">
        <v>57</v>
      </c>
      <c r="L2" s="58" t="s">
        <v>0</v>
      </c>
      <c r="M2" s="58" t="s">
        <v>3</v>
      </c>
      <c r="N2" s="58" t="s">
        <v>42</v>
      </c>
      <c r="O2" s="58" t="s">
        <v>55</v>
      </c>
      <c r="P2" s="58" t="s">
        <v>56</v>
      </c>
    </row>
    <row r="3" spans="1:17" x14ac:dyDescent="0.35">
      <c r="A3" s="17">
        <v>46006</v>
      </c>
      <c r="B3" s="18">
        <v>373.62</v>
      </c>
      <c r="C3" s="18">
        <v>372.68</v>
      </c>
      <c r="D3" s="18">
        <v>29.52</v>
      </c>
      <c r="E3" s="18">
        <f>$D$2-$C$3-$D$3</f>
        <v>4.7119999999999713</v>
      </c>
      <c r="F3" s="29">
        <f>'One tech Holding'!E3+POULINA!E3+UNIMED!E3+AMV!E3+'Attijari Bank'!E3+ESSOUKNA!E3+'SMART TUNISIE'!E3</f>
        <v>0.74724000000000013</v>
      </c>
      <c r="G3" s="18">
        <f t="shared" ref="G3:G13" si="0">C3-B3</f>
        <v>-0.93999999999999773</v>
      </c>
      <c r="H3" s="19">
        <f t="shared" ref="H3:H13" si="1">C3/B3-1</f>
        <v>-2.5159252716664415E-3</v>
      </c>
      <c r="I3" s="23">
        <f>1+H3</f>
        <v>0.99748407472833356</v>
      </c>
      <c r="J3" s="2">
        <f>PRODUCT($I$3:I3)</f>
        <v>0.99748407472833356</v>
      </c>
      <c r="K3" s="2"/>
      <c r="L3" s="59">
        <f t="shared" ref="L3:L13" si="2">A3</f>
        <v>46006</v>
      </c>
      <c r="M3" s="60">
        <f>H3</f>
        <v>-2.5159252716664415E-3</v>
      </c>
      <c r="N3" s="61">
        <v>-2.7000000000000001E-3</v>
      </c>
      <c r="O3" s="3">
        <f>1+N3</f>
        <v>0.99729999999999996</v>
      </c>
      <c r="P3" s="2">
        <f>PRODUCT($O$3:O3)</f>
        <v>0.99729999999999996</v>
      </c>
    </row>
    <row r="4" spans="1:17" x14ac:dyDescent="0.35">
      <c r="A4" s="17">
        <v>46007</v>
      </c>
      <c r="B4" s="18">
        <f>C3</f>
        <v>372.68</v>
      </c>
      <c r="C4" s="18">
        <f>372.28</f>
        <v>372.28</v>
      </c>
      <c r="D4" s="18">
        <v>29.52</v>
      </c>
      <c r="E4" s="18">
        <f t="shared" ref="E4:E12" si="3">$D$2-$C$3-$D$3</f>
        <v>4.7119999999999713</v>
      </c>
      <c r="F4" s="29">
        <f>'One tech Holding'!E4+POULINA!E4+UNIMED!E4+AMV!E4+'Attijari Bank'!E4+ESSOUKNA!E4+'SMART TUNISIE'!E4</f>
        <v>0.74724000000000013</v>
      </c>
      <c r="G4" s="18">
        <f t="shared" si="0"/>
        <v>-0.40000000000003411</v>
      </c>
      <c r="H4" s="19">
        <f t="shared" si="1"/>
        <v>-1.073306858430878E-3</v>
      </c>
      <c r="I4" s="23">
        <f t="shared" ref="I4:I13" si="4">1+H4</f>
        <v>0.99892669314156912</v>
      </c>
      <c r="J4" s="2">
        <f>PRODUCT($I$3:I4)</f>
        <v>0.99641346822975208</v>
      </c>
      <c r="K4" s="2"/>
      <c r="L4" s="59">
        <f t="shared" si="2"/>
        <v>46007</v>
      </c>
      <c r="M4" s="60">
        <f t="shared" ref="M4:M13" si="5">+H4</f>
        <v>-1.073306858430878E-3</v>
      </c>
      <c r="N4" s="61">
        <v>-8.0000000000000004E-4</v>
      </c>
      <c r="O4" s="3">
        <f t="shared" ref="O4:O13" si="6">1+N4</f>
        <v>0.99919999999999998</v>
      </c>
      <c r="P4" s="2">
        <f>PRODUCT($O$3:O4)</f>
        <v>0.99650215999999991</v>
      </c>
    </row>
    <row r="5" spans="1:17" x14ac:dyDescent="0.35">
      <c r="A5" s="17">
        <v>46008</v>
      </c>
      <c r="B5" s="18">
        <f>C4</f>
        <v>372.28</v>
      </c>
      <c r="C5" s="18">
        <f>372.28</f>
        <v>372.28</v>
      </c>
      <c r="D5" s="18">
        <v>29.52</v>
      </c>
      <c r="E5" s="18">
        <f t="shared" si="3"/>
        <v>4.7119999999999713</v>
      </c>
      <c r="F5" s="29">
        <f>'One tech Holding'!E5+POULINA!E5+UNIMED!E5+AMV!E5+'Attijari Bank'!E5+ESSOUKNA!E5+'SMART TUNISIE'!E5</f>
        <v>0.74724000000000013</v>
      </c>
      <c r="G5" s="18">
        <f t="shared" si="0"/>
        <v>0</v>
      </c>
      <c r="H5" s="19">
        <f t="shared" si="1"/>
        <v>0</v>
      </c>
      <c r="I5" s="23">
        <f t="shared" si="4"/>
        <v>1</v>
      </c>
      <c r="J5" s="2">
        <f>PRODUCT($I$3:I5)</f>
        <v>0.99641346822975208</v>
      </c>
      <c r="K5" s="2"/>
      <c r="L5" s="59">
        <f t="shared" si="2"/>
        <v>46008</v>
      </c>
      <c r="M5" s="60">
        <f t="shared" si="5"/>
        <v>0</v>
      </c>
      <c r="N5" s="61">
        <v>-8.0000000000000004E-4</v>
      </c>
      <c r="O5" s="3">
        <f t="shared" si="6"/>
        <v>0.99919999999999998</v>
      </c>
      <c r="P5" s="2">
        <f>PRODUCT($O$3:O5)</f>
        <v>0.9957049582719999</v>
      </c>
    </row>
    <row r="6" spans="1:17" x14ac:dyDescent="0.35">
      <c r="A6" s="17">
        <v>46009</v>
      </c>
      <c r="B6" s="18">
        <f t="shared" ref="B6:B13" si="7">C5</f>
        <v>372.28</v>
      </c>
      <c r="C6" s="18">
        <v>373.95</v>
      </c>
      <c r="D6" s="18">
        <v>29.52</v>
      </c>
      <c r="E6" s="18">
        <f t="shared" si="3"/>
        <v>4.7119999999999713</v>
      </c>
      <c r="F6" s="29">
        <f>'One tech Holding'!E6+POULINA!E6+UNIMED!E6+AMV!E6+'Attijari Bank'!E6+ESSOUKNA!E6+'SMART TUNISIE'!E6</f>
        <v>0.74724000000000013</v>
      </c>
      <c r="G6" s="18">
        <f t="shared" si="0"/>
        <v>1.6700000000000159</v>
      </c>
      <c r="H6" s="19">
        <f t="shared" si="1"/>
        <v>4.4858708498980437E-3</v>
      </c>
      <c r="I6" s="23">
        <f t="shared" si="4"/>
        <v>1.004485870849898</v>
      </c>
      <c r="J6" s="2">
        <f>PRODUCT($I$3:I6)</f>
        <v>1.0008832503613296</v>
      </c>
      <c r="K6" s="2"/>
      <c r="L6" s="59">
        <f t="shared" si="2"/>
        <v>46009</v>
      </c>
      <c r="M6" s="60">
        <f t="shared" si="5"/>
        <v>4.4858708498980437E-3</v>
      </c>
      <c r="N6" s="61">
        <v>3.0000000000000001E-3</v>
      </c>
      <c r="O6" s="3">
        <f t="shared" si="6"/>
        <v>1.0029999999999999</v>
      </c>
      <c r="P6" s="2">
        <f>PRODUCT($O$3:O6)</f>
        <v>0.99869207314681574</v>
      </c>
    </row>
    <row r="7" spans="1:17" x14ac:dyDescent="0.35">
      <c r="A7" s="17">
        <v>46010</v>
      </c>
      <c r="B7" s="18">
        <f t="shared" si="7"/>
        <v>373.95</v>
      </c>
      <c r="C7" s="18">
        <v>373.7</v>
      </c>
      <c r="D7" s="18">
        <v>29.52</v>
      </c>
      <c r="E7" s="18">
        <f t="shared" si="3"/>
        <v>4.7119999999999713</v>
      </c>
      <c r="F7" s="29">
        <f>'One tech Holding'!E7+POULINA!E7+UNIMED!E7+AMV!E7+'Attijari Bank'!E7+ESSOUKNA!E7+'SMART TUNISIE'!E7</f>
        <v>0.74724000000000013</v>
      </c>
      <c r="G7" s="18">
        <f t="shared" si="0"/>
        <v>-0.25</v>
      </c>
      <c r="H7" s="19">
        <f t="shared" si="1"/>
        <v>-6.6853857467574773E-4</v>
      </c>
      <c r="I7" s="23">
        <f t="shared" si="4"/>
        <v>0.99933146142532425</v>
      </c>
      <c r="J7" s="2">
        <f>PRODUCT($I$3:I7)</f>
        <v>1.0002141212997162</v>
      </c>
      <c r="K7" s="2"/>
      <c r="L7" s="59">
        <f t="shared" si="2"/>
        <v>46010</v>
      </c>
      <c r="M7" s="60">
        <f t="shared" si="5"/>
        <v>-6.6853857467574773E-4</v>
      </c>
      <c r="N7" s="61">
        <v>2.7000000000000001E-3</v>
      </c>
      <c r="O7" s="3">
        <f t="shared" si="6"/>
        <v>1.0026999999999999</v>
      </c>
      <c r="P7" s="2">
        <f>PRODUCT($O$3:O7)</f>
        <v>1.001388541744312</v>
      </c>
    </row>
    <row r="8" spans="1:17" x14ac:dyDescent="0.35">
      <c r="A8" s="17">
        <v>46013</v>
      </c>
      <c r="B8" s="18">
        <f t="shared" si="7"/>
        <v>373.7</v>
      </c>
      <c r="C8" s="18">
        <v>373.06</v>
      </c>
      <c r="D8" s="18">
        <v>29.52</v>
      </c>
      <c r="E8" s="18">
        <f t="shared" si="3"/>
        <v>4.7119999999999713</v>
      </c>
      <c r="F8" s="29">
        <f>'One tech Holding'!E8+POULINA!E8+UNIMED!E8+AMV!E8+'Attijari Bank'!E8+ESSOUKNA!E8+'SMART TUNISIE'!E8</f>
        <v>0.74724000000000013</v>
      </c>
      <c r="G8" s="18">
        <f t="shared" si="0"/>
        <v>-0.63999999999998636</v>
      </c>
      <c r="H8" s="19">
        <f t="shared" si="1"/>
        <v>-1.7126036928016841E-3</v>
      </c>
      <c r="I8" s="23">
        <f t="shared" si="4"/>
        <v>0.99828739630719832</v>
      </c>
      <c r="J8" s="2">
        <f>PRODUCT($I$3:I8)</f>
        <v>0.99850115090198588</v>
      </c>
      <c r="K8" s="2"/>
      <c r="L8" s="59">
        <f t="shared" si="2"/>
        <v>46013</v>
      </c>
      <c r="M8" s="60">
        <f t="shared" si="5"/>
        <v>-1.7126036928016841E-3</v>
      </c>
      <c r="N8" s="61">
        <v>1.2999999999999999E-3</v>
      </c>
      <c r="O8" s="3">
        <f t="shared" si="6"/>
        <v>1.0013000000000001</v>
      </c>
      <c r="P8" s="2">
        <f>PRODUCT($O$3:O8)</f>
        <v>1.0026903468485797</v>
      </c>
    </row>
    <row r="9" spans="1:17" x14ac:dyDescent="0.35">
      <c r="A9" s="17">
        <v>46014</v>
      </c>
      <c r="B9" s="18">
        <f t="shared" si="7"/>
        <v>373.06</v>
      </c>
      <c r="C9" s="18">
        <v>372.52</v>
      </c>
      <c r="D9" s="18">
        <v>29.52</v>
      </c>
      <c r="E9" s="18">
        <f t="shared" si="3"/>
        <v>4.7119999999999713</v>
      </c>
      <c r="F9" s="29">
        <f>'One tech Holding'!E9+POULINA!E9+UNIMED!E9+AMV!E9+'Attijari Bank'!E9+ESSOUKNA!E9+'SMART TUNISIE'!E9</f>
        <v>0.74724000000000013</v>
      </c>
      <c r="G9" s="18">
        <f t="shared" si="0"/>
        <v>-0.54000000000002046</v>
      </c>
      <c r="H9" s="19">
        <f t="shared" si="1"/>
        <v>-1.4474883396773386E-3</v>
      </c>
      <c r="I9" s="23">
        <f t="shared" si="4"/>
        <v>0.99855251166032266</v>
      </c>
      <c r="J9" s="2">
        <f>PRODUCT($I$3:I9)</f>
        <v>0.99705583212890081</v>
      </c>
      <c r="K9" s="2"/>
      <c r="L9" s="59">
        <f t="shared" si="2"/>
        <v>46014</v>
      </c>
      <c r="M9" s="60">
        <f t="shared" si="5"/>
        <v>-1.4474883396773386E-3</v>
      </c>
      <c r="N9" s="61">
        <v>-1.1000000000000001E-3</v>
      </c>
      <c r="O9" s="3">
        <f t="shared" si="6"/>
        <v>0.99890000000000001</v>
      </c>
      <c r="P9" s="2">
        <f>PRODUCT($O$3:O9)</f>
        <v>1.0015873874670462</v>
      </c>
    </row>
    <row r="10" spans="1:17" x14ac:dyDescent="0.35">
      <c r="A10" s="17">
        <v>46015</v>
      </c>
      <c r="B10" s="18">
        <f>C9</f>
        <v>372.52</v>
      </c>
      <c r="C10" s="18">
        <v>371.98</v>
      </c>
      <c r="D10" s="18">
        <v>29.52</v>
      </c>
      <c r="E10" s="18">
        <f t="shared" si="3"/>
        <v>4.7119999999999713</v>
      </c>
      <c r="F10" s="29">
        <f>'One tech Holding'!E10+POULINA!E10+UNIMED!E10+AMV!E10+'Attijari Bank'!E10+ESSOUKNA!E10+'SMART TUNISIE'!E10</f>
        <v>0.74724000000000013</v>
      </c>
      <c r="G10" s="18">
        <f t="shared" si="0"/>
        <v>-0.53999999999996362</v>
      </c>
      <c r="H10" s="19">
        <f t="shared" si="1"/>
        <v>-1.4495865993771062E-3</v>
      </c>
      <c r="I10" s="23">
        <f t="shared" si="4"/>
        <v>0.99855041340062289</v>
      </c>
      <c r="J10" s="2">
        <f>PRODUCT($I$3:I10)</f>
        <v>0.99561051335581596</v>
      </c>
      <c r="K10" s="2"/>
      <c r="L10" s="59">
        <f t="shared" si="2"/>
        <v>46015</v>
      </c>
      <c r="M10" s="60">
        <f t="shared" si="5"/>
        <v>-1.4495865993771062E-3</v>
      </c>
      <c r="N10" s="61">
        <v>2.5999999999999999E-3</v>
      </c>
      <c r="O10" s="3">
        <f t="shared" si="6"/>
        <v>1.0025999999999999</v>
      </c>
      <c r="P10" s="2">
        <f>PRODUCT($O$3:O10)</f>
        <v>1.0041915146744604</v>
      </c>
    </row>
    <row r="11" spans="1:17" x14ac:dyDescent="0.35">
      <c r="A11" s="17">
        <v>46016</v>
      </c>
      <c r="B11" s="18">
        <f t="shared" si="7"/>
        <v>371.98</v>
      </c>
      <c r="C11" s="18">
        <v>372.93</v>
      </c>
      <c r="D11" s="18">
        <v>29.52</v>
      </c>
      <c r="E11" s="18">
        <f t="shared" si="3"/>
        <v>4.7119999999999713</v>
      </c>
      <c r="F11" s="29">
        <f>'One tech Holding'!E11+POULINA!E11+UNIMED!E11+AMV!E11+'Attijari Bank'!E11+ESSOUKNA!E11+'SMART TUNISIE'!E11</f>
        <v>0.74724000000000013</v>
      </c>
      <c r="G11" s="18">
        <f t="shared" si="0"/>
        <v>0.94999999999998863</v>
      </c>
      <c r="H11" s="19">
        <f t="shared" si="1"/>
        <v>2.553900747352067E-3</v>
      </c>
      <c r="I11" s="23">
        <f t="shared" si="4"/>
        <v>1.0025539007473521</v>
      </c>
      <c r="J11" s="2">
        <f>PRODUCT($I$3:I11)</f>
        <v>0.99815320378994699</v>
      </c>
      <c r="K11" s="2"/>
      <c r="L11" s="59">
        <f t="shared" si="2"/>
        <v>46016</v>
      </c>
      <c r="M11" s="60">
        <f t="shared" si="5"/>
        <v>2.553900747352067E-3</v>
      </c>
      <c r="N11" s="61">
        <v>-2.8999999999999998E-3</v>
      </c>
      <c r="O11" s="3">
        <f t="shared" si="6"/>
        <v>0.99709999999999999</v>
      </c>
      <c r="P11" s="2">
        <f>PRODUCT($O$3:O11)</f>
        <v>1.0012793592819045</v>
      </c>
    </row>
    <row r="12" spans="1:17" x14ac:dyDescent="0.35">
      <c r="A12" s="17">
        <v>46017</v>
      </c>
      <c r="B12" s="18">
        <f t="shared" si="7"/>
        <v>372.93</v>
      </c>
      <c r="C12" s="18">
        <v>374.48</v>
      </c>
      <c r="D12" s="18">
        <v>29.52</v>
      </c>
      <c r="E12" s="18">
        <f t="shared" si="3"/>
        <v>4.7119999999999713</v>
      </c>
      <c r="F12" s="29">
        <f>'One tech Holding'!E12+POULINA!E12+UNIMED!E12+AMV!E12+'Attijari Bank'!E12+ESSOUKNA!E12+'SMART TUNISIE'!E12</f>
        <v>0.74724000000000013</v>
      </c>
      <c r="G12" s="18">
        <f t="shared" si="0"/>
        <v>1.5500000000000114</v>
      </c>
      <c r="H12" s="19">
        <f t="shared" si="1"/>
        <v>4.1562759767248547E-3</v>
      </c>
      <c r="I12" s="23">
        <f t="shared" si="4"/>
        <v>1.0041562759767249</v>
      </c>
      <c r="J12" s="2">
        <f>PRODUCT($I$3:I12)</f>
        <v>1.00230180397195</v>
      </c>
      <c r="K12" s="2"/>
      <c r="L12" s="59">
        <f t="shared" si="2"/>
        <v>46017</v>
      </c>
      <c r="M12" s="60">
        <f t="shared" si="5"/>
        <v>4.1562759767248547E-3</v>
      </c>
      <c r="N12" s="61">
        <v>4.0000000000000002E-4</v>
      </c>
      <c r="O12" s="3">
        <f t="shared" si="6"/>
        <v>1.0004</v>
      </c>
      <c r="P12" s="2">
        <f>PRODUCT($O$3:O12)</f>
        <v>1.0016798710256172</v>
      </c>
    </row>
    <row r="13" spans="1:17" x14ac:dyDescent="0.35">
      <c r="A13" s="54">
        <v>46020</v>
      </c>
      <c r="B13" s="18">
        <f t="shared" si="7"/>
        <v>374.48</v>
      </c>
      <c r="C13" s="18">
        <f>'One tech Holding'!C13+POULINA!C13+UNIMED!C13+AMV!C13+ESSOUKNA!C13+'Attijari Bank'!C13+'SMART TUNISIE'!C13</f>
        <v>376.50000000000006</v>
      </c>
      <c r="D13" s="18">
        <v>401.94799999999998</v>
      </c>
      <c r="E13" s="18">
        <f>C13+D12-D13+E12</f>
        <v>8.7840000000000309</v>
      </c>
      <c r="F13" s="29">
        <f>'One tech Holding'!E13+POULINA!E13+UNIMED!E13+AMV!E13+'Attijari Bank'!E13+ESSOUKNA!E13+'SMART TUNISIE'!E13</f>
        <v>1.5002400000000002</v>
      </c>
      <c r="G13" s="18">
        <f t="shared" si="0"/>
        <v>2.0200000000000387</v>
      </c>
      <c r="H13" s="19">
        <f t="shared" si="1"/>
        <v>5.3941465498825725E-3</v>
      </c>
      <c r="I13" s="23">
        <f t="shared" si="4"/>
        <v>1.0053941465498826</v>
      </c>
      <c r="J13" s="2">
        <f>PRODUCT($I$3:I13)</f>
        <v>1.0077083667897864</v>
      </c>
      <c r="K13" s="2"/>
      <c r="L13" s="59">
        <f t="shared" si="2"/>
        <v>46020</v>
      </c>
      <c r="M13" s="60">
        <f t="shared" si="5"/>
        <v>5.3941465498825725E-3</v>
      </c>
      <c r="N13" s="61">
        <v>1E-3</v>
      </c>
      <c r="O13" s="3">
        <f t="shared" si="6"/>
        <v>1.0009999999999999</v>
      </c>
      <c r="P13" s="2">
        <f>PRODUCT($O$3:O13)</f>
        <v>1.0026815508966427</v>
      </c>
      <c r="Q13" s="2"/>
    </row>
    <row r="14" spans="1:17" ht="15" thickBot="1" x14ac:dyDescent="0.4">
      <c r="B14" t="s">
        <v>54</v>
      </c>
      <c r="C14" s="29">
        <f>C13-F13</f>
        <v>374.99976000000004</v>
      </c>
      <c r="G14" s="4"/>
      <c r="N14" s="3"/>
      <c r="O14" s="27"/>
    </row>
    <row r="15" spans="1:17" x14ac:dyDescent="0.35">
      <c r="A15" s="7" t="s">
        <v>6</v>
      </c>
      <c r="B15" s="8">
        <v>7.51E-2</v>
      </c>
      <c r="D15" s="2"/>
    </row>
    <row r="16" spans="1:17" ht="15" thickBot="1" x14ac:dyDescent="0.4">
      <c r="A16" s="9" t="s">
        <v>7</v>
      </c>
      <c r="B16" s="15">
        <f>((1+B15)^(1/365))-1</f>
        <v>1.9841332655112787E-4</v>
      </c>
      <c r="C16" s="16"/>
      <c r="D16" s="62"/>
    </row>
    <row r="17" spans="1:10" ht="15" thickBot="1" x14ac:dyDescent="0.4">
      <c r="D17" s="1"/>
    </row>
    <row r="18" spans="1:10" x14ac:dyDescent="0.35">
      <c r="A18" s="7" t="s">
        <v>20</v>
      </c>
      <c r="B18" s="36">
        <f>AVERAGE(H3:H12)</f>
        <v>2.3285982373457692E-4</v>
      </c>
      <c r="D18" s="1"/>
    </row>
    <row r="19" spans="1:10" x14ac:dyDescent="0.35">
      <c r="A19" s="35" t="s">
        <v>21</v>
      </c>
      <c r="B19" s="37">
        <f>B18*365</f>
        <v>8.4993835663120576E-2</v>
      </c>
    </row>
    <row r="20" spans="1:10" x14ac:dyDescent="0.35">
      <c r="A20" s="35" t="s">
        <v>22</v>
      </c>
      <c r="B20" s="37">
        <f>_xlfn.STDEV.S(H3:H12)</f>
        <v>2.5481188257414356E-3</v>
      </c>
    </row>
    <row r="21" spans="1:10" x14ac:dyDescent="0.35">
      <c r="A21" s="35" t="s">
        <v>23</v>
      </c>
      <c r="B21" s="37">
        <f>B20*SQRT(252)</f>
        <v>4.0450132343722613E-2</v>
      </c>
    </row>
    <row r="22" spans="1:10" ht="14.4" customHeight="1" x14ac:dyDescent="0.35">
      <c r="A22" s="35" t="s">
        <v>5</v>
      </c>
      <c r="B22" s="38">
        <f>(GEOMEAN(I3:I12)-1)</f>
        <v>2.2994232062334419E-4</v>
      </c>
      <c r="C22" s="26"/>
      <c r="D22" s="26"/>
      <c r="E22" s="66" t="s">
        <v>53</v>
      </c>
      <c r="F22" s="66"/>
      <c r="G22" s="66"/>
      <c r="H22" s="66"/>
      <c r="I22" s="66"/>
    </row>
    <row r="23" spans="1:10" x14ac:dyDescent="0.35">
      <c r="A23" s="35" t="s">
        <v>8</v>
      </c>
      <c r="B23" s="37">
        <f>C13/B3-1</f>
        <v>7.7083667897865915E-3</v>
      </c>
      <c r="C23" s="2"/>
      <c r="D23" s="2"/>
      <c r="E23" s="66"/>
      <c r="F23" s="66"/>
      <c r="G23" s="66"/>
      <c r="H23" s="66"/>
      <c r="I23" s="66"/>
    </row>
    <row r="24" spans="1:10" x14ac:dyDescent="0.35">
      <c r="A24" s="35" t="s">
        <v>18</v>
      </c>
      <c r="B24" s="37">
        <f>(1+B23)^(365/15)-1</f>
        <v>0.20544768661122381</v>
      </c>
      <c r="C24" s="2"/>
      <c r="D24" s="2"/>
      <c r="E24" s="66"/>
      <c r="F24" s="66"/>
      <c r="G24" s="66"/>
      <c r="H24" s="66"/>
      <c r="I24" s="66"/>
    </row>
    <row r="25" spans="1:10" x14ac:dyDescent="0.35">
      <c r="A25" s="35" t="s">
        <v>12</v>
      </c>
      <c r="B25" s="39">
        <f>(B19-B15)/B21</f>
        <v>0.24459340649489825</v>
      </c>
      <c r="E25" s="66"/>
      <c r="F25" s="66"/>
      <c r="G25" s="66"/>
      <c r="H25" s="66"/>
      <c r="I25" s="66"/>
      <c r="J25" s="24"/>
    </row>
    <row r="26" spans="1:10" ht="15" thickBot="1" x14ac:dyDescent="0.4">
      <c r="A26" s="9" t="s">
        <v>30</v>
      </c>
      <c r="B26" s="40">
        <f>AVERAGE(G3:G12)</f>
        <v>8.6000000000001367E-2</v>
      </c>
      <c r="E26" s="66"/>
      <c r="F26" s="66"/>
      <c r="G26" s="66"/>
      <c r="H26" s="66"/>
      <c r="I26" s="66"/>
      <c r="J26" s="29"/>
    </row>
    <row r="27" spans="1:10" x14ac:dyDescent="0.35">
      <c r="J27" s="29"/>
    </row>
    <row r="28" spans="1:10" x14ac:dyDescent="0.35">
      <c r="A28" s="32" t="s">
        <v>25</v>
      </c>
      <c r="B28" s="14"/>
      <c r="J28" s="29"/>
    </row>
    <row r="29" spans="1:10" x14ac:dyDescent="0.35">
      <c r="A29" s="33">
        <f>'KRIs calculations'!T3</f>
        <v>0.24867938968468012</v>
      </c>
      <c r="B29" s="21"/>
      <c r="J29" s="29"/>
    </row>
    <row r="30" spans="1:10" x14ac:dyDescent="0.35">
      <c r="J30" s="29"/>
    </row>
    <row r="31" spans="1:10" x14ac:dyDescent="0.35">
      <c r="A31" s="1">
        <f>A3</f>
        <v>46006</v>
      </c>
      <c r="B31">
        <f>-B3</f>
        <v>-373.62</v>
      </c>
      <c r="J31" s="29"/>
    </row>
    <row r="32" spans="1:10" x14ac:dyDescent="0.35">
      <c r="A32" s="1">
        <f>A13</f>
        <v>46020</v>
      </c>
      <c r="B32">
        <f>C13</f>
        <v>376.50000000000006</v>
      </c>
      <c r="J32" s="29"/>
    </row>
    <row r="33" spans="10:11" x14ac:dyDescent="0.35">
      <c r="J33" s="29"/>
    </row>
    <row r="34" spans="10:11" x14ac:dyDescent="0.35">
      <c r="J34" s="29"/>
    </row>
    <row r="35" spans="10:11" x14ac:dyDescent="0.35">
      <c r="J35" s="29"/>
    </row>
    <row r="36" spans="10:11" x14ac:dyDescent="0.35">
      <c r="J36" s="28"/>
      <c r="K36" s="3"/>
    </row>
    <row r="37" spans="10:11" x14ac:dyDescent="0.35">
      <c r="J37" s="28"/>
      <c r="K37" s="3"/>
    </row>
    <row r="38" spans="10:11" x14ac:dyDescent="0.35">
      <c r="J38" s="28"/>
      <c r="K38" s="3"/>
    </row>
    <row r="39" spans="10:11" x14ac:dyDescent="0.35">
      <c r="J39" s="28"/>
      <c r="K39" s="3"/>
    </row>
    <row r="40" spans="10:11" x14ac:dyDescent="0.35">
      <c r="J40" s="28"/>
      <c r="K40" s="3"/>
    </row>
    <row r="41" spans="10:11" x14ac:dyDescent="0.35">
      <c r="J41" s="19"/>
      <c r="K41" s="3"/>
    </row>
    <row r="42" spans="10:11" x14ac:dyDescent="0.35">
      <c r="J42" s="19"/>
      <c r="K42" s="3"/>
    </row>
    <row r="43" spans="10:11" x14ac:dyDescent="0.35">
      <c r="J43" s="19"/>
      <c r="K43" s="3"/>
    </row>
    <row r="44" spans="10:11" x14ac:dyDescent="0.35">
      <c r="J44" s="20"/>
      <c r="K44" s="3"/>
    </row>
    <row r="45" spans="10:11" x14ac:dyDescent="0.35">
      <c r="J45" s="19"/>
      <c r="K45" s="3"/>
    </row>
    <row r="46" spans="10:11" x14ac:dyDescent="0.35">
      <c r="J46" s="19"/>
      <c r="K46" s="3"/>
    </row>
    <row r="47" spans="10:11" x14ac:dyDescent="0.35">
      <c r="J47" s="19"/>
      <c r="K47" s="3"/>
    </row>
    <row r="48" spans="10:11" x14ac:dyDescent="0.35">
      <c r="J48" s="19"/>
      <c r="K48" s="2"/>
    </row>
    <row r="49" spans="10:11" x14ac:dyDescent="0.35">
      <c r="J49" s="19"/>
      <c r="K49" s="2"/>
    </row>
    <row r="50" spans="10:11" x14ac:dyDescent="0.35">
      <c r="J50" s="22"/>
      <c r="K50" s="2"/>
    </row>
  </sheetData>
  <mergeCells count="1">
    <mergeCell ref="E22:I26"/>
  </mergeCells>
  <conditionalFormatting sqref="K36:K50">
    <cfRule type="cellIs" dxfId="9" priority="1" operator="lessThan">
      <formula>0</formula>
    </cfRule>
    <cfRule type="cellIs" dxfId="8" priority="2" operator="greaterThan">
      <formula>0</formula>
    </cfRule>
  </conditionalFormatting>
  <conditionalFormatting sqref="M4:M13">
    <cfRule type="cellIs" dxfId="7" priority="14" operator="lessThan">
      <formula>0</formula>
    </cfRule>
    <cfRule type="cellIs" dxfId="6" priority="15" operator="greaterThan">
      <formula>0</formula>
    </cfRule>
  </conditionalFormatting>
  <conditionalFormatting sqref="M3:N13">
    <cfRule type="cellIs" dxfId="5" priority="5" operator="lessThan">
      <formula>0</formula>
    </cfRule>
    <cfRule type="cellIs" dxfId="4" priority="6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8DD2-5011-46AC-93D1-DB831145D40E}">
  <dimension ref="A1:AH54"/>
  <sheetViews>
    <sheetView topLeftCell="A6" workbookViewId="0">
      <selection activeCell="G5" sqref="G5"/>
    </sheetView>
  </sheetViews>
  <sheetFormatPr defaultRowHeight="14.5" x14ac:dyDescent="0.35"/>
  <cols>
    <col min="1" max="1" width="22.6328125" customWidth="1"/>
    <col min="2" max="2" width="31.08984375" customWidth="1"/>
    <col min="3" max="3" width="10.08984375" bestFit="1" customWidth="1"/>
    <col min="4" max="4" width="14.1796875" bestFit="1" customWidth="1"/>
    <col min="5" max="5" width="16.1796875" bestFit="1" customWidth="1"/>
    <col min="6" max="6" width="10.81640625" bestFit="1" customWidth="1"/>
    <col min="7" max="7" width="11.54296875" customWidth="1"/>
    <col min="8" max="8" width="10.81640625" bestFit="1" customWidth="1"/>
    <col min="9" max="10" width="14.36328125" customWidth="1"/>
    <col min="11" max="11" width="13.54296875" customWidth="1"/>
    <col min="12" max="12" width="14.1796875" customWidth="1"/>
    <col min="13" max="13" width="15.36328125" customWidth="1"/>
    <col min="14" max="14" width="14.453125" customWidth="1"/>
    <col min="15" max="15" width="12.6328125" customWidth="1"/>
    <col min="16" max="16" width="17.54296875" customWidth="1"/>
    <col min="17" max="17" width="12.1796875" customWidth="1"/>
    <col min="18" max="18" width="13.08984375" customWidth="1"/>
    <col min="19" max="19" width="11.1796875" bestFit="1" customWidth="1"/>
    <col min="20" max="20" width="28.08984375" customWidth="1"/>
    <col min="21" max="21" width="12.08984375" bestFit="1" customWidth="1"/>
    <col min="23" max="23" width="20.08984375" customWidth="1"/>
    <col min="26" max="26" width="14.1796875" customWidth="1"/>
    <col min="27" max="27" width="13.36328125" customWidth="1"/>
    <col min="28" max="28" width="10.81640625" customWidth="1"/>
    <col min="29" max="29" width="11.6328125" bestFit="1" customWidth="1"/>
    <col min="34" max="34" width="9.08984375" bestFit="1" customWidth="1"/>
  </cols>
  <sheetData>
    <row r="1" spans="1:29" ht="15" thickBot="1" x14ac:dyDescent="0.4">
      <c r="K1" t="s">
        <v>17</v>
      </c>
      <c r="L1" s="5">
        <f>_xlfn.STDEV.S(L13:L27)^2</f>
        <v>5.6781818181818182E-6</v>
      </c>
    </row>
    <row r="2" spans="1:29" x14ac:dyDescent="0.35">
      <c r="A2" s="11" t="s">
        <v>15</v>
      </c>
      <c r="B2" s="50">
        <f>AVERAGE(B8:B18)</f>
        <v>-1.2958484637008588E-4</v>
      </c>
      <c r="C2" s="50">
        <f t="shared" ref="C2:H2" si="0">AVERAGE(C8:C18)</f>
        <v>7.1252993957525814E-4</v>
      </c>
      <c r="D2" s="50">
        <f t="shared" si="0"/>
        <v>1.770734762109629E-3</v>
      </c>
      <c r="E2" s="50">
        <f t="shared" si="0"/>
        <v>-5.9926318774800545E-4</v>
      </c>
      <c r="F2" s="50">
        <f t="shared" si="0"/>
        <v>1.2721328905506348E-3</v>
      </c>
      <c r="G2" s="50">
        <f t="shared" si="0"/>
        <v>2.8183827432642816E-3</v>
      </c>
      <c r="H2" s="50">
        <f t="shared" si="0"/>
        <v>2.4165526577187139E-3</v>
      </c>
      <c r="K2" s="7"/>
      <c r="L2" s="30"/>
      <c r="M2" s="30"/>
      <c r="N2" s="30"/>
      <c r="O2" s="30"/>
      <c r="P2" s="30"/>
      <c r="Q2" s="30"/>
      <c r="R2" s="30"/>
      <c r="S2" s="31" t="s">
        <v>19</v>
      </c>
      <c r="T2" s="32" t="s">
        <v>25</v>
      </c>
    </row>
    <row r="3" spans="1:29" ht="15" thickBot="1" x14ac:dyDescent="0.4">
      <c r="A3" s="11" t="s">
        <v>16</v>
      </c>
      <c r="B3" s="51">
        <f>_xlfn.STDEV.S(B8:B18)</f>
        <v>6.6302946829470454E-3</v>
      </c>
      <c r="C3" s="51">
        <f t="shared" ref="C3:H3" si="1">_xlfn.STDEV.S(C8:C18)</f>
        <v>9.5434320298220885E-3</v>
      </c>
      <c r="D3" s="51">
        <f t="shared" si="1"/>
        <v>1.2760803688449522E-2</v>
      </c>
      <c r="E3" s="51">
        <f t="shared" si="1"/>
        <v>7.0420891362879996E-3</v>
      </c>
      <c r="F3" s="51">
        <f t="shared" si="1"/>
        <v>1.2463228375715826E-2</v>
      </c>
      <c r="G3" s="51">
        <f t="shared" si="1"/>
        <v>5.2378776576069092E-3</v>
      </c>
      <c r="H3" s="51">
        <f t="shared" si="1"/>
        <v>2.8268887643683554E-2</v>
      </c>
      <c r="K3" s="9" t="s">
        <v>24</v>
      </c>
      <c r="L3" s="15">
        <f>B36*B3</f>
        <v>2.3512158680063866E-3</v>
      </c>
      <c r="M3" s="15">
        <f t="shared" ref="M3:R3" si="2">C36*C3</f>
        <v>1.0312020017910896E-3</v>
      </c>
      <c r="N3" s="15">
        <f t="shared" si="2"/>
        <v>6.4162133982223609E-4</v>
      </c>
      <c r="O3" s="15">
        <f t="shared" si="2"/>
        <v>1.4945459245244289E-3</v>
      </c>
      <c r="P3" s="15">
        <f t="shared" si="2"/>
        <v>2.9881283561513316E-4</v>
      </c>
      <c r="Q3" s="15">
        <f t="shared" si="2"/>
        <v>1.2661662567733012E-3</v>
      </c>
      <c r="R3" s="15">
        <f t="shared" si="2"/>
        <v>2.3790735259202083E-4</v>
      </c>
      <c r="S3" s="48">
        <f>SUM(L3:R3)</f>
        <v>7.3214715791245968E-3</v>
      </c>
      <c r="T3" s="33">
        <f>_xlfn.STDEV.S(K13:K23)/S3</f>
        <v>0.24867938968468012</v>
      </c>
    </row>
    <row r="4" spans="1:29" x14ac:dyDescent="0.35">
      <c r="A4" s="11" t="s">
        <v>28</v>
      </c>
      <c r="B4" s="29">
        <f>(_xlfn.COVARIANCE.S(B8:B18,$L$13:$L$23))/$L$1</f>
        <v>0.60450531856945966</v>
      </c>
      <c r="C4" s="29">
        <f t="shared" ref="C4:H4" si="3">(_xlfn.COVARIANCE.S(C8:C18,$L$13:$L$23))/$L$1</f>
        <v>0.65073020160484918</v>
      </c>
      <c r="D4" s="29">
        <f t="shared" si="3"/>
        <v>-1.9208045783555283</v>
      </c>
      <c r="E4" s="29">
        <f t="shared" si="3"/>
        <v>-1.4462312662900978</v>
      </c>
      <c r="F4" s="29">
        <f t="shared" si="3"/>
        <v>-2.3174806478634107</v>
      </c>
      <c r="G4" s="29">
        <f t="shared" si="3"/>
        <v>-0.83886399108660903</v>
      </c>
      <c r="H4" s="29">
        <f t="shared" si="3"/>
        <v>2.9355572373849617</v>
      </c>
      <c r="I4" s="18"/>
      <c r="J4" s="18"/>
      <c r="K4" s="18"/>
      <c r="L4" s="18"/>
      <c r="M4" s="52"/>
    </row>
    <row r="5" spans="1:29" x14ac:dyDescent="0.35">
      <c r="A5" s="11" t="s">
        <v>29</v>
      </c>
      <c r="B5" s="53">
        <f>B2*B36</f>
        <v>-4.5953002333689671E-5</v>
      </c>
      <c r="C5" s="53">
        <f t="shared" ref="C5:H5" si="4">C2*C36</f>
        <v>7.6991411237597302E-5</v>
      </c>
      <c r="D5" s="53">
        <f t="shared" si="4"/>
        <v>8.9033672037676592E-5</v>
      </c>
      <c r="E5" s="53">
        <f t="shared" si="4"/>
        <v>-1.271819111676849E-4</v>
      </c>
      <c r="F5" s="53">
        <f t="shared" si="4"/>
        <v>3.050009394398811E-5</v>
      </c>
      <c r="G5" s="53">
        <f t="shared" si="4"/>
        <v>6.8129524236039613E-4</v>
      </c>
      <c r="H5" s="53">
        <f t="shared" si="4"/>
        <v>2.0337398925759683E-5</v>
      </c>
      <c r="I5" s="18"/>
      <c r="J5" s="18"/>
      <c r="K5" s="18"/>
      <c r="L5" s="18"/>
      <c r="M5" s="52"/>
    </row>
    <row r="6" spans="1:29" x14ac:dyDescent="0.35">
      <c r="A6" s="68" t="s">
        <v>14</v>
      </c>
      <c r="B6" s="68"/>
      <c r="C6" s="68"/>
      <c r="D6" s="68"/>
      <c r="E6" s="68"/>
      <c r="F6" s="68"/>
      <c r="G6" s="68"/>
      <c r="H6" s="68"/>
      <c r="I6" s="18"/>
      <c r="J6" s="18"/>
      <c r="K6" s="18"/>
      <c r="L6" s="18"/>
      <c r="M6" s="52"/>
    </row>
    <row r="7" spans="1:29" x14ac:dyDescent="0.35">
      <c r="A7" s="18" t="s">
        <v>0</v>
      </c>
      <c r="B7" s="11" t="s">
        <v>41</v>
      </c>
      <c r="C7" s="11" t="s">
        <v>36</v>
      </c>
      <c r="D7" s="49" t="s">
        <v>35</v>
      </c>
      <c r="E7" s="11" t="s">
        <v>37</v>
      </c>
      <c r="F7" s="11" t="s">
        <v>38</v>
      </c>
      <c r="G7" s="11" t="s">
        <v>39</v>
      </c>
      <c r="H7" s="11" t="s">
        <v>40</v>
      </c>
      <c r="I7" s="18"/>
      <c r="J7" s="18"/>
      <c r="K7" s="18"/>
      <c r="L7" s="18"/>
      <c r="M7" s="52"/>
      <c r="N7" s="3"/>
    </row>
    <row r="8" spans="1:29" x14ac:dyDescent="0.35">
      <c r="A8" s="54">
        <f>'Portfolio Return'!A3</f>
        <v>46006</v>
      </c>
      <c r="B8" s="56">
        <f>'Attijari Bank'!D3</f>
        <v>-1.3452914798206317E-2</v>
      </c>
      <c r="C8" s="50">
        <f>AMV!D3</f>
        <v>-2.962962962962945E-3</v>
      </c>
      <c r="D8" s="52">
        <f>'SMART TUNISIE'!D3</f>
        <v>0</v>
      </c>
      <c r="E8" s="55">
        <f>'One tech Holding'!D3</f>
        <v>5.6818181818181213E-3</v>
      </c>
      <c r="F8" s="50">
        <f>UNIMED!D3</f>
        <v>-2.2172949002217113E-3</v>
      </c>
      <c r="G8" s="50">
        <f>POULINA!D3</f>
        <v>6.1486864169926214E-3</v>
      </c>
      <c r="H8" s="50">
        <f>ESSOUKNA!D3</f>
        <v>0</v>
      </c>
      <c r="I8" s="11"/>
      <c r="J8" s="11"/>
      <c r="K8" s="18"/>
      <c r="L8" s="18"/>
      <c r="M8" s="52"/>
      <c r="N8" s="3"/>
    </row>
    <row r="9" spans="1:29" x14ac:dyDescent="0.35">
      <c r="A9" s="54">
        <f>'Portfolio Return'!A4</f>
        <v>46007</v>
      </c>
      <c r="B9" s="56">
        <f>'Attijari Bank'!D4</f>
        <v>7.4242424242423333E-3</v>
      </c>
      <c r="C9" s="50">
        <f>AMV!D4</f>
        <v>-1.188707280832102E-2</v>
      </c>
      <c r="D9" s="52">
        <f>'SMART TUNISIE'!D4</f>
        <v>-1.4531754574811595E-2</v>
      </c>
      <c r="E9" s="55">
        <f>'One tech Holding'!D4</f>
        <v>-5.6497175141243527E-3</v>
      </c>
      <c r="F9" s="50">
        <f>UNIMED!D4</f>
        <v>-1.1111111111111072E-2</v>
      </c>
      <c r="G9" s="50">
        <f>POULINA!D4</f>
        <v>-1.1111111111110628E-3</v>
      </c>
      <c r="H9" s="50">
        <f>ESSOUKNA!D4</f>
        <v>6.514657980456029E-3</v>
      </c>
      <c r="I9" s="18"/>
      <c r="J9" s="18"/>
      <c r="K9" s="18"/>
      <c r="L9" s="18"/>
      <c r="M9" s="52"/>
      <c r="N9" s="3"/>
    </row>
    <row r="10" spans="1:29" x14ac:dyDescent="0.35">
      <c r="A10" s="54">
        <f>'Portfolio Return'!A5</f>
        <v>46008</v>
      </c>
      <c r="B10" s="56">
        <f>'Attijari Bank'!D5</f>
        <v>0</v>
      </c>
      <c r="C10" s="50">
        <f>AMV!D5</f>
        <v>0</v>
      </c>
      <c r="D10" s="52">
        <f>'SMART TUNISIE'!D5</f>
        <v>0</v>
      </c>
      <c r="E10" s="55">
        <f>'One tech Holding'!D5</f>
        <v>0</v>
      </c>
      <c r="F10" s="50">
        <f>UNIMED!D5</f>
        <v>0</v>
      </c>
      <c r="G10" s="50">
        <f>POULINA!D5</f>
        <v>0</v>
      </c>
      <c r="H10" s="50">
        <f>ESSOUKNA!D5</f>
        <v>0</v>
      </c>
      <c r="I10" s="18"/>
      <c r="J10" s="18"/>
      <c r="K10" s="18"/>
      <c r="L10" s="18"/>
      <c r="M10" s="52"/>
      <c r="N10" s="3"/>
    </row>
    <row r="11" spans="1:29" x14ac:dyDescent="0.35">
      <c r="A11" s="54">
        <f>'Portfolio Return'!A6</f>
        <v>46009</v>
      </c>
      <c r="B11" s="56">
        <f>'Attijari Bank'!D6</f>
        <v>-1.5039855617384745E-3</v>
      </c>
      <c r="C11" s="50">
        <f>AMV!D6</f>
        <v>7.5187969924812581E-3</v>
      </c>
      <c r="D11" s="52">
        <f>'SMART TUNISIE'!D6</f>
        <v>3.713817586018564E-2</v>
      </c>
      <c r="E11" s="55">
        <f>'One tech Holding'!D6</f>
        <v>1.1363636363636243E-2</v>
      </c>
      <c r="F11" s="50">
        <f>UNIMED!D6</f>
        <v>8.9887640449437534E-3</v>
      </c>
      <c r="G11" s="50">
        <f>POULINA!D6</f>
        <v>-1.6685205784204848E-3</v>
      </c>
      <c r="H11" s="50">
        <f>ESSOUKNA!D6</f>
        <v>1.9417475728155331E-2</v>
      </c>
      <c r="I11" s="18"/>
      <c r="J11" s="18"/>
      <c r="K11" s="18"/>
      <c r="L11" s="18"/>
      <c r="M11" s="52"/>
      <c r="N11" s="3"/>
    </row>
    <row r="12" spans="1:29" ht="15" thickBot="1" x14ac:dyDescent="0.4">
      <c r="A12" s="54">
        <f>'Portfolio Return'!A7</f>
        <v>46010</v>
      </c>
      <c r="B12" s="56">
        <f>'Attijari Bank'!D7</f>
        <v>-6.0250037656274236E-3</v>
      </c>
      <c r="C12" s="50">
        <f>AMV!D7</f>
        <v>1.4925373134328179E-2</v>
      </c>
      <c r="D12" s="52">
        <f>'SMART TUNISIE'!D7</f>
        <v>-4.7393364928909332E-3</v>
      </c>
      <c r="E12" s="55">
        <f>'One tech Holding'!D7</f>
        <v>-3.370786516853852E-3</v>
      </c>
      <c r="F12" s="50">
        <f>UNIMED!D7</f>
        <v>-8.9086859688195519E-3</v>
      </c>
      <c r="G12" s="50">
        <f>POULINA!D7</f>
        <v>2.7855153203342198E-3</v>
      </c>
      <c r="H12" s="50">
        <f>ESSOUKNA!D7</f>
        <v>4.4444444444444509E-2</v>
      </c>
      <c r="I12" s="18"/>
      <c r="J12" s="18" t="s">
        <v>0</v>
      </c>
      <c r="K12" s="18" t="s">
        <v>11</v>
      </c>
      <c r="L12" s="18" t="s">
        <v>42</v>
      </c>
      <c r="O12" s="11" t="s">
        <v>1</v>
      </c>
      <c r="P12" s="11" t="s">
        <v>26</v>
      </c>
      <c r="Q12" s="11" t="s">
        <v>27</v>
      </c>
    </row>
    <row r="13" spans="1:29" x14ac:dyDescent="0.35">
      <c r="A13" s="54">
        <f>'Portfolio Return'!A8</f>
        <v>46013</v>
      </c>
      <c r="B13" s="56">
        <f>'Attijari Bank'!D8</f>
        <v>-4.3946052432185523E-3</v>
      </c>
      <c r="C13" s="50">
        <f>AMV!D8</f>
        <v>0</v>
      </c>
      <c r="D13" s="52">
        <f>'SMART TUNISIE'!D8</f>
        <v>5.2910052910053462E-3</v>
      </c>
      <c r="E13" s="55">
        <f>'One tech Holding'!D8</f>
        <v>-2.2547914317924134E-3</v>
      </c>
      <c r="F13" s="50">
        <f>UNIMED!D8</f>
        <v>1.7977528089887729E-2</v>
      </c>
      <c r="G13" s="50">
        <f>POULINA!D8</f>
        <v>0</v>
      </c>
      <c r="H13" s="50">
        <f>ESSOUKNA!D8</f>
        <v>-4.2553191489361764E-2</v>
      </c>
      <c r="I13" s="18"/>
      <c r="J13" s="54">
        <f t="shared" ref="J13:J23" si="5">A8</f>
        <v>46006</v>
      </c>
      <c r="K13" s="52">
        <v>-1.9386666666666012E-3</v>
      </c>
      <c r="L13" s="50">
        <v>-1.1000000000000001E-3</v>
      </c>
      <c r="N13" s="3"/>
      <c r="O13" s="18">
        <f>'Portfolio Return'!B3</f>
        <v>373.62</v>
      </c>
      <c r="P13">
        <f>MAX($O$13:O13)</f>
        <v>373.62</v>
      </c>
      <c r="Q13" s="63">
        <f>O13/P13-1</f>
        <v>0</v>
      </c>
      <c r="AB13" s="7"/>
      <c r="AC13" s="8"/>
    </row>
    <row r="14" spans="1:29" ht="15" thickBot="1" x14ac:dyDescent="0.4">
      <c r="A14" s="54">
        <f>'Portfolio Return'!A9</f>
        <v>46014</v>
      </c>
      <c r="B14" s="56">
        <f>'Attijari Bank'!D9</f>
        <v>0</v>
      </c>
      <c r="C14" s="50">
        <f>AMV!D9</f>
        <v>-1.4705882352941013E-2</v>
      </c>
      <c r="D14" s="52">
        <f>'SMART TUNISIE'!D9</f>
        <v>0</v>
      </c>
      <c r="E14" s="55">
        <f>'One tech Holding'!D9</f>
        <v>-3.3898305084747449E-3</v>
      </c>
      <c r="F14" s="50">
        <f>UNIMED!D9</f>
        <v>-6.6225165562914245E-3</v>
      </c>
      <c r="G14" s="50">
        <f>POULINA!D9</f>
        <v>5.0000000000001155E-3</v>
      </c>
      <c r="H14" s="50">
        <f>ESSOUKNA!D9</f>
        <v>-1.9047619047619091E-2</v>
      </c>
      <c r="I14" s="18"/>
      <c r="J14" s="54">
        <f t="shared" si="5"/>
        <v>46007</v>
      </c>
      <c r="K14" s="52">
        <v>2.2376714323500461E-3</v>
      </c>
      <c r="L14" s="50">
        <v>3.0000000000000001E-3</v>
      </c>
      <c r="N14" s="3"/>
      <c r="O14" s="18">
        <f>'Portfolio Return'!B3</f>
        <v>373.62</v>
      </c>
      <c r="P14">
        <f>MAX($O$13:O14)</f>
        <v>373.62</v>
      </c>
      <c r="Q14" s="63">
        <f t="shared" ref="Q14:Q24" si="6">O14/P14-1</f>
        <v>0</v>
      </c>
      <c r="AB14" s="9"/>
      <c r="AC14" s="10"/>
    </row>
    <row r="15" spans="1:29" x14ac:dyDescent="0.35">
      <c r="A15" s="54">
        <f>'Portfolio Return'!A10</f>
        <v>46015</v>
      </c>
      <c r="B15" s="56">
        <f>'Attijari Bank'!D10</f>
        <v>2.8919330289192136E-3</v>
      </c>
      <c r="C15" s="50">
        <f>AMV!D10</f>
        <v>7.4626865671640896E-3</v>
      </c>
      <c r="D15" s="52">
        <f>'SMART TUNISIE'!D10</f>
        <v>-2.6315789473684292E-3</v>
      </c>
      <c r="E15" s="55">
        <f>'One tech Holding'!D10</f>
        <v>-7.9365079365079083E-3</v>
      </c>
      <c r="F15" s="50">
        <f>UNIMED!D10</f>
        <v>-1.1111111111111072E-2</v>
      </c>
      <c r="G15" s="50">
        <f>POULINA!D10</f>
        <v>-4.9751243781094301E-3</v>
      </c>
      <c r="H15" s="50">
        <f>ESSOUKNA!D10</f>
        <v>3.2362459546926292E-3</v>
      </c>
      <c r="I15" s="18"/>
      <c r="J15" s="54">
        <f t="shared" si="5"/>
        <v>46008</v>
      </c>
      <c r="K15" s="52">
        <v>-1.5662051582132814E-3</v>
      </c>
      <c r="L15" s="50">
        <v>-4.4000000000000003E-3</v>
      </c>
      <c r="N15" s="3"/>
      <c r="O15" s="18">
        <f>'Portfolio Return'!B4</f>
        <v>372.68</v>
      </c>
      <c r="P15">
        <f>MAX($O$13:O15)</f>
        <v>373.62</v>
      </c>
      <c r="Q15" s="63">
        <f t="shared" si="6"/>
        <v>-2.5159252716664415E-3</v>
      </c>
    </row>
    <row r="16" spans="1:29" x14ac:dyDescent="0.35">
      <c r="A16" s="54">
        <f>'Portfolio Return'!A11</f>
        <v>46016</v>
      </c>
      <c r="B16" s="56">
        <f>'Attijari Bank'!D11</f>
        <v>0</v>
      </c>
      <c r="C16" s="50">
        <f>AMV!D11</f>
        <v>-5.9259259259260011E-3</v>
      </c>
      <c r="D16" s="52">
        <f>'SMART TUNISIE'!D11</f>
        <v>-2.6385224274406704E-3</v>
      </c>
      <c r="E16" s="55">
        <f>'One tech Holding'!D11</f>
        <v>-1.1428571428572232E-3</v>
      </c>
      <c r="F16" s="50">
        <f>UNIMED!D11</f>
        <v>0</v>
      </c>
      <c r="G16" s="50">
        <f>POULINA!D11</f>
        <v>1.388888888888884E-2</v>
      </c>
      <c r="H16" s="50">
        <f>ESSOUKNA!D11</f>
        <v>2.5806451612903292E-2</v>
      </c>
      <c r="I16" s="18"/>
      <c r="J16" s="54">
        <f t="shared" si="5"/>
        <v>46009</v>
      </c>
      <c r="K16" s="52">
        <v>7.6764310870080523E-4</v>
      </c>
      <c r="L16" s="50">
        <v>-1.6000000000000001E-3</v>
      </c>
      <c r="N16" s="3"/>
      <c r="O16" s="18">
        <f>'Portfolio Return'!B5</f>
        <v>372.28</v>
      </c>
      <c r="P16">
        <f>MAX($O$13:O16)</f>
        <v>373.62</v>
      </c>
      <c r="Q16" s="63">
        <f t="shared" si="6"/>
        <v>-3.5865317702479249E-3</v>
      </c>
    </row>
    <row r="17" spans="1:34" x14ac:dyDescent="0.35">
      <c r="A17" s="54">
        <f>'Portfolio Return'!A12</f>
        <v>46017</v>
      </c>
      <c r="B17" s="56">
        <f>'Attijari Bank'!D12</f>
        <v>1.1534375474275382E-2</v>
      </c>
      <c r="C17" s="50">
        <f>AMV!D12</f>
        <v>0</v>
      </c>
      <c r="D17" s="52">
        <f>'SMART TUNISIE'!D12</f>
        <v>2.6455026455027841E-3</v>
      </c>
      <c r="E17" s="55">
        <f>'One tech Holding'!D12</f>
        <v>-1.0297482837528626E-2</v>
      </c>
      <c r="F17" s="50">
        <f>UNIMED!D12</f>
        <v>-1.1235955056179137E-3</v>
      </c>
      <c r="G17" s="50">
        <f>POULINA!D12</f>
        <v>7.6712328767123417E-3</v>
      </c>
      <c r="H17" s="50">
        <f>ESSOUKNA!D12</f>
        <v>3.1446540880503138E-2</v>
      </c>
      <c r="I17" s="18"/>
      <c r="J17" s="54">
        <f t="shared" si="5"/>
        <v>46010</v>
      </c>
      <c r="K17" s="52">
        <v>1.2719094048860545E-3</v>
      </c>
      <c r="L17" s="50">
        <v>2.8E-3</v>
      </c>
      <c r="N17" s="3"/>
      <c r="O17" s="18">
        <f>'Portfolio Return'!B6</f>
        <v>372.28</v>
      </c>
      <c r="P17">
        <f>MAX($O$13:O17)</f>
        <v>373.62</v>
      </c>
      <c r="Q17" s="63">
        <f t="shared" si="6"/>
        <v>-3.5865317702479249E-3</v>
      </c>
    </row>
    <row r="18" spans="1:34" x14ac:dyDescent="0.35">
      <c r="A18" s="54">
        <f>'Portfolio Return'!A13</f>
        <v>46020</v>
      </c>
      <c r="B18" s="56">
        <f>'Attijari Bank'!D13</f>
        <v>2.1005251312828932E-3</v>
      </c>
      <c r="C18" s="50">
        <f>AMV!D13</f>
        <v>1.3412816691505292E-2</v>
      </c>
      <c r="D18" s="52">
        <f>'SMART TUNISIE'!D13</f>
        <v>-1.0554089709762238E-3</v>
      </c>
      <c r="E18" s="55">
        <f>'One tech Holding'!D13</f>
        <v>1.0404624277456698E-2</v>
      </c>
      <c r="F18" s="50">
        <f>UNIMED!D13</f>
        <v>2.8121484814398245E-2</v>
      </c>
      <c r="G18" s="50">
        <f>POULINA!D13</f>
        <v>3.2626427406199365E-3</v>
      </c>
      <c r="H18" s="50">
        <f>ESSOUKNA!D13</f>
        <v>-4.268292682926822E-2</v>
      </c>
      <c r="I18" s="18"/>
      <c r="J18" s="54">
        <f t="shared" si="5"/>
        <v>46013</v>
      </c>
      <c r="K18" s="52">
        <v>-6.661564352470901E-5</v>
      </c>
      <c r="L18" s="50">
        <v>-5.9999999999999995E-4</v>
      </c>
      <c r="N18" s="3"/>
      <c r="O18" s="18">
        <f>'Portfolio Return'!B7</f>
        <v>373.95</v>
      </c>
      <c r="P18">
        <f>MAX($O$13:O18)</f>
        <v>373.95</v>
      </c>
      <c r="Q18" s="63">
        <f t="shared" si="6"/>
        <v>0</v>
      </c>
    </row>
    <row r="19" spans="1:34" x14ac:dyDescent="0.35">
      <c r="A19" s="54"/>
      <c r="B19" s="56"/>
      <c r="C19" s="50"/>
      <c r="D19" s="52"/>
      <c r="E19" s="55"/>
      <c r="F19" s="50"/>
      <c r="G19" s="50"/>
      <c r="H19" s="50"/>
      <c r="I19" s="18"/>
      <c r="J19" s="54">
        <f t="shared" si="5"/>
        <v>46014</v>
      </c>
      <c r="K19" s="52">
        <v>-3.4642442361472047E-3</v>
      </c>
      <c r="L19" s="50">
        <v>-1.1000000000000001E-3</v>
      </c>
      <c r="N19" s="3"/>
      <c r="O19" s="18">
        <f>'Portfolio Return'!B8</f>
        <v>373.7</v>
      </c>
      <c r="P19">
        <f>MAX($O$13:O19)</f>
        <v>373.95</v>
      </c>
      <c r="Q19" s="63">
        <f t="shared" si="6"/>
        <v>-6.6853857467574773E-4</v>
      </c>
    </row>
    <row r="20" spans="1:34" x14ac:dyDescent="0.35">
      <c r="A20" s="54"/>
      <c r="B20" s="56"/>
      <c r="C20" s="50"/>
      <c r="D20" s="52"/>
      <c r="E20" s="55"/>
      <c r="F20" s="50"/>
      <c r="G20" s="50"/>
      <c r="H20" s="50"/>
      <c r="I20" s="18"/>
      <c r="J20" s="54">
        <f t="shared" si="5"/>
        <v>46015</v>
      </c>
      <c r="K20" s="52">
        <v>2.7302222838148983E-3</v>
      </c>
      <c r="L20" s="50">
        <v>2.5999999999999999E-3</v>
      </c>
      <c r="O20" s="18">
        <f>'Portfolio Return'!B9</f>
        <v>373.06</v>
      </c>
      <c r="P20">
        <f>MAX($O$13:O20)</f>
        <v>373.95</v>
      </c>
      <c r="Q20" s="63">
        <f t="shared" si="6"/>
        <v>-2.3799973258457063E-3</v>
      </c>
    </row>
    <row r="21" spans="1:34" x14ac:dyDescent="0.35">
      <c r="A21" s="54"/>
      <c r="B21" s="56"/>
      <c r="C21" s="50"/>
      <c r="D21" s="52"/>
      <c r="E21" s="55"/>
      <c r="F21" s="50"/>
      <c r="G21" s="50"/>
      <c r="H21" s="50"/>
      <c r="I21" s="18"/>
      <c r="J21" s="54">
        <f t="shared" si="5"/>
        <v>46016</v>
      </c>
      <c r="K21" s="52">
        <v>-1.1733858227935279E-4</v>
      </c>
      <c r="L21" s="50">
        <v>-2.8999999999999998E-3</v>
      </c>
      <c r="O21" s="18">
        <f>'Portfolio Return'!B10</f>
        <v>372.52</v>
      </c>
      <c r="P21">
        <f>MAX($O$13:O21)</f>
        <v>373.95</v>
      </c>
      <c r="Q21" s="63">
        <f t="shared" si="6"/>
        <v>-3.8240406471453658E-3</v>
      </c>
      <c r="AC21" s="13"/>
    </row>
    <row r="22" spans="1:34" x14ac:dyDescent="0.35">
      <c r="A22" s="54"/>
      <c r="B22" s="56"/>
      <c r="C22" s="50"/>
      <c r="D22" s="52"/>
      <c r="E22" s="55"/>
      <c r="F22" s="50"/>
      <c r="G22" s="50"/>
      <c r="H22" s="50"/>
      <c r="I22" s="18"/>
      <c r="J22" s="54">
        <f t="shared" si="5"/>
        <v>46017</v>
      </c>
      <c r="K22" s="52">
        <v>1.1901928905951301E-4</v>
      </c>
      <c r="L22" s="50">
        <v>4.0000000000000002E-4</v>
      </c>
      <c r="O22" s="18">
        <f>'Portfolio Return'!B11</f>
        <v>371.98</v>
      </c>
      <c r="P22">
        <f>MAX($O$13:O22)</f>
        <v>373.95</v>
      </c>
      <c r="Q22" s="63">
        <f t="shared" si="6"/>
        <v>-5.2680839684449143E-3</v>
      </c>
      <c r="AC22" s="5"/>
    </row>
    <row r="23" spans="1:34" x14ac:dyDescent="0.35">
      <c r="A23" s="54" t="str">
        <f>'Portfolio Return'!A18</f>
        <v>Average Daily Return</v>
      </c>
      <c r="B23" s="67" t="s">
        <v>13</v>
      </c>
      <c r="C23" s="67"/>
      <c r="D23" s="67"/>
      <c r="E23" s="67"/>
      <c r="F23" s="67"/>
      <c r="G23" s="67"/>
      <c r="H23" s="67"/>
      <c r="I23" s="54"/>
      <c r="J23" s="54">
        <f t="shared" si="5"/>
        <v>46020</v>
      </c>
      <c r="K23" s="52">
        <v>-5.1262207692405741E-4</v>
      </c>
      <c r="L23" s="50">
        <v>-1.1999999999999999E-3</v>
      </c>
      <c r="N23" s="1"/>
      <c r="O23" s="18">
        <f>'Portfolio Return'!B12</f>
        <v>372.93</v>
      </c>
      <c r="P23">
        <f>MAX($O$13:O23)</f>
        <v>373.95</v>
      </c>
      <c r="Q23" s="63">
        <f t="shared" si="6"/>
        <v>-2.727637384677073E-3</v>
      </c>
      <c r="AC23" s="13"/>
      <c r="AH23" s="3"/>
    </row>
    <row r="24" spans="1:34" x14ac:dyDescent="0.35">
      <c r="A24" s="18" t="s">
        <v>0</v>
      </c>
      <c r="B24" s="11" t="str">
        <f>B7</f>
        <v>Attijari Bank</v>
      </c>
      <c r="C24" s="11" t="str">
        <f t="shared" ref="C24:H24" si="7">C7</f>
        <v>AMV</v>
      </c>
      <c r="D24" s="11" t="str">
        <f t="shared" si="7"/>
        <v>SMART TUNISIE</v>
      </c>
      <c r="E24" s="11" t="str">
        <f t="shared" si="7"/>
        <v>One Tech Holding</v>
      </c>
      <c r="F24" s="11" t="str">
        <f t="shared" si="7"/>
        <v>UNIMED</v>
      </c>
      <c r="G24" s="11" t="str">
        <f t="shared" si="7"/>
        <v>POULINA</v>
      </c>
      <c r="H24" s="11" t="str">
        <f t="shared" si="7"/>
        <v>ESSOUKNA</v>
      </c>
      <c r="I24" s="18"/>
      <c r="J24" s="18"/>
      <c r="K24" s="52"/>
      <c r="L24" s="50"/>
      <c r="M24" s="54"/>
      <c r="O24" s="18">
        <f>'Portfolio Return'!B13</f>
        <v>374.48</v>
      </c>
      <c r="P24">
        <f>MAX($O$13:O24)</f>
        <v>374.48</v>
      </c>
      <c r="Q24" s="63">
        <f t="shared" si="6"/>
        <v>0</v>
      </c>
      <c r="AH24" s="3"/>
    </row>
    <row r="25" spans="1:34" x14ac:dyDescent="0.35">
      <c r="A25" s="54">
        <f>A8</f>
        <v>46006</v>
      </c>
      <c r="B25" s="52">
        <f>'Attijari Bank'!F3</f>
        <v>0.3590211441451111</v>
      </c>
      <c r="C25" s="52">
        <f>AMV!F3</f>
        <v>0.10867231941612107</v>
      </c>
      <c r="D25" s="52">
        <f>'SMART TUNISIE'!F3</f>
        <v>4.9855103574111832E-2</v>
      </c>
      <c r="E25" s="52">
        <f>'One tech Holding'!F3</f>
        <v>0.21251475796930341</v>
      </c>
      <c r="F25" s="52">
        <f>UNIMED!F3</f>
        <v>2.4203069657615109E-2</v>
      </c>
      <c r="G25" s="52">
        <f>POULINA!F3</f>
        <v>0.24001824621659332</v>
      </c>
      <c r="H25" s="52">
        <f>ESSOUKNA!F3</f>
        <v>8.237630138456584E-3</v>
      </c>
      <c r="I25" s="18"/>
      <c r="J25" s="18"/>
      <c r="K25" s="52"/>
      <c r="L25" s="50"/>
      <c r="M25" s="54"/>
      <c r="O25" s="18"/>
      <c r="P25" s="64" t="s">
        <v>51</v>
      </c>
      <c r="Q25" s="65">
        <f>MIN(Q13:Q24)</f>
        <v>-5.2680839684449143E-3</v>
      </c>
      <c r="AH25" s="3"/>
    </row>
    <row r="26" spans="1:34" x14ac:dyDescent="0.35">
      <c r="A26" s="54">
        <f t="shared" ref="A26:A35" si="8">A9</f>
        <v>46007</v>
      </c>
      <c r="B26" s="52">
        <f>'Attijari Bank'!F4</f>
        <v>0.35457182765660256</v>
      </c>
      <c r="C26" s="52">
        <f>AMV!F4</f>
        <v>0.10846674546040616</v>
      </c>
      <c r="D26" s="52">
        <f>'SMART TUNISIE'!F4</f>
        <v>4.9908670892876331E-2</v>
      </c>
      <c r="E26" s="52">
        <f>'One tech Holding'!F4</f>
        <v>0.21395186418824544</v>
      </c>
      <c r="F26" s="52">
        <f>UNIMED!F4</f>
        <v>2.4175351885677449E-2</v>
      </c>
      <c r="G26" s="52">
        <f>POULINA!F4</f>
        <v>0.24175351885677449</v>
      </c>
      <c r="H26" s="52">
        <f>ESSOUKNA!F4</f>
        <v>8.2464811432255286E-3</v>
      </c>
      <c r="I26" s="18"/>
      <c r="J26" s="18"/>
      <c r="K26" s="52"/>
      <c r="L26" s="50"/>
      <c r="M26" s="54"/>
      <c r="O26" s="18"/>
      <c r="AH26" s="3"/>
    </row>
    <row r="27" spans="1:34" x14ac:dyDescent="0.35">
      <c r="A27" s="54">
        <f t="shared" si="8"/>
        <v>46008</v>
      </c>
      <c r="B27" s="52">
        <f>'Attijari Bank'!F5</f>
        <v>0.35720425486193186</v>
      </c>
      <c r="C27" s="52">
        <f>AMV!F5</f>
        <v>0.10717739335983668</v>
      </c>
      <c r="D27" s="52">
        <f>'SMART TUNISIE'!F5</f>
        <v>4.9183410336306008E-2</v>
      </c>
      <c r="E27" s="52">
        <f>'One tech Holding'!F5</f>
        <v>0.21274309659396157</v>
      </c>
      <c r="F27" s="52">
        <f>UNIMED!F5</f>
        <v>2.3906736864725477E-2</v>
      </c>
      <c r="G27" s="52">
        <f>POULINA!F5</f>
        <v>0.24148490383582252</v>
      </c>
      <c r="H27" s="52">
        <f>ESSOUKNA!F5</f>
        <v>8.3002041474159235E-3</v>
      </c>
      <c r="I27" s="18"/>
      <c r="J27" s="18"/>
      <c r="K27" s="52"/>
      <c r="L27" s="50"/>
      <c r="M27" s="54"/>
      <c r="O27" s="29"/>
      <c r="AH27" s="3"/>
    </row>
    <row r="28" spans="1:34" x14ac:dyDescent="0.35">
      <c r="A28" s="54">
        <f t="shared" si="8"/>
        <v>46009</v>
      </c>
      <c r="B28" s="52">
        <f>'Attijari Bank'!F6</f>
        <v>0.3556090386415296</v>
      </c>
      <c r="C28" s="52">
        <f>AMV!F6</f>
        <v>0.1066987565182511</v>
      </c>
      <c r="D28" s="52">
        <f>'SMART TUNISIE'!F6</f>
        <v>4.8963765209252573E-2</v>
      </c>
      <c r="E28" s="52">
        <f>'One tech Holding'!F6</f>
        <v>0.21179302045728041</v>
      </c>
      <c r="F28" s="52">
        <f>UNIMED!F6</f>
        <v>2.3799973258457015E-2</v>
      </c>
      <c r="G28" s="52">
        <f>POULINA!F6</f>
        <v>0.24040647145340288</v>
      </c>
      <c r="H28" s="52">
        <f>ESSOUKNA!F6</f>
        <v>8.2631367829923783E-3</v>
      </c>
      <c r="I28" s="18"/>
      <c r="J28" s="18"/>
      <c r="K28" s="18"/>
      <c r="L28" s="18"/>
      <c r="M28" s="18"/>
      <c r="AH28" s="3"/>
    </row>
    <row r="29" spans="1:34" x14ac:dyDescent="0.35">
      <c r="A29" s="54">
        <f t="shared" si="8"/>
        <v>46010</v>
      </c>
      <c r="B29" s="52">
        <f>'Attijari Bank'!F7</f>
        <v>0.35531174739095533</v>
      </c>
      <c r="C29" s="52">
        <f>AMV!F7</f>
        <v>0.10757291945410759</v>
      </c>
      <c r="D29" s="52">
        <f>'SMART TUNISIE'!F7</f>
        <v>5.0816162697350814E-2</v>
      </c>
      <c r="E29" s="52">
        <f>'One tech Holding'!F7</f>
        <v>0.21434305592721434</v>
      </c>
      <c r="F29" s="52">
        <f>UNIMED!F7</f>
        <v>2.4029970564624033E-2</v>
      </c>
      <c r="G29" s="52">
        <f>POULINA!F7</f>
        <v>0.24016590848274016</v>
      </c>
      <c r="H29" s="52">
        <f>ESSOUKNA!F7</f>
        <v>8.4292213005084295E-3</v>
      </c>
      <c r="I29" s="18"/>
      <c r="J29" s="18"/>
      <c r="K29" s="18"/>
      <c r="L29" s="18"/>
      <c r="M29" s="18"/>
      <c r="AH29" s="3"/>
    </row>
    <row r="30" spans="1:34" x14ac:dyDescent="0.35">
      <c r="A30" s="54">
        <f t="shared" si="8"/>
        <v>46013</v>
      </c>
      <c r="B30" s="52">
        <f>'Attijari Bank'!F8</f>
        <v>0.35377687235297267</v>
      </c>
      <c r="C30" s="52">
        <f>AMV!F8</f>
        <v>0.10936578566450436</v>
      </c>
      <c r="D30" s="52">
        <f>'SMART TUNISIE'!F8</f>
        <v>5.0662091888704228E-2</v>
      </c>
      <c r="E30" s="52">
        <f>'One tech Holding'!F8</f>
        <v>0.21398702621562216</v>
      </c>
      <c r="F30" s="52">
        <f>UNIMED!F8</f>
        <v>2.3856752265051198E-2</v>
      </c>
      <c r="G30" s="52">
        <f>POULINA!F8</f>
        <v>0.24124805661287729</v>
      </c>
      <c r="H30" s="52">
        <f>ESSOUKNA!F8</f>
        <v>8.8189567361818474E-3</v>
      </c>
      <c r="I30" s="18"/>
      <c r="J30" s="18"/>
      <c r="K30" s="18"/>
      <c r="L30" s="25"/>
      <c r="M30" s="18"/>
      <c r="AC30" s="4"/>
      <c r="AH30" s="3"/>
    </row>
    <row r="31" spans="1:34" x14ac:dyDescent="0.35">
      <c r="A31" s="54">
        <f t="shared" si="8"/>
        <v>46014</v>
      </c>
      <c r="B31" s="52">
        <f>'Attijari Bank'!F9</f>
        <v>0.35273273918178893</v>
      </c>
      <c r="C31" s="52">
        <f>AMV!F9</f>
        <v>0.109524320841834</v>
      </c>
      <c r="D31" s="52">
        <f>'SMART TUNISIE'!F9</f>
        <v>5.1003972941050149E-2</v>
      </c>
      <c r="E31" s="52">
        <f>'One tech Holding'!F9</f>
        <v>0.21381402340813918</v>
      </c>
      <c r="F31" s="52">
        <f>UNIMED!F9</f>
        <v>2.4320841833995493E-2</v>
      </c>
      <c r="G31" s="52">
        <f>POULINA!F9</f>
        <v>0.24159776656286913</v>
      </c>
      <c r="H31" s="52">
        <f>ESSOUKNA!F9</f>
        <v>8.4559218297004194E-3</v>
      </c>
      <c r="I31" s="18"/>
      <c r="J31" s="18"/>
      <c r="K31" s="18"/>
      <c r="L31" s="25"/>
      <c r="M31" s="18"/>
      <c r="AH31" s="3"/>
    </row>
    <row r="32" spans="1:34" x14ac:dyDescent="0.35">
      <c r="A32" s="54">
        <f t="shared" si="8"/>
        <v>46015</v>
      </c>
      <c r="B32" s="52">
        <f>'Attijari Bank'!F10</f>
        <v>0.35324479810742515</v>
      </c>
      <c r="C32" s="52">
        <f>AMV!F10</f>
        <v>0.10807032636163234</v>
      </c>
      <c r="D32" s="52">
        <f>'SMART TUNISIE'!F10</f>
        <v>5.107801494704016E-2</v>
      </c>
      <c r="E32" s="52">
        <f>'One tech Holding'!F10</f>
        <v>0.21339856981558147</v>
      </c>
      <c r="F32" s="52">
        <f>UNIMED!F10</f>
        <v>2.4194849185440077E-2</v>
      </c>
      <c r="G32" s="52">
        <f>POULINA!F10</f>
        <v>0.24315823431367278</v>
      </c>
      <c r="H32" s="52">
        <f>ESSOUKNA!F10</f>
        <v>8.3068982203344261E-3</v>
      </c>
      <c r="I32" s="18"/>
      <c r="J32" s="18"/>
      <c r="K32" s="18"/>
      <c r="L32" s="18"/>
      <c r="M32" s="18"/>
      <c r="AH32" s="3"/>
    </row>
    <row r="33" spans="1:34" x14ac:dyDescent="0.35">
      <c r="A33" s="54">
        <f t="shared" si="8"/>
        <v>46016</v>
      </c>
      <c r="B33" s="52">
        <f>'Attijari Bank'!F11</f>
        <v>0.35336390207277507</v>
      </c>
      <c r="C33" s="52">
        <f>AMV!F11</f>
        <v>0.10859946906926232</v>
      </c>
      <c r="D33" s="52">
        <f>'SMART TUNISIE'!F11</f>
        <v>5.0813825650926445E-2</v>
      </c>
      <c r="E33" s="52">
        <f>'One tech Holding'!F11</f>
        <v>0.21116563430134341</v>
      </c>
      <c r="F33" s="52">
        <f>UNIMED!F11</f>
        <v>2.3865068511516908E-2</v>
      </c>
      <c r="G33" s="52">
        <f>POULINA!F11</f>
        <v>0.24133215348724962</v>
      </c>
      <c r="H33" s="52">
        <f>ESSOUKNA!F11</f>
        <v>8.3125519534497094E-3</v>
      </c>
      <c r="I33" s="18"/>
      <c r="J33" s="18"/>
      <c r="K33" s="18"/>
      <c r="L33" s="18"/>
      <c r="M33" s="18"/>
      <c r="AH33" s="3"/>
    </row>
    <row r="34" spans="1:34" x14ac:dyDescent="0.35">
      <c r="A34" s="54">
        <f t="shared" si="8"/>
        <v>46017</v>
      </c>
      <c r="B34" s="52">
        <f>'Attijari Bank'!F12</f>
        <v>0.35190130314035462</v>
      </c>
      <c r="C34" s="52">
        <f>AMV!F12</f>
        <v>0.10750907925656909</v>
      </c>
      <c r="D34" s="52">
        <f>'SMART TUNISIE'!F12</f>
        <v>5.0469985045930352E-2</v>
      </c>
      <c r="E34" s="52">
        <f>'One tech Holding'!F12</f>
        <v>0.21005127109591964</v>
      </c>
      <c r="F34" s="52">
        <f>UNIMED!F12</f>
        <v>2.3766289254432815E-2</v>
      </c>
      <c r="G34" s="52">
        <f>POULINA!F12</f>
        <v>0.24367122409741507</v>
      </c>
      <c r="H34" s="52">
        <f>ESSOUKNA!F12</f>
        <v>8.4917752616962185E-3</v>
      </c>
      <c r="I34" s="18"/>
      <c r="J34" s="18"/>
      <c r="K34" s="18"/>
      <c r="L34" s="18"/>
      <c r="M34" s="18"/>
      <c r="AH34" s="3"/>
    </row>
    <row r="35" spans="1:34" x14ac:dyDescent="0.35">
      <c r="A35" s="54">
        <f t="shared" si="8"/>
        <v>46020</v>
      </c>
      <c r="B35" s="52">
        <f>'Attijari Bank'!F13</f>
        <v>0.3540504648074369</v>
      </c>
      <c r="C35" s="52">
        <f>AMV!F13</f>
        <v>0.10693227091633464</v>
      </c>
      <c r="D35" s="52">
        <f>'SMART TUNISIE'!F13</f>
        <v>5.0332005312084982E-2</v>
      </c>
      <c r="E35" s="52">
        <f>'One tech Holding'!F13</f>
        <v>0.20677290836653381</v>
      </c>
      <c r="F35" s="52">
        <f>UNIMED!F13</f>
        <v>2.3612217795484725E-2</v>
      </c>
      <c r="G35" s="52">
        <f>POULINA!F13</f>
        <v>0.2442231075697211</v>
      </c>
      <c r="H35" s="52">
        <f>ESSOUKNA!F13</f>
        <v>8.7118193891102241E-3</v>
      </c>
      <c r="I35" s="18"/>
      <c r="J35" s="18"/>
      <c r="K35" s="18"/>
      <c r="L35" s="18"/>
      <c r="M35" s="18"/>
      <c r="AH35" s="3"/>
    </row>
    <row r="36" spans="1:34" x14ac:dyDescent="0.35">
      <c r="A36" s="11" t="s">
        <v>32</v>
      </c>
      <c r="B36" s="49">
        <f t="shared" ref="B36:H36" si="9">AVERAGE(B25:B35)</f>
        <v>0.35461709930535307</v>
      </c>
      <c r="C36" s="49">
        <f t="shared" si="9"/>
        <v>0.1080535805744418</v>
      </c>
      <c r="D36" s="49">
        <f t="shared" si="9"/>
        <v>5.0280637135966713E-2</v>
      </c>
      <c r="E36" s="49">
        <f t="shared" si="9"/>
        <v>0.21223047530355865</v>
      </c>
      <c r="F36" s="49">
        <f t="shared" si="9"/>
        <v>2.3975556461547295E-2</v>
      </c>
      <c r="G36" s="49">
        <f t="shared" si="9"/>
        <v>0.24173269013537621</v>
      </c>
      <c r="H36" s="49">
        <f t="shared" si="9"/>
        <v>8.4158724457337897E-3</v>
      </c>
      <c r="I36" s="18"/>
      <c r="J36" s="18"/>
      <c r="K36" s="18"/>
      <c r="L36" s="18"/>
      <c r="M36" s="18"/>
    </row>
    <row r="37" spans="1:34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34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34" x14ac:dyDescent="0.35"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34" x14ac:dyDescent="0.35"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34" x14ac:dyDescent="0.35"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34" x14ac:dyDescent="0.35"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34" x14ac:dyDescent="0.35">
      <c r="E43" s="18"/>
      <c r="F43" s="18"/>
      <c r="G43" s="18"/>
      <c r="H43" s="18"/>
      <c r="I43" s="18"/>
      <c r="J43" s="18"/>
      <c r="K43" s="18"/>
      <c r="L43" s="18"/>
      <c r="M43" s="18"/>
    </row>
    <row r="44" spans="1:34" x14ac:dyDescent="0.35">
      <c r="E44" s="18"/>
      <c r="F44" s="18"/>
      <c r="G44" s="18"/>
      <c r="H44" s="18"/>
      <c r="I44" s="18"/>
      <c r="J44" s="18"/>
      <c r="K44" s="18"/>
      <c r="L44" s="18"/>
      <c r="M44" s="18"/>
    </row>
    <row r="45" spans="1:34" x14ac:dyDescent="0.35">
      <c r="E45" s="18"/>
      <c r="F45" s="18"/>
      <c r="G45" s="18"/>
      <c r="H45" s="18"/>
      <c r="I45" s="18"/>
      <c r="J45" s="18"/>
      <c r="K45" s="18"/>
      <c r="L45" s="18"/>
      <c r="M45" s="18"/>
    </row>
    <row r="47" spans="1:34" x14ac:dyDescent="0.35">
      <c r="Q47" s="1"/>
    </row>
    <row r="48" spans="1:34" x14ac:dyDescent="0.35">
      <c r="Q48" s="1"/>
    </row>
    <row r="49" spans="17:29" x14ac:dyDescent="0.35">
      <c r="Q49" s="1"/>
    </row>
    <row r="50" spans="17:29" x14ac:dyDescent="0.35">
      <c r="Q50" s="1"/>
    </row>
    <row r="51" spans="17:29" x14ac:dyDescent="0.35">
      <c r="Q51" s="1"/>
    </row>
    <row r="52" spans="17:29" x14ac:dyDescent="0.35">
      <c r="Q52" s="1"/>
      <c r="AC52" s="5"/>
    </row>
    <row r="53" spans="17:29" x14ac:dyDescent="0.35">
      <c r="AC53" s="13"/>
    </row>
    <row r="54" spans="17:29" x14ac:dyDescent="0.35">
      <c r="AC54" s="5"/>
    </row>
  </sheetData>
  <mergeCells count="2">
    <mergeCell ref="B23:H23"/>
    <mergeCell ref="A6:H6"/>
  </mergeCells>
  <conditionalFormatting sqref="K13:L27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M4:N11 N13:N19">
    <cfRule type="cellIs" dxfId="1" priority="5" operator="lessThan">
      <formula>0</formula>
    </cfRule>
    <cfRule type="cellIs" dxfId="0" priority="6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49A7-8A51-4B60-AA32-0BFE6C8C670B}">
  <dimension ref="A1:I13"/>
  <sheetViews>
    <sheetView workbookViewId="0">
      <selection activeCell="E3" sqref="E3:E13"/>
    </sheetView>
  </sheetViews>
  <sheetFormatPr defaultRowHeight="14.5" x14ac:dyDescent="0.35"/>
  <cols>
    <col min="1" max="1" width="10.36328125" bestFit="1" customWidth="1"/>
    <col min="2" max="2" width="9.90625" customWidth="1"/>
    <col min="3" max="3" width="17.08984375" customWidth="1"/>
    <col min="5" max="5" width="12.08984375" bestFit="1" customWidth="1"/>
    <col min="7" max="7" width="26.81640625" customWidth="1"/>
    <col min="8" max="8" width="26.08984375" customWidth="1"/>
    <col min="9" max="9" width="14.90625" customWidth="1"/>
    <col min="10" max="10" width="13.90625" customWidth="1"/>
  </cols>
  <sheetData>
    <row r="1" spans="1:9" x14ac:dyDescent="0.35">
      <c r="A1" s="45" t="s">
        <v>0</v>
      </c>
      <c r="B1" s="46" t="s">
        <v>50</v>
      </c>
      <c r="C1" s="46" t="s">
        <v>49</v>
      </c>
      <c r="D1" s="46" t="s">
        <v>48</v>
      </c>
      <c r="E1" s="46" t="s">
        <v>45</v>
      </c>
      <c r="F1" s="46" t="s">
        <v>46</v>
      </c>
      <c r="G1" s="47" t="s">
        <v>47</v>
      </c>
      <c r="I1" s="41" t="s">
        <v>1</v>
      </c>
    </row>
    <row r="2" spans="1:9" x14ac:dyDescent="0.35">
      <c r="A2" s="34"/>
      <c r="B2" s="18"/>
      <c r="C2" s="18"/>
      <c r="D2" s="18"/>
      <c r="E2" s="18"/>
      <c r="F2" s="18"/>
      <c r="G2" s="42"/>
      <c r="I2" s="43"/>
    </row>
    <row r="3" spans="1:9" x14ac:dyDescent="0.35">
      <c r="A3" s="17">
        <v>46006</v>
      </c>
      <c r="B3" s="18">
        <v>79.2</v>
      </c>
      <c r="C3" s="18">
        <v>79.650000000000006</v>
      </c>
      <c r="D3" s="19">
        <f>C3/B3-1</f>
        <v>5.6818181818181213E-3</v>
      </c>
      <c r="E3" s="28">
        <f>0.2*$B$3/100</f>
        <v>0.15840000000000001</v>
      </c>
      <c r="F3" s="44">
        <f t="shared" ref="F3:F13" si="0">B3/I3</f>
        <v>0.21251475796930341</v>
      </c>
      <c r="G3" s="42">
        <f>C3-B3</f>
        <v>0.45000000000000284</v>
      </c>
      <c r="I3" s="43">
        <f>'Portfolio Return'!C3</f>
        <v>372.68</v>
      </c>
    </row>
    <row r="4" spans="1:9" x14ac:dyDescent="0.35">
      <c r="A4" s="17">
        <v>46007</v>
      </c>
      <c r="B4" s="18">
        <f>C3</f>
        <v>79.650000000000006</v>
      </c>
      <c r="C4" s="18">
        <v>79.2</v>
      </c>
      <c r="D4" s="19">
        <f t="shared" ref="D4:D13" si="1">C4/B4-1</f>
        <v>-5.6497175141243527E-3</v>
      </c>
      <c r="E4" s="28">
        <f t="shared" ref="E4:E12" si="2">0.2*$B$3/100</f>
        <v>0.15840000000000001</v>
      </c>
      <c r="F4" s="44">
        <f t="shared" si="0"/>
        <v>0.21395186418824544</v>
      </c>
      <c r="G4" s="42">
        <f t="shared" ref="G4:G13" si="3">C4-B4</f>
        <v>-0.45000000000000284</v>
      </c>
      <c r="I4" s="43">
        <f>'Portfolio Return'!C4</f>
        <v>372.28</v>
      </c>
    </row>
    <row r="5" spans="1:9" x14ac:dyDescent="0.35">
      <c r="A5" s="17">
        <v>46008</v>
      </c>
      <c r="B5" s="18">
        <f t="shared" ref="B5:B12" si="4">C4</f>
        <v>79.2</v>
      </c>
      <c r="C5" s="18">
        <v>79.2</v>
      </c>
      <c r="D5" s="19">
        <f t="shared" si="1"/>
        <v>0</v>
      </c>
      <c r="E5" s="28">
        <f t="shared" si="2"/>
        <v>0.15840000000000001</v>
      </c>
      <c r="F5" s="44">
        <f t="shared" si="0"/>
        <v>0.21274309659396157</v>
      </c>
      <c r="G5" s="42">
        <f t="shared" si="3"/>
        <v>0</v>
      </c>
      <c r="I5" s="43">
        <f>'Portfolio Return'!C5</f>
        <v>372.28</v>
      </c>
    </row>
    <row r="6" spans="1:9" x14ac:dyDescent="0.35">
      <c r="A6" s="17">
        <v>46009</v>
      </c>
      <c r="B6" s="18">
        <f t="shared" si="4"/>
        <v>79.2</v>
      </c>
      <c r="C6" s="18">
        <v>80.099999999999994</v>
      </c>
      <c r="D6" s="19">
        <f t="shared" si="1"/>
        <v>1.1363636363636243E-2</v>
      </c>
      <c r="E6" s="28">
        <f t="shared" si="2"/>
        <v>0.15840000000000001</v>
      </c>
      <c r="F6" s="44">
        <f t="shared" si="0"/>
        <v>0.21179302045728041</v>
      </c>
      <c r="G6" s="42">
        <f t="shared" si="3"/>
        <v>0.89999999999999147</v>
      </c>
      <c r="I6" s="43">
        <f>'Portfolio Return'!C6</f>
        <v>373.95</v>
      </c>
    </row>
    <row r="7" spans="1:9" x14ac:dyDescent="0.35">
      <c r="A7" s="17">
        <v>46010</v>
      </c>
      <c r="B7" s="18">
        <f t="shared" si="4"/>
        <v>80.099999999999994</v>
      </c>
      <c r="C7" s="18">
        <v>79.83</v>
      </c>
      <c r="D7" s="19">
        <f t="shared" si="1"/>
        <v>-3.370786516853852E-3</v>
      </c>
      <c r="E7" s="28">
        <f t="shared" si="2"/>
        <v>0.15840000000000001</v>
      </c>
      <c r="F7" s="44">
        <f t="shared" si="0"/>
        <v>0.21434305592721434</v>
      </c>
      <c r="G7" s="42">
        <f t="shared" si="3"/>
        <v>-0.26999999999999602</v>
      </c>
      <c r="I7" s="43">
        <f>'Portfolio Return'!C7</f>
        <v>373.7</v>
      </c>
    </row>
    <row r="8" spans="1:9" x14ac:dyDescent="0.35">
      <c r="A8" s="17">
        <v>46013</v>
      </c>
      <c r="B8" s="18">
        <f t="shared" si="4"/>
        <v>79.83</v>
      </c>
      <c r="C8" s="18">
        <v>79.650000000000006</v>
      </c>
      <c r="D8" s="19">
        <f t="shared" si="1"/>
        <v>-2.2547914317924134E-3</v>
      </c>
      <c r="E8" s="28">
        <f t="shared" si="2"/>
        <v>0.15840000000000001</v>
      </c>
      <c r="F8" s="44">
        <f t="shared" si="0"/>
        <v>0.21398702621562216</v>
      </c>
      <c r="G8" s="42">
        <f t="shared" si="3"/>
        <v>-0.17999999999999261</v>
      </c>
      <c r="I8" s="43">
        <f>'Portfolio Return'!C8</f>
        <v>373.06</v>
      </c>
    </row>
    <row r="9" spans="1:9" x14ac:dyDescent="0.35">
      <c r="A9" s="17">
        <v>46014</v>
      </c>
      <c r="B9" s="18">
        <f t="shared" si="4"/>
        <v>79.650000000000006</v>
      </c>
      <c r="C9" s="18">
        <v>79.38</v>
      </c>
      <c r="D9" s="19">
        <f t="shared" si="1"/>
        <v>-3.3898305084747449E-3</v>
      </c>
      <c r="E9" s="28">
        <f t="shared" si="2"/>
        <v>0.15840000000000001</v>
      </c>
      <c r="F9" s="44">
        <f t="shared" si="0"/>
        <v>0.21381402340813918</v>
      </c>
      <c r="G9" s="42">
        <f t="shared" si="3"/>
        <v>-0.27000000000001023</v>
      </c>
      <c r="I9" s="43">
        <f>'Portfolio Return'!C9</f>
        <v>372.52</v>
      </c>
    </row>
    <row r="10" spans="1:9" x14ac:dyDescent="0.35">
      <c r="A10" s="17">
        <v>46015</v>
      </c>
      <c r="B10" s="18">
        <f t="shared" si="4"/>
        <v>79.38</v>
      </c>
      <c r="C10" s="18">
        <v>78.75</v>
      </c>
      <c r="D10" s="19">
        <f t="shared" si="1"/>
        <v>-7.9365079365079083E-3</v>
      </c>
      <c r="E10" s="28">
        <f t="shared" si="2"/>
        <v>0.15840000000000001</v>
      </c>
      <c r="F10" s="44">
        <f t="shared" si="0"/>
        <v>0.21339856981558147</v>
      </c>
      <c r="G10" s="42">
        <f t="shared" si="3"/>
        <v>-0.62999999999999545</v>
      </c>
      <c r="I10" s="43">
        <f>'Portfolio Return'!C10</f>
        <v>371.98</v>
      </c>
    </row>
    <row r="11" spans="1:9" x14ac:dyDescent="0.35">
      <c r="A11" s="17">
        <v>46016</v>
      </c>
      <c r="B11" s="18">
        <f t="shared" si="4"/>
        <v>78.75</v>
      </c>
      <c r="C11" s="18">
        <v>78.66</v>
      </c>
      <c r="D11" s="19">
        <f t="shared" si="1"/>
        <v>-1.1428571428572232E-3</v>
      </c>
      <c r="E11" s="28">
        <f t="shared" si="2"/>
        <v>0.15840000000000001</v>
      </c>
      <c r="F11" s="44">
        <f t="shared" si="0"/>
        <v>0.21116563430134341</v>
      </c>
      <c r="G11" s="42">
        <f t="shared" si="3"/>
        <v>-9.0000000000003411E-2</v>
      </c>
      <c r="I11" s="43">
        <f>'Portfolio Return'!C11</f>
        <v>372.93</v>
      </c>
    </row>
    <row r="12" spans="1:9" x14ac:dyDescent="0.35">
      <c r="A12" s="17">
        <v>46017</v>
      </c>
      <c r="B12" s="18">
        <f t="shared" si="4"/>
        <v>78.66</v>
      </c>
      <c r="C12" s="18">
        <v>77.849999999999994</v>
      </c>
      <c r="D12" s="19">
        <f t="shared" si="1"/>
        <v>-1.0297482837528626E-2</v>
      </c>
      <c r="E12" s="28">
        <f t="shared" si="2"/>
        <v>0.15840000000000001</v>
      </c>
      <c r="F12" s="44">
        <f t="shared" si="0"/>
        <v>0.21005127109591964</v>
      </c>
      <c r="G12" s="42">
        <f t="shared" si="3"/>
        <v>-0.81000000000000227</v>
      </c>
      <c r="I12" s="43">
        <f>'Portfolio Return'!C12</f>
        <v>374.48</v>
      </c>
    </row>
    <row r="13" spans="1:9" x14ac:dyDescent="0.35">
      <c r="A13" s="1">
        <v>46020</v>
      </c>
      <c r="B13" s="18">
        <f>C12</f>
        <v>77.849999999999994</v>
      </c>
      <c r="C13" s="18">
        <f>8.74*9</f>
        <v>78.66</v>
      </c>
      <c r="D13" s="19">
        <f t="shared" si="1"/>
        <v>1.0404624277456698E-2</v>
      </c>
      <c r="E13" s="28">
        <f>C13*0.2/100+E3</f>
        <v>0.31572</v>
      </c>
      <c r="F13" s="44">
        <f t="shared" si="0"/>
        <v>0.20677290836653381</v>
      </c>
      <c r="G13" s="42">
        <f t="shared" si="3"/>
        <v>0.81000000000000227</v>
      </c>
      <c r="I13" s="43">
        <f>'Portfolio Return'!C13</f>
        <v>376.50000000000006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3F7C-757E-4CA5-A34B-83E9C8CAE97C}">
  <dimension ref="A1:I13"/>
  <sheetViews>
    <sheetView workbookViewId="0">
      <selection activeCell="E3" sqref="E3:E13"/>
    </sheetView>
  </sheetViews>
  <sheetFormatPr defaultRowHeight="14.5" x14ac:dyDescent="0.35"/>
  <cols>
    <col min="1" max="1" width="10.36328125" bestFit="1" customWidth="1"/>
    <col min="2" max="2" width="9.90625" customWidth="1"/>
    <col min="3" max="3" width="17.08984375" customWidth="1"/>
    <col min="5" max="5" width="12.08984375" bestFit="1" customWidth="1"/>
    <col min="7" max="7" width="26.81640625" customWidth="1"/>
    <col min="8" max="8" width="26.08984375" customWidth="1"/>
    <col min="9" max="9" width="14.90625" customWidth="1"/>
    <col min="10" max="10" width="13.90625" customWidth="1"/>
  </cols>
  <sheetData>
    <row r="1" spans="1:9" x14ac:dyDescent="0.35">
      <c r="A1" s="45" t="s">
        <v>0</v>
      </c>
      <c r="B1" s="46" t="s">
        <v>50</v>
      </c>
      <c r="C1" s="46" t="s">
        <v>49</v>
      </c>
      <c r="D1" s="46" t="s">
        <v>48</v>
      </c>
      <c r="E1" s="46" t="s">
        <v>45</v>
      </c>
      <c r="F1" s="46" t="s">
        <v>46</v>
      </c>
      <c r="G1" s="47" t="s">
        <v>47</v>
      </c>
      <c r="I1" s="41" t="s">
        <v>44</v>
      </c>
    </row>
    <row r="2" spans="1:9" x14ac:dyDescent="0.35">
      <c r="A2" s="34"/>
      <c r="B2" s="18"/>
      <c r="C2" s="18"/>
      <c r="D2" s="18"/>
      <c r="E2" s="18"/>
      <c r="F2" s="18"/>
      <c r="G2" s="42"/>
      <c r="I2" s="43"/>
    </row>
    <row r="3" spans="1:9" x14ac:dyDescent="0.35">
      <c r="A3" s="17">
        <v>46006</v>
      </c>
      <c r="B3" s="18">
        <v>89.45</v>
      </c>
      <c r="C3" s="18">
        <v>90</v>
      </c>
      <c r="D3" s="19">
        <f>C3/B3-1</f>
        <v>6.1486864169926214E-3</v>
      </c>
      <c r="E3" s="28">
        <f>0.2*$B$3/100</f>
        <v>0.1789</v>
      </c>
      <c r="F3" s="44">
        <f>B3/I3</f>
        <v>0.24001824621659332</v>
      </c>
      <c r="G3" s="42">
        <f>C3-B3</f>
        <v>0.54999999999999716</v>
      </c>
      <c r="I3" s="43">
        <f>'Portfolio Return'!C3</f>
        <v>372.68</v>
      </c>
    </row>
    <row r="4" spans="1:9" x14ac:dyDescent="0.35">
      <c r="A4" s="17">
        <v>46007</v>
      </c>
      <c r="B4" s="18">
        <f>C3</f>
        <v>90</v>
      </c>
      <c r="C4" s="18">
        <v>89.9</v>
      </c>
      <c r="D4" s="19">
        <f t="shared" ref="D4:D13" si="0">C4/B4-1</f>
        <v>-1.1111111111110628E-3</v>
      </c>
      <c r="E4" s="28">
        <f t="shared" ref="E4:E12" si="1">0.2*$B$3/100</f>
        <v>0.1789</v>
      </c>
      <c r="F4" s="44">
        <f t="shared" ref="F4:F13" si="2">B4/I4</f>
        <v>0.24175351885677449</v>
      </c>
      <c r="G4" s="42">
        <f t="shared" ref="G4:G13" si="3">C4-B4</f>
        <v>-9.9999999999994316E-2</v>
      </c>
      <c r="I4" s="43">
        <f>'Portfolio Return'!C4</f>
        <v>372.28</v>
      </c>
    </row>
    <row r="5" spans="1:9" x14ac:dyDescent="0.35">
      <c r="A5" s="17">
        <v>46008</v>
      </c>
      <c r="B5" s="18">
        <f t="shared" ref="B5:B12" si="4">C4</f>
        <v>89.9</v>
      </c>
      <c r="C5" s="18">
        <v>89.9</v>
      </c>
      <c r="D5" s="19">
        <f t="shared" si="0"/>
        <v>0</v>
      </c>
      <c r="E5" s="28">
        <f t="shared" si="1"/>
        <v>0.1789</v>
      </c>
      <c r="F5" s="44">
        <f t="shared" si="2"/>
        <v>0.24148490383582252</v>
      </c>
      <c r="G5" s="42">
        <f t="shared" si="3"/>
        <v>0</v>
      </c>
      <c r="I5" s="43">
        <f>'Portfolio Return'!C5</f>
        <v>372.28</v>
      </c>
    </row>
    <row r="6" spans="1:9" x14ac:dyDescent="0.35">
      <c r="A6" s="17">
        <v>46009</v>
      </c>
      <c r="B6" s="18">
        <f t="shared" si="4"/>
        <v>89.9</v>
      </c>
      <c r="C6" s="18">
        <v>89.75</v>
      </c>
      <c r="D6" s="19">
        <f t="shared" si="0"/>
        <v>-1.6685205784204848E-3</v>
      </c>
      <c r="E6" s="28">
        <f t="shared" si="1"/>
        <v>0.1789</v>
      </c>
      <c r="F6" s="44">
        <f t="shared" si="2"/>
        <v>0.24040647145340288</v>
      </c>
      <c r="G6" s="42">
        <f t="shared" si="3"/>
        <v>-0.15000000000000568</v>
      </c>
      <c r="I6" s="43">
        <f>'Portfolio Return'!C6</f>
        <v>373.95</v>
      </c>
    </row>
    <row r="7" spans="1:9" x14ac:dyDescent="0.35">
      <c r="A7" s="17">
        <v>46010</v>
      </c>
      <c r="B7" s="18">
        <f t="shared" si="4"/>
        <v>89.75</v>
      </c>
      <c r="C7" s="18">
        <v>90</v>
      </c>
      <c r="D7" s="19">
        <f t="shared" si="0"/>
        <v>2.7855153203342198E-3</v>
      </c>
      <c r="E7" s="28">
        <f t="shared" si="1"/>
        <v>0.1789</v>
      </c>
      <c r="F7" s="44">
        <f t="shared" si="2"/>
        <v>0.24016590848274016</v>
      </c>
      <c r="G7" s="42">
        <f t="shared" si="3"/>
        <v>0.25</v>
      </c>
      <c r="I7" s="43">
        <f>'Portfolio Return'!C7</f>
        <v>373.7</v>
      </c>
    </row>
    <row r="8" spans="1:9" x14ac:dyDescent="0.35">
      <c r="A8" s="17">
        <v>46013</v>
      </c>
      <c r="B8" s="18">
        <f t="shared" si="4"/>
        <v>90</v>
      </c>
      <c r="C8" s="18">
        <v>90</v>
      </c>
      <c r="D8" s="19">
        <f t="shared" si="0"/>
        <v>0</v>
      </c>
      <c r="E8" s="28">
        <f t="shared" si="1"/>
        <v>0.1789</v>
      </c>
      <c r="F8" s="44">
        <f t="shared" si="2"/>
        <v>0.24124805661287729</v>
      </c>
      <c r="G8" s="42">
        <f t="shared" si="3"/>
        <v>0</v>
      </c>
      <c r="I8" s="43">
        <f>'Portfolio Return'!C8</f>
        <v>373.06</v>
      </c>
    </row>
    <row r="9" spans="1:9" x14ac:dyDescent="0.35">
      <c r="A9" s="17">
        <v>46014</v>
      </c>
      <c r="B9" s="18">
        <f t="shared" si="4"/>
        <v>90</v>
      </c>
      <c r="C9" s="18">
        <v>90.45</v>
      </c>
      <c r="D9" s="19">
        <f t="shared" si="0"/>
        <v>5.0000000000001155E-3</v>
      </c>
      <c r="E9" s="28">
        <f t="shared" si="1"/>
        <v>0.1789</v>
      </c>
      <c r="F9" s="44">
        <f t="shared" si="2"/>
        <v>0.24159776656286913</v>
      </c>
      <c r="G9" s="42">
        <f t="shared" si="3"/>
        <v>0.45000000000000284</v>
      </c>
      <c r="I9" s="43">
        <f>'Portfolio Return'!C9</f>
        <v>372.52</v>
      </c>
    </row>
    <row r="10" spans="1:9" x14ac:dyDescent="0.35">
      <c r="A10" s="17">
        <v>46015</v>
      </c>
      <c r="B10" s="18">
        <f t="shared" si="4"/>
        <v>90.45</v>
      </c>
      <c r="C10" s="18">
        <v>90</v>
      </c>
      <c r="D10" s="19">
        <f t="shared" si="0"/>
        <v>-4.9751243781094301E-3</v>
      </c>
      <c r="E10" s="28">
        <f t="shared" si="1"/>
        <v>0.1789</v>
      </c>
      <c r="F10" s="44">
        <f t="shared" si="2"/>
        <v>0.24315823431367278</v>
      </c>
      <c r="G10" s="42">
        <f t="shared" si="3"/>
        <v>-0.45000000000000284</v>
      </c>
      <c r="I10" s="43">
        <f>'Portfolio Return'!C10</f>
        <v>371.98</v>
      </c>
    </row>
    <row r="11" spans="1:9" x14ac:dyDescent="0.35">
      <c r="A11" s="17">
        <v>46016</v>
      </c>
      <c r="B11" s="18">
        <f t="shared" si="4"/>
        <v>90</v>
      </c>
      <c r="C11" s="18">
        <v>91.25</v>
      </c>
      <c r="D11" s="19">
        <f t="shared" si="0"/>
        <v>1.388888888888884E-2</v>
      </c>
      <c r="E11" s="28">
        <f t="shared" si="1"/>
        <v>0.1789</v>
      </c>
      <c r="F11" s="44">
        <f t="shared" si="2"/>
        <v>0.24133215348724962</v>
      </c>
      <c r="G11" s="42">
        <f t="shared" si="3"/>
        <v>1.25</v>
      </c>
      <c r="I11" s="43">
        <f>'Portfolio Return'!C11</f>
        <v>372.93</v>
      </c>
    </row>
    <row r="12" spans="1:9" x14ac:dyDescent="0.35">
      <c r="A12" s="17">
        <v>46017</v>
      </c>
      <c r="B12" s="18">
        <f t="shared" si="4"/>
        <v>91.25</v>
      </c>
      <c r="C12" s="18">
        <v>91.95</v>
      </c>
      <c r="D12" s="19">
        <f t="shared" si="0"/>
        <v>7.6712328767123417E-3</v>
      </c>
      <c r="E12" s="28">
        <f t="shared" si="1"/>
        <v>0.1789</v>
      </c>
      <c r="F12" s="44">
        <f t="shared" si="2"/>
        <v>0.24367122409741507</v>
      </c>
      <c r="G12" s="42">
        <f t="shared" si="3"/>
        <v>0.70000000000000284</v>
      </c>
      <c r="I12" s="43">
        <f>'Portfolio Return'!C12</f>
        <v>374.48</v>
      </c>
    </row>
    <row r="13" spans="1:9" x14ac:dyDescent="0.35">
      <c r="A13" s="1">
        <v>46020</v>
      </c>
      <c r="B13" s="18">
        <f>C12</f>
        <v>91.95</v>
      </c>
      <c r="C13" s="18">
        <f>18.45*5</f>
        <v>92.25</v>
      </c>
      <c r="D13" s="19">
        <f t="shared" si="0"/>
        <v>3.2626427406199365E-3</v>
      </c>
      <c r="E13" s="28">
        <f>C13*0.2/100+E3</f>
        <v>0.3634</v>
      </c>
      <c r="F13" s="44">
        <f t="shared" si="2"/>
        <v>0.2442231075697211</v>
      </c>
      <c r="G13" s="42">
        <f t="shared" si="3"/>
        <v>0.29999999999999716</v>
      </c>
      <c r="I13" s="43">
        <f>'Portfolio Return'!C13</f>
        <v>376.50000000000006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1E6F-5C1A-4F72-96EE-400F338A4987}">
  <dimension ref="A1:I13"/>
  <sheetViews>
    <sheetView workbookViewId="0">
      <selection activeCell="E3" sqref="E3:E13"/>
    </sheetView>
  </sheetViews>
  <sheetFormatPr defaultRowHeight="14.5" x14ac:dyDescent="0.35"/>
  <cols>
    <col min="1" max="1" width="10.36328125" bestFit="1" customWidth="1"/>
    <col min="2" max="2" width="9.90625" customWidth="1"/>
    <col min="3" max="3" width="17.08984375" customWidth="1"/>
    <col min="5" max="5" width="12.08984375" bestFit="1" customWidth="1"/>
    <col min="7" max="7" width="26.81640625" customWidth="1"/>
    <col min="8" max="8" width="26.08984375" customWidth="1"/>
    <col min="9" max="9" width="14.90625" customWidth="1"/>
    <col min="10" max="10" width="13.90625" customWidth="1"/>
  </cols>
  <sheetData>
    <row r="1" spans="1:9" x14ac:dyDescent="0.35">
      <c r="A1" s="45" t="s">
        <v>0</v>
      </c>
      <c r="B1" s="46" t="s">
        <v>50</v>
      </c>
      <c r="C1" s="46" t="s">
        <v>49</v>
      </c>
      <c r="D1" s="46" t="s">
        <v>48</v>
      </c>
      <c r="E1" s="46" t="s">
        <v>45</v>
      </c>
      <c r="F1" s="46" t="s">
        <v>46</v>
      </c>
      <c r="G1" s="47" t="s">
        <v>47</v>
      </c>
      <c r="I1" s="41" t="s">
        <v>1</v>
      </c>
    </row>
    <row r="2" spans="1:9" x14ac:dyDescent="0.35">
      <c r="A2" s="34"/>
      <c r="B2" s="18"/>
      <c r="C2" s="18"/>
      <c r="D2" s="18"/>
      <c r="E2" s="18"/>
      <c r="F2" s="18"/>
      <c r="G2" s="42"/>
      <c r="I2" s="43"/>
    </row>
    <row r="3" spans="1:9" x14ac:dyDescent="0.35">
      <c r="A3" s="17">
        <v>46006</v>
      </c>
      <c r="B3" s="18">
        <v>9.02</v>
      </c>
      <c r="C3" s="18">
        <v>9</v>
      </c>
      <c r="D3" s="19">
        <f>C3/B3-1</f>
        <v>-2.2172949002217113E-3</v>
      </c>
      <c r="E3" s="28">
        <f>0.2*$B$3/100</f>
        <v>1.804E-2</v>
      </c>
      <c r="F3" s="44">
        <f>B3/I3</f>
        <v>2.4203069657615109E-2</v>
      </c>
      <c r="G3" s="42">
        <f>C3-B3</f>
        <v>-1.9999999999999574E-2</v>
      </c>
      <c r="I3" s="43">
        <f>'Portfolio Return'!C3</f>
        <v>372.68</v>
      </c>
    </row>
    <row r="4" spans="1:9" x14ac:dyDescent="0.35">
      <c r="A4" s="17">
        <v>46007</v>
      </c>
      <c r="B4" s="18">
        <f>C3</f>
        <v>9</v>
      </c>
      <c r="C4" s="18">
        <v>8.9</v>
      </c>
      <c r="D4" s="19">
        <f t="shared" ref="D4:D13" si="0">C4/B4-1</f>
        <v>-1.1111111111111072E-2</v>
      </c>
      <c r="E4" s="28">
        <f t="shared" ref="E4:E12" si="1">0.2*$B$3/100</f>
        <v>1.804E-2</v>
      </c>
      <c r="F4" s="44">
        <f t="shared" ref="F4:F13" si="2">B4/I4</f>
        <v>2.4175351885677449E-2</v>
      </c>
      <c r="G4" s="42">
        <f t="shared" ref="G4:G13" si="3">C4-B4</f>
        <v>-9.9999999999999645E-2</v>
      </c>
      <c r="I4" s="43">
        <f>'Portfolio Return'!C4</f>
        <v>372.28</v>
      </c>
    </row>
    <row r="5" spans="1:9" x14ac:dyDescent="0.35">
      <c r="A5" s="17">
        <v>46008</v>
      </c>
      <c r="B5" s="18">
        <f t="shared" ref="B5:B12" si="4">C4</f>
        <v>8.9</v>
      </c>
      <c r="C5" s="18">
        <v>8.9</v>
      </c>
      <c r="D5" s="19">
        <f t="shared" si="0"/>
        <v>0</v>
      </c>
      <c r="E5" s="28">
        <f t="shared" si="1"/>
        <v>1.804E-2</v>
      </c>
      <c r="F5" s="44">
        <f t="shared" si="2"/>
        <v>2.3906736864725477E-2</v>
      </c>
      <c r="G5" s="42">
        <f t="shared" si="3"/>
        <v>0</v>
      </c>
      <c r="I5" s="43">
        <f>'Portfolio Return'!C5</f>
        <v>372.28</v>
      </c>
    </row>
    <row r="6" spans="1:9" x14ac:dyDescent="0.35">
      <c r="A6" s="17">
        <v>46009</v>
      </c>
      <c r="B6" s="18">
        <f t="shared" si="4"/>
        <v>8.9</v>
      </c>
      <c r="C6" s="18">
        <v>8.98</v>
      </c>
      <c r="D6" s="19">
        <f t="shared" si="0"/>
        <v>8.9887640449437534E-3</v>
      </c>
      <c r="E6" s="28">
        <f t="shared" si="1"/>
        <v>1.804E-2</v>
      </c>
      <c r="F6" s="44">
        <f t="shared" si="2"/>
        <v>2.3799973258457015E-2</v>
      </c>
      <c r="G6" s="42">
        <f t="shared" si="3"/>
        <v>8.0000000000000071E-2</v>
      </c>
      <c r="I6" s="43">
        <f>'Portfolio Return'!C6</f>
        <v>373.95</v>
      </c>
    </row>
    <row r="7" spans="1:9" x14ac:dyDescent="0.35">
      <c r="A7" s="17">
        <v>46010</v>
      </c>
      <c r="B7" s="18">
        <f t="shared" si="4"/>
        <v>8.98</v>
      </c>
      <c r="C7" s="18">
        <v>8.9</v>
      </c>
      <c r="D7" s="19">
        <f t="shared" si="0"/>
        <v>-8.9086859688195519E-3</v>
      </c>
      <c r="E7" s="28">
        <f t="shared" si="1"/>
        <v>1.804E-2</v>
      </c>
      <c r="F7" s="44">
        <f t="shared" si="2"/>
        <v>2.4029970564624033E-2</v>
      </c>
      <c r="G7" s="42">
        <f t="shared" si="3"/>
        <v>-8.0000000000000071E-2</v>
      </c>
      <c r="I7" s="43">
        <f>'Portfolio Return'!C7</f>
        <v>373.7</v>
      </c>
    </row>
    <row r="8" spans="1:9" x14ac:dyDescent="0.35">
      <c r="A8" s="17">
        <v>46013</v>
      </c>
      <c r="B8" s="18">
        <f t="shared" si="4"/>
        <v>8.9</v>
      </c>
      <c r="C8" s="18">
        <v>9.06</v>
      </c>
      <c r="D8" s="19">
        <f t="shared" si="0"/>
        <v>1.7977528089887729E-2</v>
      </c>
      <c r="E8" s="28">
        <f t="shared" si="1"/>
        <v>1.804E-2</v>
      </c>
      <c r="F8" s="44">
        <f t="shared" si="2"/>
        <v>2.3856752265051198E-2</v>
      </c>
      <c r="G8" s="42">
        <f t="shared" si="3"/>
        <v>0.16000000000000014</v>
      </c>
      <c r="I8" s="43">
        <f>'Portfolio Return'!C8</f>
        <v>373.06</v>
      </c>
    </row>
    <row r="9" spans="1:9" x14ac:dyDescent="0.35">
      <c r="A9" s="17">
        <v>46014</v>
      </c>
      <c r="B9" s="18">
        <f t="shared" si="4"/>
        <v>9.06</v>
      </c>
      <c r="C9" s="18">
        <v>9</v>
      </c>
      <c r="D9" s="19">
        <f t="shared" si="0"/>
        <v>-6.6225165562914245E-3</v>
      </c>
      <c r="E9" s="28">
        <f t="shared" si="1"/>
        <v>1.804E-2</v>
      </c>
      <c r="F9" s="44">
        <f t="shared" si="2"/>
        <v>2.4320841833995493E-2</v>
      </c>
      <c r="G9" s="42">
        <f t="shared" si="3"/>
        <v>-6.0000000000000497E-2</v>
      </c>
      <c r="I9" s="43">
        <f>'Portfolio Return'!C9</f>
        <v>372.52</v>
      </c>
    </row>
    <row r="10" spans="1:9" x14ac:dyDescent="0.35">
      <c r="A10" s="17">
        <v>46015</v>
      </c>
      <c r="B10" s="18">
        <f t="shared" si="4"/>
        <v>9</v>
      </c>
      <c r="C10" s="18">
        <v>8.9</v>
      </c>
      <c r="D10" s="19">
        <f t="shared" si="0"/>
        <v>-1.1111111111111072E-2</v>
      </c>
      <c r="E10" s="28">
        <f t="shared" si="1"/>
        <v>1.804E-2</v>
      </c>
      <c r="F10" s="44">
        <f t="shared" si="2"/>
        <v>2.4194849185440077E-2</v>
      </c>
      <c r="G10" s="42">
        <f t="shared" si="3"/>
        <v>-9.9999999999999645E-2</v>
      </c>
      <c r="I10" s="43">
        <f>'Portfolio Return'!C10</f>
        <v>371.98</v>
      </c>
    </row>
    <row r="11" spans="1:9" x14ac:dyDescent="0.35">
      <c r="A11" s="17">
        <v>46016</v>
      </c>
      <c r="B11" s="18">
        <f t="shared" si="4"/>
        <v>8.9</v>
      </c>
      <c r="C11" s="18">
        <v>8.9</v>
      </c>
      <c r="D11" s="19">
        <f t="shared" si="0"/>
        <v>0</v>
      </c>
      <c r="E11" s="28">
        <f t="shared" si="1"/>
        <v>1.804E-2</v>
      </c>
      <c r="F11" s="44">
        <f t="shared" si="2"/>
        <v>2.3865068511516908E-2</v>
      </c>
      <c r="G11" s="42">
        <f t="shared" si="3"/>
        <v>0</v>
      </c>
      <c r="I11" s="43">
        <f>'Portfolio Return'!C11</f>
        <v>372.93</v>
      </c>
    </row>
    <row r="12" spans="1:9" x14ac:dyDescent="0.35">
      <c r="A12" s="17">
        <v>46017</v>
      </c>
      <c r="B12" s="18">
        <f t="shared" si="4"/>
        <v>8.9</v>
      </c>
      <c r="C12" s="18">
        <v>8.89</v>
      </c>
      <c r="D12" s="19">
        <f t="shared" si="0"/>
        <v>-1.1235955056179137E-3</v>
      </c>
      <c r="E12" s="28">
        <f t="shared" si="1"/>
        <v>1.804E-2</v>
      </c>
      <c r="F12" s="44">
        <f t="shared" si="2"/>
        <v>2.3766289254432815E-2</v>
      </c>
      <c r="G12" s="42">
        <f t="shared" si="3"/>
        <v>-9.9999999999997868E-3</v>
      </c>
      <c r="I12" s="43">
        <f>'Portfolio Return'!C12</f>
        <v>374.48</v>
      </c>
    </row>
    <row r="13" spans="1:9" x14ac:dyDescent="0.35">
      <c r="A13" s="1">
        <v>46020</v>
      </c>
      <c r="B13" s="18">
        <f>C12</f>
        <v>8.89</v>
      </c>
      <c r="C13" s="18">
        <v>9.14</v>
      </c>
      <c r="D13" s="57">
        <f t="shared" si="0"/>
        <v>2.8121484814398245E-2</v>
      </c>
      <c r="E13" s="28">
        <f>C13*0.2/100+E3</f>
        <v>3.6320000000000005E-2</v>
      </c>
      <c r="F13" s="44">
        <f t="shared" si="2"/>
        <v>2.3612217795484725E-2</v>
      </c>
      <c r="G13" s="42">
        <f t="shared" si="3"/>
        <v>0.25</v>
      </c>
      <c r="I13" s="43">
        <f>'Portfolio Return'!C13</f>
        <v>376.50000000000006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05CC-36EE-4867-84E1-E2B6978FF041}">
  <dimension ref="A1:I13"/>
  <sheetViews>
    <sheetView workbookViewId="0">
      <selection activeCell="E3" sqref="E3:E13"/>
    </sheetView>
  </sheetViews>
  <sheetFormatPr defaultRowHeight="14.5" x14ac:dyDescent="0.35"/>
  <cols>
    <col min="1" max="1" width="10.36328125" bestFit="1" customWidth="1"/>
    <col min="2" max="2" width="9.90625" customWidth="1"/>
    <col min="3" max="3" width="17.08984375" customWidth="1"/>
    <col min="5" max="5" width="12.08984375" bestFit="1" customWidth="1"/>
    <col min="7" max="7" width="26.81640625" customWidth="1"/>
    <col min="8" max="8" width="26.08984375" customWidth="1"/>
    <col min="9" max="9" width="14.90625" customWidth="1"/>
    <col min="10" max="10" width="13.90625" customWidth="1"/>
  </cols>
  <sheetData>
    <row r="1" spans="1:9" x14ac:dyDescent="0.35">
      <c r="A1" s="45" t="s">
        <v>0</v>
      </c>
      <c r="B1" s="46" t="s">
        <v>50</v>
      </c>
      <c r="C1" s="46" t="s">
        <v>49</v>
      </c>
      <c r="D1" s="46" t="s">
        <v>48</v>
      </c>
      <c r="E1" s="46" t="s">
        <v>45</v>
      </c>
      <c r="F1" s="46" t="s">
        <v>46</v>
      </c>
      <c r="G1" s="47" t="s">
        <v>47</v>
      </c>
      <c r="I1" s="41" t="s">
        <v>1</v>
      </c>
    </row>
    <row r="2" spans="1:9" x14ac:dyDescent="0.35">
      <c r="A2" s="34"/>
      <c r="B2" s="18"/>
      <c r="C2" s="18"/>
      <c r="D2" s="18"/>
      <c r="E2" s="18"/>
      <c r="F2" s="18"/>
      <c r="G2" s="42"/>
      <c r="I2" s="43"/>
    </row>
    <row r="3" spans="1:9" x14ac:dyDescent="0.35">
      <c r="A3" s="17">
        <v>46006</v>
      </c>
      <c r="B3" s="18">
        <v>40.5</v>
      </c>
      <c r="C3" s="18">
        <v>40.380000000000003</v>
      </c>
      <c r="D3" s="19">
        <f>C3/B3-1</f>
        <v>-2.962962962962945E-3</v>
      </c>
      <c r="E3" s="28">
        <f>0.2*$B$3/100</f>
        <v>8.1000000000000003E-2</v>
      </c>
      <c r="F3" s="44">
        <f>B3/I3</f>
        <v>0.10867231941612107</v>
      </c>
      <c r="G3" s="42">
        <f>C3-B3</f>
        <v>-0.11999999999999744</v>
      </c>
      <c r="I3" s="43">
        <f>'Portfolio Return'!C3</f>
        <v>372.68</v>
      </c>
    </row>
    <row r="4" spans="1:9" x14ac:dyDescent="0.35">
      <c r="A4" s="17">
        <v>46007</v>
      </c>
      <c r="B4" s="18">
        <f>C3</f>
        <v>40.380000000000003</v>
      </c>
      <c r="C4" s="18">
        <v>39.9</v>
      </c>
      <c r="D4" s="19">
        <f t="shared" ref="D4:D13" si="0">C4/B4-1</f>
        <v>-1.188707280832102E-2</v>
      </c>
      <c r="E4" s="28">
        <f t="shared" ref="E4:E12" si="1">0.2*$B$3/100</f>
        <v>8.1000000000000003E-2</v>
      </c>
      <c r="F4" s="44">
        <f t="shared" ref="F4:F13" si="2">B4/I4</f>
        <v>0.10846674546040616</v>
      </c>
      <c r="G4" s="42">
        <f t="shared" ref="G4:G13" si="3">C4-B4</f>
        <v>-0.48000000000000398</v>
      </c>
      <c r="I4" s="43">
        <f>'Portfolio Return'!C4</f>
        <v>372.28</v>
      </c>
    </row>
    <row r="5" spans="1:9" x14ac:dyDescent="0.35">
      <c r="A5" s="17">
        <v>46008</v>
      </c>
      <c r="B5" s="18">
        <f t="shared" ref="B5:B12" si="4">C4</f>
        <v>39.9</v>
      </c>
      <c r="C5" s="18">
        <v>39.9</v>
      </c>
      <c r="D5" s="19">
        <f t="shared" si="0"/>
        <v>0</v>
      </c>
      <c r="E5" s="28">
        <f t="shared" si="1"/>
        <v>8.1000000000000003E-2</v>
      </c>
      <c r="F5" s="44">
        <f t="shared" si="2"/>
        <v>0.10717739335983668</v>
      </c>
      <c r="G5" s="42">
        <f t="shared" si="3"/>
        <v>0</v>
      </c>
      <c r="I5" s="43">
        <f>'Portfolio Return'!C5</f>
        <v>372.28</v>
      </c>
    </row>
    <row r="6" spans="1:9" x14ac:dyDescent="0.35">
      <c r="A6" s="17">
        <v>46009</v>
      </c>
      <c r="B6" s="18">
        <f t="shared" si="4"/>
        <v>39.9</v>
      </c>
      <c r="C6" s="18">
        <v>40.200000000000003</v>
      </c>
      <c r="D6" s="19">
        <f t="shared" si="0"/>
        <v>7.5187969924812581E-3</v>
      </c>
      <c r="E6" s="28">
        <f t="shared" si="1"/>
        <v>8.1000000000000003E-2</v>
      </c>
      <c r="F6" s="44">
        <f t="shared" si="2"/>
        <v>0.1066987565182511</v>
      </c>
      <c r="G6" s="42">
        <f t="shared" si="3"/>
        <v>0.30000000000000426</v>
      </c>
      <c r="I6" s="43">
        <f>'Portfolio Return'!C6</f>
        <v>373.95</v>
      </c>
    </row>
    <row r="7" spans="1:9" x14ac:dyDescent="0.35">
      <c r="A7" s="17">
        <v>46010</v>
      </c>
      <c r="B7" s="18">
        <f t="shared" si="4"/>
        <v>40.200000000000003</v>
      </c>
      <c r="C7" s="18">
        <v>40.799999999999997</v>
      </c>
      <c r="D7" s="19">
        <f t="shared" si="0"/>
        <v>1.4925373134328179E-2</v>
      </c>
      <c r="E7" s="28">
        <f t="shared" si="1"/>
        <v>8.1000000000000003E-2</v>
      </c>
      <c r="F7" s="44">
        <f t="shared" si="2"/>
        <v>0.10757291945410759</v>
      </c>
      <c r="G7" s="42">
        <f t="shared" si="3"/>
        <v>0.59999999999999432</v>
      </c>
      <c r="I7" s="43">
        <f>'Portfolio Return'!C7</f>
        <v>373.7</v>
      </c>
    </row>
    <row r="8" spans="1:9" x14ac:dyDescent="0.35">
      <c r="A8" s="17">
        <v>46013</v>
      </c>
      <c r="B8" s="18">
        <f t="shared" si="4"/>
        <v>40.799999999999997</v>
      </c>
      <c r="C8" s="18">
        <v>40.799999999999997</v>
      </c>
      <c r="D8" s="19">
        <f t="shared" si="0"/>
        <v>0</v>
      </c>
      <c r="E8" s="28">
        <f t="shared" si="1"/>
        <v>8.1000000000000003E-2</v>
      </c>
      <c r="F8" s="44">
        <f t="shared" si="2"/>
        <v>0.10936578566450436</v>
      </c>
      <c r="G8" s="42">
        <f t="shared" si="3"/>
        <v>0</v>
      </c>
      <c r="I8" s="43">
        <f>'Portfolio Return'!C8</f>
        <v>373.06</v>
      </c>
    </row>
    <row r="9" spans="1:9" x14ac:dyDescent="0.35">
      <c r="A9" s="17">
        <v>46014</v>
      </c>
      <c r="B9" s="18">
        <f t="shared" si="4"/>
        <v>40.799999999999997</v>
      </c>
      <c r="C9" s="18">
        <v>40.200000000000003</v>
      </c>
      <c r="D9" s="19">
        <f t="shared" si="0"/>
        <v>-1.4705882352941013E-2</v>
      </c>
      <c r="E9" s="28">
        <f t="shared" si="1"/>
        <v>8.1000000000000003E-2</v>
      </c>
      <c r="F9" s="44">
        <f t="shared" si="2"/>
        <v>0.109524320841834</v>
      </c>
      <c r="G9" s="42">
        <f t="shared" si="3"/>
        <v>-0.59999999999999432</v>
      </c>
      <c r="I9" s="43">
        <f>'Portfolio Return'!C9</f>
        <v>372.52</v>
      </c>
    </row>
    <row r="10" spans="1:9" x14ac:dyDescent="0.35">
      <c r="A10" s="17">
        <v>46015</v>
      </c>
      <c r="B10" s="18">
        <f t="shared" si="4"/>
        <v>40.200000000000003</v>
      </c>
      <c r="C10" s="18">
        <v>40.5</v>
      </c>
      <c r="D10" s="19">
        <f t="shared" si="0"/>
        <v>7.4626865671640896E-3</v>
      </c>
      <c r="E10" s="28">
        <f t="shared" si="1"/>
        <v>8.1000000000000003E-2</v>
      </c>
      <c r="F10" s="44">
        <f t="shared" si="2"/>
        <v>0.10807032636163234</v>
      </c>
      <c r="G10" s="42">
        <f t="shared" si="3"/>
        <v>0.29999999999999716</v>
      </c>
      <c r="I10" s="43">
        <f>'Portfolio Return'!C10</f>
        <v>371.98</v>
      </c>
    </row>
    <row r="11" spans="1:9" x14ac:dyDescent="0.35">
      <c r="A11" s="17">
        <v>46016</v>
      </c>
      <c r="B11" s="18">
        <f t="shared" si="4"/>
        <v>40.5</v>
      </c>
      <c r="C11" s="18">
        <v>40.26</v>
      </c>
      <c r="D11" s="19">
        <f t="shared" si="0"/>
        <v>-5.9259259259260011E-3</v>
      </c>
      <c r="E11" s="28">
        <f t="shared" si="1"/>
        <v>8.1000000000000003E-2</v>
      </c>
      <c r="F11" s="44">
        <f t="shared" si="2"/>
        <v>0.10859946906926232</v>
      </c>
      <c r="G11" s="42">
        <f t="shared" si="3"/>
        <v>-0.24000000000000199</v>
      </c>
      <c r="I11" s="43">
        <f>'Portfolio Return'!C11</f>
        <v>372.93</v>
      </c>
    </row>
    <row r="12" spans="1:9" x14ac:dyDescent="0.35">
      <c r="A12" s="17">
        <v>46017</v>
      </c>
      <c r="B12" s="18">
        <f t="shared" si="4"/>
        <v>40.26</v>
      </c>
      <c r="C12" s="18">
        <v>40.26</v>
      </c>
      <c r="D12" s="19">
        <f t="shared" si="0"/>
        <v>0</v>
      </c>
      <c r="E12" s="28">
        <f t="shared" si="1"/>
        <v>8.1000000000000003E-2</v>
      </c>
      <c r="F12" s="44">
        <f t="shared" si="2"/>
        <v>0.10750907925656909</v>
      </c>
      <c r="G12" s="42">
        <f t="shared" si="3"/>
        <v>0</v>
      </c>
      <c r="I12" s="43">
        <f>'Portfolio Return'!C12</f>
        <v>374.48</v>
      </c>
    </row>
    <row r="13" spans="1:9" x14ac:dyDescent="0.35">
      <c r="A13" s="1">
        <v>46020</v>
      </c>
      <c r="B13" s="18">
        <f>C12</f>
        <v>40.26</v>
      </c>
      <c r="C13" s="18">
        <f>6.8*6</f>
        <v>40.799999999999997</v>
      </c>
      <c r="D13" s="19">
        <f t="shared" si="0"/>
        <v>1.3412816691505292E-2</v>
      </c>
      <c r="E13" s="28">
        <f>C13*0.2/100+E3</f>
        <v>0.16260000000000002</v>
      </c>
      <c r="F13" s="44">
        <f t="shared" si="2"/>
        <v>0.10693227091633464</v>
      </c>
      <c r="G13" s="42">
        <f t="shared" si="3"/>
        <v>0.53999999999999915</v>
      </c>
      <c r="I13" s="43">
        <f>'Portfolio Return'!C13</f>
        <v>376.50000000000006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76D5-BA51-44B7-9E2C-12973415EE8F}">
  <dimension ref="A1:I13"/>
  <sheetViews>
    <sheetView workbookViewId="0">
      <selection activeCell="E3" sqref="E3:E13"/>
    </sheetView>
  </sheetViews>
  <sheetFormatPr defaultRowHeight="14.5" x14ac:dyDescent="0.35"/>
  <cols>
    <col min="1" max="1" width="10.36328125" bestFit="1" customWidth="1"/>
    <col min="2" max="2" width="9.90625" customWidth="1"/>
    <col min="3" max="3" width="17.08984375" customWidth="1"/>
    <col min="5" max="5" width="12.08984375" bestFit="1" customWidth="1"/>
    <col min="7" max="7" width="26.81640625" customWidth="1"/>
    <col min="8" max="8" width="26.08984375" customWidth="1"/>
    <col min="9" max="9" width="14.90625" customWidth="1"/>
    <col min="10" max="10" width="13.90625" customWidth="1"/>
  </cols>
  <sheetData>
    <row r="1" spans="1:9" x14ac:dyDescent="0.35">
      <c r="A1" s="45" t="s">
        <v>0</v>
      </c>
      <c r="B1" s="46" t="s">
        <v>50</v>
      </c>
      <c r="C1" s="46" t="s">
        <v>49</v>
      </c>
      <c r="D1" s="46" t="s">
        <v>48</v>
      </c>
      <c r="E1" s="46" t="s">
        <v>45</v>
      </c>
      <c r="F1" s="46" t="s">
        <v>46</v>
      </c>
      <c r="G1" s="47" t="s">
        <v>47</v>
      </c>
      <c r="I1" s="41" t="s">
        <v>1</v>
      </c>
    </row>
    <row r="2" spans="1:9" x14ac:dyDescent="0.35">
      <c r="A2" s="34"/>
      <c r="B2" s="18"/>
      <c r="C2" s="18"/>
      <c r="D2" s="18"/>
      <c r="E2" s="18"/>
      <c r="F2" s="18"/>
      <c r="G2" s="42"/>
      <c r="I2" s="43"/>
    </row>
    <row r="3" spans="1:9" x14ac:dyDescent="0.35">
      <c r="A3" s="17">
        <v>46006</v>
      </c>
      <c r="B3" s="18">
        <v>133.80000000000001</v>
      </c>
      <c r="C3" s="18">
        <v>132</v>
      </c>
      <c r="D3" s="19">
        <f>C3/B3-1</f>
        <v>-1.3452914798206317E-2</v>
      </c>
      <c r="E3" s="28">
        <f>0.2*$B$3/100</f>
        <v>0.26760000000000006</v>
      </c>
      <c r="F3" s="44">
        <f>B3/I3</f>
        <v>0.3590211441451111</v>
      </c>
      <c r="G3" s="42">
        <f>C3-B3</f>
        <v>-1.8000000000000114</v>
      </c>
      <c r="I3" s="43">
        <f>'Portfolio Return'!C3</f>
        <v>372.68</v>
      </c>
    </row>
    <row r="4" spans="1:9" x14ac:dyDescent="0.35">
      <c r="A4" s="17">
        <v>46007</v>
      </c>
      <c r="B4" s="18">
        <f>C3</f>
        <v>132</v>
      </c>
      <c r="C4" s="18">
        <v>132.97999999999999</v>
      </c>
      <c r="D4" s="19">
        <f t="shared" ref="D4:D13" si="0">C4/B4-1</f>
        <v>7.4242424242423333E-3</v>
      </c>
      <c r="E4" s="28">
        <f t="shared" ref="E4:E12" si="1">0.2*$B$3/100</f>
        <v>0.26760000000000006</v>
      </c>
      <c r="F4" s="44">
        <f t="shared" ref="F4:F13" si="2">B4/I4</f>
        <v>0.35457182765660256</v>
      </c>
      <c r="G4" s="42">
        <f t="shared" ref="G4:G13" si="3">C4-B4</f>
        <v>0.97999999999998977</v>
      </c>
      <c r="I4" s="43">
        <f>'Portfolio Return'!C4</f>
        <v>372.28</v>
      </c>
    </row>
    <row r="5" spans="1:9" x14ac:dyDescent="0.35">
      <c r="A5" s="17">
        <v>46008</v>
      </c>
      <c r="B5" s="18">
        <f t="shared" ref="B5:B13" si="4">C4</f>
        <v>132.97999999999999</v>
      </c>
      <c r="C5" s="18">
        <f>132.98</f>
        <v>132.97999999999999</v>
      </c>
      <c r="D5" s="19">
        <f t="shared" si="0"/>
        <v>0</v>
      </c>
      <c r="E5" s="28">
        <f t="shared" si="1"/>
        <v>0.26760000000000006</v>
      </c>
      <c r="F5" s="44">
        <f t="shared" si="2"/>
        <v>0.35720425486193186</v>
      </c>
      <c r="G5" s="42">
        <f t="shared" si="3"/>
        <v>0</v>
      </c>
      <c r="I5" s="43">
        <f>'Portfolio Return'!C5</f>
        <v>372.28</v>
      </c>
    </row>
    <row r="6" spans="1:9" x14ac:dyDescent="0.35">
      <c r="A6" s="17">
        <v>46009</v>
      </c>
      <c r="B6" s="18">
        <f t="shared" si="4"/>
        <v>132.97999999999999</v>
      </c>
      <c r="C6" s="18">
        <v>132.78</v>
      </c>
      <c r="D6" s="19">
        <f t="shared" si="0"/>
        <v>-1.5039855617384745E-3</v>
      </c>
      <c r="E6" s="28">
        <f t="shared" si="1"/>
        <v>0.26760000000000006</v>
      </c>
      <c r="F6" s="44">
        <f t="shared" si="2"/>
        <v>0.3556090386415296</v>
      </c>
      <c r="G6" s="42">
        <f t="shared" si="3"/>
        <v>-0.19999999999998863</v>
      </c>
      <c r="I6" s="43">
        <f>'Portfolio Return'!C6</f>
        <v>373.95</v>
      </c>
    </row>
    <row r="7" spans="1:9" x14ac:dyDescent="0.35">
      <c r="A7" s="17">
        <v>46010</v>
      </c>
      <c r="B7" s="18">
        <f t="shared" si="4"/>
        <v>132.78</v>
      </c>
      <c r="C7" s="18">
        <v>131.97999999999999</v>
      </c>
      <c r="D7" s="19">
        <f t="shared" si="0"/>
        <v>-6.0250037656274236E-3</v>
      </c>
      <c r="E7" s="28">
        <f t="shared" si="1"/>
        <v>0.26760000000000006</v>
      </c>
      <c r="F7" s="44">
        <f t="shared" si="2"/>
        <v>0.35531174739095533</v>
      </c>
      <c r="G7" s="42">
        <f t="shared" si="3"/>
        <v>-0.80000000000001137</v>
      </c>
      <c r="I7" s="43">
        <f>'Portfolio Return'!C7</f>
        <v>373.7</v>
      </c>
    </row>
    <row r="8" spans="1:9" x14ac:dyDescent="0.35">
      <c r="A8" s="17">
        <v>46013</v>
      </c>
      <c r="B8" s="18">
        <f t="shared" si="4"/>
        <v>131.97999999999999</v>
      </c>
      <c r="C8" s="18">
        <v>131.4</v>
      </c>
      <c r="D8" s="19">
        <f t="shared" si="0"/>
        <v>-4.3946052432185523E-3</v>
      </c>
      <c r="E8" s="28">
        <f t="shared" si="1"/>
        <v>0.26760000000000006</v>
      </c>
      <c r="F8" s="44">
        <f t="shared" si="2"/>
        <v>0.35377687235297267</v>
      </c>
      <c r="G8" s="42">
        <f t="shared" si="3"/>
        <v>-0.57999999999998408</v>
      </c>
      <c r="I8" s="43">
        <f>'Portfolio Return'!C8</f>
        <v>373.06</v>
      </c>
    </row>
    <row r="9" spans="1:9" x14ac:dyDescent="0.35">
      <c r="A9" s="17">
        <v>46014</v>
      </c>
      <c r="B9" s="18">
        <f t="shared" si="4"/>
        <v>131.4</v>
      </c>
      <c r="C9" s="18">
        <v>131.4</v>
      </c>
      <c r="D9" s="19">
        <f t="shared" si="0"/>
        <v>0</v>
      </c>
      <c r="E9" s="28">
        <f t="shared" si="1"/>
        <v>0.26760000000000006</v>
      </c>
      <c r="F9" s="44">
        <f t="shared" si="2"/>
        <v>0.35273273918178893</v>
      </c>
      <c r="G9" s="42">
        <f t="shared" si="3"/>
        <v>0</v>
      </c>
      <c r="I9" s="43">
        <f>'Portfolio Return'!C9</f>
        <v>372.52</v>
      </c>
    </row>
    <row r="10" spans="1:9" x14ac:dyDescent="0.35">
      <c r="A10" s="17">
        <v>46015</v>
      </c>
      <c r="B10" s="18">
        <f t="shared" si="4"/>
        <v>131.4</v>
      </c>
      <c r="C10" s="18">
        <v>131.78</v>
      </c>
      <c r="D10" s="19">
        <f t="shared" si="0"/>
        <v>2.8919330289192136E-3</v>
      </c>
      <c r="E10" s="28">
        <f t="shared" si="1"/>
        <v>0.26760000000000006</v>
      </c>
      <c r="F10" s="44">
        <f t="shared" si="2"/>
        <v>0.35324479810742515</v>
      </c>
      <c r="G10" s="42">
        <f t="shared" si="3"/>
        <v>0.37999999999999545</v>
      </c>
      <c r="I10" s="43">
        <f>'Portfolio Return'!C10</f>
        <v>371.98</v>
      </c>
    </row>
    <row r="11" spans="1:9" x14ac:dyDescent="0.35">
      <c r="A11" s="17">
        <v>46016</v>
      </c>
      <c r="B11" s="18">
        <f t="shared" si="4"/>
        <v>131.78</v>
      </c>
      <c r="C11" s="18">
        <v>131.78</v>
      </c>
      <c r="D11" s="19">
        <f t="shared" si="0"/>
        <v>0</v>
      </c>
      <c r="E11" s="28">
        <f t="shared" si="1"/>
        <v>0.26760000000000006</v>
      </c>
      <c r="F11" s="44">
        <f t="shared" si="2"/>
        <v>0.35336390207277507</v>
      </c>
      <c r="G11" s="42">
        <f t="shared" si="3"/>
        <v>0</v>
      </c>
      <c r="I11" s="43">
        <f>'Portfolio Return'!C11</f>
        <v>372.93</v>
      </c>
    </row>
    <row r="12" spans="1:9" x14ac:dyDescent="0.35">
      <c r="A12" s="17">
        <v>46017</v>
      </c>
      <c r="B12" s="18">
        <f t="shared" si="4"/>
        <v>131.78</v>
      </c>
      <c r="C12" s="18">
        <v>133.30000000000001</v>
      </c>
      <c r="D12" s="19">
        <f t="shared" si="0"/>
        <v>1.1534375474275382E-2</v>
      </c>
      <c r="E12" s="28">
        <f t="shared" si="1"/>
        <v>0.26760000000000006</v>
      </c>
      <c r="F12" s="44">
        <f t="shared" si="2"/>
        <v>0.35190130314035462</v>
      </c>
      <c r="G12" s="42">
        <f t="shared" si="3"/>
        <v>1.5200000000000102</v>
      </c>
      <c r="I12" s="43">
        <f>'Portfolio Return'!C12</f>
        <v>374.48</v>
      </c>
    </row>
    <row r="13" spans="1:9" x14ac:dyDescent="0.35">
      <c r="A13" s="17">
        <v>46020</v>
      </c>
      <c r="B13" s="18">
        <f t="shared" si="4"/>
        <v>133.30000000000001</v>
      </c>
      <c r="C13" s="18">
        <f>66.79*2</f>
        <v>133.58000000000001</v>
      </c>
      <c r="D13" s="19">
        <f t="shared" si="0"/>
        <v>2.1005251312828932E-3</v>
      </c>
      <c r="E13" s="28">
        <f>C13*0.2/100+E3</f>
        <v>0.53476000000000012</v>
      </c>
      <c r="F13" s="44">
        <f t="shared" si="2"/>
        <v>0.3540504648074369</v>
      </c>
      <c r="G13" s="42">
        <f t="shared" si="3"/>
        <v>0.28000000000000114</v>
      </c>
      <c r="I13" s="43">
        <f>'Portfolio Return'!C13</f>
        <v>376.50000000000006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CC21-1F17-48C5-8FFA-6EF44401A650}">
  <dimension ref="A1:I13"/>
  <sheetViews>
    <sheetView workbookViewId="0">
      <selection activeCell="E3" sqref="E3:E13"/>
    </sheetView>
  </sheetViews>
  <sheetFormatPr defaultRowHeight="14.5" x14ac:dyDescent="0.35"/>
  <cols>
    <col min="1" max="1" width="10.36328125" bestFit="1" customWidth="1"/>
    <col min="2" max="2" width="9.90625" customWidth="1"/>
    <col min="3" max="3" width="17.08984375" customWidth="1"/>
    <col min="5" max="5" width="12.08984375" bestFit="1" customWidth="1"/>
    <col min="7" max="7" width="26.81640625" customWidth="1"/>
    <col min="8" max="8" width="26.08984375" customWidth="1"/>
    <col min="9" max="9" width="14.90625" customWidth="1"/>
    <col min="10" max="10" width="13.90625" customWidth="1"/>
  </cols>
  <sheetData>
    <row r="1" spans="1:9" x14ac:dyDescent="0.35">
      <c r="A1" s="45" t="s">
        <v>0</v>
      </c>
      <c r="B1" s="46" t="s">
        <v>50</v>
      </c>
      <c r="C1" s="46" t="s">
        <v>49</v>
      </c>
      <c r="D1" s="46" t="s">
        <v>48</v>
      </c>
      <c r="E1" s="46" t="s">
        <v>45</v>
      </c>
      <c r="F1" s="46" t="s">
        <v>46</v>
      </c>
      <c r="G1" s="47" t="s">
        <v>47</v>
      </c>
      <c r="I1" s="41" t="s">
        <v>1</v>
      </c>
    </row>
    <row r="2" spans="1:9" x14ac:dyDescent="0.35">
      <c r="A2" s="34"/>
      <c r="B2" s="18"/>
      <c r="C2" s="18"/>
      <c r="D2" s="18"/>
      <c r="E2" s="18"/>
      <c r="F2" s="18"/>
      <c r="G2" s="42"/>
      <c r="I2" s="43"/>
    </row>
    <row r="3" spans="1:9" x14ac:dyDescent="0.35">
      <c r="A3" s="17">
        <v>46006</v>
      </c>
      <c r="B3" s="18">
        <v>3.07</v>
      </c>
      <c r="C3" s="18">
        <v>3.07</v>
      </c>
      <c r="D3" s="19">
        <f>C3/B3-1</f>
        <v>0</v>
      </c>
      <c r="E3" s="28">
        <f>0.2*$B$3/100</f>
        <v>6.1399999999999996E-3</v>
      </c>
      <c r="F3" s="44">
        <f>B3/I3</f>
        <v>8.237630138456584E-3</v>
      </c>
      <c r="G3" s="42">
        <f>C3-B3</f>
        <v>0</v>
      </c>
      <c r="I3" s="43">
        <f>'Portfolio Return'!C3</f>
        <v>372.68</v>
      </c>
    </row>
    <row r="4" spans="1:9" x14ac:dyDescent="0.35">
      <c r="A4" s="17">
        <v>46007</v>
      </c>
      <c r="B4" s="18">
        <f>C3</f>
        <v>3.07</v>
      </c>
      <c r="C4" s="18">
        <v>3.09</v>
      </c>
      <c r="D4" s="19">
        <f t="shared" ref="D4:D13" si="0">C4/B4-1</f>
        <v>6.514657980456029E-3</v>
      </c>
      <c r="E4" s="28">
        <f t="shared" ref="E4:E12" si="1">0.2*$B$3/100</f>
        <v>6.1399999999999996E-3</v>
      </c>
      <c r="F4" s="44">
        <f t="shared" ref="F4:F13" si="2">B4/I4</f>
        <v>8.2464811432255286E-3</v>
      </c>
      <c r="G4" s="42">
        <f t="shared" ref="G4:G13" si="3">C4-B4</f>
        <v>2.0000000000000018E-2</v>
      </c>
      <c r="I4" s="43">
        <f>'Portfolio Return'!C4</f>
        <v>372.28</v>
      </c>
    </row>
    <row r="5" spans="1:9" x14ac:dyDescent="0.35">
      <c r="A5" s="17">
        <v>46008</v>
      </c>
      <c r="B5" s="18">
        <f t="shared" ref="B5:B13" si="4">C4</f>
        <v>3.09</v>
      </c>
      <c r="C5" s="18">
        <v>3.09</v>
      </c>
      <c r="D5" s="19">
        <f t="shared" si="0"/>
        <v>0</v>
      </c>
      <c r="E5" s="28">
        <f t="shared" si="1"/>
        <v>6.1399999999999996E-3</v>
      </c>
      <c r="F5" s="44">
        <f t="shared" si="2"/>
        <v>8.3002041474159235E-3</v>
      </c>
      <c r="G5" s="42">
        <f t="shared" si="3"/>
        <v>0</v>
      </c>
      <c r="I5" s="43">
        <f>'Portfolio Return'!C5</f>
        <v>372.28</v>
      </c>
    </row>
    <row r="6" spans="1:9" x14ac:dyDescent="0.35">
      <c r="A6" s="17">
        <v>46009</v>
      </c>
      <c r="B6" s="18">
        <f t="shared" si="4"/>
        <v>3.09</v>
      </c>
      <c r="C6" s="18">
        <v>3.15</v>
      </c>
      <c r="D6" s="19">
        <f t="shared" si="0"/>
        <v>1.9417475728155331E-2</v>
      </c>
      <c r="E6" s="28">
        <f t="shared" si="1"/>
        <v>6.1399999999999996E-3</v>
      </c>
      <c r="F6" s="44">
        <f t="shared" si="2"/>
        <v>8.2631367829923783E-3</v>
      </c>
      <c r="G6" s="42">
        <f t="shared" si="3"/>
        <v>6.0000000000000053E-2</v>
      </c>
      <c r="I6" s="43">
        <f>'Portfolio Return'!C6</f>
        <v>373.95</v>
      </c>
    </row>
    <row r="7" spans="1:9" x14ac:dyDescent="0.35">
      <c r="A7" s="17">
        <v>46010</v>
      </c>
      <c r="B7" s="18">
        <f t="shared" si="4"/>
        <v>3.15</v>
      </c>
      <c r="C7" s="18">
        <v>3.29</v>
      </c>
      <c r="D7" s="19">
        <f t="shared" si="0"/>
        <v>4.4444444444444509E-2</v>
      </c>
      <c r="E7" s="28">
        <f t="shared" si="1"/>
        <v>6.1399999999999996E-3</v>
      </c>
      <c r="F7" s="44">
        <f t="shared" si="2"/>
        <v>8.4292213005084295E-3</v>
      </c>
      <c r="G7" s="42">
        <f t="shared" si="3"/>
        <v>0.14000000000000012</v>
      </c>
      <c r="I7" s="43">
        <f>'Portfolio Return'!C7</f>
        <v>373.7</v>
      </c>
    </row>
    <row r="8" spans="1:9" x14ac:dyDescent="0.35">
      <c r="A8" s="17">
        <v>46013</v>
      </c>
      <c r="B8" s="18">
        <f t="shared" si="4"/>
        <v>3.29</v>
      </c>
      <c r="C8" s="18">
        <v>3.15</v>
      </c>
      <c r="D8" s="19">
        <f t="shared" si="0"/>
        <v>-4.2553191489361764E-2</v>
      </c>
      <c r="E8" s="28">
        <f t="shared" si="1"/>
        <v>6.1399999999999996E-3</v>
      </c>
      <c r="F8" s="44">
        <f t="shared" si="2"/>
        <v>8.8189567361818474E-3</v>
      </c>
      <c r="G8" s="42">
        <f t="shared" si="3"/>
        <v>-0.14000000000000012</v>
      </c>
      <c r="I8" s="43">
        <f>'Portfolio Return'!C8</f>
        <v>373.06</v>
      </c>
    </row>
    <row r="9" spans="1:9" x14ac:dyDescent="0.35">
      <c r="A9" s="17">
        <v>46014</v>
      </c>
      <c r="B9" s="18">
        <f t="shared" si="4"/>
        <v>3.15</v>
      </c>
      <c r="C9" s="18">
        <v>3.09</v>
      </c>
      <c r="D9" s="19">
        <f t="shared" si="0"/>
        <v>-1.9047619047619091E-2</v>
      </c>
      <c r="E9" s="28">
        <f t="shared" si="1"/>
        <v>6.1399999999999996E-3</v>
      </c>
      <c r="F9" s="44">
        <f t="shared" si="2"/>
        <v>8.4559218297004194E-3</v>
      </c>
      <c r="G9" s="42">
        <f t="shared" si="3"/>
        <v>-6.0000000000000053E-2</v>
      </c>
      <c r="I9" s="43">
        <f>'Portfolio Return'!C9</f>
        <v>372.52</v>
      </c>
    </row>
    <row r="10" spans="1:9" x14ac:dyDescent="0.35">
      <c r="A10" s="17">
        <v>46015</v>
      </c>
      <c r="B10" s="18">
        <f t="shared" si="4"/>
        <v>3.09</v>
      </c>
      <c r="C10" s="18">
        <v>3.1</v>
      </c>
      <c r="D10" s="19">
        <f t="shared" si="0"/>
        <v>3.2362459546926292E-3</v>
      </c>
      <c r="E10" s="28">
        <f t="shared" si="1"/>
        <v>6.1399999999999996E-3</v>
      </c>
      <c r="F10" s="44">
        <f t="shared" si="2"/>
        <v>8.3068982203344261E-3</v>
      </c>
      <c r="G10" s="42">
        <f t="shared" si="3"/>
        <v>1.0000000000000231E-2</v>
      </c>
      <c r="I10" s="43">
        <f>'Portfolio Return'!C10</f>
        <v>371.98</v>
      </c>
    </row>
    <row r="11" spans="1:9" x14ac:dyDescent="0.35">
      <c r="A11" s="17">
        <v>46016</v>
      </c>
      <c r="B11" s="18">
        <f t="shared" si="4"/>
        <v>3.1</v>
      </c>
      <c r="C11" s="18">
        <v>3.18</v>
      </c>
      <c r="D11" s="19">
        <f t="shared" si="0"/>
        <v>2.5806451612903292E-2</v>
      </c>
      <c r="E11" s="28">
        <f t="shared" si="1"/>
        <v>6.1399999999999996E-3</v>
      </c>
      <c r="F11" s="44">
        <f t="shared" si="2"/>
        <v>8.3125519534497094E-3</v>
      </c>
      <c r="G11" s="42">
        <f t="shared" si="3"/>
        <v>8.0000000000000071E-2</v>
      </c>
      <c r="I11" s="43">
        <f>'Portfolio Return'!C11</f>
        <v>372.93</v>
      </c>
    </row>
    <row r="12" spans="1:9" x14ac:dyDescent="0.35">
      <c r="A12" s="17">
        <v>46017</v>
      </c>
      <c r="B12" s="18">
        <f t="shared" si="4"/>
        <v>3.18</v>
      </c>
      <c r="C12" s="18">
        <v>3.28</v>
      </c>
      <c r="D12" s="19">
        <f t="shared" si="0"/>
        <v>3.1446540880503138E-2</v>
      </c>
      <c r="E12" s="28">
        <f t="shared" si="1"/>
        <v>6.1399999999999996E-3</v>
      </c>
      <c r="F12" s="44">
        <f t="shared" si="2"/>
        <v>8.4917752616962185E-3</v>
      </c>
      <c r="G12" s="42">
        <f t="shared" si="3"/>
        <v>9.9999999999999645E-2</v>
      </c>
      <c r="I12" s="43">
        <f>'Portfolio Return'!C12</f>
        <v>374.48</v>
      </c>
    </row>
    <row r="13" spans="1:9" x14ac:dyDescent="0.35">
      <c r="A13" s="1">
        <v>46020</v>
      </c>
      <c r="B13" s="18">
        <f t="shared" si="4"/>
        <v>3.28</v>
      </c>
      <c r="C13" s="18">
        <v>3.14</v>
      </c>
      <c r="D13" s="57">
        <f t="shared" si="0"/>
        <v>-4.268292682926822E-2</v>
      </c>
      <c r="E13" s="28">
        <f>C13*0.2/100+E3</f>
        <v>1.242E-2</v>
      </c>
      <c r="F13" s="44">
        <f t="shared" si="2"/>
        <v>8.7118193891102241E-3</v>
      </c>
      <c r="G13" s="42">
        <f t="shared" si="3"/>
        <v>-0.13999999999999968</v>
      </c>
      <c r="I13" s="43">
        <f>'Portfolio Return'!C13</f>
        <v>376.50000000000006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9674-953A-4BA8-926B-B74E7C358ADA}">
  <dimension ref="A1:I13"/>
  <sheetViews>
    <sheetView workbookViewId="0">
      <selection activeCell="E3" sqref="E3:E13"/>
    </sheetView>
  </sheetViews>
  <sheetFormatPr defaultRowHeight="14.5" x14ac:dyDescent="0.35"/>
  <cols>
    <col min="1" max="1" width="10.36328125" bestFit="1" customWidth="1"/>
    <col min="2" max="2" width="9.90625" customWidth="1"/>
    <col min="3" max="3" width="17.08984375" customWidth="1"/>
    <col min="5" max="5" width="12.08984375" bestFit="1" customWidth="1"/>
    <col min="7" max="7" width="26.81640625" customWidth="1"/>
    <col min="8" max="8" width="26.08984375" customWidth="1"/>
    <col min="9" max="9" width="14.90625" customWidth="1"/>
    <col min="10" max="10" width="13.90625" customWidth="1"/>
  </cols>
  <sheetData>
    <row r="1" spans="1:9" x14ac:dyDescent="0.35">
      <c r="A1" s="45" t="s">
        <v>0</v>
      </c>
      <c r="B1" s="46" t="s">
        <v>50</v>
      </c>
      <c r="C1" s="46" t="s">
        <v>49</v>
      </c>
      <c r="D1" s="46" t="s">
        <v>48</v>
      </c>
      <c r="E1" s="46" t="s">
        <v>45</v>
      </c>
      <c r="F1" s="46" t="s">
        <v>46</v>
      </c>
      <c r="G1" s="47" t="s">
        <v>47</v>
      </c>
      <c r="I1" s="41" t="s">
        <v>1</v>
      </c>
    </row>
    <row r="2" spans="1:9" x14ac:dyDescent="0.35">
      <c r="A2" s="34"/>
      <c r="B2" s="18"/>
      <c r="C2" s="18"/>
      <c r="D2" s="18"/>
      <c r="E2" s="18"/>
      <c r="F2" s="18"/>
      <c r="G2" s="42"/>
      <c r="I2" s="43"/>
    </row>
    <row r="3" spans="1:9" x14ac:dyDescent="0.35">
      <c r="A3" s="17">
        <v>46006</v>
      </c>
      <c r="B3" s="18">
        <v>18.579999999999998</v>
      </c>
      <c r="C3" s="18">
        <v>18.579999999999998</v>
      </c>
      <c r="D3" s="19">
        <f>C3/B3-1</f>
        <v>0</v>
      </c>
      <c r="E3" s="28">
        <f>0.2*$B$3/100</f>
        <v>3.7159999999999999E-2</v>
      </c>
      <c r="F3" s="44">
        <f t="shared" ref="F3:F13" si="0">B3/I3</f>
        <v>4.9855103574111832E-2</v>
      </c>
      <c r="G3" s="42">
        <f>C3-B3</f>
        <v>0</v>
      </c>
      <c r="I3" s="43">
        <f>'Portfolio Return'!C3</f>
        <v>372.68</v>
      </c>
    </row>
    <row r="4" spans="1:9" x14ac:dyDescent="0.35">
      <c r="A4" s="17">
        <v>46007</v>
      </c>
      <c r="B4" s="18">
        <f>C3</f>
        <v>18.579999999999998</v>
      </c>
      <c r="C4" s="18">
        <v>18.309999999999999</v>
      </c>
      <c r="D4" s="19">
        <f t="shared" ref="D4:D13" si="1">C4/B4-1</f>
        <v>-1.4531754574811595E-2</v>
      </c>
      <c r="E4" s="28">
        <f t="shared" ref="E4:E12" si="2">0.2*$B$3/100</f>
        <v>3.7159999999999999E-2</v>
      </c>
      <c r="F4" s="44">
        <f t="shared" si="0"/>
        <v>4.9908670892876331E-2</v>
      </c>
      <c r="G4" s="42">
        <f t="shared" ref="G4:G13" si="3">C4-B4</f>
        <v>-0.26999999999999957</v>
      </c>
      <c r="I4" s="43">
        <f>'Portfolio Return'!C4</f>
        <v>372.28</v>
      </c>
    </row>
    <row r="5" spans="1:9" x14ac:dyDescent="0.35">
      <c r="A5" s="17">
        <v>46008</v>
      </c>
      <c r="B5" s="18">
        <f t="shared" ref="B5:B13" si="4">C4</f>
        <v>18.309999999999999</v>
      </c>
      <c r="C5" s="18">
        <v>18.309999999999999</v>
      </c>
      <c r="D5" s="19">
        <f t="shared" si="1"/>
        <v>0</v>
      </c>
      <c r="E5" s="28">
        <f t="shared" si="2"/>
        <v>3.7159999999999999E-2</v>
      </c>
      <c r="F5" s="44">
        <f t="shared" si="0"/>
        <v>4.9183410336306008E-2</v>
      </c>
      <c r="G5" s="42">
        <f t="shared" si="3"/>
        <v>0</v>
      </c>
      <c r="I5" s="43">
        <f>'Portfolio Return'!C5</f>
        <v>372.28</v>
      </c>
    </row>
    <row r="6" spans="1:9" x14ac:dyDescent="0.35">
      <c r="A6" s="17">
        <v>46009</v>
      </c>
      <c r="B6" s="18">
        <f t="shared" si="4"/>
        <v>18.309999999999999</v>
      </c>
      <c r="C6" s="18">
        <v>18.989999999999998</v>
      </c>
      <c r="D6" s="19">
        <f t="shared" si="1"/>
        <v>3.713817586018564E-2</v>
      </c>
      <c r="E6" s="28">
        <f t="shared" si="2"/>
        <v>3.7159999999999999E-2</v>
      </c>
      <c r="F6" s="44">
        <f t="shared" si="0"/>
        <v>4.8963765209252573E-2</v>
      </c>
      <c r="G6" s="42">
        <f t="shared" si="3"/>
        <v>0.67999999999999972</v>
      </c>
      <c r="I6" s="43">
        <f>'Portfolio Return'!C6</f>
        <v>373.95</v>
      </c>
    </row>
    <row r="7" spans="1:9" x14ac:dyDescent="0.35">
      <c r="A7" s="17">
        <v>46010</v>
      </c>
      <c r="B7" s="18">
        <f t="shared" si="4"/>
        <v>18.989999999999998</v>
      </c>
      <c r="C7" s="18">
        <v>18.899999999999999</v>
      </c>
      <c r="D7" s="19">
        <f t="shared" si="1"/>
        <v>-4.7393364928909332E-3</v>
      </c>
      <c r="E7" s="28">
        <f t="shared" si="2"/>
        <v>3.7159999999999999E-2</v>
      </c>
      <c r="F7" s="44">
        <f t="shared" si="0"/>
        <v>5.0816162697350814E-2</v>
      </c>
      <c r="G7" s="42">
        <f t="shared" si="3"/>
        <v>-8.9999999999999858E-2</v>
      </c>
      <c r="I7" s="43">
        <f>'Portfolio Return'!C7</f>
        <v>373.7</v>
      </c>
    </row>
    <row r="8" spans="1:9" x14ac:dyDescent="0.35">
      <c r="A8" s="17">
        <v>46013</v>
      </c>
      <c r="B8" s="18">
        <f t="shared" si="4"/>
        <v>18.899999999999999</v>
      </c>
      <c r="C8" s="18">
        <v>19</v>
      </c>
      <c r="D8" s="19">
        <f t="shared" si="1"/>
        <v>5.2910052910053462E-3</v>
      </c>
      <c r="E8" s="28">
        <f t="shared" si="2"/>
        <v>3.7159999999999999E-2</v>
      </c>
      <c r="F8" s="44">
        <f t="shared" si="0"/>
        <v>5.0662091888704228E-2</v>
      </c>
      <c r="G8" s="42">
        <f t="shared" si="3"/>
        <v>0.10000000000000142</v>
      </c>
      <c r="I8" s="43">
        <f>'Portfolio Return'!C8</f>
        <v>373.06</v>
      </c>
    </row>
    <row r="9" spans="1:9" x14ac:dyDescent="0.35">
      <c r="A9" s="17">
        <v>46014</v>
      </c>
      <c r="B9" s="18">
        <f t="shared" si="4"/>
        <v>19</v>
      </c>
      <c r="C9" s="18">
        <v>19</v>
      </c>
      <c r="D9" s="19">
        <f t="shared" si="1"/>
        <v>0</v>
      </c>
      <c r="E9" s="28">
        <f t="shared" si="2"/>
        <v>3.7159999999999999E-2</v>
      </c>
      <c r="F9" s="44">
        <f t="shared" si="0"/>
        <v>5.1003972941050149E-2</v>
      </c>
      <c r="G9" s="42">
        <f t="shared" si="3"/>
        <v>0</v>
      </c>
      <c r="I9" s="43">
        <f>'Portfolio Return'!C9</f>
        <v>372.52</v>
      </c>
    </row>
    <row r="10" spans="1:9" x14ac:dyDescent="0.35">
      <c r="A10" s="17">
        <v>46015</v>
      </c>
      <c r="B10" s="18">
        <f t="shared" si="4"/>
        <v>19</v>
      </c>
      <c r="C10" s="18">
        <v>18.95</v>
      </c>
      <c r="D10" s="19">
        <f t="shared" si="1"/>
        <v>-2.6315789473684292E-3</v>
      </c>
      <c r="E10" s="28">
        <f t="shared" si="2"/>
        <v>3.7159999999999999E-2</v>
      </c>
      <c r="F10" s="44">
        <f t="shared" si="0"/>
        <v>5.107801494704016E-2</v>
      </c>
      <c r="G10" s="42">
        <f t="shared" si="3"/>
        <v>-5.0000000000000711E-2</v>
      </c>
      <c r="I10" s="43">
        <f>'Portfolio Return'!C10</f>
        <v>371.98</v>
      </c>
    </row>
    <row r="11" spans="1:9" x14ac:dyDescent="0.35">
      <c r="A11" s="17">
        <v>46016</v>
      </c>
      <c r="B11" s="18">
        <f t="shared" si="4"/>
        <v>18.95</v>
      </c>
      <c r="C11" s="18">
        <v>18.899999999999999</v>
      </c>
      <c r="D11" s="19">
        <f t="shared" si="1"/>
        <v>-2.6385224274406704E-3</v>
      </c>
      <c r="E11" s="28">
        <f t="shared" si="2"/>
        <v>3.7159999999999999E-2</v>
      </c>
      <c r="F11" s="44">
        <f t="shared" si="0"/>
        <v>5.0813825650926445E-2</v>
      </c>
      <c r="G11" s="42">
        <f t="shared" si="3"/>
        <v>-5.0000000000000711E-2</v>
      </c>
      <c r="I11" s="43">
        <f>'Portfolio Return'!C11</f>
        <v>372.93</v>
      </c>
    </row>
    <row r="12" spans="1:9" x14ac:dyDescent="0.35">
      <c r="A12" s="17">
        <v>46017</v>
      </c>
      <c r="B12" s="18">
        <f t="shared" si="4"/>
        <v>18.899999999999999</v>
      </c>
      <c r="C12" s="18">
        <v>18.95</v>
      </c>
      <c r="D12" s="19">
        <f t="shared" si="1"/>
        <v>2.6455026455027841E-3</v>
      </c>
      <c r="E12" s="28">
        <f t="shared" si="2"/>
        <v>3.7159999999999999E-2</v>
      </c>
      <c r="F12" s="44">
        <f t="shared" si="0"/>
        <v>5.0469985045930352E-2</v>
      </c>
      <c r="G12" s="42">
        <f t="shared" si="3"/>
        <v>5.0000000000000711E-2</v>
      </c>
      <c r="I12" s="43">
        <f>'Portfolio Return'!C12</f>
        <v>374.48</v>
      </c>
    </row>
    <row r="13" spans="1:9" x14ac:dyDescent="0.35">
      <c r="A13" s="1">
        <v>46020</v>
      </c>
      <c r="B13" s="18">
        <f t="shared" si="4"/>
        <v>18.95</v>
      </c>
      <c r="C13" s="18">
        <v>18.93</v>
      </c>
      <c r="D13" s="57">
        <f t="shared" si="1"/>
        <v>-1.0554089709762238E-3</v>
      </c>
      <c r="E13" s="28">
        <f>C13*0.2/100+E3</f>
        <v>7.5020000000000003E-2</v>
      </c>
      <c r="F13" s="44">
        <f t="shared" si="0"/>
        <v>5.0332005312084982E-2</v>
      </c>
      <c r="G13" s="42">
        <f t="shared" si="3"/>
        <v>-1.9999999999999574E-2</v>
      </c>
      <c r="I13" s="43">
        <f>'Portfolio Return'!C13</f>
        <v>376.50000000000006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Portfolio Return</vt:lpstr>
      <vt:lpstr>KRIs calculations</vt:lpstr>
      <vt:lpstr>One tech Holding</vt:lpstr>
      <vt:lpstr>POULINA</vt:lpstr>
      <vt:lpstr>UNIMED</vt:lpstr>
      <vt:lpstr>AMV</vt:lpstr>
      <vt:lpstr>Attijari Bank</vt:lpstr>
      <vt:lpstr>ESSOUKNA</vt:lpstr>
      <vt:lpstr>SMART TUNISIE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Aouadi</dc:creator>
  <cp:lastModifiedBy>Amine Bessaad</cp:lastModifiedBy>
  <dcterms:created xsi:type="dcterms:W3CDTF">2024-12-21T19:56:54Z</dcterms:created>
  <dcterms:modified xsi:type="dcterms:W3CDTF">2026-01-01T10:22:31Z</dcterms:modified>
</cp:coreProperties>
</file>